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hony\git\Automatizacion-pruebas-servicios-REST\generador\"/>
    </mc:Choice>
  </mc:AlternateContent>
  <xr:revisionPtr revIDLastSave="0" documentId="13_ncr:1_{B4476B8F-EEF5-4B21-B06E-74491C85C672}" xr6:coauthVersionLast="36" xr6:coauthVersionMax="40" xr10:uidLastSave="{00000000-0000-0000-0000-000000000000}"/>
  <bookViews>
    <workbookView xWindow="0" yWindow="0" windowWidth="20490" windowHeight="6945" activeTab="2" xr2:uid="{11126249-B278-48C6-852D-0F9C788B4155}"/>
  </bookViews>
  <sheets>
    <sheet name="Manual" sheetId="4" r:id="rId1"/>
    <sheet name="Variables" sheetId="2" state="hidden" r:id="rId2"/>
    <sheet name="Condiciones" sheetId="1" r:id="rId3"/>
    <sheet name="Data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7" i="1" l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N6" i="1"/>
  <c r="M6" i="1"/>
  <c r="L2" i="1"/>
  <c r="F19" i="2"/>
  <c r="M2" i="1" l="1"/>
</calcChain>
</file>

<file path=xl/sharedStrings.xml><?xml version="1.0" encoding="utf-8"?>
<sst xmlns="http://schemas.openxmlformats.org/spreadsheetml/2006/main" count="266" uniqueCount="95">
  <si>
    <t>Tipo Prueba</t>
  </si>
  <si>
    <t>Valida</t>
  </si>
  <si>
    <t>Invalida</t>
  </si>
  <si>
    <t>Criterio</t>
  </si>
  <si>
    <t>Tipo Dato</t>
  </si>
  <si>
    <t>Date-Time</t>
  </si>
  <si>
    <t>String</t>
  </si>
  <si>
    <t>Integer</t>
  </si>
  <si>
    <t>Number</t>
  </si>
  <si>
    <t>Array</t>
  </si>
  <si>
    <t>Valores Validos</t>
  </si>
  <si>
    <t>Accion</t>
  </si>
  <si>
    <t>Aplica</t>
  </si>
  <si>
    <t>No Aplica</t>
  </si>
  <si>
    <t>Condiciones</t>
  </si>
  <si>
    <t>Nombre</t>
  </si>
  <si>
    <t>Valor</t>
  </si>
  <si>
    <t>Longitud</t>
  </si>
  <si>
    <t>Obligatoriedad</t>
  </si>
  <si>
    <t>Tipo De Dato</t>
  </si>
  <si>
    <t>#</t>
  </si>
  <si>
    <t>X</t>
  </si>
  <si>
    <t>Generar</t>
  </si>
  <si>
    <t>Opcional</t>
  </si>
  <si>
    <t>Boolean</t>
  </si>
  <si>
    <t>Tipo de propiedad</t>
  </si>
  <si>
    <t>Tipo Propiedad</t>
  </si>
  <si>
    <t>Header</t>
  </si>
  <si>
    <t>Path</t>
  </si>
  <si>
    <t>Query</t>
  </si>
  <si>
    <t>Body</t>
  </si>
  <si>
    <t>Agrupacion</t>
  </si>
  <si>
    <t>General</t>
  </si>
  <si>
    <t>Especifico</t>
  </si>
  <si>
    <t>Categoria</t>
  </si>
  <si>
    <t>Codigo</t>
  </si>
  <si>
    <t>Message</t>
  </si>
  <si>
    <t>Ok</t>
  </si>
  <si>
    <t>Valor Invalido</t>
  </si>
  <si>
    <t>Propiedades</t>
  </si>
  <si>
    <t>X-RqUID</t>
  </si>
  <si>
    <t>X-Name</t>
  </si>
  <si>
    <t>X-Version</t>
  </si>
  <si>
    <t>X-Channel</t>
  </si>
  <si>
    <t>X-CompanyId</t>
  </si>
  <si>
    <t>X-IPAddr</t>
  </si>
  <si>
    <t>X-Sesskey</t>
  </si>
  <si>
    <t>X-CustLoginId</t>
  </si>
  <si>
    <t>X-GovIssueIdentType</t>
  </si>
  <si>
    <t>CC</t>
  </si>
  <si>
    <t>CC,CE,LC,NI,OT,PA,RC,TI</t>
  </si>
  <si>
    <t>X-IdentSerialNum</t>
  </si>
  <si>
    <t>X-LastName</t>
  </si>
  <si>
    <t>X-FirstName</t>
  </si>
  <si>
    <t>X-KeyAcctId</t>
  </si>
  <si>
    <t>X-Language</t>
  </si>
  <si>
    <t>es_CO</t>
  </si>
  <si>
    <t>X-NextDt</t>
  </si>
  <si>
    <t>X-CustIdentType</t>
  </si>
  <si>
    <t>X-CustIdentNum</t>
  </si>
  <si>
    <t>X-LegalName</t>
  </si>
  <si>
    <t>SPPNiO2.0.2</t>
  </si>
  <si>
    <t>0023,0001,0002,0052</t>
  </si>
  <si>
    <t>10.159.211.59</t>
  </si>
  <si>
    <t>Jose Ruiz</t>
  </si>
  <si>
    <t>OrgIdNum</t>
  </si>
  <si>
    <t>Nickname</t>
  </si>
  <si>
    <t>NIE</t>
  </si>
  <si>
    <t>PayeeType</t>
  </si>
  <si>
    <t>Org</t>
  </si>
  <si>
    <t>Name</t>
  </si>
  <si>
    <t>Version</t>
  </si>
  <si>
    <t>GovIssueIdentType</t>
  </si>
  <si>
    <t>IdentSerialNum</t>
  </si>
  <si>
    <t>GovOrg</t>
  </si>
  <si>
    <t>CustPermId</t>
  </si>
  <si>
    <t>CustLoginId</t>
  </si>
  <si>
    <t>LegalName</t>
  </si>
  <si>
    <t>CC CE,LC,NI,OT,PA,RC,TI,NITE,NIT,NITN</t>
  </si>
  <si>
    <t>ICBS</t>
  </si>
  <si>
    <t>BBS</t>
  </si>
  <si>
    <t>BBS,ICBS,MB</t>
  </si>
  <si>
    <t>0001</t>
  </si>
  <si>
    <t>uV69pLZplLtS2M-kggaMsylkYOK-f3UXNz5PDZnCml6TDc1nw2nD</t>
  </si>
  <si>
    <t>Suarez</t>
  </si>
  <si>
    <t>Lucia</t>
  </si>
  <si>
    <t>2018-12-17T14:47:42</t>
  </si>
  <si>
    <t>EXCELSYS</t>
  </si>
  <si>
    <t>8.89.0</t>
  </si>
  <si>
    <t>NIT</t>
  </si>
  <si>
    <t>COUNTRY</t>
  </si>
  <si>
    <t>asuarezg</t>
  </si>
  <si>
    <t>ENERGIA</t>
  </si>
  <si>
    <t>Jeysson Cert</t>
  </si>
  <si>
    <t>Peticion Valida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</si>
</sst>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 applyProtection="1"/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0" xfId="0" applyFont="1" applyFill="1" applyAlignment="1" applyProtection="1"/>
    <xf numFmtId="0" fontId="0" fillId="0" borderId="0" xfId="0" applyBorder="1" applyAlignment="1" applyProtection="1">
      <alignment horizontal="center" vertical="center"/>
    </xf>
    <xf numFmtId="0" fontId="1" fillId="0" borderId="0" xfId="0" applyFont="1" applyFill="1" applyBorder="1" applyAlignment="1" applyProtection="1"/>
    <xf numFmtId="0" fontId="2" fillId="3" borderId="0" xfId="0" applyFont="1" applyFill="1" applyAlignment="1" applyProtection="1">
      <alignment horizontal="center" vertical="center"/>
    </xf>
    <xf numFmtId="0" fontId="2" fillId="3" borderId="0" xfId="0" applyFont="1" applyFill="1" applyProtection="1"/>
    <xf numFmtId="0" fontId="0" fillId="4" borderId="1" xfId="0" applyFont="1" applyFill="1" applyBorder="1"/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" fillId="3" borderId="1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4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left" vertical="center" wrapText="1"/>
    </xf>
    <xf numFmtId="49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left"/>
    </xf>
    <xf numFmtId="2" fontId="0" fillId="0" borderId="0" xfId="0" applyNumberForma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Border="1" applyAlignment="1">
      <alignment horizontal="left" vertical="center"/>
    </xf>
  </cellXfs>
  <cellStyles count="1">
    <cellStyle name="Normal" xfId="0" builtinId="0"/>
  </cellStyles>
  <dxfs count="2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800100</xdr:colOff>
          <xdr:row>0</xdr:row>
          <xdr:rowOff>76200</xdr:rowOff>
        </xdr:from>
        <xdr:to>
          <xdr:col>16</xdr:col>
          <xdr:colOff>723900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65ED5A-FC34-4032-ACE5-ADAF53E37774}" name="Tabla3" displayName="Tabla3" ref="A2:I33" headerRowDxfId="28" dataDxfId="27">
  <autoFilter ref="A2:I33" xr:uid="{ECC322B3-5C29-4877-9369-9E79834CD4D9}"/>
  <tableColumns count="9">
    <tableColumn id="1" xr3:uid="{588BC00E-FD36-4E64-8CDC-14EE67C07C1A}" name="#" totalsRowLabel="Total" dataDxfId="26" totalsRowDxfId="25"/>
    <tableColumn id="2" xr3:uid="{CAFA819B-534E-4919-943C-448D1358A524}" name="Nombre" dataDxfId="24" totalsRowDxfId="23"/>
    <tableColumn id="3" xr3:uid="{BF258A09-C70C-4323-BCFC-27BF0AC77CD8}" name="Valor" dataDxfId="22" totalsRowDxfId="21"/>
    <tableColumn id="4" xr3:uid="{93A353C7-D814-4F6B-9100-43319761AA6C}" name="Array" dataDxfId="20" totalsRowDxfId="19"/>
    <tableColumn id="5" xr3:uid="{FDA58F4F-DE05-464B-AC06-83928F2B90A6}" name="Longitud" dataDxfId="18" totalsRowDxfId="17"/>
    <tableColumn id="6" xr3:uid="{BAF02C6A-775A-46C2-AF3E-DFBF21378595}" name="Obligatoriedad" dataDxfId="16" totalsRowDxfId="15"/>
    <tableColumn id="7" xr3:uid="{C1F61938-C7A3-4941-8A1F-DDCCE7FD2EC8}" name="Tipo De Dato" dataDxfId="14" totalsRowDxfId="13"/>
    <tableColumn id="8" xr3:uid="{E0DA8795-DD47-49ED-8601-8A21E6D7AF7A}" name="Valor Invalido" dataDxfId="12" totalsRowDxfId="11"/>
    <tableColumn id="9" xr3:uid="{9A3A4ECD-1F9C-446F-8A09-3367C2370B79}" name="Tipo de propiedad" totalsRowFunction="count" dataDxfId="10" totalsRowDxfId="9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1FF3AB-5C34-4644-9634-0BB0A834237E}" name="Tabla4" displayName="Tabla4" ref="K5:Q24" totalsRowShown="0" headerRowDxfId="8" dataDxfId="7">
  <autoFilter ref="K5:Q24" xr:uid="{6711528D-969F-408D-958A-C799DD606A2A}"/>
  <tableColumns count="7">
    <tableColumn id="1" xr3:uid="{378D7FF8-2BD1-4956-A267-A3F86A4CDC2E}" name="#" dataDxfId="6">
      <calculatedColumnFormula>IF(L6&lt;&gt;"",K5+1,"")</calculatedColumnFormula>
    </tableColumn>
    <tableColumn id="2" xr3:uid="{5487D614-549D-4BBC-AC12-37A79AB3C189}" name="Criterio" dataDxfId="5"/>
    <tableColumn id="3" xr3:uid="{F40E475A-2853-42EA-905E-1A748785E5EC}" name="Tipo Prueba" dataDxfId="4"/>
    <tableColumn id="4" xr3:uid="{150D7E5C-590D-49A4-8531-A232C78C3510}" name="Agrupacion" dataDxfId="3"/>
    <tableColumn id="5" xr3:uid="{11E3FAE5-A3E4-43FC-ABD9-CAB112AABA58}" name="Codigo" dataDxfId="2"/>
    <tableColumn id="6" xr3:uid="{7CF9A1A5-FCEA-4157-9E70-8ECCB11EED4B}" name="Message" dataDxfId="1"/>
    <tableColumn id="7" xr3:uid="{6FCC23E6-8924-4F4D-9B7A-89D391925B56}" name="Genera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EE02D-ACAB-47D0-B9E0-41A61203E087}">
  <sheetPr codeName="Hoja4">
    <tabColor theme="4"/>
  </sheetPr>
  <dimension ref="A1"/>
  <sheetViews>
    <sheetView workbookViewId="0">
      <selection activeCell="C19" sqref="C1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A404B-5183-4E9E-8B47-D7F800BD7793}">
  <sheetPr codeName="Hoja1">
    <tabColor rgb="FF92D050"/>
  </sheetPr>
  <dimension ref="A1:F19"/>
  <sheetViews>
    <sheetView workbookViewId="0">
      <selection activeCell="C9" sqref="C9"/>
    </sheetView>
  </sheetViews>
  <sheetFormatPr baseColWidth="10" defaultRowHeight="15" x14ac:dyDescent="0.25"/>
  <cols>
    <col min="1" max="1" width="11.5703125" bestFit="1" customWidth="1"/>
    <col min="4" max="4" width="14.42578125" bestFit="1" customWidth="1"/>
    <col min="6" max="6" width="14.7109375" bestFit="1" customWidth="1"/>
  </cols>
  <sheetData>
    <row r="1" spans="1:6" x14ac:dyDescent="0.25">
      <c r="A1" s="2" t="s">
        <v>0</v>
      </c>
      <c r="B1" s="2" t="s">
        <v>4</v>
      </c>
      <c r="C1" s="1" t="s">
        <v>11</v>
      </c>
      <c r="D1" s="1" t="s">
        <v>26</v>
      </c>
      <c r="E1" s="1" t="s">
        <v>31</v>
      </c>
      <c r="F1" s="1" t="s">
        <v>34</v>
      </c>
    </row>
    <row r="2" spans="1:6" x14ac:dyDescent="0.25">
      <c r="A2" t="s">
        <v>1</v>
      </c>
      <c r="B2" t="s">
        <v>5</v>
      </c>
      <c r="C2" t="s">
        <v>12</v>
      </c>
      <c r="D2" t="s">
        <v>27</v>
      </c>
      <c r="E2" t="s">
        <v>32</v>
      </c>
      <c r="F2" t="s">
        <v>94</v>
      </c>
    </row>
    <row r="3" spans="1:6" x14ac:dyDescent="0.25">
      <c r="A3" t="s">
        <v>2</v>
      </c>
      <c r="B3" t="s">
        <v>6</v>
      </c>
      <c r="C3" t="s">
        <v>13</v>
      </c>
      <c r="D3" t="s">
        <v>28</v>
      </c>
      <c r="E3" t="s">
        <v>33</v>
      </c>
      <c r="F3" t="s">
        <v>17</v>
      </c>
    </row>
    <row r="4" spans="1:6" x14ac:dyDescent="0.25">
      <c r="B4" t="s">
        <v>7</v>
      </c>
      <c r="D4" t="s">
        <v>29</v>
      </c>
      <c r="F4" t="s">
        <v>4</v>
      </c>
    </row>
    <row r="5" spans="1:6" x14ac:dyDescent="0.25">
      <c r="B5" t="s">
        <v>8</v>
      </c>
      <c r="D5" t="s">
        <v>30</v>
      </c>
      <c r="F5" t="s">
        <v>18</v>
      </c>
    </row>
    <row r="6" spans="1:6" x14ac:dyDescent="0.25">
      <c r="B6" t="s">
        <v>9</v>
      </c>
      <c r="F6" t="s">
        <v>23</v>
      </c>
    </row>
    <row r="7" spans="1:6" x14ac:dyDescent="0.25">
      <c r="B7" t="s">
        <v>24</v>
      </c>
      <c r="F7" t="s">
        <v>10</v>
      </c>
    </row>
    <row r="19" spans="6:6" x14ac:dyDescent="0.25">
      <c r="F19">
        <f>calcularTipoDato("String","Mario",5)</f>
        <v>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EB84-E7AA-43CD-B948-74B18636F5C3}">
  <sheetPr codeName="Hoja2">
    <tabColor rgb="FFFFC000"/>
  </sheetPr>
  <dimension ref="A1:R428"/>
  <sheetViews>
    <sheetView tabSelected="1" zoomScale="80" zoomScaleNormal="80" workbookViewId="0">
      <selection activeCell="Q6" sqref="Q6:Q24"/>
    </sheetView>
  </sheetViews>
  <sheetFormatPr baseColWidth="10" defaultRowHeight="15" x14ac:dyDescent="0.25"/>
  <cols>
    <col min="1" max="1" width="9.5703125" style="4" customWidth="1"/>
    <col min="2" max="2" width="20" style="3" bestFit="1" customWidth="1"/>
    <col min="3" max="3" width="29.28515625" style="3" customWidth="1"/>
    <col min="4" max="4" width="36.7109375" style="3" bestFit="1" customWidth="1"/>
    <col min="5" max="5" width="13.28515625" style="3" bestFit="1" customWidth="1"/>
    <col min="6" max="6" width="18.85546875" style="3" bestFit="1" customWidth="1"/>
    <col min="7" max="7" width="16.85546875" style="3" bestFit="1" customWidth="1"/>
    <col min="8" max="8" width="17.85546875" style="3" bestFit="1" customWidth="1"/>
    <col min="9" max="9" width="22.28515625" style="3" customWidth="1"/>
    <col min="10" max="10" width="18.140625" style="3" customWidth="1"/>
    <col min="11" max="11" width="6.7109375" style="4" customWidth="1"/>
    <col min="12" max="12" width="19" style="3" customWidth="1"/>
    <col min="13" max="13" width="16.140625" style="3" bestFit="1" customWidth="1"/>
    <col min="14" max="14" width="13.28515625" style="3" bestFit="1" customWidth="1"/>
    <col min="15" max="15" width="11.7109375" style="3" bestFit="1" customWidth="1"/>
    <col min="16" max="16" width="13.42578125" style="3" bestFit="1" customWidth="1"/>
    <col min="17" max="18" width="11.42578125" style="3"/>
  </cols>
  <sheetData>
    <row r="1" spans="1:17" x14ac:dyDescent="0.25">
      <c r="A1" s="10"/>
      <c r="B1" s="28"/>
      <c r="C1" s="28"/>
      <c r="D1" s="28"/>
      <c r="E1" s="28"/>
      <c r="F1" s="28"/>
      <c r="G1" s="28"/>
      <c r="H1" s="28"/>
      <c r="I1" s="28"/>
      <c r="J1" s="6"/>
      <c r="L1" s="16" t="s">
        <v>39</v>
      </c>
      <c r="M1" s="16" t="s">
        <v>14</v>
      </c>
    </row>
    <row r="2" spans="1:17" x14ac:dyDescent="0.25">
      <c r="A2" s="7" t="s">
        <v>20</v>
      </c>
      <c r="B2" s="7" t="s">
        <v>15</v>
      </c>
      <c r="C2" s="7" t="s">
        <v>16</v>
      </c>
      <c r="D2" s="7" t="s">
        <v>9</v>
      </c>
      <c r="E2" s="7" t="s">
        <v>17</v>
      </c>
      <c r="F2" s="7" t="s">
        <v>18</v>
      </c>
      <c r="G2" s="7" t="s">
        <v>19</v>
      </c>
      <c r="H2" s="7" t="s">
        <v>38</v>
      </c>
      <c r="I2" s="7" t="s">
        <v>25</v>
      </c>
      <c r="J2" s="5"/>
      <c r="K2" s="8"/>
      <c r="L2" s="13">
        <f>COUNTA($A$3:$A$148)</f>
        <v>31</v>
      </c>
      <c r="M2" s="13">
        <f>COUNTA($K$6:$K$97)</f>
        <v>19</v>
      </c>
    </row>
    <row r="3" spans="1:17" x14ac:dyDescent="0.25">
      <c r="A3" s="17">
        <v>1</v>
      </c>
      <c r="B3" s="18" t="s">
        <v>40</v>
      </c>
      <c r="C3" s="31">
        <v>596014</v>
      </c>
      <c r="D3" s="17"/>
      <c r="E3" s="17">
        <v>36</v>
      </c>
      <c r="F3" s="20" t="s">
        <v>21</v>
      </c>
      <c r="G3" s="14" t="s">
        <v>6</v>
      </c>
      <c r="H3" s="15"/>
      <c r="I3" s="15" t="s">
        <v>27</v>
      </c>
    </row>
    <row r="4" spans="1:17" x14ac:dyDescent="0.25">
      <c r="A4" s="17">
        <v>2</v>
      </c>
      <c r="B4" s="18" t="s">
        <v>41</v>
      </c>
      <c r="C4" s="18" t="s">
        <v>79</v>
      </c>
      <c r="D4" s="17"/>
      <c r="E4" s="17">
        <v>100</v>
      </c>
      <c r="F4" s="20"/>
      <c r="G4" s="14" t="s">
        <v>6</v>
      </c>
      <c r="H4" s="15"/>
      <c r="I4" s="15" t="s">
        <v>27</v>
      </c>
      <c r="K4" s="8"/>
      <c r="L4" s="8"/>
      <c r="M4" s="8"/>
      <c r="N4" s="8"/>
      <c r="O4" s="8"/>
      <c r="P4" s="8"/>
      <c r="Q4" s="8"/>
    </row>
    <row r="5" spans="1:17" x14ac:dyDescent="0.25">
      <c r="A5" s="17">
        <v>3</v>
      </c>
      <c r="B5" s="18" t="s">
        <v>42</v>
      </c>
      <c r="C5" s="18" t="s">
        <v>61</v>
      </c>
      <c r="D5" s="17"/>
      <c r="E5" s="17">
        <v>20</v>
      </c>
      <c r="F5" s="20"/>
      <c r="G5" s="14" t="s">
        <v>6</v>
      </c>
      <c r="H5" s="15"/>
      <c r="I5" s="15" t="s">
        <v>27</v>
      </c>
      <c r="K5" s="11" t="s">
        <v>20</v>
      </c>
      <c r="L5" s="11" t="s">
        <v>3</v>
      </c>
      <c r="M5" s="11" t="s">
        <v>0</v>
      </c>
      <c r="N5" s="12" t="s">
        <v>31</v>
      </c>
      <c r="O5" s="11" t="s">
        <v>35</v>
      </c>
      <c r="P5" s="11" t="s">
        <v>36</v>
      </c>
      <c r="Q5" s="11" t="s">
        <v>22</v>
      </c>
    </row>
    <row r="6" spans="1:17" x14ac:dyDescent="0.25">
      <c r="A6" s="17">
        <v>4</v>
      </c>
      <c r="B6" s="18" t="s">
        <v>43</v>
      </c>
      <c r="C6" s="18" t="s">
        <v>80</v>
      </c>
      <c r="D6" s="17" t="s">
        <v>81</v>
      </c>
      <c r="E6" s="17"/>
      <c r="F6" s="20" t="s">
        <v>21</v>
      </c>
      <c r="G6" s="14" t="s">
        <v>9</v>
      </c>
      <c r="H6" s="15"/>
      <c r="I6" s="15" t="s">
        <v>27</v>
      </c>
      <c r="K6" s="4">
        <v>1</v>
      </c>
      <c r="L6" s="4" t="s">
        <v>94</v>
      </c>
      <c r="M6" s="4" t="str">
        <f>Variables!$A$2</f>
        <v>Valida</v>
      </c>
      <c r="N6" s="4" t="str">
        <f>Variables!$E$2</f>
        <v>General</v>
      </c>
      <c r="O6" s="3">
        <v>200</v>
      </c>
      <c r="P6" s="3" t="s">
        <v>37</v>
      </c>
      <c r="Q6" s="3" t="s">
        <v>12</v>
      </c>
    </row>
    <row r="7" spans="1:17" x14ac:dyDescent="0.25">
      <c r="A7" s="17">
        <v>5</v>
      </c>
      <c r="B7" s="18" t="s">
        <v>44</v>
      </c>
      <c r="C7" s="19" t="s">
        <v>82</v>
      </c>
      <c r="D7" s="17" t="s">
        <v>62</v>
      </c>
      <c r="E7" s="17"/>
      <c r="F7" s="20" t="s">
        <v>21</v>
      </c>
      <c r="G7" s="14" t="s">
        <v>9</v>
      </c>
      <c r="H7" s="15"/>
      <c r="I7" s="15" t="s">
        <v>27</v>
      </c>
      <c r="K7" s="4">
        <f>IF(L7&lt;&gt;"",K6+1,"")</f>
        <v>2</v>
      </c>
      <c r="L7" s="3" t="s">
        <v>17</v>
      </c>
      <c r="M7" s="3" t="s">
        <v>1</v>
      </c>
      <c r="N7" s="3" t="s">
        <v>32</v>
      </c>
      <c r="O7" s="3">
        <v>200</v>
      </c>
      <c r="P7" s="3" t="s">
        <v>37</v>
      </c>
      <c r="Q7" s="3" t="s">
        <v>12</v>
      </c>
    </row>
    <row r="8" spans="1:17" x14ac:dyDescent="0.25">
      <c r="A8" s="17">
        <v>6</v>
      </c>
      <c r="B8" s="18" t="s">
        <v>45</v>
      </c>
      <c r="C8" s="19" t="s">
        <v>63</v>
      </c>
      <c r="D8" s="17"/>
      <c r="E8" s="17">
        <v>15</v>
      </c>
      <c r="F8" s="20" t="s">
        <v>21</v>
      </c>
      <c r="G8" s="14" t="s">
        <v>6</v>
      </c>
      <c r="H8" s="14"/>
      <c r="I8" s="15" t="s">
        <v>27</v>
      </c>
      <c r="K8" s="4">
        <f t="shared" ref="K8:K24" si="0">IF(L8&lt;&gt;"",K7+1,"")</f>
        <v>3</v>
      </c>
      <c r="L8" s="3" t="s">
        <v>17</v>
      </c>
      <c r="M8" s="3" t="s">
        <v>2</v>
      </c>
      <c r="N8" s="3" t="s">
        <v>32</v>
      </c>
      <c r="O8" s="3">
        <v>200</v>
      </c>
      <c r="P8" s="3" t="s">
        <v>37</v>
      </c>
      <c r="Q8" s="3" t="s">
        <v>12</v>
      </c>
    </row>
    <row r="9" spans="1:17" x14ac:dyDescent="0.25">
      <c r="A9" s="17">
        <v>7</v>
      </c>
      <c r="B9" s="18" t="s">
        <v>46</v>
      </c>
      <c r="C9" s="18" t="s">
        <v>83</v>
      </c>
      <c r="D9" s="17"/>
      <c r="E9" s="17">
        <v>1000</v>
      </c>
      <c r="F9" s="20" t="s">
        <v>21</v>
      </c>
      <c r="G9" s="14" t="s">
        <v>6</v>
      </c>
      <c r="H9" s="14"/>
      <c r="I9" s="15" t="s">
        <v>27</v>
      </c>
      <c r="K9" s="4">
        <f>IF(L9&lt;&gt;"",K8+1,"")</f>
        <v>4</v>
      </c>
      <c r="L9" s="3" t="s">
        <v>17</v>
      </c>
      <c r="M9" s="3" t="s">
        <v>1</v>
      </c>
      <c r="N9" s="3" t="s">
        <v>33</v>
      </c>
      <c r="O9" s="3">
        <v>200</v>
      </c>
      <c r="P9" s="3" t="s">
        <v>37</v>
      </c>
      <c r="Q9" s="3" t="s">
        <v>12</v>
      </c>
    </row>
    <row r="10" spans="1:17" x14ac:dyDescent="0.25">
      <c r="A10" s="17">
        <v>8</v>
      </c>
      <c r="B10" s="18" t="s">
        <v>47</v>
      </c>
      <c r="C10" s="18">
        <v>827777</v>
      </c>
      <c r="D10" s="17"/>
      <c r="E10" s="17">
        <v>50</v>
      </c>
      <c r="F10" s="20"/>
      <c r="G10" s="14" t="s">
        <v>6</v>
      </c>
      <c r="H10" s="14"/>
      <c r="I10" s="15" t="s">
        <v>27</v>
      </c>
      <c r="K10" s="4">
        <f t="shared" si="0"/>
        <v>5</v>
      </c>
      <c r="L10" s="3" t="s">
        <v>17</v>
      </c>
      <c r="M10" s="3" t="s">
        <v>2</v>
      </c>
      <c r="N10" s="3" t="s">
        <v>33</v>
      </c>
      <c r="O10" s="3">
        <v>200</v>
      </c>
      <c r="P10" s="3" t="s">
        <v>37</v>
      </c>
      <c r="Q10" s="3" t="s">
        <v>12</v>
      </c>
    </row>
    <row r="11" spans="1:17" x14ac:dyDescent="0.25">
      <c r="A11" s="17">
        <v>9</v>
      </c>
      <c r="B11" s="18" t="s">
        <v>48</v>
      </c>
      <c r="C11" s="18" t="s">
        <v>49</v>
      </c>
      <c r="D11" s="17" t="s">
        <v>50</v>
      </c>
      <c r="E11" s="17"/>
      <c r="F11" s="20" t="s">
        <v>21</v>
      </c>
      <c r="G11" s="14" t="s">
        <v>9</v>
      </c>
      <c r="H11" s="14"/>
      <c r="I11" s="15" t="s">
        <v>27</v>
      </c>
      <c r="K11" s="4">
        <f t="shared" si="0"/>
        <v>6</v>
      </c>
      <c r="L11" s="3" t="s">
        <v>4</v>
      </c>
      <c r="M11" s="3" t="s">
        <v>1</v>
      </c>
      <c r="N11" s="3" t="s">
        <v>32</v>
      </c>
      <c r="O11" s="3">
        <v>200</v>
      </c>
      <c r="P11" s="3" t="s">
        <v>37</v>
      </c>
      <c r="Q11" s="3" t="s">
        <v>12</v>
      </c>
    </row>
    <row r="12" spans="1:17" x14ac:dyDescent="0.25">
      <c r="A12" s="17">
        <v>10</v>
      </c>
      <c r="B12" s="18" t="s">
        <v>51</v>
      </c>
      <c r="C12" s="31">
        <v>52772180</v>
      </c>
      <c r="D12" s="17"/>
      <c r="E12" s="17">
        <v>20</v>
      </c>
      <c r="F12" s="20" t="s">
        <v>21</v>
      </c>
      <c r="G12" s="14" t="s">
        <v>8</v>
      </c>
      <c r="H12" s="14"/>
      <c r="I12" s="15" t="s">
        <v>27</v>
      </c>
      <c r="K12" s="4">
        <f t="shared" si="0"/>
        <v>7</v>
      </c>
      <c r="L12" s="3" t="s">
        <v>4</v>
      </c>
      <c r="M12" s="3" t="s">
        <v>2</v>
      </c>
      <c r="N12" s="3" t="s">
        <v>32</v>
      </c>
      <c r="O12" s="3">
        <v>200</v>
      </c>
      <c r="P12" s="3" t="s">
        <v>37</v>
      </c>
      <c r="Q12" s="3" t="s">
        <v>12</v>
      </c>
    </row>
    <row r="13" spans="1:17" x14ac:dyDescent="0.25">
      <c r="A13" s="17">
        <v>11</v>
      </c>
      <c r="B13" s="18" t="s">
        <v>52</v>
      </c>
      <c r="C13" s="18" t="s">
        <v>84</v>
      </c>
      <c r="D13" s="17"/>
      <c r="E13" s="17">
        <v>100</v>
      </c>
      <c r="F13" s="20"/>
      <c r="G13" s="14" t="s">
        <v>6</v>
      </c>
      <c r="H13" s="14"/>
      <c r="I13" s="15" t="s">
        <v>27</v>
      </c>
      <c r="K13" s="4">
        <f t="shared" si="0"/>
        <v>8</v>
      </c>
      <c r="L13" s="3" t="s">
        <v>4</v>
      </c>
      <c r="M13" s="3" t="s">
        <v>1</v>
      </c>
      <c r="N13" s="3" t="s">
        <v>33</v>
      </c>
      <c r="O13" s="3">
        <v>200</v>
      </c>
      <c r="P13" s="3" t="s">
        <v>37</v>
      </c>
      <c r="Q13" s="3" t="s">
        <v>12</v>
      </c>
    </row>
    <row r="14" spans="1:17" x14ac:dyDescent="0.25">
      <c r="A14" s="17">
        <v>12</v>
      </c>
      <c r="B14" s="18" t="s">
        <v>53</v>
      </c>
      <c r="C14" s="18" t="s">
        <v>85</v>
      </c>
      <c r="D14" s="17"/>
      <c r="E14" s="17">
        <v>100</v>
      </c>
      <c r="F14" s="20"/>
      <c r="G14" s="14" t="s">
        <v>6</v>
      </c>
      <c r="H14" s="14"/>
      <c r="I14" s="15" t="s">
        <v>27</v>
      </c>
      <c r="K14" s="4">
        <f t="shared" si="0"/>
        <v>9</v>
      </c>
      <c r="L14" s="3" t="s">
        <v>4</v>
      </c>
      <c r="M14" s="3" t="s">
        <v>2</v>
      </c>
      <c r="N14" s="3" t="s">
        <v>33</v>
      </c>
      <c r="O14" s="3">
        <v>200</v>
      </c>
      <c r="P14" s="3" t="s">
        <v>37</v>
      </c>
      <c r="Q14" s="3" t="s">
        <v>12</v>
      </c>
    </row>
    <row r="15" spans="1:17" x14ac:dyDescent="0.25">
      <c r="A15" s="17">
        <v>13</v>
      </c>
      <c r="B15" s="18" t="s">
        <v>54</v>
      </c>
      <c r="C15" s="31">
        <v>101</v>
      </c>
      <c r="D15" s="17"/>
      <c r="E15" s="17">
        <v>15</v>
      </c>
      <c r="F15" s="20"/>
      <c r="G15" s="14" t="s">
        <v>6</v>
      </c>
      <c r="H15" s="14"/>
      <c r="I15" s="15" t="s">
        <v>27</v>
      </c>
      <c r="K15" s="4">
        <f t="shared" si="0"/>
        <v>10</v>
      </c>
      <c r="L15" s="3" t="s">
        <v>18</v>
      </c>
      <c r="M15" s="3" t="s">
        <v>1</v>
      </c>
      <c r="N15" s="3" t="s">
        <v>32</v>
      </c>
      <c r="O15" s="3">
        <v>200</v>
      </c>
      <c r="P15" s="3" t="s">
        <v>37</v>
      </c>
      <c r="Q15" s="3" t="s">
        <v>12</v>
      </c>
    </row>
    <row r="16" spans="1:17" x14ac:dyDescent="0.25">
      <c r="A16" s="17">
        <v>14</v>
      </c>
      <c r="B16" s="18" t="s">
        <v>55</v>
      </c>
      <c r="C16" s="18" t="s">
        <v>56</v>
      </c>
      <c r="D16" s="17"/>
      <c r="E16" s="17">
        <v>5</v>
      </c>
      <c r="F16" s="20" t="s">
        <v>21</v>
      </c>
      <c r="G16" s="14" t="s">
        <v>6</v>
      </c>
      <c r="H16" s="14"/>
      <c r="I16" s="15" t="s">
        <v>27</v>
      </c>
      <c r="K16" s="4">
        <f t="shared" si="0"/>
        <v>11</v>
      </c>
      <c r="L16" s="3" t="s">
        <v>18</v>
      </c>
      <c r="M16" s="3" t="s">
        <v>2</v>
      </c>
      <c r="N16" s="3" t="s">
        <v>32</v>
      </c>
      <c r="O16" s="3">
        <v>200</v>
      </c>
      <c r="P16" s="3" t="s">
        <v>37</v>
      </c>
      <c r="Q16" s="3" t="s">
        <v>12</v>
      </c>
    </row>
    <row r="17" spans="1:17" x14ac:dyDescent="0.25">
      <c r="A17" s="17">
        <v>15</v>
      </c>
      <c r="B17" s="18" t="s">
        <v>57</v>
      </c>
      <c r="C17" s="18" t="s">
        <v>86</v>
      </c>
      <c r="D17" s="17"/>
      <c r="E17" s="17"/>
      <c r="F17" s="20"/>
      <c r="G17" s="14" t="s">
        <v>5</v>
      </c>
      <c r="H17" s="14"/>
      <c r="I17" s="15" t="s">
        <v>27</v>
      </c>
      <c r="K17" s="4">
        <f t="shared" si="0"/>
        <v>12</v>
      </c>
      <c r="L17" s="3" t="s">
        <v>18</v>
      </c>
      <c r="M17" s="3" t="s">
        <v>1</v>
      </c>
      <c r="N17" s="3" t="s">
        <v>33</v>
      </c>
      <c r="O17" s="3">
        <v>200</v>
      </c>
      <c r="P17" s="3" t="s">
        <v>37</v>
      </c>
      <c r="Q17" s="3" t="s">
        <v>12</v>
      </c>
    </row>
    <row r="18" spans="1:17" x14ac:dyDescent="0.25">
      <c r="A18" s="17">
        <v>16</v>
      </c>
      <c r="B18" s="18" t="s">
        <v>58</v>
      </c>
      <c r="C18" s="18" t="s">
        <v>49</v>
      </c>
      <c r="D18" s="17" t="s">
        <v>50</v>
      </c>
      <c r="E18" s="17"/>
      <c r="F18" s="20"/>
      <c r="G18" s="14" t="s">
        <v>9</v>
      </c>
      <c r="H18" s="15"/>
      <c r="I18" s="15" t="s">
        <v>27</v>
      </c>
      <c r="K18" s="4">
        <f t="shared" si="0"/>
        <v>13</v>
      </c>
      <c r="L18" s="3" t="s">
        <v>18</v>
      </c>
      <c r="M18" s="3" t="s">
        <v>2</v>
      </c>
      <c r="N18" s="3" t="s">
        <v>33</v>
      </c>
      <c r="O18" s="3">
        <v>200</v>
      </c>
      <c r="P18" s="3" t="s">
        <v>37</v>
      </c>
      <c r="Q18" s="3" t="s">
        <v>12</v>
      </c>
    </row>
    <row r="19" spans="1:17" x14ac:dyDescent="0.25">
      <c r="A19" s="17">
        <v>17</v>
      </c>
      <c r="B19" s="18" t="s">
        <v>59</v>
      </c>
      <c r="C19" s="31">
        <v>52772180</v>
      </c>
      <c r="D19" s="17"/>
      <c r="E19" s="17">
        <v>25</v>
      </c>
      <c r="F19" s="20"/>
      <c r="G19" s="14" t="s">
        <v>6</v>
      </c>
      <c r="H19" s="15"/>
      <c r="I19" s="15" t="s">
        <v>27</v>
      </c>
      <c r="K19" s="4">
        <f t="shared" si="0"/>
        <v>14</v>
      </c>
      <c r="L19" s="3" t="s">
        <v>23</v>
      </c>
      <c r="M19" s="3" t="s">
        <v>1</v>
      </c>
      <c r="N19" s="3" t="s">
        <v>32</v>
      </c>
      <c r="O19" s="3">
        <v>200</v>
      </c>
      <c r="P19" s="3" t="s">
        <v>37</v>
      </c>
      <c r="Q19" s="3" t="s">
        <v>12</v>
      </c>
    </row>
    <row r="20" spans="1:17" x14ac:dyDescent="0.25">
      <c r="A20" s="17">
        <v>18</v>
      </c>
      <c r="B20" s="18" t="s">
        <v>60</v>
      </c>
      <c r="C20" s="18" t="s">
        <v>64</v>
      </c>
      <c r="D20" s="17"/>
      <c r="E20" s="17">
        <v>100</v>
      </c>
      <c r="F20" s="20"/>
      <c r="G20" s="14" t="s">
        <v>6</v>
      </c>
      <c r="H20" s="15"/>
      <c r="I20" s="15" t="s">
        <v>27</v>
      </c>
      <c r="K20" s="4">
        <f t="shared" si="0"/>
        <v>15</v>
      </c>
      <c r="L20" s="3" t="s">
        <v>23</v>
      </c>
      <c r="M20" s="3" t="s">
        <v>2</v>
      </c>
      <c r="N20" s="3" t="s">
        <v>32</v>
      </c>
      <c r="O20" s="3">
        <v>200</v>
      </c>
      <c r="P20" s="3" t="s">
        <v>37</v>
      </c>
      <c r="Q20" s="3" t="s">
        <v>12</v>
      </c>
    </row>
    <row r="21" spans="1:17" x14ac:dyDescent="0.25">
      <c r="A21" s="17">
        <v>19</v>
      </c>
      <c r="B21" s="18" t="s">
        <v>69</v>
      </c>
      <c r="C21" s="18" t="s">
        <v>87</v>
      </c>
      <c r="D21" s="17"/>
      <c r="E21" s="17">
        <v>100</v>
      </c>
      <c r="F21" s="20"/>
      <c r="G21" s="14" t="s">
        <v>6</v>
      </c>
      <c r="H21" s="15"/>
      <c r="I21" s="15" t="s">
        <v>30</v>
      </c>
      <c r="K21" s="4">
        <f t="shared" si="0"/>
        <v>16</v>
      </c>
      <c r="L21" s="3" t="s">
        <v>23</v>
      </c>
      <c r="M21" s="3" t="s">
        <v>1</v>
      </c>
      <c r="N21" s="3" t="s">
        <v>33</v>
      </c>
      <c r="O21" s="3">
        <v>200</v>
      </c>
      <c r="P21" s="3" t="s">
        <v>37</v>
      </c>
      <c r="Q21" s="3" t="s">
        <v>12</v>
      </c>
    </row>
    <row r="22" spans="1:17" x14ac:dyDescent="0.25">
      <c r="A22" s="17">
        <v>20</v>
      </c>
      <c r="B22" s="14" t="s">
        <v>70</v>
      </c>
      <c r="C22" s="14" t="s">
        <v>79</v>
      </c>
      <c r="D22" s="29"/>
      <c r="E22" s="29">
        <v>100</v>
      </c>
      <c r="F22" s="30"/>
      <c r="G22" s="14" t="s">
        <v>6</v>
      </c>
      <c r="H22" s="15"/>
      <c r="I22" s="15" t="s">
        <v>30</v>
      </c>
      <c r="K22" s="4">
        <f t="shared" si="0"/>
        <v>17</v>
      </c>
      <c r="L22" s="3" t="s">
        <v>23</v>
      </c>
      <c r="M22" s="3" t="s">
        <v>2</v>
      </c>
      <c r="N22" s="3" t="s">
        <v>33</v>
      </c>
      <c r="O22" s="3">
        <v>200</v>
      </c>
      <c r="P22" s="3" t="s">
        <v>37</v>
      </c>
      <c r="Q22" s="3" t="s">
        <v>12</v>
      </c>
    </row>
    <row r="23" spans="1:17" x14ac:dyDescent="0.25">
      <c r="A23" s="17">
        <v>21</v>
      </c>
      <c r="B23" s="14" t="s">
        <v>71</v>
      </c>
      <c r="C23" s="14" t="s">
        <v>88</v>
      </c>
      <c r="D23" s="29"/>
      <c r="E23" s="29">
        <v>20</v>
      </c>
      <c r="F23" s="30"/>
      <c r="G23" s="14" t="s">
        <v>6</v>
      </c>
      <c r="H23" s="15"/>
      <c r="I23" s="15" t="s">
        <v>30</v>
      </c>
      <c r="K23" s="4">
        <f t="shared" si="0"/>
        <v>18</v>
      </c>
      <c r="L23" s="3" t="s">
        <v>10</v>
      </c>
      <c r="M23" s="3" t="s">
        <v>1</v>
      </c>
      <c r="N23" s="3" t="s">
        <v>33</v>
      </c>
      <c r="O23" s="3">
        <v>200</v>
      </c>
      <c r="P23" s="3" t="s">
        <v>37</v>
      </c>
      <c r="Q23" s="3" t="s">
        <v>12</v>
      </c>
    </row>
    <row r="24" spans="1:17" x14ac:dyDescent="0.25">
      <c r="A24" s="17">
        <v>22</v>
      </c>
      <c r="B24" s="14" t="s">
        <v>72</v>
      </c>
      <c r="C24" s="14" t="s">
        <v>89</v>
      </c>
      <c r="D24" s="29" t="s">
        <v>78</v>
      </c>
      <c r="E24" s="29">
        <v>20</v>
      </c>
      <c r="F24" s="30"/>
      <c r="G24" s="14" t="s">
        <v>6</v>
      </c>
      <c r="H24" s="15"/>
      <c r="I24" s="15" t="s">
        <v>30</v>
      </c>
      <c r="K24" s="4">
        <f t="shared" si="0"/>
        <v>19</v>
      </c>
      <c r="L24" s="3" t="s">
        <v>10</v>
      </c>
      <c r="M24" s="3" t="s">
        <v>2</v>
      </c>
      <c r="N24" s="3" t="s">
        <v>33</v>
      </c>
      <c r="O24" s="3">
        <v>200</v>
      </c>
      <c r="P24" s="3" t="s">
        <v>37</v>
      </c>
      <c r="Q24" s="3" t="s">
        <v>12</v>
      </c>
    </row>
    <row r="25" spans="1:17" x14ac:dyDescent="0.25">
      <c r="A25" s="17">
        <v>23</v>
      </c>
      <c r="B25" s="14" t="s">
        <v>73</v>
      </c>
      <c r="C25" s="14">
        <v>8900191026</v>
      </c>
      <c r="D25" s="29"/>
      <c r="E25" s="29">
        <v>20</v>
      </c>
      <c r="F25" s="30"/>
      <c r="G25" s="14" t="s">
        <v>6</v>
      </c>
      <c r="H25" s="15"/>
      <c r="I25" s="15" t="s">
        <v>30</v>
      </c>
    </row>
    <row r="26" spans="1:17" x14ac:dyDescent="0.25">
      <c r="A26" s="17">
        <v>24</v>
      </c>
      <c r="B26" s="14" t="s">
        <v>74</v>
      </c>
      <c r="C26" s="14" t="s">
        <v>90</v>
      </c>
      <c r="D26" s="29"/>
      <c r="E26" s="29">
        <v>25</v>
      </c>
      <c r="F26" s="30"/>
      <c r="G26" s="14" t="s">
        <v>6</v>
      </c>
      <c r="H26" s="15"/>
      <c r="I26" s="15" t="s">
        <v>30</v>
      </c>
    </row>
    <row r="27" spans="1:17" x14ac:dyDescent="0.25">
      <c r="A27" s="17">
        <v>25</v>
      </c>
      <c r="B27" s="14" t="s">
        <v>75</v>
      </c>
      <c r="C27" s="14">
        <v>225</v>
      </c>
      <c r="D27" s="29"/>
      <c r="E27" s="29">
        <v>50</v>
      </c>
      <c r="F27" s="30"/>
      <c r="G27" s="14" t="s">
        <v>6</v>
      </c>
      <c r="H27" s="15"/>
      <c r="I27" s="15" t="s">
        <v>30</v>
      </c>
    </row>
    <row r="28" spans="1:17" x14ac:dyDescent="0.25">
      <c r="A28" s="17">
        <v>26</v>
      </c>
      <c r="B28" s="14" t="s">
        <v>76</v>
      </c>
      <c r="C28" s="14" t="s">
        <v>91</v>
      </c>
      <c r="D28" s="29"/>
      <c r="E28" s="29">
        <v>50</v>
      </c>
      <c r="F28" s="30"/>
      <c r="G28" s="14" t="s">
        <v>6</v>
      </c>
      <c r="H28" s="15"/>
      <c r="I28" s="15" t="s">
        <v>30</v>
      </c>
    </row>
    <row r="29" spans="1:17" x14ac:dyDescent="0.25">
      <c r="A29" s="17">
        <v>27</v>
      </c>
      <c r="B29" s="14" t="s">
        <v>66</v>
      </c>
      <c r="C29" s="14" t="s">
        <v>92</v>
      </c>
      <c r="D29" s="29"/>
      <c r="E29" s="29">
        <v>100</v>
      </c>
      <c r="F29" s="30"/>
      <c r="G29" s="14" t="s">
        <v>6</v>
      </c>
      <c r="H29" s="15"/>
      <c r="I29" s="15" t="s">
        <v>30</v>
      </c>
    </row>
    <row r="30" spans="1:17" x14ac:dyDescent="0.25">
      <c r="A30" s="17">
        <v>28</v>
      </c>
      <c r="B30" s="14" t="s">
        <v>77</v>
      </c>
      <c r="C30" s="14" t="s">
        <v>93</v>
      </c>
      <c r="D30" s="29"/>
      <c r="E30" s="29">
        <v>100</v>
      </c>
      <c r="F30" s="30"/>
      <c r="G30" s="14" t="s">
        <v>6</v>
      </c>
      <c r="H30" s="15"/>
      <c r="I30" s="15" t="s">
        <v>30</v>
      </c>
    </row>
    <row r="31" spans="1:17" x14ac:dyDescent="0.25">
      <c r="A31" s="17">
        <v>29</v>
      </c>
      <c r="B31" s="14" t="s">
        <v>65</v>
      </c>
      <c r="C31" s="14">
        <v>43</v>
      </c>
      <c r="D31" s="29"/>
      <c r="E31" s="29">
        <v>25</v>
      </c>
      <c r="F31" s="30"/>
      <c r="G31" s="14" t="s">
        <v>6</v>
      </c>
      <c r="H31" s="15"/>
      <c r="I31" s="15" t="s">
        <v>30</v>
      </c>
    </row>
    <row r="32" spans="1:17" x14ac:dyDescent="0.25">
      <c r="A32" s="17">
        <v>30</v>
      </c>
      <c r="B32" s="14" t="s">
        <v>67</v>
      </c>
      <c r="C32" s="14">
        <v>3480127326</v>
      </c>
      <c r="D32" s="29"/>
      <c r="E32" s="29">
        <v>32</v>
      </c>
      <c r="F32" s="30"/>
      <c r="G32" s="14" t="s">
        <v>6</v>
      </c>
      <c r="H32" s="15"/>
      <c r="I32" s="15" t="s">
        <v>30</v>
      </c>
    </row>
    <row r="33" spans="1:9" x14ac:dyDescent="0.25">
      <c r="A33" s="17">
        <v>31</v>
      </c>
      <c r="B33" s="14" t="s">
        <v>68</v>
      </c>
      <c r="C33" s="14">
        <v>1</v>
      </c>
      <c r="D33" s="29">
        <v>1.2</v>
      </c>
      <c r="E33" s="29">
        <v>1</v>
      </c>
      <c r="F33" s="30"/>
      <c r="G33" s="14" t="s">
        <v>6</v>
      </c>
      <c r="H33" s="15"/>
      <c r="I33" s="15" t="s">
        <v>30</v>
      </c>
    </row>
    <row r="34" spans="1:9" x14ac:dyDescent="0.25">
      <c r="A34" s="17"/>
      <c r="B34" s="21"/>
      <c r="C34" s="22"/>
      <c r="D34" s="17"/>
      <c r="E34" s="17"/>
      <c r="F34" s="20"/>
      <c r="G34" s="14"/>
      <c r="H34" s="15"/>
      <c r="I34" s="15"/>
    </row>
    <row r="35" spans="1:9" x14ac:dyDescent="0.25">
      <c r="A35" s="17"/>
      <c r="B35" s="23"/>
      <c r="C35" s="22"/>
      <c r="D35" s="17"/>
      <c r="E35" s="17"/>
      <c r="F35" s="20"/>
      <c r="G35" s="14"/>
      <c r="H35" s="15"/>
      <c r="I35" s="15"/>
    </row>
    <row r="36" spans="1:9" x14ac:dyDescent="0.25">
      <c r="A36" s="17"/>
      <c r="B36" s="24"/>
      <c r="C36" s="24"/>
      <c r="D36" s="17"/>
      <c r="E36" s="20"/>
      <c r="F36" s="25"/>
      <c r="G36" s="14"/>
      <c r="H36" s="15"/>
      <c r="I36" s="15"/>
    </row>
    <row r="37" spans="1:9" x14ac:dyDescent="0.25">
      <c r="A37" s="17"/>
      <c r="B37" s="24"/>
      <c r="C37" s="24"/>
      <c r="D37" s="17"/>
      <c r="E37" s="20"/>
      <c r="F37" s="25"/>
      <c r="G37" s="14"/>
      <c r="H37" s="15"/>
      <c r="I37" s="15"/>
    </row>
    <row r="38" spans="1:9" x14ac:dyDescent="0.25">
      <c r="A38" s="17"/>
      <c r="B38" s="24"/>
      <c r="C38" s="24"/>
      <c r="D38" s="17"/>
      <c r="E38" s="20"/>
      <c r="F38" s="25"/>
      <c r="G38" s="14"/>
      <c r="H38" s="15"/>
      <c r="I38" s="15"/>
    </row>
    <row r="39" spans="1:9" x14ac:dyDescent="0.25">
      <c r="A39" s="17"/>
      <c r="B39" s="24"/>
      <c r="C39" s="24"/>
      <c r="D39" s="17"/>
      <c r="E39" s="20"/>
      <c r="F39" s="25"/>
      <c r="G39" s="14"/>
      <c r="H39" s="15"/>
      <c r="I39" s="15"/>
    </row>
    <row r="40" spans="1:9" x14ac:dyDescent="0.25">
      <c r="A40" s="17"/>
      <c r="B40" s="24"/>
      <c r="C40" s="24"/>
      <c r="D40" s="25"/>
      <c r="E40" s="25"/>
      <c r="F40" s="25"/>
      <c r="G40" s="14"/>
      <c r="H40" s="15"/>
      <c r="I40" s="15"/>
    </row>
    <row r="41" spans="1:9" x14ac:dyDescent="0.25">
      <c r="A41" s="17"/>
      <c r="B41" s="26"/>
      <c r="C41" s="24"/>
      <c r="D41" s="25"/>
      <c r="E41" s="25"/>
      <c r="F41" s="25"/>
      <c r="G41" s="14"/>
      <c r="H41" s="15"/>
      <c r="I41" s="15"/>
    </row>
    <row r="42" spans="1:9" x14ac:dyDescent="0.25">
      <c r="A42" s="17"/>
      <c r="B42" s="26"/>
      <c r="C42" s="24"/>
      <c r="D42" s="25"/>
      <c r="E42" s="25"/>
      <c r="F42" s="25"/>
      <c r="G42" s="14"/>
      <c r="H42" s="15"/>
      <c r="I42" s="15"/>
    </row>
    <row r="43" spans="1:9" x14ac:dyDescent="0.25">
      <c r="A43" s="17"/>
      <c r="B43" s="24"/>
      <c r="C43" s="24"/>
      <c r="D43" s="25"/>
      <c r="E43" s="25"/>
      <c r="F43" s="25"/>
      <c r="G43" s="14"/>
      <c r="H43" s="15"/>
      <c r="I43" s="15"/>
    </row>
    <row r="44" spans="1:9" x14ac:dyDescent="0.25">
      <c r="A44" s="17"/>
      <c r="B44" s="24"/>
      <c r="C44" s="24"/>
      <c r="D44" s="25"/>
      <c r="E44" s="25"/>
      <c r="F44" s="25"/>
      <c r="G44" s="14"/>
      <c r="H44" s="15"/>
      <c r="I44" s="15"/>
    </row>
    <row r="45" spans="1:9" x14ac:dyDescent="0.25">
      <c r="A45" s="17"/>
      <c r="B45" s="24"/>
      <c r="C45" s="24"/>
      <c r="D45" s="25"/>
      <c r="E45" s="25"/>
      <c r="F45" s="25"/>
      <c r="G45" s="14"/>
      <c r="H45" s="15"/>
      <c r="I45" s="15"/>
    </row>
    <row r="46" spans="1:9" x14ac:dyDescent="0.25">
      <c r="A46" s="17"/>
      <c r="B46" s="24"/>
      <c r="C46" s="24"/>
      <c r="D46" s="25"/>
      <c r="E46" s="25"/>
      <c r="F46" s="25"/>
      <c r="G46" s="14"/>
      <c r="H46" s="15"/>
      <c r="I46" s="15"/>
    </row>
    <row r="47" spans="1:9" x14ac:dyDescent="0.25">
      <c r="A47" s="17"/>
      <c r="B47" s="24"/>
      <c r="C47" s="24"/>
      <c r="D47" s="25"/>
      <c r="E47" s="25"/>
      <c r="F47" s="25"/>
      <c r="G47" s="14"/>
      <c r="H47" s="15"/>
      <c r="I47" s="15"/>
    </row>
    <row r="48" spans="1:9" x14ac:dyDescent="0.25">
      <c r="A48" s="17"/>
      <c r="B48" s="24"/>
      <c r="C48" s="24"/>
      <c r="D48" s="25"/>
      <c r="E48" s="25"/>
      <c r="F48" s="25"/>
      <c r="G48" s="14"/>
      <c r="H48" s="15"/>
      <c r="I48" s="15"/>
    </row>
    <row r="49" spans="1:9" x14ac:dyDescent="0.25">
      <c r="A49" s="17"/>
      <c r="B49" s="24"/>
      <c r="C49" s="24"/>
      <c r="D49" s="25"/>
      <c r="E49" s="25"/>
      <c r="F49" s="25"/>
      <c r="G49" s="14"/>
      <c r="H49" s="15"/>
      <c r="I49" s="15"/>
    </row>
    <row r="50" spans="1:9" x14ac:dyDescent="0.25">
      <c r="A50" s="17"/>
      <c r="B50" s="24"/>
      <c r="C50" s="24"/>
      <c r="D50" s="25"/>
      <c r="E50" s="25"/>
      <c r="F50" s="25"/>
      <c r="G50" s="14"/>
      <c r="H50" s="15"/>
      <c r="I50" s="15"/>
    </row>
    <row r="51" spans="1:9" x14ac:dyDescent="0.25">
      <c r="A51" s="17"/>
      <c r="B51" s="24"/>
      <c r="C51" s="24"/>
      <c r="D51" s="25"/>
      <c r="E51" s="25"/>
      <c r="F51" s="25"/>
      <c r="G51" s="14"/>
      <c r="H51" s="15"/>
      <c r="I51" s="15"/>
    </row>
    <row r="52" spans="1:9" x14ac:dyDescent="0.25">
      <c r="A52" s="17"/>
      <c r="B52" s="24"/>
      <c r="C52" s="24"/>
      <c r="D52" s="17"/>
      <c r="E52" s="20"/>
      <c r="F52" s="25"/>
      <c r="G52" s="14"/>
      <c r="H52" s="15"/>
      <c r="I52" s="15"/>
    </row>
    <row r="53" spans="1:9" x14ac:dyDescent="0.25">
      <c r="A53" s="17"/>
      <c r="B53" s="24"/>
      <c r="C53" s="24"/>
      <c r="D53" s="17"/>
      <c r="E53" s="20"/>
      <c r="F53" s="25"/>
      <c r="G53" s="14"/>
      <c r="H53" s="15"/>
      <c r="I53" s="15"/>
    </row>
    <row r="54" spans="1:9" x14ac:dyDescent="0.25">
      <c r="A54" s="17"/>
      <c r="B54" s="24"/>
      <c r="C54" s="24"/>
      <c r="D54" s="25"/>
      <c r="E54" s="20"/>
      <c r="F54" s="25"/>
      <c r="G54" s="14"/>
      <c r="H54" s="15"/>
      <c r="I54" s="15"/>
    </row>
    <row r="55" spans="1:9" x14ac:dyDescent="0.25">
      <c r="A55" s="17"/>
      <c r="B55" s="24"/>
      <c r="C55" s="24"/>
      <c r="D55" s="25"/>
      <c r="E55" s="25"/>
      <c r="F55" s="25"/>
      <c r="G55" s="14"/>
      <c r="H55" s="15"/>
      <c r="I55" s="15"/>
    </row>
    <row r="56" spans="1:9" x14ac:dyDescent="0.25">
      <c r="A56" s="17"/>
      <c r="B56" s="26"/>
      <c r="C56" s="24"/>
      <c r="D56" s="25"/>
      <c r="E56" s="25"/>
      <c r="F56" s="25"/>
      <c r="G56" s="14"/>
      <c r="H56" s="15"/>
      <c r="I56" s="15"/>
    </row>
    <row r="57" spans="1:9" x14ac:dyDescent="0.25">
      <c r="A57" s="17"/>
      <c r="B57" s="26"/>
      <c r="C57" s="24"/>
      <c r="D57" s="25"/>
      <c r="E57" s="25"/>
      <c r="F57" s="25"/>
      <c r="G57" s="14"/>
      <c r="H57" s="15"/>
      <c r="I57" s="15"/>
    </row>
    <row r="58" spans="1:9" x14ac:dyDescent="0.25">
      <c r="A58" s="17"/>
      <c r="B58" s="24"/>
      <c r="C58" s="24"/>
      <c r="D58" s="25"/>
      <c r="E58" s="25"/>
      <c r="F58" s="25"/>
      <c r="G58" s="14"/>
      <c r="H58" s="15"/>
      <c r="I58" s="15"/>
    </row>
    <row r="59" spans="1:9" x14ac:dyDescent="0.25">
      <c r="A59" s="17"/>
      <c r="B59" s="24"/>
      <c r="C59" s="24"/>
      <c r="D59" s="25"/>
      <c r="E59" s="25"/>
      <c r="F59" s="25"/>
      <c r="G59" s="14"/>
      <c r="H59" s="15"/>
      <c r="I59" s="15"/>
    </row>
    <row r="60" spans="1:9" x14ac:dyDescent="0.25">
      <c r="A60" s="17"/>
      <c r="B60" s="24"/>
      <c r="C60" s="24"/>
      <c r="D60" s="25"/>
      <c r="E60" s="25"/>
      <c r="F60" s="25"/>
      <c r="G60" s="14"/>
      <c r="H60" s="15"/>
      <c r="I60" s="15"/>
    </row>
    <row r="61" spans="1:9" x14ac:dyDescent="0.25">
      <c r="A61" s="17"/>
      <c r="B61" s="24"/>
      <c r="C61" s="24"/>
      <c r="D61" s="25"/>
      <c r="E61" s="25"/>
      <c r="F61" s="25"/>
      <c r="G61" s="14"/>
      <c r="H61" s="15"/>
      <c r="I61" s="15"/>
    </row>
    <row r="62" spans="1:9" x14ac:dyDescent="0.25">
      <c r="A62" s="17"/>
      <c r="B62" s="24"/>
      <c r="C62" s="24"/>
      <c r="D62" s="25"/>
      <c r="E62" s="25"/>
      <c r="F62" s="25"/>
      <c r="G62" s="14"/>
      <c r="H62" s="15"/>
      <c r="I62" s="15"/>
    </row>
    <row r="63" spans="1:9" x14ac:dyDescent="0.25">
      <c r="A63" s="17"/>
      <c r="B63" s="24"/>
      <c r="C63" s="24"/>
      <c r="D63" s="25"/>
      <c r="E63" s="25"/>
      <c r="F63" s="25"/>
      <c r="G63" s="14"/>
      <c r="H63" s="15"/>
      <c r="I63" s="15"/>
    </row>
    <row r="64" spans="1:9" x14ac:dyDescent="0.25">
      <c r="A64" s="17"/>
      <c r="B64" s="24"/>
      <c r="C64" s="24"/>
      <c r="D64" s="25"/>
      <c r="E64" s="25"/>
      <c r="F64" s="25"/>
      <c r="G64" s="14"/>
      <c r="H64" s="15"/>
      <c r="I64" s="15"/>
    </row>
    <row r="65" spans="1:9" x14ac:dyDescent="0.25">
      <c r="A65" s="17"/>
      <c r="B65" s="24"/>
      <c r="C65" s="24"/>
      <c r="D65" s="25"/>
      <c r="E65" s="25"/>
      <c r="F65" s="25"/>
      <c r="G65" s="14"/>
      <c r="H65" s="15"/>
      <c r="I65" s="15"/>
    </row>
    <row r="66" spans="1:9" x14ac:dyDescent="0.25">
      <c r="A66" s="17"/>
      <c r="B66" s="24"/>
      <c r="C66" s="24"/>
      <c r="D66" s="25"/>
      <c r="E66" s="25"/>
      <c r="F66" s="25"/>
      <c r="G66" s="14"/>
      <c r="H66" s="15"/>
      <c r="I66" s="15"/>
    </row>
    <row r="67" spans="1:9" x14ac:dyDescent="0.25">
      <c r="A67" s="17"/>
      <c r="B67" s="24"/>
      <c r="C67" s="27"/>
      <c r="D67" s="25"/>
      <c r="E67" s="25"/>
      <c r="F67" s="25"/>
      <c r="G67" s="14"/>
      <c r="H67" s="15"/>
      <c r="I67" s="15"/>
    </row>
    <row r="68" spans="1:9" x14ac:dyDescent="0.25">
      <c r="A68" s="17"/>
      <c r="B68" s="24"/>
      <c r="C68" s="24"/>
      <c r="D68" s="25"/>
      <c r="E68" s="25"/>
      <c r="F68" s="25"/>
      <c r="G68" s="14"/>
      <c r="H68" s="15"/>
      <c r="I68" s="15"/>
    </row>
    <row r="69" spans="1:9" x14ac:dyDescent="0.25">
      <c r="A69" s="17"/>
      <c r="B69" s="24"/>
      <c r="C69" s="24"/>
      <c r="D69" s="25"/>
      <c r="E69" s="25"/>
      <c r="F69" s="25"/>
      <c r="G69" s="14"/>
      <c r="H69" s="15"/>
      <c r="I69" s="15"/>
    </row>
    <row r="70" spans="1:9" x14ac:dyDescent="0.25">
      <c r="A70" s="17"/>
      <c r="B70" s="24"/>
      <c r="C70" s="24"/>
      <c r="D70" s="25"/>
      <c r="E70" s="25"/>
      <c r="F70" s="25"/>
      <c r="G70" s="14"/>
      <c r="H70" s="15"/>
      <c r="I70" s="15"/>
    </row>
    <row r="71" spans="1:9" x14ac:dyDescent="0.25">
      <c r="A71" s="17"/>
      <c r="B71" s="24"/>
      <c r="C71" s="24"/>
      <c r="D71" s="25"/>
      <c r="E71" s="25"/>
      <c r="F71" s="25"/>
      <c r="G71" s="14"/>
      <c r="H71" s="15"/>
      <c r="I71" s="15"/>
    </row>
    <row r="72" spans="1:9" x14ac:dyDescent="0.25">
      <c r="A72" s="17"/>
      <c r="B72" s="24"/>
      <c r="C72" s="24"/>
      <c r="D72" s="25"/>
      <c r="E72" s="25"/>
      <c r="F72" s="25"/>
      <c r="G72" s="14"/>
      <c r="H72" s="15"/>
      <c r="I72" s="15"/>
    </row>
    <row r="73" spans="1:9" x14ac:dyDescent="0.25">
      <c r="A73" s="17"/>
      <c r="B73" s="24"/>
      <c r="C73" s="24"/>
      <c r="D73" s="25"/>
      <c r="E73" s="25"/>
      <c r="F73" s="25"/>
      <c r="G73" s="14"/>
      <c r="H73" s="15"/>
      <c r="I73" s="15"/>
    </row>
    <row r="74" spans="1:9" x14ac:dyDescent="0.25">
      <c r="A74" s="9"/>
    </row>
    <row r="75" spans="1:9" x14ac:dyDescent="0.25">
      <c r="A75" s="9"/>
    </row>
    <row r="76" spans="1:9" x14ac:dyDescent="0.25">
      <c r="A76" s="9"/>
    </row>
    <row r="77" spans="1:9" x14ac:dyDescent="0.25">
      <c r="A77" s="9"/>
    </row>
    <row r="78" spans="1:9" x14ac:dyDescent="0.25">
      <c r="A78" s="9"/>
    </row>
    <row r="79" spans="1:9" x14ac:dyDescent="0.25">
      <c r="A79" s="9"/>
    </row>
    <row r="80" spans="1:9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</sheetData>
  <dataConsolidate function="var">
    <dataRefs count="1">
      <dataRef ref="D3:D7" sheet="Variables"/>
    </dataRefs>
  </dataConsolid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rData">
                <anchor moveWithCells="1" sizeWithCells="1">
                  <from>
                    <xdr:col>13</xdr:col>
                    <xdr:colOff>800100</xdr:colOff>
                    <xdr:row>0</xdr:row>
                    <xdr:rowOff>76200</xdr:rowOff>
                  </from>
                  <to>
                    <xdr:col>16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3AA3E6C-D7B3-4E46-B7A0-EC32DC144D0E}">
          <x14:formula1>
            <xm:f>Variables!$C$2:$C$3</xm:f>
          </x14:formula1>
          <xm:sqref>Q6:Q24</xm:sqref>
        </x14:dataValidation>
        <x14:dataValidation type="list" allowBlank="1" showInputMessage="1" showErrorMessage="1" xr:uid="{E642EBE0-68B6-4994-8829-562B63FC7057}">
          <x14:formula1>
            <xm:f>Variables!$B$2:$B$7</xm:f>
          </x14:formula1>
          <xm:sqref>G3:G33</xm:sqref>
        </x14:dataValidation>
        <x14:dataValidation type="list" allowBlank="1" showInputMessage="1" showErrorMessage="1" xr:uid="{345248CF-B09D-4E86-B27C-2B6376E09CF4}">
          <x14:formula1>
            <xm:f>Variables!$D$2:$D$5</xm:f>
          </x14:formula1>
          <xm:sqref>I3:I33</xm:sqref>
        </x14:dataValidation>
        <x14:dataValidation type="list" allowBlank="1" showInputMessage="1" showErrorMessage="1" xr:uid="{8FEE7231-944F-4FA0-A774-4C7A05A0527C}">
          <x14:formula1>
            <xm:f>Variables!$A$2:$A$3</xm:f>
          </x14:formula1>
          <xm:sqref>M7:M24</xm:sqref>
        </x14:dataValidation>
        <x14:dataValidation type="list" allowBlank="1" showInputMessage="1" showErrorMessage="1" xr:uid="{CC40A966-8AB4-4024-8770-B5227B4E978E}">
          <x14:formula1>
            <xm:f>Variables!$E$2:$E$3</xm:f>
          </x14:formula1>
          <xm:sqref>N7:N22</xm:sqref>
        </x14:dataValidation>
        <x14:dataValidation type="list" allowBlank="1" showInputMessage="1" showErrorMessage="1" xr:uid="{772262DE-DB4E-46B9-86C4-2052D369FAD2}">
          <x14:formula1>
            <xm:f>Variables!$F$2:$F$7</xm:f>
          </x14:formula1>
          <xm:sqref>L7:L24</xm:sqref>
        </x14:dataValidation>
        <x14:dataValidation type="custom" allowBlank="1" showInputMessage="1" showErrorMessage="1" xr:uid="{A987BF1F-F5E0-4730-9918-6F0E2D6E45B9}">
          <x14:formula1>
            <xm:f>Variables!F2</xm:f>
          </x14:formula1>
          <xm:sqref>L6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1359-39C8-4350-8C4F-F655F454D46E}">
  <sheetPr codeName="Hoja3">
    <tabColor rgb="FF92D050"/>
  </sheetPr>
  <dimension ref="A1"/>
  <sheetViews>
    <sheetView topLeftCell="W1" zoomScale="60" zoomScaleNormal="60" workbookViewId="0">
      <pane ySplit="1" topLeftCell="A2" activePane="bottomLeft" state="frozen"/>
      <selection pane="bottomLeft" activeCell="AB125" sqref="A1:AH218"/>
    </sheetView>
  </sheetViews>
  <sheetFormatPr baseColWidth="10" defaultRowHeight="15" x14ac:dyDescent="0.25"/>
  <cols>
    <col min="1" max="1" width="36.5703125" bestFit="1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Manual</vt:lpstr>
      <vt:lpstr>Variables</vt:lpstr>
      <vt:lpstr>Condiciones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Sarria</dc:creator>
  <cp:lastModifiedBy>GreenSQA</cp:lastModifiedBy>
  <dcterms:created xsi:type="dcterms:W3CDTF">2018-12-09T21:56:03Z</dcterms:created>
  <dcterms:modified xsi:type="dcterms:W3CDTF">2019-02-01T15:49:00Z</dcterms:modified>
</cp:coreProperties>
</file>