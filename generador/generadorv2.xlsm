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arria\Downloads\"/>
    </mc:Choice>
  </mc:AlternateContent>
  <xr:revisionPtr revIDLastSave="0" documentId="13_ncr:1_{46D540E7-DA5D-41DA-AB3A-6C8916D209CB}" xr6:coauthVersionLast="44" xr6:coauthVersionMax="44" xr10:uidLastSave="{00000000-0000-0000-0000-000000000000}"/>
  <bookViews>
    <workbookView xWindow="-120" yWindow="480" windowWidth="20730" windowHeight="11160" firstSheet="3" activeTab="5" xr2:uid="{11126249-B278-48C6-852D-0F9C788B4155}"/>
  </bookViews>
  <sheets>
    <sheet name="Manual" sheetId="4" r:id="rId1"/>
    <sheet name="Variables" sheetId="2" state="hidden" r:id="rId2"/>
    <sheet name="Condiciones" sheetId="1" r:id="rId3"/>
    <sheet name="Data" sheetId="3" r:id="rId4"/>
    <sheet name="EXAMPLE" sheetId="8" r:id="rId5"/>
    <sheet name="supplementary_offering_offering" sheetId="17" r:id="rId6"/>
    <sheet name="supplementary_offering_legacyid" sheetId="11" r:id="rId7"/>
    <sheet name="PospaidSupplementOffering" sheetId="7" r:id="rId8"/>
  </sheets>
  <functionGroups builtInGroupCount="19"/>
  <externalReferences>
    <externalReference r:id="rId9"/>
  </externalReferences>
  <definedNames>
    <definedName name="_xlnm._FilterDatabase" localSheetId="7" hidden="1">PospaidSupplementOffering!$A$1:$AC$1888</definedName>
    <definedName name="DatosExternos_1" localSheetId="4" hidden="1">EXAMPLE!$A$1:$E$1333</definedName>
    <definedName name="DatosExternos_2" localSheetId="6" hidden="1">supplementary_offering_legacyid!$A$1:$G$1333</definedName>
    <definedName name="DatosExternos_3" localSheetId="5" hidden="1">supplementary_offering_offering!$A$1:$I$1335</definedName>
    <definedName name="toppricelist">[1]top!$A$1:$A$300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11" l="1"/>
  <c r="B74" i="11"/>
  <c r="B138" i="11"/>
  <c r="B202" i="11"/>
  <c r="B266" i="11"/>
  <c r="B330" i="11"/>
  <c r="B394" i="11"/>
  <c r="B458" i="11"/>
  <c r="B522" i="11"/>
  <c r="B586" i="11"/>
  <c r="B650" i="11"/>
  <c r="B27" i="11"/>
  <c r="B91" i="11"/>
  <c r="B155" i="11"/>
  <c r="B219" i="11"/>
  <c r="B18" i="11"/>
  <c r="B82" i="11"/>
  <c r="B146" i="11"/>
  <c r="B210" i="11"/>
  <c r="B274" i="11"/>
  <c r="B338" i="11"/>
  <c r="B402" i="11"/>
  <c r="B466" i="11"/>
  <c r="B530" i="11"/>
  <c r="B594" i="11"/>
  <c r="B658" i="11"/>
  <c r="B35" i="11"/>
  <c r="B99" i="11"/>
  <c r="B163" i="11"/>
  <c r="B26" i="11"/>
  <c r="B90" i="11"/>
  <c r="B154" i="11"/>
  <c r="B218" i="11"/>
  <c r="B282" i="11"/>
  <c r="B346" i="11"/>
  <c r="B410" i="11"/>
  <c r="B474" i="11"/>
  <c r="B538" i="11"/>
  <c r="B602" i="11"/>
  <c r="B666" i="11"/>
  <c r="B43" i="11"/>
  <c r="B107" i="11"/>
  <c r="B171" i="11"/>
  <c r="B235" i="11"/>
  <c r="B299" i="11"/>
  <c r="B363" i="11"/>
  <c r="B427" i="11"/>
  <c r="B491" i="11"/>
  <c r="B555" i="11"/>
  <c r="B619" i="11"/>
  <c r="B44" i="11"/>
  <c r="B108" i="11"/>
  <c r="B172" i="11"/>
  <c r="B236" i="11"/>
  <c r="B300" i="11"/>
  <c r="B364" i="11"/>
  <c r="B428" i="11"/>
  <c r="B492" i="11"/>
  <c r="B556" i="11"/>
  <c r="B620" i="11"/>
  <c r="B684" i="11"/>
  <c r="B748" i="11"/>
  <c r="B812" i="11"/>
  <c r="B876" i="11"/>
  <c r="B940" i="11"/>
  <c r="B5" i="11"/>
  <c r="B69" i="11"/>
  <c r="B133" i="11"/>
  <c r="B197" i="11"/>
  <c r="B261" i="11"/>
  <c r="B325" i="11"/>
  <c r="B389" i="11"/>
  <c r="B453" i="11"/>
  <c r="B517" i="11"/>
  <c r="B581" i="11"/>
  <c r="B645" i="11"/>
  <c r="B709" i="11"/>
  <c r="B773" i="11"/>
  <c r="B837" i="11"/>
  <c r="B901" i="11"/>
  <c r="B6" i="11"/>
  <c r="B70" i="11"/>
  <c r="B134" i="11"/>
  <c r="B198" i="11"/>
  <c r="B262" i="11"/>
  <c r="B326" i="11"/>
  <c r="B390" i="11"/>
  <c r="B454" i="11"/>
  <c r="B518" i="11"/>
  <c r="B582" i="11"/>
  <c r="B646" i="11"/>
  <c r="B710" i="11"/>
  <c r="B774" i="11"/>
  <c r="B838" i="11"/>
  <c r="B34" i="11"/>
  <c r="B98" i="11"/>
  <c r="B162" i="11"/>
  <c r="B226" i="11"/>
  <c r="B290" i="11"/>
  <c r="B354" i="11"/>
  <c r="B418" i="11"/>
  <c r="B482" i="11"/>
  <c r="B546" i="11"/>
  <c r="B610" i="11"/>
  <c r="B674" i="11"/>
  <c r="B51" i="11"/>
  <c r="B115" i="11"/>
  <c r="B179" i="11"/>
  <c r="B243" i="11"/>
  <c r="B307" i="11"/>
  <c r="B371" i="11"/>
  <c r="B435" i="11"/>
  <c r="B499" i="11"/>
  <c r="B563" i="11"/>
  <c r="B627" i="11"/>
  <c r="B52" i="11"/>
  <c r="B116" i="11"/>
  <c r="B180" i="11"/>
  <c r="B244" i="11"/>
  <c r="B308" i="11"/>
  <c r="B372" i="11"/>
  <c r="B436" i="11"/>
  <c r="B500" i="11"/>
  <c r="B564" i="11"/>
  <c r="B628" i="11"/>
  <c r="B692" i="11"/>
  <c r="B756" i="11"/>
  <c r="B820" i="11"/>
  <c r="B884" i="11"/>
  <c r="B948" i="11"/>
  <c r="B13" i="11"/>
  <c r="B77" i="11"/>
  <c r="B141" i="11"/>
  <c r="B205" i="11"/>
  <c r="B269" i="11"/>
  <c r="B333" i="11"/>
  <c r="B397" i="11"/>
  <c r="B461" i="11"/>
  <c r="B525" i="11"/>
  <c r="B589" i="11"/>
  <c r="B653" i="11"/>
  <c r="B717" i="11"/>
  <c r="B781" i="11"/>
  <c r="B845" i="11"/>
  <c r="B909" i="11"/>
  <c r="B14" i="11"/>
  <c r="B78" i="11"/>
  <c r="B142" i="11"/>
  <c r="B206" i="11"/>
  <c r="B270" i="11"/>
  <c r="B334" i="11"/>
  <c r="B398" i="11"/>
  <c r="B462" i="11"/>
  <c r="B526" i="11"/>
  <c r="B590" i="11"/>
  <c r="B654" i="11"/>
  <c r="B718" i="11"/>
  <c r="B42" i="11"/>
  <c r="B106" i="11"/>
  <c r="B170" i="11"/>
  <c r="B234" i="11"/>
  <c r="B298" i="11"/>
  <c r="B362" i="11"/>
  <c r="B426" i="11"/>
  <c r="B490" i="11"/>
  <c r="B554" i="11"/>
  <c r="B618" i="11"/>
  <c r="B682" i="11"/>
  <c r="B59" i="11"/>
  <c r="B123" i="11"/>
  <c r="B187" i="11"/>
  <c r="B251" i="11"/>
  <c r="B315" i="11"/>
  <c r="B379" i="11"/>
  <c r="B443" i="11"/>
  <c r="B507" i="11"/>
  <c r="B571" i="11"/>
  <c r="B635" i="11"/>
  <c r="B60" i="11"/>
  <c r="B124" i="11"/>
  <c r="B188" i="11"/>
  <c r="B252" i="11"/>
  <c r="B316" i="11"/>
  <c r="B380" i="11"/>
  <c r="B444" i="11"/>
  <c r="B508" i="11"/>
  <c r="B572" i="11"/>
  <c r="B636" i="11"/>
  <c r="B700" i="11"/>
  <c r="B764" i="11"/>
  <c r="B828" i="11"/>
  <c r="B892" i="11"/>
  <c r="B956" i="11"/>
  <c r="B21" i="11"/>
  <c r="B85" i="11"/>
  <c r="B149" i="11"/>
  <c r="B213" i="11"/>
  <c r="B277" i="11"/>
  <c r="B341" i="11"/>
  <c r="B405" i="11"/>
  <c r="B469" i="11"/>
  <c r="B533" i="11"/>
  <c r="B597" i="11"/>
  <c r="B661" i="11"/>
  <c r="B725" i="11"/>
  <c r="B789" i="11"/>
  <c r="B853" i="11"/>
  <c r="B917" i="11"/>
  <c r="B22" i="11"/>
  <c r="B86" i="11"/>
  <c r="B150" i="11"/>
  <c r="B214" i="11"/>
  <c r="B278" i="11"/>
  <c r="B342" i="11"/>
  <c r="B406" i="11"/>
  <c r="B470" i="11"/>
  <c r="B534" i="11"/>
  <c r="B598" i="11"/>
  <c r="B662" i="11"/>
  <c r="B726" i="11"/>
  <c r="B50" i="11"/>
  <c r="B114" i="11"/>
  <c r="B178" i="11"/>
  <c r="B242" i="11"/>
  <c r="B306" i="11"/>
  <c r="B370" i="11"/>
  <c r="B434" i="11"/>
  <c r="B498" i="11"/>
  <c r="B562" i="11"/>
  <c r="B626" i="11"/>
  <c r="B3" i="11"/>
  <c r="B67" i="11"/>
  <c r="B131" i="11"/>
  <c r="B195" i="11"/>
  <c r="B259" i="11"/>
  <c r="B323" i="11"/>
  <c r="B387" i="11"/>
  <c r="B451" i="11"/>
  <c r="B515" i="11"/>
  <c r="B579" i="11"/>
  <c r="B4" i="11"/>
  <c r="B68" i="11"/>
  <c r="B132" i="11"/>
  <c r="B196" i="11"/>
  <c r="B260" i="11"/>
  <c r="B324" i="11"/>
  <c r="B388" i="11"/>
  <c r="B452" i="11"/>
  <c r="B516" i="11"/>
  <c r="B580" i="11"/>
  <c r="B644" i="11"/>
  <c r="B708" i="11"/>
  <c r="B772" i="11"/>
  <c r="B836" i="11"/>
  <c r="B900" i="11"/>
  <c r="B964" i="11"/>
  <c r="B29" i="11"/>
  <c r="B93" i="11"/>
  <c r="B157" i="11"/>
  <c r="B221" i="11"/>
  <c r="B285" i="11"/>
  <c r="B349" i="11"/>
  <c r="B413" i="11"/>
  <c r="B477" i="11"/>
  <c r="B541" i="11"/>
  <c r="B605" i="11"/>
  <c r="B669" i="11"/>
  <c r="B733" i="11"/>
  <c r="B797" i="11"/>
  <c r="B861" i="11"/>
  <c r="B925" i="11"/>
  <c r="B30" i="11"/>
  <c r="B94" i="11"/>
  <c r="B158" i="11"/>
  <c r="B222" i="11"/>
  <c r="B286" i="11"/>
  <c r="B350" i="11"/>
  <c r="B414" i="11"/>
  <c r="B478" i="11"/>
  <c r="B542" i="11"/>
  <c r="B606" i="11"/>
  <c r="B670" i="11"/>
  <c r="B734" i="11"/>
  <c r="B798" i="11"/>
  <c r="B2" i="11"/>
  <c r="B66" i="11"/>
  <c r="B130" i="11"/>
  <c r="B194" i="11"/>
  <c r="B258" i="11"/>
  <c r="B322" i="11"/>
  <c r="B386" i="11"/>
  <c r="B450" i="11"/>
  <c r="B514" i="11"/>
  <c r="B578" i="11"/>
  <c r="B642" i="11"/>
  <c r="B19" i="11"/>
  <c r="B83" i="11"/>
  <c r="B147" i="11"/>
  <c r="B211" i="11"/>
  <c r="B275" i="11"/>
  <c r="B339" i="11"/>
  <c r="B403" i="11"/>
  <c r="B467" i="11"/>
  <c r="B531" i="11"/>
  <c r="B595" i="11"/>
  <c r="B20" i="11"/>
  <c r="B84" i="11"/>
  <c r="B148" i="11"/>
  <c r="B212" i="11"/>
  <c r="B276" i="11"/>
  <c r="B340" i="11"/>
  <c r="B404" i="11"/>
  <c r="B468" i="11"/>
  <c r="B532" i="11"/>
  <c r="B596" i="11"/>
  <c r="B660" i="11"/>
  <c r="B724" i="11"/>
  <c r="B788" i="11"/>
  <c r="B852" i="11"/>
  <c r="B916" i="11"/>
  <c r="B980" i="11"/>
  <c r="B45" i="11"/>
  <c r="B109" i="11"/>
  <c r="B173" i="11"/>
  <c r="B237" i="11"/>
  <c r="B301" i="11"/>
  <c r="B365" i="11"/>
  <c r="B429" i="11"/>
  <c r="B493" i="11"/>
  <c r="B557" i="11"/>
  <c r="B621" i="11"/>
  <c r="B685" i="11"/>
  <c r="B749" i="11"/>
  <c r="B813" i="11"/>
  <c r="B877" i="11"/>
  <c r="B941" i="11"/>
  <c r="B46" i="11"/>
  <c r="B110" i="11"/>
  <c r="B174" i="11"/>
  <c r="B238" i="11"/>
  <c r="B302" i="11"/>
  <c r="B366" i="11"/>
  <c r="B430" i="11"/>
  <c r="B494" i="11"/>
  <c r="B558" i="11"/>
  <c r="B622" i="11"/>
  <c r="B686" i="11"/>
  <c r="B122" i="11"/>
  <c r="B634" i="11"/>
  <c r="B291" i="11"/>
  <c r="B475" i="11"/>
  <c r="B12" i="11"/>
  <c r="B164" i="11"/>
  <c r="B348" i="11"/>
  <c r="B524" i="11"/>
  <c r="B676" i="11"/>
  <c r="B860" i="11"/>
  <c r="B37" i="11"/>
  <c r="B189" i="11"/>
  <c r="B373" i="11"/>
  <c r="B549" i="11"/>
  <c r="B701" i="11"/>
  <c r="B885" i="11"/>
  <c r="B102" i="11"/>
  <c r="B254" i="11"/>
  <c r="B438" i="11"/>
  <c r="B614" i="11"/>
  <c r="B758" i="11"/>
  <c r="B846" i="11"/>
  <c r="B910" i="11"/>
  <c r="B55" i="11"/>
  <c r="B119" i="11"/>
  <c r="B183" i="11"/>
  <c r="B247" i="11"/>
  <c r="B311" i="11"/>
  <c r="B375" i="11"/>
  <c r="B439" i="11"/>
  <c r="B503" i="11"/>
  <c r="B567" i="11"/>
  <c r="B631" i="11"/>
  <c r="B695" i="11"/>
  <c r="B759" i="11"/>
  <c r="B823" i="11"/>
  <c r="B887" i="11"/>
  <c r="B24" i="11"/>
  <c r="B88" i="11"/>
  <c r="B152" i="11"/>
  <c r="B216" i="11"/>
  <c r="B280" i="11"/>
  <c r="B344" i="11"/>
  <c r="B408" i="11"/>
  <c r="B472" i="11"/>
  <c r="B536" i="11"/>
  <c r="B600" i="11"/>
  <c r="B664" i="11"/>
  <c r="B728" i="11"/>
  <c r="B792" i="11"/>
  <c r="B856" i="11"/>
  <c r="B920" i="11"/>
  <c r="B984" i="11"/>
  <c r="B33" i="11"/>
  <c r="B97" i="11"/>
  <c r="B161" i="11"/>
  <c r="B225" i="11"/>
  <c r="B289" i="11"/>
  <c r="B353" i="11"/>
  <c r="B417" i="11"/>
  <c r="B481" i="11"/>
  <c r="B545" i="11"/>
  <c r="B609" i="11"/>
  <c r="B673" i="11"/>
  <c r="B737" i="11"/>
  <c r="B801" i="11"/>
  <c r="B865" i="11"/>
  <c r="B929" i="11"/>
  <c r="B730" i="11"/>
  <c r="B955" i="11"/>
  <c r="B1036" i="11"/>
  <c r="B1100" i="11"/>
  <c r="B1164" i="11"/>
  <c r="B1228" i="11"/>
  <c r="B1292" i="11"/>
  <c r="B186" i="11"/>
  <c r="B11" i="11"/>
  <c r="B331" i="11"/>
  <c r="B483" i="11"/>
  <c r="B28" i="11"/>
  <c r="B204" i="11"/>
  <c r="B356" i="11"/>
  <c r="B540" i="11"/>
  <c r="B716" i="11"/>
  <c r="B868" i="11"/>
  <c r="B53" i="11"/>
  <c r="B229" i="11"/>
  <c r="B381" i="11"/>
  <c r="B565" i="11"/>
  <c r="B741" i="11"/>
  <c r="B893" i="11"/>
  <c r="B118" i="11"/>
  <c r="B294" i="11"/>
  <c r="B446" i="11"/>
  <c r="B630" i="11"/>
  <c r="B766" i="11"/>
  <c r="B854" i="11"/>
  <c r="B918" i="11"/>
  <c r="B63" i="11"/>
  <c r="B250" i="11"/>
  <c r="B75" i="11"/>
  <c r="B347" i="11"/>
  <c r="B523" i="11"/>
  <c r="B36" i="11"/>
  <c r="B220" i="11"/>
  <c r="B396" i="11"/>
  <c r="B548" i="11"/>
  <c r="B732" i="11"/>
  <c r="B908" i="11"/>
  <c r="B61" i="11"/>
  <c r="B245" i="11"/>
  <c r="B421" i="11"/>
  <c r="B573" i="11"/>
  <c r="B757" i="11"/>
  <c r="B933" i="11"/>
  <c r="B126" i="11"/>
  <c r="B310" i="11"/>
  <c r="B486" i="11"/>
  <c r="B638" i="11"/>
  <c r="B782" i="11"/>
  <c r="B862" i="11"/>
  <c r="B7" i="11"/>
  <c r="B71" i="11"/>
  <c r="B135" i="11"/>
  <c r="B199" i="11"/>
  <c r="B263" i="11"/>
  <c r="B327" i="11"/>
  <c r="B391" i="11"/>
  <c r="B455" i="11"/>
  <c r="B519" i="11"/>
  <c r="B583" i="11"/>
  <c r="B647" i="11"/>
  <c r="B711" i="11"/>
  <c r="B775" i="11"/>
  <c r="B839" i="11"/>
  <c r="B903" i="11"/>
  <c r="B40" i="11"/>
  <c r="B104" i="11"/>
  <c r="B168" i="11"/>
  <c r="B232" i="11"/>
  <c r="B296" i="11"/>
  <c r="B360" i="11"/>
  <c r="B424" i="11"/>
  <c r="B488" i="11"/>
  <c r="B552" i="11"/>
  <c r="B616" i="11"/>
  <c r="B680" i="11"/>
  <c r="B744" i="11"/>
  <c r="B808" i="11"/>
  <c r="B872" i="11"/>
  <c r="B936" i="11"/>
  <c r="B1000" i="11"/>
  <c r="B49" i="11"/>
  <c r="B113" i="11"/>
  <c r="B177" i="11"/>
  <c r="B241" i="11"/>
  <c r="B305" i="11"/>
  <c r="B369" i="11"/>
  <c r="B433" i="11"/>
  <c r="B497" i="11"/>
  <c r="B561" i="11"/>
  <c r="B625" i="11"/>
  <c r="B689" i="11"/>
  <c r="B753" i="11"/>
  <c r="B817" i="11"/>
  <c r="B881" i="11"/>
  <c r="B945" i="11"/>
  <c r="B794" i="11"/>
  <c r="B981" i="11"/>
  <c r="B1052" i="11"/>
  <c r="B1116" i="11"/>
  <c r="B1180" i="11"/>
  <c r="B1244" i="11"/>
  <c r="B1308" i="11"/>
  <c r="B754" i="11"/>
  <c r="B1282" i="11"/>
  <c r="B1179" i="11"/>
  <c r="B795" i="11"/>
  <c r="B982" i="11"/>
  <c r="B1053" i="11"/>
  <c r="B1117" i="11"/>
  <c r="B1181" i="11"/>
  <c r="B1245" i="11"/>
  <c r="B1309" i="11"/>
  <c r="B850" i="11"/>
  <c r="B1250" i="11"/>
  <c r="B1203" i="11"/>
  <c r="B834" i="11"/>
  <c r="B994" i="11"/>
  <c r="B1062" i="11"/>
  <c r="B1126" i="11"/>
  <c r="B1190" i="11"/>
  <c r="B1254" i="11"/>
  <c r="B1318" i="11"/>
  <c r="B966" i="11"/>
  <c r="B1330" i="11"/>
  <c r="B1195" i="11"/>
  <c r="B835" i="11"/>
  <c r="B995" i="11"/>
  <c r="B1063" i="11"/>
  <c r="B1127" i="11"/>
  <c r="B1191" i="11"/>
  <c r="B1255" i="11"/>
  <c r="B1319" i="11"/>
  <c r="B1018" i="11"/>
  <c r="B954" i="11"/>
  <c r="B1275" i="11"/>
  <c r="B874" i="11"/>
  <c r="B1006" i="11"/>
  <c r="B1072" i="11"/>
  <c r="B1136" i="11"/>
  <c r="B1200" i="11"/>
  <c r="B786" i="11"/>
  <c r="B787" i="11"/>
  <c r="B715" i="11"/>
  <c r="B950" i="11"/>
  <c r="B1033" i="11"/>
  <c r="B1097" i="11"/>
  <c r="B1161" i="11"/>
  <c r="B314" i="11"/>
  <c r="B139" i="11"/>
  <c r="B355" i="11"/>
  <c r="B539" i="11"/>
  <c r="B76" i="11"/>
  <c r="B228" i="11"/>
  <c r="B412" i="11"/>
  <c r="B588" i="11"/>
  <c r="B740" i="11"/>
  <c r="B924" i="11"/>
  <c r="B101" i="11"/>
  <c r="B253" i="11"/>
  <c r="B437" i="11"/>
  <c r="B613" i="11"/>
  <c r="B765" i="11"/>
  <c r="B949" i="11"/>
  <c r="B166" i="11"/>
  <c r="B318" i="11"/>
  <c r="B502" i="11"/>
  <c r="B678" i="11"/>
  <c r="B790" i="11"/>
  <c r="B870" i="11"/>
  <c r="B15" i="11"/>
  <c r="B79" i="11"/>
  <c r="B143" i="11"/>
  <c r="B207" i="11"/>
  <c r="B271" i="11"/>
  <c r="B335" i="11"/>
  <c r="B399" i="11"/>
  <c r="B463" i="11"/>
  <c r="B527" i="11"/>
  <c r="B591" i="11"/>
  <c r="B655" i="11"/>
  <c r="B719" i="11"/>
  <c r="B783" i="11"/>
  <c r="B847" i="11"/>
  <c r="B911" i="11"/>
  <c r="B48" i="11"/>
  <c r="B112" i="11"/>
  <c r="B176" i="11"/>
  <c r="B240" i="11"/>
  <c r="B304" i="11"/>
  <c r="B368" i="11"/>
  <c r="B432" i="11"/>
  <c r="B496" i="11"/>
  <c r="B560" i="11"/>
  <c r="B624" i="11"/>
  <c r="B688" i="11"/>
  <c r="B752" i="11"/>
  <c r="B816" i="11"/>
  <c r="B880" i="11"/>
  <c r="B944" i="11"/>
  <c r="B1008" i="11"/>
  <c r="B57" i="11"/>
  <c r="B121" i="11"/>
  <c r="B185" i="11"/>
  <c r="B249" i="11"/>
  <c r="B313" i="11"/>
  <c r="B377" i="11"/>
  <c r="B441" i="11"/>
  <c r="B505" i="11"/>
  <c r="B569" i="11"/>
  <c r="B633" i="11"/>
  <c r="B697" i="11"/>
  <c r="B761" i="11"/>
  <c r="B825" i="11"/>
  <c r="B889" i="11"/>
  <c r="B953" i="11"/>
  <c r="B826" i="11"/>
  <c r="B991" i="11"/>
  <c r="B1060" i="11"/>
  <c r="B1124" i="11"/>
  <c r="B1188" i="11"/>
  <c r="B1252" i="11"/>
  <c r="B1316" i="11"/>
  <c r="B914" i="11"/>
  <c r="B1322" i="11"/>
  <c r="B1219" i="11"/>
  <c r="B827" i="11"/>
  <c r="B993" i="11"/>
  <c r="B1061" i="11"/>
  <c r="B1125" i="11"/>
  <c r="B1189" i="11"/>
  <c r="B1253" i="11"/>
  <c r="B1317" i="11"/>
  <c r="B882" i="11"/>
  <c r="B1298" i="11"/>
  <c r="B1251" i="11"/>
  <c r="B866" i="11"/>
  <c r="B1004" i="11"/>
  <c r="B1070" i="11"/>
  <c r="B1134" i="11"/>
  <c r="B1198" i="11"/>
  <c r="B1262" i="11"/>
  <c r="B1326" i="11"/>
  <c r="B1026" i="11"/>
  <c r="B819" i="11"/>
  <c r="B1243" i="11"/>
  <c r="B867" i="11"/>
  <c r="B1005" i="11"/>
  <c r="B1071" i="11"/>
  <c r="B1135" i="11"/>
  <c r="B1199" i="11"/>
  <c r="B1263" i="11"/>
  <c r="B1327" i="11"/>
  <c r="B1066" i="11"/>
  <c r="B378" i="11"/>
  <c r="B203" i="11"/>
  <c r="B395" i="11"/>
  <c r="B547" i="11"/>
  <c r="B92" i="11"/>
  <c r="B268" i="11"/>
  <c r="B420" i="11"/>
  <c r="B604" i="11"/>
  <c r="B780" i="11"/>
  <c r="B932" i="11"/>
  <c r="B117" i="11"/>
  <c r="B293" i="11"/>
  <c r="B445" i="11"/>
  <c r="B629" i="11"/>
  <c r="B805" i="11"/>
  <c r="B957" i="11"/>
  <c r="B182" i="11"/>
  <c r="B358" i="11"/>
  <c r="B510" i="11"/>
  <c r="B694" i="11"/>
  <c r="B806" i="11"/>
  <c r="B878" i="11"/>
  <c r="B23" i="11"/>
  <c r="B87" i="11"/>
  <c r="B151" i="11"/>
  <c r="B215" i="11"/>
  <c r="B279" i="11"/>
  <c r="B343" i="11"/>
  <c r="B407" i="11"/>
  <c r="B471" i="11"/>
  <c r="B535" i="11"/>
  <c r="B599" i="11"/>
  <c r="B663" i="11"/>
  <c r="B727" i="11"/>
  <c r="B791" i="11"/>
  <c r="B855" i="11"/>
  <c r="B919" i="11"/>
  <c r="B56" i="11"/>
  <c r="B120" i="11"/>
  <c r="B184" i="11"/>
  <c r="B248" i="11"/>
  <c r="B312" i="11"/>
  <c r="B376" i="11"/>
  <c r="B440" i="11"/>
  <c r="B504" i="11"/>
  <c r="B568" i="11"/>
  <c r="B632" i="11"/>
  <c r="B696" i="11"/>
  <c r="B760" i="11"/>
  <c r="B824" i="11"/>
  <c r="B888" i="11"/>
  <c r="B952" i="11"/>
  <c r="B1016" i="11"/>
  <c r="B65" i="11"/>
  <c r="B129" i="11"/>
  <c r="B193" i="11"/>
  <c r="B257" i="11"/>
  <c r="B321" i="11"/>
  <c r="B385" i="11"/>
  <c r="B449" i="11"/>
  <c r="B513" i="11"/>
  <c r="B577" i="11"/>
  <c r="B641" i="11"/>
  <c r="B705" i="11"/>
  <c r="B769" i="11"/>
  <c r="B833" i="11"/>
  <c r="B897" i="11"/>
  <c r="B961" i="11"/>
  <c r="B858" i="11"/>
  <c r="B1002" i="11"/>
  <c r="B1068" i="11"/>
  <c r="B1132" i="11"/>
  <c r="B1196" i="11"/>
  <c r="B1260" i="11"/>
  <c r="B1324" i="11"/>
  <c r="B442" i="11"/>
  <c r="B227" i="11"/>
  <c r="B411" i="11"/>
  <c r="B587" i="11"/>
  <c r="B100" i="11"/>
  <c r="B284" i="11"/>
  <c r="B460" i="11"/>
  <c r="B612" i="11"/>
  <c r="B796" i="11"/>
  <c r="B972" i="11"/>
  <c r="B125" i="11"/>
  <c r="B309" i="11"/>
  <c r="B485" i="11"/>
  <c r="B637" i="11"/>
  <c r="B821" i="11"/>
  <c r="B38" i="11"/>
  <c r="B190" i="11"/>
  <c r="B374" i="11"/>
  <c r="B550" i="11"/>
  <c r="B702" i="11"/>
  <c r="B814" i="11"/>
  <c r="B886" i="11"/>
  <c r="B31" i="11"/>
  <c r="B95" i="11"/>
  <c r="B506" i="11"/>
  <c r="B267" i="11"/>
  <c r="B419" i="11"/>
  <c r="B603" i="11"/>
  <c r="B140" i="11"/>
  <c r="B292" i="11"/>
  <c r="B476" i="11"/>
  <c r="B652" i="11"/>
  <c r="B804" i="11"/>
  <c r="B988" i="11"/>
  <c r="B165" i="11"/>
  <c r="B317" i="11"/>
  <c r="B501" i="11"/>
  <c r="B677" i="11"/>
  <c r="B829" i="11"/>
  <c r="B54" i="11"/>
  <c r="B230" i="11"/>
  <c r="B382" i="11"/>
  <c r="B566" i="11"/>
  <c r="B742" i="11"/>
  <c r="B822" i="11"/>
  <c r="B894" i="11"/>
  <c r="B39" i="11"/>
  <c r="B103" i="11"/>
  <c r="B167" i="11"/>
  <c r="B231" i="11"/>
  <c r="B295" i="11"/>
  <c r="B359" i="11"/>
  <c r="B423" i="11"/>
  <c r="B487" i="11"/>
  <c r="B551" i="11"/>
  <c r="B615" i="11"/>
  <c r="B679" i="11"/>
  <c r="B743" i="11"/>
  <c r="B807" i="11"/>
  <c r="B871" i="11"/>
  <c r="B8" i="11"/>
  <c r="B72" i="11"/>
  <c r="B136" i="11"/>
  <c r="B200" i="11"/>
  <c r="B264" i="11"/>
  <c r="B328" i="11"/>
  <c r="B392" i="11"/>
  <c r="B456" i="11"/>
  <c r="B520" i="11"/>
  <c r="B584" i="11"/>
  <c r="B648" i="11"/>
  <c r="B712" i="11"/>
  <c r="B776" i="11"/>
  <c r="B840" i="11"/>
  <c r="B904" i="11"/>
  <c r="B968" i="11"/>
  <c r="B17" i="11"/>
  <c r="B81" i="11"/>
  <c r="B145" i="11"/>
  <c r="B209" i="11"/>
  <c r="B273" i="11"/>
  <c r="B337" i="11"/>
  <c r="B401" i="11"/>
  <c r="B465" i="11"/>
  <c r="B529" i="11"/>
  <c r="B593" i="11"/>
  <c r="B657" i="11"/>
  <c r="B721" i="11"/>
  <c r="B785" i="11"/>
  <c r="B849" i="11"/>
  <c r="B913" i="11"/>
  <c r="B643" i="11"/>
  <c r="B922" i="11"/>
  <c r="B1020" i="11"/>
  <c r="B1084" i="11"/>
  <c r="B1148" i="11"/>
  <c r="B1212" i="11"/>
  <c r="B1276" i="11"/>
  <c r="B1256" i="11"/>
  <c r="B1090" i="11"/>
  <c r="B990" i="11"/>
  <c r="B651" i="11"/>
  <c r="B923" i="11"/>
  <c r="B1021" i="11"/>
  <c r="B1085" i="11"/>
  <c r="B1149" i="11"/>
  <c r="B1213" i="11"/>
  <c r="B1277" i="11"/>
  <c r="B1272" i="11"/>
  <c r="B1058" i="11"/>
  <c r="B979" i="11"/>
  <c r="B706" i="11"/>
  <c r="B943" i="11"/>
  <c r="B1030" i="11"/>
  <c r="B1094" i="11"/>
  <c r="B1158" i="11"/>
  <c r="B1222" i="11"/>
  <c r="B1286" i="11"/>
  <c r="B1304" i="11"/>
  <c r="B1178" i="11"/>
  <c r="B1027" i="11"/>
  <c r="B707" i="11"/>
  <c r="B946" i="11"/>
  <c r="B1031" i="11"/>
  <c r="B1095" i="11"/>
  <c r="B1159" i="11"/>
  <c r="B1223" i="11"/>
  <c r="B1287" i="11"/>
  <c r="B1320" i="11"/>
  <c r="B1194" i="11"/>
  <c r="B1123" i="11"/>
  <c r="B746" i="11"/>
  <c r="B963" i="11"/>
  <c r="B1040" i="11"/>
  <c r="B1104" i="11"/>
  <c r="B1168" i="11"/>
  <c r="B1248" i="11"/>
  <c r="B1146" i="11"/>
  <c r="B1187" i="11"/>
  <c r="B843" i="11"/>
  <c r="B998" i="11"/>
  <c r="B1065" i="11"/>
  <c r="B1129" i="11"/>
  <c r="B303" i="11"/>
  <c r="B576" i="11"/>
  <c r="B921" i="11"/>
  <c r="B1221" i="11"/>
  <c r="B1302" i="11"/>
  <c r="B935" i="11"/>
  <c r="B1184" i="11"/>
  <c r="B1121" i="11"/>
  <c r="B938" i="11"/>
  <c r="B1029" i="11"/>
  <c r="B1202" i="11"/>
  <c r="B1214" i="11"/>
  <c r="B1299" i="11"/>
  <c r="B1295" i="11"/>
  <c r="B1024" i="11"/>
  <c r="B1259" i="11"/>
  <c r="B1137" i="11"/>
  <c r="B985" i="11"/>
  <c r="B1303" i="11"/>
  <c r="B1032" i="11"/>
  <c r="B965" i="11"/>
  <c r="B1169" i="11"/>
  <c r="B283" i="11"/>
  <c r="B996" i="11"/>
  <c r="B422" i="11"/>
  <c r="B159" i="11"/>
  <c r="B319" i="11"/>
  <c r="B495" i="11"/>
  <c r="B671" i="11"/>
  <c r="B831" i="11"/>
  <c r="B80" i="11"/>
  <c r="B256" i="11"/>
  <c r="B416" i="11"/>
  <c r="B592" i="11"/>
  <c r="B768" i="11"/>
  <c r="B928" i="11"/>
  <c r="B89" i="11"/>
  <c r="B265" i="11"/>
  <c r="B425" i="11"/>
  <c r="B601" i="11"/>
  <c r="B777" i="11"/>
  <c r="B937" i="11"/>
  <c r="B1257" i="11"/>
  <c r="B763" i="11"/>
  <c r="B1333" i="11"/>
  <c r="B1110" i="11"/>
  <c r="B974" i="11"/>
  <c r="B1114" i="11"/>
  <c r="B1042" i="11"/>
  <c r="B1209" i="11"/>
  <c r="B1207" i="11"/>
  <c r="B1120" i="11"/>
  <c r="B1145" i="11"/>
  <c r="B1074" i="11"/>
  <c r="B459" i="11"/>
  <c r="B181" i="11"/>
  <c r="B574" i="11"/>
  <c r="B175" i="11"/>
  <c r="B351" i="11"/>
  <c r="B511" i="11"/>
  <c r="B687" i="11"/>
  <c r="B863" i="11"/>
  <c r="B96" i="11"/>
  <c r="B272" i="11"/>
  <c r="B448" i="11"/>
  <c r="B608" i="11"/>
  <c r="B784" i="11"/>
  <c r="B960" i="11"/>
  <c r="B105" i="11"/>
  <c r="B281" i="11"/>
  <c r="B457" i="11"/>
  <c r="B617" i="11"/>
  <c r="B793" i="11"/>
  <c r="B969" i="11"/>
  <c r="B1044" i="11"/>
  <c r="B1220" i="11"/>
  <c r="B1305" i="11"/>
  <c r="B1043" i="11"/>
  <c r="B859" i="11"/>
  <c r="B1037" i="11"/>
  <c r="B1141" i="11"/>
  <c r="B1237" i="11"/>
  <c r="B1312" i="11"/>
  <c r="B691" i="11"/>
  <c r="B770" i="11"/>
  <c r="B1022" i="11"/>
  <c r="B1118" i="11"/>
  <c r="B1230" i="11"/>
  <c r="B1224" i="11"/>
  <c r="B1103" i="11"/>
  <c r="B906" i="11"/>
  <c r="B1331" i="11"/>
  <c r="B1010" i="11"/>
  <c r="B611" i="11"/>
  <c r="B357" i="11"/>
  <c r="B750" i="11"/>
  <c r="B191" i="11"/>
  <c r="B367" i="11"/>
  <c r="B543" i="11"/>
  <c r="B703" i="11"/>
  <c r="B879" i="11"/>
  <c r="B128" i="11"/>
  <c r="B288" i="11"/>
  <c r="B464" i="11"/>
  <c r="B640" i="11"/>
  <c r="B800" i="11"/>
  <c r="B976" i="11"/>
  <c r="B137" i="11"/>
  <c r="B297" i="11"/>
  <c r="B473" i="11"/>
  <c r="B649" i="11"/>
  <c r="B809" i="11"/>
  <c r="B698" i="11"/>
  <c r="B1076" i="11"/>
  <c r="B1236" i="11"/>
  <c r="B999" i="11"/>
  <c r="B1091" i="11"/>
  <c r="B891" i="11"/>
  <c r="B1045" i="11"/>
  <c r="B1157" i="11"/>
  <c r="B1261" i="11"/>
  <c r="B1281" i="11"/>
  <c r="B915" i="11"/>
  <c r="B802" i="11"/>
  <c r="B1038" i="11"/>
  <c r="B1142" i="11"/>
  <c r="B1238" i="11"/>
  <c r="B1264" i="11"/>
  <c r="B1306" i="11"/>
  <c r="B739" i="11"/>
  <c r="B1014" i="11"/>
  <c r="B1111" i="11"/>
  <c r="B1215" i="11"/>
  <c r="B1311" i="11"/>
  <c r="B1242" i="11"/>
  <c r="B1235" i="11"/>
  <c r="B931" i="11"/>
  <c r="B1048" i="11"/>
  <c r="B1128" i="11"/>
  <c r="B1216" i="11"/>
  <c r="B1210" i="11"/>
  <c r="B683" i="11"/>
  <c r="B977" i="11"/>
  <c r="B1073" i="11"/>
  <c r="B1153" i="11"/>
  <c r="B1225" i="11"/>
  <c r="B1009" i="11"/>
  <c r="B1075" i="11"/>
  <c r="B383" i="11"/>
  <c r="B665" i="11"/>
  <c r="B1092" i="11"/>
  <c r="B1050" i="11"/>
  <c r="B942" i="11"/>
  <c r="B1165" i="11"/>
  <c r="B1329" i="11"/>
  <c r="B156" i="11"/>
  <c r="B509" i="11"/>
  <c r="B830" i="11"/>
  <c r="B223" i="11"/>
  <c r="B559" i="11"/>
  <c r="B735" i="11"/>
  <c r="B895" i="11"/>
  <c r="B144" i="11"/>
  <c r="B320" i="11"/>
  <c r="B480" i="11"/>
  <c r="B656" i="11"/>
  <c r="B832" i="11"/>
  <c r="B992" i="11"/>
  <c r="B153" i="11"/>
  <c r="B329" i="11"/>
  <c r="B489" i="11"/>
  <c r="B841" i="11"/>
  <c r="B762" i="11"/>
  <c r="B1268" i="11"/>
  <c r="B1139" i="11"/>
  <c r="B1069" i="11"/>
  <c r="B1269" i="11"/>
  <c r="B1035" i="11"/>
  <c r="B898" i="11"/>
  <c r="B1046" i="11"/>
  <c r="B1150" i="11"/>
  <c r="B1246" i="11"/>
  <c r="B1265" i="11"/>
  <c r="B883" i="11"/>
  <c r="B771" i="11"/>
  <c r="B1023" i="11"/>
  <c r="B1119" i="11"/>
  <c r="B1231" i="11"/>
  <c r="B1240" i="11"/>
  <c r="B1290" i="11"/>
  <c r="B1323" i="11"/>
  <c r="B947" i="11"/>
  <c r="B1056" i="11"/>
  <c r="B1144" i="11"/>
  <c r="B1232" i="11"/>
  <c r="B1258" i="11"/>
  <c r="B747" i="11"/>
  <c r="B987" i="11"/>
  <c r="B1081" i="11"/>
  <c r="B332" i="11"/>
  <c r="B693" i="11"/>
  <c r="B902" i="11"/>
  <c r="B239" i="11"/>
  <c r="B415" i="11"/>
  <c r="B575" i="11"/>
  <c r="B751" i="11"/>
  <c r="B927" i="11"/>
  <c r="B160" i="11"/>
  <c r="B336" i="11"/>
  <c r="B512" i="11"/>
  <c r="B672" i="11"/>
  <c r="B848" i="11"/>
  <c r="B9" i="11"/>
  <c r="B169" i="11"/>
  <c r="B345" i="11"/>
  <c r="B521" i="11"/>
  <c r="B681" i="11"/>
  <c r="B857" i="11"/>
  <c r="B890" i="11"/>
  <c r="B1108" i="11"/>
  <c r="B1284" i="11"/>
  <c r="B1138" i="11"/>
  <c r="B1267" i="11"/>
  <c r="B958" i="11"/>
  <c r="B1077" i="11"/>
  <c r="B1173" i="11"/>
  <c r="B1285" i="11"/>
  <c r="B989" i="11"/>
  <c r="B1083" i="11"/>
  <c r="B926" i="11"/>
  <c r="B1054" i="11"/>
  <c r="B1166" i="11"/>
  <c r="B1270" i="11"/>
  <c r="B1313" i="11"/>
  <c r="B967" i="11"/>
  <c r="B803" i="11"/>
  <c r="B1039" i="11"/>
  <c r="B1143" i="11"/>
  <c r="B1239" i="11"/>
  <c r="B1296" i="11"/>
  <c r="B723" i="11"/>
  <c r="B675" i="11"/>
  <c r="B975" i="11"/>
  <c r="B1064" i="11"/>
  <c r="B1152" i="11"/>
  <c r="B1280" i="11"/>
  <c r="B1314" i="11"/>
  <c r="B779" i="11"/>
  <c r="B1007" i="11"/>
  <c r="B1089" i="11"/>
  <c r="B1177" i="11"/>
  <c r="B1241" i="11"/>
  <c r="B1122" i="11"/>
  <c r="B1171" i="11"/>
  <c r="B668" i="11"/>
  <c r="B62" i="11"/>
  <c r="B287" i="11"/>
  <c r="B623" i="11"/>
  <c r="B32" i="11"/>
  <c r="B384" i="11"/>
  <c r="B720" i="11"/>
  <c r="B41" i="11"/>
  <c r="B393" i="11"/>
  <c r="B729" i="11"/>
  <c r="B970" i="11"/>
  <c r="B1332" i="11"/>
  <c r="B699" i="11"/>
  <c r="B1101" i="11"/>
  <c r="B1301" i="11"/>
  <c r="B1307" i="11"/>
  <c r="B1086" i="11"/>
  <c r="B1294" i="11"/>
  <c r="B1107" i="11"/>
  <c r="B1055" i="11"/>
  <c r="B1271" i="11"/>
  <c r="B1051" i="11"/>
  <c r="B997" i="11"/>
  <c r="B1176" i="11"/>
  <c r="B1067" i="11"/>
  <c r="B1025" i="11"/>
  <c r="B1193" i="11"/>
  <c r="B1226" i="11"/>
  <c r="B570" i="11"/>
  <c r="B127" i="11"/>
  <c r="B639" i="11"/>
  <c r="B64" i="11"/>
  <c r="B400" i="11"/>
  <c r="B912" i="11"/>
  <c r="B233" i="11"/>
  <c r="B585" i="11"/>
  <c r="B1011" i="11"/>
  <c r="B1288" i="11"/>
  <c r="B731" i="11"/>
  <c r="B1109" i="11"/>
  <c r="B1154" i="11"/>
  <c r="B983" i="11"/>
  <c r="B1206" i="11"/>
  <c r="B1155" i="11"/>
  <c r="B1079" i="11"/>
  <c r="B1279" i="11"/>
  <c r="B810" i="11"/>
  <c r="B1096" i="11"/>
  <c r="B1115" i="11"/>
  <c r="B1041" i="11"/>
  <c r="B1321" i="11"/>
  <c r="B1291" i="11"/>
  <c r="B1204" i="11"/>
  <c r="B1229" i="11"/>
  <c r="B1013" i="11"/>
  <c r="B1218" i="11"/>
  <c r="B1183" i="11"/>
  <c r="B1163" i="11"/>
  <c r="B1112" i="11"/>
  <c r="B1049" i="11"/>
  <c r="B818" i="11"/>
  <c r="B667" i="11"/>
  <c r="B1162" i="11"/>
  <c r="B1208" i="11"/>
  <c r="B1217" i="11"/>
  <c r="B1131" i="11"/>
  <c r="B484" i="11"/>
  <c r="B869" i="11"/>
  <c r="B47" i="11"/>
  <c r="B255" i="11"/>
  <c r="B431" i="11"/>
  <c r="B607" i="11"/>
  <c r="B767" i="11"/>
  <c r="B16" i="11"/>
  <c r="B192" i="11"/>
  <c r="B352" i="11"/>
  <c r="B528" i="11"/>
  <c r="B704" i="11"/>
  <c r="B864" i="11"/>
  <c r="B25" i="11"/>
  <c r="B201" i="11"/>
  <c r="B361" i="11"/>
  <c r="B537" i="11"/>
  <c r="B713" i="11"/>
  <c r="B873" i="11"/>
  <c r="B939" i="11"/>
  <c r="B1140" i="11"/>
  <c r="B1300" i="11"/>
  <c r="B1186" i="11"/>
  <c r="B1315" i="11"/>
  <c r="B971" i="11"/>
  <c r="B1093" i="11"/>
  <c r="B1197" i="11"/>
  <c r="B1293" i="11"/>
  <c r="B1034" i="11"/>
  <c r="B1147" i="11"/>
  <c r="B959" i="11"/>
  <c r="B1078" i="11"/>
  <c r="B1174" i="11"/>
  <c r="B1278" i="11"/>
  <c r="B690" i="11"/>
  <c r="B1059" i="11"/>
  <c r="B899" i="11"/>
  <c r="B1047" i="11"/>
  <c r="B1151" i="11"/>
  <c r="B1247" i="11"/>
  <c r="B1289" i="11"/>
  <c r="B1019" i="11"/>
  <c r="B714" i="11"/>
  <c r="B986" i="11"/>
  <c r="B1080" i="11"/>
  <c r="B1160" i="11"/>
  <c r="B1328" i="11"/>
  <c r="B1001" i="11"/>
  <c r="B811" i="11"/>
  <c r="B1017" i="11"/>
  <c r="B1105" i="11"/>
  <c r="B1185" i="11"/>
  <c r="B1249" i="11"/>
  <c r="B1170" i="11"/>
  <c r="B1227" i="11"/>
  <c r="B58" i="11"/>
  <c r="B111" i="11"/>
  <c r="B447" i="11"/>
  <c r="B799" i="11"/>
  <c r="B208" i="11"/>
  <c r="B544" i="11"/>
  <c r="B896" i="11"/>
  <c r="B217" i="11"/>
  <c r="B553" i="11"/>
  <c r="B905" i="11"/>
  <c r="B1156" i="11"/>
  <c r="B1234" i="11"/>
  <c r="B1003" i="11"/>
  <c r="B1205" i="11"/>
  <c r="B1106" i="11"/>
  <c r="B973" i="11"/>
  <c r="B1182" i="11"/>
  <c r="B1082" i="11"/>
  <c r="B930" i="11"/>
  <c r="B1167" i="11"/>
  <c r="B722" i="11"/>
  <c r="B778" i="11"/>
  <c r="B1088" i="11"/>
  <c r="B1297" i="11"/>
  <c r="B875" i="11"/>
  <c r="B1113" i="11"/>
  <c r="B1273" i="11"/>
  <c r="B1283" i="11"/>
  <c r="B844" i="11"/>
  <c r="B246" i="11"/>
  <c r="B479" i="11"/>
  <c r="B815" i="11"/>
  <c r="B224" i="11"/>
  <c r="B736" i="11"/>
  <c r="B73" i="11"/>
  <c r="B409" i="11"/>
  <c r="B745" i="11"/>
  <c r="B1172" i="11"/>
  <c r="B851" i="11"/>
  <c r="B1012" i="11"/>
  <c r="B1325" i="11"/>
  <c r="B659" i="11"/>
  <c r="B1102" i="11"/>
  <c r="B1130" i="11"/>
  <c r="B962" i="11"/>
  <c r="B1175" i="11"/>
  <c r="B1099" i="11"/>
  <c r="B1015" i="11"/>
  <c r="B978" i="11"/>
  <c r="B907" i="11"/>
  <c r="B1201" i="11"/>
  <c r="B1274" i="11"/>
  <c r="B1028" i="11"/>
  <c r="B1133" i="11"/>
  <c r="B738" i="11"/>
  <c r="B1310" i="11"/>
  <c r="B1087" i="11"/>
  <c r="B842" i="11"/>
  <c r="B1192" i="11"/>
  <c r="B934" i="11"/>
  <c r="B755" i="11"/>
  <c r="B1266" i="11"/>
  <c r="B1211" i="11"/>
  <c r="B1098" i="11"/>
  <c r="B951" i="11"/>
  <c r="B1233" i="11"/>
  <c r="B1057" i="11"/>
  <c r="H43" i="11"/>
  <c r="H107" i="11"/>
  <c r="H171" i="11"/>
  <c r="H235" i="11"/>
  <c r="H299" i="11"/>
  <c r="H363" i="11"/>
  <c r="H427" i="11"/>
  <c r="H491" i="11"/>
  <c r="H555" i="11"/>
  <c r="H619" i="11"/>
  <c r="H683" i="11"/>
  <c r="H747" i="11"/>
  <c r="H811" i="11"/>
  <c r="H875" i="11"/>
  <c r="H939" i="11"/>
  <c r="H28" i="11"/>
  <c r="H92" i="11"/>
  <c r="H156" i="11"/>
  <c r="H220" i="11"/>
  <c r="H284" i="11"/>
  <c r="H348" i="11"/>
  <c r="H412" i="11"/>
  <c r="H476" i="11"/>
  <c r="H540" i="11"/>
  <c r="H604" i="11"/>
  <c r="H668" i="11"/>
  <c r="H732" i="11"/>
  <c r="H796" i="11"/>
  <c r="H860" i="11"/>
  <c r="H924" i="11"/>
  <c r="H69" i="11"/>
  <c r="H133" i="11"/>
  <c r="H197" i="11"/>
  <c r="H261" i="11"/>
  <c r="H325" i="11"/>
  <c r="H389" i="11"/>
  <c r="H453" i="11"/>
  <c r="H517" i="11"/>
  <c r="H581" i="11"/>
  <c r="H645" i="11"/>
  <c r="H709" i="11"/>
  <c r="H773" i="11"/>
  <c r="H837" i="11"/>
  <c r="H901" i="11"/>
  <c r="H965" i="11"/>
  <c r="H14" i="11"/>
  <c r="H78" i="11"/>
  <c r="H142" i="11"/>
  <c r="H206" i="11"/>
  <c r="H270" i="11"/>
  <c r="H334" i="11"/>
  <c r="H398" i="11"/>
  <c r="H462" i="11"/>
  <c r="H526" i="11"/>
  <c r="H590" i="11"/>
  <c r="H654" i="11"/>
  <c r="H718" i="11"/>
  <c r="H782" i="11"/>
  <c r="H846" i="11"/>
  <c r="H910" i="11"/>
  <c r="H974" i="11"/>
  <c r="H23" i="11"/>
  <c r="H87" i="11"/>
  <c r="H151" i="11"/>
  <c r="H215" i="11"/>
  <c r="H279" i="11"/>
  <c r="H343" i="11"/>
  <c r="H407" i="11"/>
  <c r="H471" i="11"/>
  <c r="H535" i="11"/>
  <c r="H599" i="11"/>
  <c r="H663" i="11"/>
  <c r="H727" i="11"/>
  <c r="H791" i="11"/>
  <c r="H51" i="11"/>
  <c r="H115" i="11"/>
  <c r="H179" i="11"/>
  <c r="H243" i="11"/>
  <c r="H307" i="11"/>
  <c r="H371" i="11"/>
  <c r="H435" i="11"/>
  <c r="H499" i="11"/>
  <c r="H563" i="11"/>
  <c r="H627" i="11"/>
  <c r="H691" i="11"/>
  <c r="H755" i="11"/>
  <c r="H819" i="11"/>
  <c r="H883" i="11"/>
  <c r="H947" i="11"/>
  <c r="H36" i="11"/>
  <c r="H100" i="11"/>
  <c r="H164" i="11"/>
  <c r="H228" i="11"/>
  <c r="H292" i="11"/>
  <c r="H356" i="11"/>
  <c r="H420" i="11"/>
  <c r="H484" i="11"/>
  <c r="H548" i="11"/>
  <c r="H612" i="11"/>
  <c r="H676" i="11"/>
  <c r="H740" i="11"/>
  <c r="H804" i="11"/>
  <c r="H868" i="11"/>
  <c r="H13" i="11"/>
  <c r="H77" i="11"/>
  <c r="H141" i="11"/>
  <c r="H205" i="11"/>
  <c r="H269" i="11"/>
  <c r="H333" i="11"/>
  <c r="H397" i="11"/>
  <c r="H461" i="11"/>
  <c r="H525" i="11"/>
  <c r="H589" i="11"/>
  <c r="H653" i="11"/>
  <c r="H717" i="11"/>
  <c r="H781" i="11"/>
  <c r="H845" i="11"/>
  <c r="H909" i="11"/>
  <c r="H973" i="11"/>
  <c r="H22" i="11"/>
  <c r="H86" i="11"/>
  <c r="H150" i="11"/>
  <c r="H214" i="11"/>
  <c r="H278" i="11"/>
  <c r="H342" i="11"/>
  <c r="H406" i="11"/>
  <c r="H470" i="11"/>
  <c r="H534" i="11"/>
  <c r="H598" i="11"/>
  <c r="H662" i="11"/>
  <c r="H726" i="11"/>
  <c r="H790" i="11"/>
  <c r="H854" i="11"/>
  <c r="H918" i="11"/>
  <c r="H982" i="11"/>
  <c r="H31" i="11"/>
  <c r="H95" i="11"/>
  <c r="H159" i="11"/>
  <c r="H223" i="11"/>
  <c r="H287" i="11"/>
  <c r="H351" i="11"/>
  <c r="H415" i="11"/>
  <c r="H479" i="11"/>
  <c r="H543" i="11"/>
  <c r="H607" i="11"/>
  <c r="H671" i="11"/>
  <c r="H735" i="11"/>
  <c r="H799" i="11"/>
  <c r="H59" i="11"/>
  <c r="H123" i="11"/>
  <c r="H187" i="11"/>
  <c r="H251" i="11"/>
  <c r="H315" i="11"/>
  <c r="H379" i="11"/>
  <c r="H443" i="11"/>
  <c r="H507" i="11"/>
  <c r="H571" i="11"/>
  <c r="H635" i="11"/>
  <c r="H699" i="11"/>
  <c r="H763" i="11"/>
  <c r="H827" i="11"/>
  <c r="H891" i="11"/>
  <c r="H955" i="11"/>
  <c r="H44" i="11"/>
  <c r="H108" i="11"/>
  <c r="H172" i="11"/>
  <c r="H236" i="11"/>
  <c r="H300" i="11"/>
  <c r="H364" i="11"/>
  <c r="H428" i="11"/>
  <c r="H492" i="11"/>
  <c r="H556" i="11"/>
  <c r="H620" i="11"/>
  <c r="H684" i="11"/>
  <c r="H748" i="11"/>
  <c r="H812" i="11"/>
  <c r="H876" i="11"/>
  <c r="H21" i="11"/>
  <c r="H85" i="11"/>
  <c r="H149" i="11"/>
  <c r="H213" i="11"/>
  <c r="H277" i="11"/>
  <c r="H341" i="11"/>
  <c r="H405" i="11"/>
  <c r="H469" i="11"/>
  <c r="H533" i="11"/>
  <c r="H597" i="11"/>
  <c r="H661" i="11"/>
  <c r="H725" i="11"/>
  <c r="H789" i="11"/>
  <c r="H853" i="11"/>
  <c r="H917" i="11"/>
  <c r="H981" i="11"/>
  <c r="H30" i="11"/>
  <c r="H94" i="11"/>
  <c r="H158" i="11"/>
  <c r="H222" i="11"/>
  <c r="H286" i="11"/>
  <c r="H350" i="11"/>
  <c r="H414" i="11"/>
  <c r="H478" i="11"/>
  <c r="H542" i="11"/>
  <c r="H606" i="11"/>
  <c r="H670" i="11"/>
  <c r="H734" i="11"/>
  <c r="H798" i="11"/>
  <c r="H862" i="11"/>
  <c r="H926" i="11"/>
  <c r="H990" i="11"/>
  <c r="H39" i="11"/>
  <c r="H103" i="11"/>
  <c r="H167" i="11"/>
  <c r="H231" i="11"/>
  <c r="H295" i="11"/>
  <c r="H359" i="11"/>
  <c r="H423" i="11"/>
  <c r="H487" i="11"/>
  <c r="H551" i="11"/>
  <c r="H615" i="11"/>
  <c r="H2" i="11"/>
  <c r="H67" i="11"/>
  <c r="H131" i="11"/>
  <c r="H195" i="11"/>
  <c r="H259" i="11"/>
  <c r="H323" i="11"/>
  <c r="H387" i="11"/>
  <c r="H451" i="11"/>
  <c r="H515" i="11"/>
  <c r="H579" i="11"/>
  <c r="H643" i="11"/>
  <c r="H707" i="11"/>
  <c r="H771" i="11"/>
  <c r="H835" i="11"/>
  <c r="H899" i="11"/>
  <c r="H963" i="11"/>
  <c r="H52" i="11"/>
  <c r="H116" i="11"/>
  <c r="H180" i="11"/>
  <c r="H244" i="11"/>
  <c r="H308" i="11"/>
  <c r="H372" i="11"/>
  <c r="H436" i="11"/>
  <c r="H500" i="11"/>
  <c r="H564" i="11"/>
  <c r="H628" i="11"/>
  <c r="H692" i="11"/>
  <c r="H756" i="11"/>
  <c r="H820" i="11"/>
  <c r="H884" i="11"/>
  <c r="H29" i="11"/>
  <c r="H93" i="11"/>
  <c r="H157" i="11"/>
  <c r="H221" i="11"/>
  <c r="H285" i="11"/>
  <c r="H349" i="11"/>
  <c r="H413" i="11"/>
  <c r="H477" i="11"/>
  <c r="H541" i="11"/>
  <c r="H605" i="11"/>
  <c r="H669" i="11"/>
  <c r="H733" i="11"/>
  <c r="H797" i="11"/>
  <c r="H861" i="11"/>
  <c r="H925" i="11"/>
  <c r="H989" i="11"/>
  <c r="H38" i="11"/>
  <c r="H102" i="11"/>
  <c r="H166" i="11"/>
  <c r="H230" i="11"/>
  <c r="H294" i="11"/>
  <c r="H358" i="11"/>
  <c r="H422" i="11"/>
  <c r="H486" i="11"/>
  <c r="H550" i="11"/>
  <c r="H614" i="11"/>
  <c r="H678" i="11"/>
  <c r="H742" i="11"/>
  <c r="H806" i="11"/>
  <c r="H870" i="11"/>
  <c r="H934" i="11"/>
  <c r="H998" i="11"/>
  <c r="H47" i="11"/>
  <c r="H111" i="11"/>
  <c r="H175" i="11"/>
  <c r="H239" i="11"/>
  <c r="H303" i="11"/>
  <c r="H367" i="11"/>
  <c r="H431" i="11"/>
  <c r="H495" i="11"/>
  <c r="H559" i="11"/>
  <c r="H623" i="11"/>
  <c r="H687" i="11"/>
  <c r="H751" i="11"/>
  <c r="H19" i="11"/>
  <c r="H83" i="11"/>
  <c r="H147" i="11"/>
  <c r="H211" i="11"/>
  <c r="H275" i="11"/>
  <c r="H339" i="11"/>
  <c r="H403" i="11"/>
  <c r="H467" i="11"/>
  <c r="H531" i="11"/>
  <c r="H595" i="11"/>
  <c r="H659" i="11"/>
  <c r="H723" i="11"/>
  <c r="H787" i="11"/>
  <c r="H851" i="11"/>
  <c r="H915" i="11"/>
  <c r="H979" i="11"/>
  <c r="H68" i="11"/>
  <c r="H132" i="11"/>
  <c r="H196" i="11"/>
  <c r="H260" i="11"/>
  <c r="H324" i="11"/>
  <c r="H388" i="11"/>
  <c r="H452" i="11"/>
  <c r="H516" i="11"/>
  <c r="H580" i="11"/>
  <c r="H644" i="11"/>
  <c r="H708" i="11"/>
  <c r="H772" i="11"/>
  <c r="H836" i="11"/>
  <c r="H900" i="11"/>
  <c r="H45" i="11"/>
  <c r="H109" i="11"/>
  <c r="H173" i="11"/>
  <c r="H237" i="11"/>
  <c r="H301" i="11"/>
  <c r="H365" i="11"/>
  <c r="H429" i="11"/>
  <c r="H493" i="11"/>
  <c r="H557" i="11"/>
  <c r="H621" i="11"/>
  <c r="H685" i="11"/>
  <c r="H749" i="11"/>
  <c r="H813" i="11"/>
  <c r="H877" i="11"/>
  <c r="H941" i="11"/>
  <c r="H1005" i="11"/>
  <c r="H54" i="11"/>
  <c r="H118" i="11"/>
  <c r="H182" i="11"/>
  <c r="H246" i="11"/>
  <c r="H310" i="11"/>
  <c r="H374" i="11"/>
  <c r="H438" i="11"/>
  <c r="H502" i="11"/>
  <c r="H566" i="11"/>
  <c r="H630" i="11"/>
  <c r="H694" i="11"/>
  <c r="H758" i="11"/>
  <c r="H822" i="11"/>
  <c r="H886" i="11"/>
  <c r="H950" i="11"/>
  <c r="H1014" i="11"/>
  <c r="H63" i="11"/>
  <c r="H127" i="11"/>
  <c r="H191" i="11"/>
  <c r="H255" i="11"/>
  <c r="H319" i="11"/>
  <c r="H383" i="11"/>
  <c r="H447" i="11"/>
  <c r="H511" i="11"/>
  <c r="H575" i="11"/>
  <c r="H639" i="11"/>
  <c r="H35" i="11"/>
  <c r="H219" i="11"/>
  <c r="H395" i="11"/>
  <c r="H547" i="11"/>
  <c r="H731" i="11"/>
  <c r="H907" i="11"/>
  <c r="H84" i="11"/>
  <c r="H268" i="11"/>
  <c r="H444" i="11"/>
  <c r="H596" i="11"/>
  <c r="H780" i="11"/>
  <c r="H37" i="11"/>
  <c r="H189" i="11"/>
  <c r="H373" i="11"/>
  <c r="H549" i="11"/>
  <c r="H701" i="11"/>
  <c r="H885" i="11"/>
  <c r="H46" i="11"/>
  <c r="H198" i="11"/>
  <c r="H382" i="11"/>
  <c r="H558" i="11"/>
  <c r="H710" i="11"/>
  <c r="H894" i="11"/>
  <c r="H55" i="11"/>
  <c r="H207" i="11"/>
  <c r="H391" i="11"/>
  <c r="H567" i="11"/>
  <c r="H703" i="11"/>
  <c r="H807" i="11"/>
  <c r="H871" i="11"/>
  <c r="H32" i="11"/>
  <c r="H96" i="11"/>
  <c r="H160" i="11"/>
  <c r="H224" i="11"/>
  <c r="H288" i="11"/>
  <c r="H352" i="11"/>
  <c r="H416" i="11"/>
  <c r="H480" i="11"/>
  <c r="H544" i="11"/>
  <c r="H608" i="11"/>
  <c r="H672" i="11"/>
  <c r="H736" i="11"/>
  <c r="H800" i="11"/>
  <c r="H864" i="11"/>
  <c r="H928" i="11"/>
  <c r="H992" i="11"/>
  <c r="H58" i="11"/>
  <c r="H122" i="11"/>
  <c r="H186" i="11"/>
  <c r="H250" i="11"/>
  <c r="H314" i="11"/>
  <c r="H378" i="11"/>
  <c r="H442" i="11"/>
  <c r="H506" i="11"/>
  <c r="H570" i="11"/>
  <c r="H634" i="11"/>
  <c r="H698" i="11"/>
  <c r="H762" i="11"/>
  <c r="H826" i="11"/>
  <c r="H99" i="11"/>
  <c r="H283" i="11"/>
  <c r="H459" i="11"/>
  <c r="H611" i="11"/>
  <c r="H795" i="11"/>
  <c r="H971" i="11"/>
  <c r="H148" i="11"/>
  <c r="H332" i="11"/>
  <c r="H508" i="11"/>
  <c r="H660" i="11"/>
  <c r="H844" i="11"/>
  <c r="H101" i="11"/>
  <c r="H253" i="11"/>
  <c r="H437" i="11"/>
  <c r="H613" i="11"/>
  <c r="H765" i="11"/>
  <c r="H949" i="11"/>
  <c r="H110" i="11"/>
  <c r="H262" i="11"/>
  <c r="H446" i="11"/>
  <c r="H622" i="11"/>
  <c r="H774" i="11"/>
  <c r="H958" i="11"/>
  <c r="H119" i="11"/>
  <c r="H271" i="11"/>
  <c r="H455" i="11"/>
  <c r="H631" i="11"/>
  <c r="H743" i="11"/>
  <c r="H831" i="11"/>
  <c r="H895" i="11"/>
  <c r="H56" i="11"/>
  <c r="H120" i="11"/>
  <c r="H184" i="11"/>
  <c r="H248" i="11"/>
  <c r="H312" i="11"/>
  <c r="H376" i="11"/>
  <c r="H440" i="11"/>
  <c r="H504" i="11"/>
  <c r="H568" i="11"/>
  <c r="H632" i="11"/>
  <c r="H696" i="11"/>
  <c r="H760" i="11"/>
  <c r="H824" i="11"/>
  <c r="H888" i="11"/>
  <c r="H952" i="11"/>
  <c r="H18" i="11"/>
  <c r="H82" i="11"/>
  <c r="H146" i="11"/>
  <c r="H210" i="11"/>
  <c r="H274" i="11"/>
  <c r="H338" i="11"/>
  <c r="H402" i="11"/>
  <c r="H466" i="11"/>
  <c r="H530" i="11"/>
  <c r="H594" i="11"/>
  <c r="H658" i="11"/>
  <c r="H722" i="11"/>
  <c r="H786" i="11"/>
  <c r="H850" i="11"/>
  <c r="H914" i="11"/>
  <c r="H978" i="11"/>
  <c r="H81" i="11"/>
  <c r="H593" i="11"/>
  <c r="H983" i="11"/>
  <c r="H1067" i="11"/>
  <c r="H1155" i="11"/>
  <c r="H1291" i="11"/>
  <c r="H1276" i="11"/>
  <c r="H1289" i="11"/>
  <c r="H473" i="11"/>
  <c r="H943" i="11"/>
  <c r="H1052" i="11"/>
  <c r="H1116" i="11"/>
  <c r="H1244" i="11"/>
  <c r="H1265" i="11"/>
  <c r="H417" i="11"/>
  <c r="H921" i="11"/>
  <c r="H1045" i="11"/>
  <c r="H1109" i="11"/>
  <c r="H1173" i="11"/>
  <c r="H1237" i="11"/>
  <c r="H1305" i="11"/>
  <c r="H489" i="11"/>
  <c r="H948" i="11"/>
  <c r="H1054" i="11"/>
  <c r="H1118" i="11"/>
  <c r="H1182" i="11"/>
  <c r="H1246" i="11"/>
  <c r="H1310" i="11"/>
  <c r="H1191" i="11"/>
  <c r="H1311" i="11"/>
  <c r="H1011" i="11"/>
  <c r="H1321" i="11"/>
  <c r="H497" i="11"/>
  <c r="H951" i="11"/>
  <c r="H1055" i="11"/>
  <c r="H1127" i="11"/>
  <c r="H1271" i="11"/>
  <c r="H897" i="11"/>
  <c r="H1225" i="11"/>
  <c r="H441" i="11"/>
  <c r="H932" i="11"/>
  <c r="H1048" i="11"/>
  <c r="H1112" i="11"/>
  <c r="H1176" i="11"/>
  <c r="H1240" i="11"/>
  <c r="H1304" i="11"/>
  <c r="H935" i="11"/>
  <c r="H1249" i="11"/>
  <c r="H457" i="11"/>
  <c r="H937" i="11"/>
  <c r="H1050" i="11"/>
  <c r="H1114" i="11"/>
  <c r="H1178" i="11"/>
  <c r="H1242" i="11"/>
  <c r="H1306" i="11"/>
  <c r="H1179" i="11"/>
  <c r="H1299" i="11"/>
  <c r="H1284" i="11"/>
  <c r="H1273" i="11"/>
  <c r="H10" i="11"/>
  <c r="H3" i="11"/>
  <c r="H139" i="11"/>
  <c r="H347" i="11"/>
  <c r="H587" i="11"/>
  <c r="H803" i="11"/>
  <c r="H60" i="11"/>
  <c r="H276" i="11"/>
  <c r="H524" i="11"/>
  <c r="H724" i="11"/>
  <c r="H53" i="11"/>
  <c r="H293" i="11"/>
  <c r="H501" i="11"/>
  <c r="H741" i="11"/>
  <c r="H957" i="11"/>
  <c r="H174" i="11"/>
  <c r="H390" i="11"/>
  <c r="H638" i="11"/>
  <c r="H838" i="11"/>
  <c r="H71" i="11"/>
  <c r="H311" i="11"/>
  <c r="H519" i="11"/>
  <c r="H711" i="11"/>
  <c r="H839" i="11"/>
  <c r="H16" i="11"/>
  <c r="H104" i="11"/>
  <c r="H192" i="11"/>
  <c r="H272" i="11"/>
  <c r="H360" i="11"/>
  <c r="H448" i="11"/>
  <c r="H528" i="11"/>
  <c r="H616" i="11"/>
  <c r="H704" i="11"/>
  <c r="H784" i="11"/>
  <c r="H872" i="11"/>
  <c r="H960" i="11"/>
  <c r="H42" i="11"/>
  <c r="H130" i="11"/>
  <c r="H218" i="11"/>
  <c r="H298" i="11"/>
  <c r="H386" i="11"/>
  <c r="H474" i="11"/>
  <c r="H554" i="11"/>
  <c r="H642" i="11"/>
  <c r="H730" i="11"/>
  <c r="H810" i="11"/>
  <c r="H890" i="11"/>
  <c r="H962" i="11"/>
  <c r="H17" i="11"/>
  <c r="H657" i="11"/>
  <c r="H1015" i="11"/>
  <c r="H1091" i="11"/>
  <c r="H1219" i="11"/>
  <c r="H1204" i="11"/>
  <c r="H1153" i="11"/>
  <c r="H409" i="11"/>
  <c r="H964" i="11"/>
  <c r="H1068" i="11"/>
  <c r="H1156" i="11"/>
  <c r="H1261" i="11"/>
  <c r="H225" i="11"/>
  <c r="H801" i="11"/>
  <c r="H1037" i="11"/>
  <c r="H1117" i="11"/>
  <c r="H1189" i="11"/>
  <c r="H1285" i="11"/>
  <c r="H233" i="11"/>
  <c r="H809" i="11"/>
  <c r="H1038" i="11"/>
  <c r="H1110" i="11"/>
  <c r="H1190" i="11"/>
  <c r="H1262" i="11"/>
  <c r="H1103" i="11"/>
  <c r="H1255" i="11"/>
  <c r="H705" i="11"/>
  <c r="H1217" i="11"/>
  <c r="H433" i="11"/>
  <c r="H972" i="11"/>
  <c r="H1071" i="11"/>
  <c r="H1183" i="11"/>
  <c r="H129" i="11"/>
  <c r="H1097" i="11"/>
  <c r="H313" i="11"/>
  <c r="H889" i="11"/>
  <c r="H1056" i="11"/>
  <c r="H1128" i="11"/>
  <c r="H1200" i="11"/>
  <c r="H1272" i="11"/>
  <c r="H385" i="11"/>
  <c r="H1161" i="11"/>
  <c r="H393" i="11"/>
  <c r="H959" i="11"/>
  <c r="H1066" i="11"/>
  <c r="H1138" i="11"/>
  <c r="H1210" i="11"/>
  <c r="H1282" i="11"/>
  <c r="H1147" i="11"/>
  <c r="H1283" i="11"/>
  <c r="H1308" i="11"/>
  <c r="H5" i="11"/>
  <c r="H155" i="11"/>
  <c r="H355" i="11"/>
  <c r="H603" i="11"/>
  <c r="H843" i="11"/>
  <c r="H76" i="11"/>
  <c r="H316" i="11"/>
  <c r="H532" i="11"/>
  <c r="H764" i="11"/>
  <c r="H61" i="11"/>
  <c r="H309" i="11"/>
  <c r="H509" i="11"/>
  <c r="H757" i="11"/>
  <c r="H997" i="11"/>
  <c r="H190" i="11"/>
  <c r="H430" i="11"/>
  <c r="H646" i="11"/>
  <c r="H878" i="11"/>
  <c r="H79" i="11"/>
  <c r="H327" i="11"/>
  <c r="H527" i="11"/>
  <c r="H719" i="11"/>
  <c r="H847" i="11"/>
  <c r="H24" i="11"/>
  <c r="H112" i="11"/>
  <c r="H200" i="11"/>
  <c r="H280" i="11"/>
  <c r="H368" i="11"/>
  <c r="H456" i="11"/>
  <c r="H536" i="11"/>
  <c r="H624" i="11"/>
  <c r="H712" i="11"/>
  <c r="H792" i="11"/>
  <c r="H880" i="11"/>
  <c r="H968" i="11"/>
  <c r="H50" i="11"/>
  <c r="H138" i="11"/>
  <c r="H226" i="11"/>
  <c r="H306" i="11"/>
  <c r="H394" i="11"/>
  <c r="H482" i="11"/>
  <c r="H562" i="11"/>
  <c r="H650" i="11"/>
  <c r="H738" i="11"/>
  <c r="H818" i="11"/>
  <c r="H898" i="11"/>
  <c r="H970" i="11"/>
  <c r="H145" i="11"/>
  <c r="H721" i="11"/>
  <c r="H1027" i="11"/>
  <c r="H1099" i="11"/>
  <c r="H1235" i="11"/>
  <c r="H1228" i="11"/>
  <c r="H1233" i="11"/>
  <c r="H537" i="11"/>
  <c r="H985" i="11"/>
  <c r="H1076" i="11"/>
  <c r="H1164" i="11"/>
  <c r="H1301" i="11"/>
  <c r="H289" i="11"/>
  <c r="H865" i="11"/>
  <c r="H1053" i="11"/>
  <c r="H1125" i="11"/>
  <c r="H1197" i="11"/>
  <c r="H1317" i="11"/>
  <c r="H297" i="11"/>
  <c r="H873" i="11"/>
  <c r="H1046" i="11"/>
  <c r="H1126" i="11"/>
  <c r="H1198" i="11"/>
  <c r="H1270" i="11"/>
  <c r="H1135" i="11"/>
  <c r="H1263" i="11"/>
  <c r="H833" i="11"/>
  <c r="H1257" i="11"/>
  <c r="H561" i="11"/>
  <c r="H991" i="11"/>
  <c r="H1079" i="11"/>
  <c r="H1199" i="11"/>
  <c r="H257" i="11"/>
  <c r="H1145" i="11"/>
  <c r="H377" i="11"/>
  <c r="H953" i="11"/>
  <c r="H1064" i="11"/>
  <c r="H1136" i="11"/>
  <c r="H1208" i="11"/>
  <c r="H1280" i="11"/>
  <c r="H577" i="11"/>
  <c r="H1201" i="11"/>
  <c r="H521" i="11"/>
  <c r="H980" i="11"/>
  <c r="H1074" i="11"/>
  <c r="H1146" i="11"/>
  <c r="H1218" i="11"/>
  <c r="H1290" i="11"/>
  <c r="H1163" i="11"/>
  <c r="H1315" i="11"/>
  <c r="H1332" i="11"/>
  <c r="H6" i="11"/>
  <c r="H163" i="11"/>
  <c r="H411" i="11"/>
  <c r="H651" i="11"/>
  <c r="H859" i="11"/>
  <c r="H124" i="11"/>
  <c r="H340" i="11"/>
  <c r="H572" i="11"/>
  <c r="H788" i="11"/>
  <c r="H117" i="11"/>
  <c r="H317" i="11"/>
  <c r="H565" i="11"/>
  <c r="H805" i="11"/>
  <c r="H1013" i="11"/>
  <c r="H238" i="11"/>
  <c r="H454" i="11"/>
  <c r="H686" i="11"/>
  <c r="H902" i="11"/>
  <c r="H135" i="11"/>
  <c r="H335" i="11"/>
  <c r="H583" i="11"/>
  <c r="H759" i="11"/>
  <c r="H855" i="11"/>
  <c r="H40" i="11"/>
  <c r="H128" i="11"/>
  <c r="H208" i="11"/>
  <c r="H296" i="11"/>
  <c r="H384" i="11"/>
  <c r="H464" i="11"/>
  <c r="H552" i="11"/>
  <c r="H640" i="11"/>
  <c r="H720" i="11"/>
  <c r="H808" i="11"/>
  <c r="H896" i="11"/>
  <c r="H976" i="11"/>
  <c r="H66" i="11"/>
  <c r="H154" i="11"/>
  <c r="H234" i="11"/>
  <c r="H322" i="11"/>
  <c r="H410" i="11"/>
  <c r="H490" i="11"/>
  <c r="H578" i="11"/>
  <c r="H666" i="11"/>
  <c r="H746" i="11"/>
  <c r="H834" i="11"/>
  <c r="H906" i="11"/>
  <c r="H986" i="11"/>
  <c r="H209" i="11"/>
  <c r="H785" i="11"/>
  <c r="H1035" i="11"/>
  <c r="H1115" i="11"/>
  <c r="H1259" i="11"/>
  <c r="H1252" i="11"/>
  <c r="H25" i="11"/>
  <c r="H601" i="11"/>
  <c r="H1001" i="11"/>
  <c r="H1084" i="11"/>
  <c r="H1172" i="11"/>
  <c r="H1121" i="11"/>
  <c r="H353" i="11"/>
  <c r="H945" i="11"/>
  <c r="H1061" i="11"/>
  <c r="H1133" i="11"/>
  <c r="H1205" i="11"/>
  <c r="H1105" i="11"/>
  <c r="H361" i="11"/>
  <c r="H927" i="11"/>
  <c r="H1062" i="11"/>
  <c r="H1134" i="11"/>
  <c r="H1206" i="11"/>
  <c r="H1278" i="11"/>
  <c r="H1151" i="11"/>
  <c r="H1279" i="11"/>
  <c r="H956" i="11"/>
  <c r="H49" i="11"/>
  <c r="H625" i="11"/>
  <c r="H1007" i="11"/>
  <c r="H1087" i="11"/>
  <c r="H1215" i="11"/>
  <c r="H449" i="11"/>
  <c r="H1177" i="11"/>
  <c r="H505" i="11"/>
  <c r="H975" i="11"/>
  <c r="H1072" i="11"/>
  <c r="H1144" i="11"/>
  <c r="H1216" i="11"/>
  <c r="H1288" i="11"/>
  <c r="H769" i="11"/>
  <c r="H1297" i="11"/>
  <c r="H585" i="11"/>
  <c r="H996" i="11"/>
  <c r="H1082" i="11"/>
  <c r="H1154" i="11"/>
  <c r="H1226" i="11"/>
  <c r="H1298" i="11"/>
  <c r="H1195" i="11"/>
  <c r="H1331" i="11"/>
  <c r="H1253" i="11"/>
  <c r="H9" i="11"/>
  <c r="H203" i="11"/>
  <c r="H419" i="11"/>
  <c r="H667" i="11"/>
  <c r="H867" i="11"/>
  <c r="H140" i="11"/>
  <c r="H380" i="11"/>
  <c r="H588" i="11"/>
  <c r="H828" i="11"/>
  <c r="H125" i="11"/>
  <c r="H357" i="11"/>
  <c r="H573" i="11"/>
  <c r="H821" i="11"/>
  <c r="H1021" i="11"/>
  <c r="H254" i="11"/>
  <c r="H494" i="11"/>
  <c r="H702" i="11"/>
  <c r="H942" i="11"/>
  <c r="H143" i="11"/>
  <c r="H375" i="11"/>
  <c r="H591" i="11"/>
  <c r="H767" i="11"/>
  <c r="H863" i="11"/>
  <c r="H48" i="11"/>
  <c r="H136" i="11"/>
  <c r="H216" i="11"/>
  <c r="H304" i="11"/>
  <c r="H392" i="11"/>
  <c r="H472" i="11"/>
  <c r="H560" i="11"/>
  <c r="H648" i="11"/>
  <c r="H728" i="11"/>
  <c r="H816" i="11"/>
  <c r="H904" i="11"/>
  <c r="H984" i="11"/>
  <c r="H74" i="11"/>
  <c r="H162" i="11"/>
  <c r="H242" i="11"/>
  <c r="H330" i="11"/>
  <c r="H418" i="11"/>
  <c r="H498" i="11"/>
  <c r="H586" i="11"/>
  <c r="H674" i="11"/>
  <c r="H754" i="11"/>
  <c r="H842" i="11"/>
  <c r="H922" i="11"/>
  <c r="H994" i="11"/>
  <c r="H273" i="11"/>
  <c r="H849" i="11"/>
  <c r="H1043" i="11"/>
  <c r="H1123" i="11"/>
  <c r="H1275" i="11"/>
  <c r="H1300" i="11"/>
  <c r="H89" i="11"/>
  <c r="H665" i="11"/>
  <c r="H1016" i="11"/>
  <c r="H1092" i="11"/>
  <c r="H1196" i="11"/>
  <c r="H1193" i="11"/>
  <c r="H481" i="11"/>
  <c r="H967" i="11"/>
  <c r="H1069" i="11"/>
  <c r="H1141" i="11"/>
  <c r="H1213" i="11"/>
  <c r="H1185" i="11"/>
  <c r="H425" i="11"/>
  <c r="H969" i="11"/>
  <c r="H1070" i="11"/>
  <c r="H1142" i="11"/>
  <c r="H1214" i="11"/>
  <c r="H1286" i="11"/>
  <c r="H1159" i="11"/>
  <c r="H1295" i="11"/>
  <c r="H1041" i="11"/>
  <c r="H113" i="11"/>
  <c r="H689" i="11"/>
  <c r="H1020" i="11"/>
  <c r="H1095" i="11"/>
  <c r="H1231" i="11"/>
  <c r="H641" i="11"/>
  <c r="H1281" i="11"/>
  <c r="H569" i="11"/>
  <c r="H993" i="11"/>
  <c r="H1080" i="11"/>
  <c r="H1152" i="11"/>
  <c r="H1224" i="11"/>
  <c r="H1296" i="11"/>
  <c r="H995" i="11"/>
  <c r="H73" i="11"/>
  <c r="H649" i="11"/>
  <c r="H1012" i="11"/>
  <c r="H1090" i="11"/>
  <c r="H1162" i="11"/>
  <c r="H1234" i="11"/>
  <c r="H1314" i="11"/>
  <c r="H1211" i="11"/>
  <c r="H1140" i="11"/>
  <c r="H1293" i="11"/>
  <c r="H7" i="11"/>
  <c r="H27" i="11"/>
  <c r="H483" i="11"/>
  <c r="H931" i="11"/>
  <c r="H404" i="11"/>
  <c r="H892" i="11"/>
  <c r="H421" i="11"/>
  <c r="H869" i="11"/>
  <c r="H318" i="11"/>
  <c r="H766" i="11"/>
  <c r="H199" i="11"/>
  <c r="H655" i="11"/>
  <c r="H887" i="11"/>
  <c r="H152" i="11"/>
  <c r="H328" i="11"/>
  <c r="H496" i="11"/>
  <c r="H664" i="11"/>
  <c r="H840" i="11"/>
  <c r="H1008" i="11"/>
  <c r="H178" i="11"/>
  <c r="H354" i="11"/>
  <c r="H522" i="11"/>
  <c r="H690" i="11"/>
  <c r="H866" i="11"/>
  <c r="H1010" i="11"/>
  <c r="H940" i="11"/>
  <c r="H1171" i="11"/>
  <c r="H1269" i="11"/>
  <c r="H793" i="11"/>
  <c r="H1108" i="11"/>
  <c r="H33" i="11"/>
  <c r="H1003" i="11"/>
  <c r="H1157" i="11"/>
  <c r="H41" i="11"/>
  <c r="H1004" i="11"/>
  <c r="H1158" i="11"/>
  <c r="H1302" i="11"/>
  <c r="H193" i="11"/>
  <c r="H241" i="11"/>
  <c r="H1039" i="11"/>
  <c r="H1287" i="11"/>
  <c r="H121" i="11"/>
  <c r="H1023" i="11"/>
  <c r="H1168" i="11"/>
  <c r="H1320" i="11"/>
  <c r="H201" i="11"/>
  <c r="H1034" i="11"/>
  <c r="H1186" i="11"/>
  <c r="H1330" i="11"/>
  <c r="H1212" i="11"/>
  <c r="I3" i="11"/>
  <c r="H75" i="11"/>
  <c r="H523" i="11"/>
  <c r="H12" i="11"/>
  <c r="H460" i="11"/>
  <c r="H908" i="11"/>
  <c r="H445" i="11"/>
  <c r="H893" i="11"/>
  <c r="H326" i="11"/>
  <c r="H814" i="11"/>
  <c r="H247" i="11"/>
  <c r="H679" i="11"/>
  <c r="H903" i="11"/>
  <c r="H168" i="11"/>
  <c r="H336" i="11"/>
  <c r="H512" i="11"/>
  <c r="H680" i="11"/>
  <c r="H848" i="11"/>
  <c r="H26" i="11"/>
  <c r="H194" i="11"/>
  <c r="H362" i="11"/>
  <c r="H538" i="11"/>
  <c r="H706" i="11"/>
  <c r="H874" i="11"/>
  <c r="H1018" i="11"/>
  <c r="H961" i="11"/>
  <c r="H1187" i="11"/>
  <c r="H1309" i="11"/>
  <c r="H857" i="11"/>
  <c r="H1124" i="11"/>
  <c r="H97" i="11"/>
  <c r="H1017" i="11"/>
  <c r="H1165" i="11"/>
  <c r="H105" i="11"/>
  <c r="H1019" i="11"/>
  <c r="H1166" i="11"/>
  <c r="H1318" i="11"/>
  <c r="H321" i="11"/>
  <c r="H305" i="11"/>
  <c r="H1047" i="11"/>
  <c r="H1303" i="11"/>
  <c r="H185" i="11"/>
  <c r="H1032" i="11"/>
  <c r="H1184" i="11"/>
  <c r="H1328" i="11"/>
  <c r="H265" i="11"/>
  <c r="H1042" i="11"/>
  <c r="H1194" i="11"/>
  <c r="H1107" i="11"/>
  <c r="H1236" i="11"/>
  <c r="H4" i="11"/>
  <c r="H91" i="11"/>
  <c r="H539" i="11"/>
  <c r="H20" i="11"/>
  <c r="H468" i="11"/>
  <c r="H916" i="11"/>
  <c r="H485" i="11"/>
  <c r="H933" i="11"/>
  <c r="H366" i="11"/>
  <c r="H830" i="11"/>
  <c r="H263" i="11"/>
  <c r="H695" i="11"/>
  <c r="H911" i="11"/>
  <c r="H176" i="11"/>
  <c r="H344" i="11"/>
  <c r="H520" i="11"/>
  <c r="H688" i="11"/>
  <c r="H856" i="11"/>
  <c r="H34" i="11"/>
  <c r="H202" i="11"/>
  <c r="H370" i="11"/>
  <c r="H546" i="11"/>
  <c r="H714" i="11"/>
  <c r="H882" i="11"/>
  <c r="H1026" i="11"/>
  <c r="H999" i="11"/>
  <c r="H1203" i="11"/>
  <c r="H1333" i="11"/>
  <c r="H919" i="11"/>
  <c r="H1148" i="11"/>
  <c r="H161" i="11"/>
  <c r="H1029" i="11"/>
  <c r="H1181" i="11"/>
  <c r="H169" i="11"/>
  <c r="H1030" i="11"/>
  <c r="H1174" i="11"/>
  <c r="H1326" i="11"/>
  <c r="H513" i="11"/>
  <c r="H369" i="11"/>
  <c r="H1063" i="11"/>
  <c r="H1319" i="11"/>
  <c r="H249" i="11"/>
  <c r="H1040" i="11"/>
  <c r="H1192" i="11"/>
  <c r="H65" i="11"/>
  <c r="H329" i="11"/>
  <c r="H1058" i="11"/>
  <c r="H1202" i="11"/>
  <c r="H1131" i="11"/>
  <c r="H1260" i="11"/>
  <c r="H227" i="11"/>
  <c r="H675" i="11"/>
  <c r="H188" i="11"/>
  <c r="H636" i="11"/>
  <c r="H165" i="11"/>
  <c r="H629" i="11"/>
  <c r="H62" i="11"/>
  <c r="H510" i="11"/>
  <c r="H966" i="11"/>
  <c r="H399" i="11"/>
  <c r="H775" i="11"/>
  <c r="H64" i="11"/>
  <c r="H232" i="11"/>
  <c r="H400" i="11"/>
  <c r="H576" i="11"/>
  <c r="H744" i="11"/>
  <c r="H912" i="11"/>
  <c r="H90" i="11"/>
  <c r="H258" i="11"/>
  <c r="H426" i="11"/>
  <c r="H602" i="11"/>
  <c r="H770" i="11"/>
  <c r="H930" i="11"/>
  <c r="H337" i="11"/>
  <c r="H1051" i="11"/>
  <c r="H1307" i="11"/>
  <c r="H153" i="11"/>
  <c r="H1028" i="11"/>
  <c r="H1220" i="11"/>
  <c r="H545" i="11"/>
  <c r="H1077" i="11"/>
  <c r="H1221" i="11"/>
  <c r="H553" i="11"/>
  <c r="H1078" i="11"/>
  <c r="H1222" i="11"/>
  <c r="H1175" i="11"/>
  <c r="H1065" i="11"/>
  <c r="H753" i="11"/>
  <c r="H1111" i="11"/>
  <c r="H977" i="11"/>
  <c r="H633" i="11"/>
  <c r="H1088" i="11"/>
  <c r="H1232" i="11"/>
  <c r="H1033" i="11"/>
  <c r="H713" i="11"/>
  <c r="H1098" i="11"/>
  <c r="H1250" i="11"/>
  <c r="H1227" i="11"/>
  <c r="H1325" i="11"/>
  <c r="H291" i="11"/>
  <c r="H739" i="11"/>
  <c r="H212" i="11"/>
  <c r="H700" i="11"/>
  <c r="H229" i="11"/>
  <c r="H677" i="11"/>
  <c r="H126" i="11"/>
  <c r="H574" i="11"/>
  <c r="H1022" i="11"/>
  <c r="H463" i="11"/>
  <c r="H815" i="11"/>
  <c r="H80" i="11"/>
  <c r="H256" i="11"/>
  <c r="H424" i="11"/>
  <c r="H592" i="11"/>
  <c r="H768" i="11"/>
  <c r="H936" i="11"/>
  <c r="H106" i="11"/>
  <c r="H282" i="11"/>
  <c r="H450" i="11"/>
  <c r="H618" i="11"/>
  <c r="H794" i="11"/>
  <c r="H946" i="11"/>
  <c r="H465" i="11"/>
  <c r="H1075" i="11"/>
  <c r="H1132" i="11"/>
  <c r="H281" i="11"/>
  <c r="H1044" i="11"/>
  <c r="H1292" i="11"/>
  <c r="H673" i="11"/>
  <c r="H1093" i="11"/>
  <c r="H1245" i="11"/>
  <c r="H681" i="11"/>
  <c r="H1094" i="11"/>
  <c r="H1238" i="11"/>
  <c r="H1223" i="11"/>
  <c r="H1129" i="11"/>
  <c r="H881" i="11"/>
  <c r="H1143" i="11"/>
  <c r="H1049" i="11"/>
  <c r="H761" i="11"/>
  <c r="H1104" i="11"/>
  <c r="H1256" i="11"/>
  <c r="H1081" i="11"/>
  <c r="H841" i="11"/>
  <c r="H1122" i="11"/>
  <c r="H1266" i="11"/>
  <c r="H1251" i="11"/>
  <c r="H1209" i="11"/>
  <c r="H779" i="11"/>
  <c r="H181" i="11"/>
  <c r="H302" i="11"/>
  <c r="H503" i="11"/>
  <c r="H240" i="11"/>
  <c r="H656" i="11"/>
  <c r="H114" i="11"/>
  <c r="H610" i="11"/>
  <c r="H1002" i="11"/>
  <c r="H1188" i="11"/>
  <c r="H1268" i="11"/>
  <c r="H1149" i="11"/>
  <c r="H1102" i="11"/>
  <c r="H1089" i="11"/>
  <c r="H1247" i="11"/>
  <c r="H1120" i="11"/>
  <c r="H777" i="11"/>
  <c r="H1322" i="11"/>
  <c r="H923" i="11"/>
  <c r="H245" i="11"/>
  <c r="H518" i="11"/>
  <c r="H647" i="11"/>
  <c r="H264" i="11"/>
  <c r="H752" i="11"/>
  <c r="H170" i="11"/>
  <c r="H626" i="11"/>
  <c r="H401" i="11"/>
  <c r="H1324" i="11"/>
  <c r="H1316" i="11"/>
  <c r="H1229" i="11"/>
  <c r="H1150" i="11"/>
  <c r="H1169" i="11"/>
  <c r="H1024" i="11"/>
  <c r="H1160" i="11"/>
  <c r="H905" i="11"/>
  <c r="H1243" i="11"/>
  <c r="H267" i="11"/>
  <c r="H1006" i="11"/>
  <c r="H432" i="11"/>
  <c r="H346" i="11"/>
  <c r="H1059" i="11"/>
  <c r="H737" i="11"/>
  <c r="H1294" i="11"/>
  <c r="H697" i="11"/>
  <c r="H1130" i="11"/>
  <c r="H15" i="11"/>
  <c r="H1083" i="11"/>
  <c r="H987" i="11"/>
  <c r="H825" i="11"/>
  <c r="H1313" i="11"/>
  <c r="H716" i="11"/>
  <c r="H183" i="11"/>
  <c r="H584" i="11"/>
  <c r="H1139" i="11"/>
  <c r="H1085" i="11"/>
  <c r="H1239" i="11"/>
  <c r="H1009" i="11"/>
  <c r="H1258" i="11"/>
  <c r="H204" i="11"/>
  <c r="H381" i="11"/>
  <c r="H582" i="11"/>
  <c r="H783" i="11"/>
  <c r="H320" i="11"/>
  <c r="H776" i="11"/>
  <c r="H266" i="11"/>
  <c r="H682" i="11"/>
  <c r="H529" i="11"/>
  <c r="H217" i="11"/>
  <c r="H1329" i="11"/>
  <c r="H1277" i="11"/>
  <c r="H1230" i="11"/>
  <c r="H177" i="11"/>
  <c r="H1073" i="11"/>
  <c r="H1248" i="11"/>
  <c r="H1025" i="11"/>
  <c r="H1267" i="11"/>
  <c r="H396" i="11"/>
  <c r="H879" i="11"/>
  <c r="H920" i="11"/>
  <c r="H802" i="11"/>
  <c r="H729" i="11"/>
  <c r="H617" i="11"/>
  <c r="H929" i="11"/>
  <c r="H1312" i="11"/>
  <c r="H1137" i="11"/>
  <c r="H72" i="11"/>
  <c r="H858" i="11"/>
  <c r="H745" i="11"/>
  <c r="H1057" i="11"/>
  <c r="H475" i="11"/>
  <c r="H70" i="11"/>
  <c r="H88" i="11"/>
  <c r="H458" i="11"/>
  <c r="H1060" i="11"/>
  <c r="H988" i="11"/>
  <c r="H1119" i="11"/>
  <c r="H1113" i="11"/>
  <c r="H8" i="11"/>
  <c r="H11" i="11"/>
  <c r="H252" i="11"/>
  <c r="H637" i="11"/>
  <c r="H750" i="11"/>
  <c r="H823" i="11"/>
  <c r="H408" i="11"/>
  <c r="H832" i="11"/>
  <c r="H290" i="11"/>
  <c r="H778" i="11"/>
  <c r="H913" i="11"/>
  <c r="H345" i="11"/>
  <c r="H609" i="11"/>
  <c r="H1241" i="11"/>
  <c r="H1254" i="11"/>
  <c r="H817" i="11"/>
  <c r="H57" i="11"/>
  <c r="H1264" i="11"/>
  <c r="H1106" i="11"/>
  <c r="H1180" i="11"/>
  <c r="H693" i="11"/>
  <c r="H944" i="11"/>
  <c r="H1031" i="11"/>
  <c r="H938" i="11"/>
  <c r="H331" i="11"/>
  <c r="H652" i="11"/>
  <c r="H829" i="11"/>
  <c r="H488" i="11"/>
  <c r="H434" i="11"/>
  <c r="H1036" i="11"/>
  <c r="H1207" i="11"/>
  <c r="H1170" i="11"/>
  <c r="H1000" i="11"/>
  <c r="H144" i="11"/>
  <c r="H1086" i="11"/>
  <c r="H715" i="11"/>
  <c r="H954" i="11"/>
  <c r="H134" i="11"/>
  <c r="H1101" i="11"/>
  <c r="H600" i="11"/>
  <c r="H1327" i="11"/>
  <c r="H137" i="11"/>
  <c r="H439" i="11"/>
  <c r="H98" i="11"/>
  <c r="H1167" i="11"/>
  <c r="H1096" i="11"/>
  <c r="H1100" i="11"/>
  <c r="H514" i="11"/>
  <c r="H852" i="11"/>
  <c r="H1323" i="11"/>
  <c r="H1274" i="11"/>
  <c r="J3" i="17"/>
  <c r="J11" i="17"/>
  <c r="J19" i="17"/>
  <c r="J27" i="17"/>
  <c r="J35" i="17"/>
  <c r="J43" i="17"/>
  <c r="J51" i="17"/>
  <c r="J59" i="17"/>
  <c r="J67" i="17"/>
  <c r="J75" i="17"/>
  <c r="J83" i="17"/>
  <c r="J91" i="17"/>
  <c r="J99" i="17"/>
  <c r="J107" i="17"/>
  <c r="J115" i="17"/>
  <c r="J123" i="17"/>
  <c r="J131" i="17"/>
  <c r="J139" i="17"/>
  <c r="J147" i="17"/>
  <c r="J155" i="17"/>
  <c r="J163" i="17"/>
  <c r="J171" i="17"/>
  <c r="J179" i="17"/>
  <c r="J187" i="17"/>
  <c r="J195" i="17"/>
  <c r="J203" i="17"/>
  <c r="J211" i="17"/>
  <c r="J219" i="17"/>
  <c r="J227" i="17"/>
  <c r="J235" i="17"/>
  <c r="J243" i="17"/>
  <c r="J251" i="17"/>
  <c r="J259" i="17"/>
  <c r="J267" i="17"/>
  <c r="J275" i="17"/>
  <c r="J283" i="17"/>
  <c r="J291" i="17"/>
  <c r="J299" i="17"/>
  <c r="J307" i="17"/>
  <c r="J315" i="17"/>
  <c r="J323" i="17"/>
  <c r="J331" i="17"/>
  <c r="J339" i="17"/>
  <c r="J347" i="17"/>
  <c r="J355" i="17"/>
  <c r="J363" i="17"/>
  <c r="J371" i="17"/>
  <c r="J379" i="17"/>
  <c r="J387" i="17"/>
  <c r="J395" i="17"/>
  <c r="J403" i="17"/>
  <c r="J411" i="17"/>
  <c r="J419" i="17"/>
  <c r="J427" i="17"/>
  <c r="J435" i="17"/>
  <c r="J443" i="17"/>
  <c r="J451" i="17"/>
  <c r="J459" i="17"/>
  <c r="J467" i="17"/>
  <c r="J475" i="17"/>
  <c r="J483" i="17"/>
  <c r="J491" i="17"/>
  <c r="J499" i="17"/>
  <c r="J507" i="17"/>
  <c r="J515" i="17"/>
  <c r="J523" i="17"/>
  <c r="J531" i="17"/>
  <c r="J539" i="17"/>
  <c r="J547" i="17"/>
  <c r="J555" i="17"/>
  <c r="J563" i="17"/>
  <c r="J571" i="17"/>
  <c r="J579" i="17"/>
  <c r="J587" i="17"/>
  <c r="J595" i="17"/>
  <c r="J603" i="17"/>
  <c r="J611" i="17"/>
  <c r="J619" i="17"/>
  <c r="J627" i="17"/>
  <c r="J635" i="17"/>
  <c r="J643" i="17"/>
  <c r="J651" i="17"/>
  <c r="J659" i="17"/>
  <c r="J667" i="17"/>
  <c r="J675" i="17"/>
  <c r="J683" i="17"/>
  <c r="J691" i="17"/>
  <c r="J699" i="17"/>
  <c r="J707" i="17"/>
  <c r="J715" i="17"/>
  <c r="J723" i="17"/>
  <c r="J731" i="17"/>
  <c r="J739" i="17"/>
  <c r="J747" i="17"/>
  <c r="J755" i="17"/>
  <c r="J763" i="17"/>
  <c r="J771" i="17"/>
  <c r="J779" i="17"/>
  <c r="J787" i="17"/>
  <c r="J795" i="17"/>
  <c r="J803" i="17"/>
  <c r="J811" i="17"/>
  <c r="J819" i="17"/>
  <c r="J827" i="17"/>
  <c r="J835" i="17"/>
  <c r="J843" i="17"/>
  <c r="J851" i="17"/>
  <c r="J859" i="17"/>
  <c r="J867" i="17"/>
  <c r="J875" i="17"/>
  <c r="J883" i="17"/>
  <c r="J891" i="17"/>
  <c r="J899" i="17"/>
  <c r="J907" i="17"/>
  <c r="J915" i="17"/>
  <c r="J923" i="17"/>
  <c r="J931" i="17"/>
  <c r="J939" i="17"/>
  <c r="J947" i="17"/>
  <c r="J955" i="17"/>
  <c r="J963" i="17"/>
  <c r="J971" i="17"/>
  <c r="J979" i="17"/>
  <c r="J987" i="17"/>
  <c r="J995" i="17"/>
  <c r="J1003" i="17"/>
  <c r="J1011" i="17"/>
  <c r="J4" i="17"/>
  <c r="J12" i="17"/>
  <c r="J20" i="17"/>
  <c r="J28" i="17"/>
  <c r="J36" i="17"/>
  <c r="J44" i="17"/>
  <c r="J52" i="17"/>
  <c r="J60" i="17"/>
  <c r="J68" i="17"/>
  <c r="J76" i="17"/>
  <c r="J84" i="17"/>
  <c r="J92" i="17"/>
  <c r="J100" i="17"/>
  <c r="J108" i="17"/>
  <c r="J116" i="17"/>
  <c r="J124" i="17"/>
  <c r="J132" i="17"/>
  <c r="J140" i="17"/>
  <c r="J148" i="17"/>
  <c r="J156" i="17"/>
  <c r="J164" i="17"/>
  <c r="J172" i="17"/>
  <c r="J180" i="17"/>
  <c r="J188" i="17"/>
  <c r="J196" i="17"/>
  <c r="J204" i="17"/>
  <c r="J212" i="17"/>
  <c r="J220" i="17"/>
  <c r="J228" i="17"/>
  <c r="J236" i="17"/>
  <c r="J244" i="17"/>
  <c r="J252" i="17"/>
  <c r="J260" i="17"/>
  <c r="J268" i="17"/>
  <c r="J276" i="17"/>
  <c r="J284" i="17"/>
  <c r="J292" i="17"/>
  <c r="J300" i="17"/>
  <c r="J308" i="17"/>
  <c r="J316" i="17"/>
  <c r="J324" i="17"/>
  <c r="J332" i="17"/>
  <c r="J340" i="17"/>
  <c r="J348" i="17"/>
  <c r="J356" i="17"/>
  <c r="J364" i="17"/>
  <c r="J372" i="17"/>
  <c r="J380" i="17"/>
  <c r="J388" i="17"/>
  <c r="J396" i="17"/>
  <c r="J404" i="17"/>
  <c r="J412" i="17"/>
  <c r="J420" i="17"/>
  <c r="J428" i="17"/>
  <c r="J436" i="17"/>
  <c r="J444" i="17"/>
  <c r="J452" i="17"/>
  <c r="J460" i="17"/>
  <c r="J468" i="17"/>
  <c r="J476" i="17"/>
  <c r="J484" i="17"/>
  <c r="J492" i="17"/>
  <c r="J500" i="17"/>
  <c r="J508" i="17"/>
  <c r="J516" i="17"/>
  <c r="J524" i="17"/>
  <c r="J532" i="17"/>
  <c r="J540" i="17"/>
  <c r="J548" i="17"/>
  <c r="J556" i="17"/>
  <c r="J564" i="17"/>
  <c r="J572" i="17"/>
  <c r="J580" i="17"/>
  <c r="J588" i="17"/>
  <c r="J596" i="17"/>
  <c r="J604" i="17"/>
  <c r="J612" i="17"/>
  <c r="J620" i="17"/>
  <c r="J628" i="17"/>
  <c r="J636" i="17"/>
  <c r="J644" i="17"/>
  <c r="J652" i="17"/>
  <c r="J660" i="17"/>
  <c r="J668" i="17"/>
  <c r="J676" i="17"/>
  <c r="J684" i="17"/>
  <c r="J692" i="17"/>
  <c r="J700" i="17"/>
  <c r="J5" i="17"/>
  <c r="J13" i="17"/>
  <c r="J21" i="17"/>
  <c r="J29" i="17"/>
  <c r="J37" i="17"/>
  <c r="J45" i="17"/>
  <c r="J53" i="17"/>
  <c r="J61" i="17"/>
  <c r="J69" i="17"/>
  <c r="J77" i="17"/>
  <c r="J85" i="17"/>
  <c r="J93" i="17"/>
  <c r="J101" i="17"/>
  <c r="J109" i="17"/>
  <c r="J117" i="17"/>
  <c r="J125" i="17"/>
  <c r="J133" i="17"/>
  <c r="J141" i="17"/>
  <c r="J149" i="17"/>
  <c r="J157" i="17"/>
  <c r="J165" i="17"/>
  <c r="J173" i="17"/>
  <c r="J181" i="17"/>
  <c r="J189" i="17"/>
  <c r="J197" i="17"/>
  <c r="J205" i="17"/>
  <c r="J213" i="17"/>
  <c r="J221" i="17"/>
  <c r="J229" i="17"/>
  <c r="J237" i="17"/>
  <c r="J245" i="17"/>
  <c r="J253" i="17"/>
  <c r="J261" i="17"/>
  <c r="J269" i="17"/>
  <c r="J277" i="17"/>
  <c r="J285" i="17"/>
  <c r="J293" i="17"/>
  <c r="J301" i="17"/>
  <c r="J309" i="17"/>
  <c r="J317" i="17"/>
  <c r="J325" i="17"/>
  <c r="J333" i="17"/>
  <c r="J341" i="17"/>
  <c r="J349" i="17"/>
  <c r="J357" i="17"/>
  <c r="J365" i="17"/>
  <c r="J373" i="17"/>
  <c r="J381" i="17"/>
  <c r="J389" i="17"/>
  <c r="J397" i="17"/>
  <c r="J405" i="17"/>
  <c r="J413" i="17"/>
  <c r="J421" i="17"/>
  <c r="J429" i="17"/>
  <c r="J437" i="17"/>
  <c r="J445" i="17"/>
  <c r="J453" i="17"/>
  <c r="J461" i="17"/>
  <c r="J469" i="17"/>
  <c r="J477" i="17"/>
  <c r="J485" i="17"/>
  <c r="J493" i="17"/>
  <c r="J501" i="17"/>
  <c r="J509" i="17"/>
  <c r="J517" i="17"/>
  <c r="J525" i="17"/>
  <c r="J533" i="17"/>
  <c r="J541" i="17"/>
  <c r="J549" i="17"/>
  <c r="J557" i="17"/>
  <c r="J565" i="17"/>
  <c r="J573" i="17"/>
  <c r="J581" i="17"/>
  <c r="J589" i="17"/>
  <c r="J597" i="17"/>
  <c r="J605" i="17"/>
  <c r="J613" i="17"/>
  <c r="J621" i="17"/>
  <c r="J629" i="17"/>
  <c r="J637" i="17"/>
  <c r="J645" i="17"/>
  <c r="J653" i="17"/>
  <c r="J661" i="17"/>
  <c r="J669" i="17"/>
  <c r="J677" i="17"/>
  <c r="J685" i="17"/>
  <c r="J693" i="17"/>
  <c r="J701" i="17"/>
  <c r="J709" i="17"/>
  <c r="J717" i="17"/>
  <c r="J725" i="17"/>
  <c r="J733" i="17"/>
  <c r="J741" i="17"/>
  <c r="J749" i="17"/>
  <c r="J757" i="17"/>
  <c r="J765" i="17"/>
  <c r="J773" i="17"/>
  <c r="J781" i="17"/>
  <c r="J789" i="17"/>
  <c r="J797" i="17"/>
  <c r="J6" i="17"/>
  <c r="J14" i="17"/>
  <c r="J22" i="17"/>
  <c r="J30" i="17"/>
  <c r="J38" i="17"/>
  <c r="J46" i="17"/>
  <c r="J54" i="17"/>
  <c r="J62" i="17"/>
  <c r="J70" i="17"/>
  <c r="J78" i="17"/>
  <c r="J86" i="17"/>
  <c r="J94" i="17"/>
  <c r="J102" i="17"/>
  <c r="J110" i="17"/>
  <c r="J118" i="17"/>
  <c r="J126" i="17"/>
  <c r="J134" i="17"/>
  <c r="J142" i="17"/>
  <c r="J150" i="17"/>
  <c r="J158" i="17"/>
  <c r="J166" i="17"/>
  <c r="J174" i="17"/>
  <c r="J182" i="17"/>
  <c r="J190" i="17"/>
  <c r="J198" i="17"/>
  <c r="J206" i="17"/>
  <c r="J214" i="17"/>
  <c r="J222" i="17"/>
  <c r="J230" i="17"/>
  <c r="J238" i="17"/>
  <c r="J246" i="17"/>
  <c r="J254" i="17"/>
  <c r="J262" i="17"/>
  <c r="J270" i="17"/>
  <c r="J278" i="17"/>
  <c r="J286" i="17"/>
  <c r="J294" i="17"/>
  <c r="J302" i="17"/>
  <c r="J310" i="17"/>
  <c r="J318" i="17"/>
  <c r="J326" i="17"/>
  <c r="J334" i="17"/>
  <c r="J342" i="17"/>
  <c r="J350" i="17"/>
  <c r="J358" i="17"/>
  <c r="J366" i="17"/>
  <c r="J374" i="17"/>
  <c r="J382" i="17"/>
  <c r="J390" i="17"/>
  <c r="J398" i="17"/>
  <c r="J406" i="17"/>
  <c r="J414" i="17"/>
  <c r="J422" i="17"/>
  <c r="J430" i="17"/>
  <c r="J438" i="17"/>
  <c r="J446" i="17"/>
  <c r="J454" i="17"/>
  <c r="J462" i="17"/>
  <c r="J470" i="17"/>
  <c r="J478" i="17"/>
  <c r="J486" i="17"/>
  <c r="J494" i="17"/>
  <c r="J502" i="17"/>
  <c r="J510" i="17"/>
  <c r="J518" i="17"/>
  <c r="J526" i="17"/>
  <c r="J534" i="17"/>
  <c r="J542" i="17"/>
  <c r="J550" i="17"/>
  <c r="J558" i="17"/>
  <c r="J566" i="17"/>
  <c r="J574" i="17"/>
  <c r="J582" i="17"/>
  <c r="J590" i="17"/>
  <c r="J598" i="17"/>
  <c r="J606" i="17"/>
  <c r="J614" i="17"/>
  <c r="J622" i="17"/>
  <c r="J7" i="17"/>
  <c r="J15" i="17"/>
  <c r="J23" i="17"/>
  <c r="J31" i="17"/>
  <c r="J39" i="17"/>
  <c r="J47" i="17"/>
  <c r="J55" i="17"/>
  <c r="J63" i="17"/>
  <c r="J71" i="17"/>
  <c r="J79" i="17"/>
  <c r="J87" i="17"/>
  <c r="J95" i="17"/>
  <c r="J103" i="17"/>
  <c r="J111" i="17"/>
  <c r="J119" i="17"/>
  <c r="J127" i="17"/>
  <c r="J135" i="17"/>
  <c r="J143" i="17"/>
  <c r="J151" i="17"/>
  <c r="J159" i="17"/>
  <c r="J167" i="17"/>
  <c r="J175" i="17"/>
  <c r="J183" i="17"/>
  <c r="J191" i="17"/>
  <c r="J199" i="17"/>
  <c r="J207" i="17"/>
  <c r="J215" i="17"/>
  <c r="J223" i="17"/>
  <c r="J231" i="17"/>
  <c r="J239" i="17"/>
  <c r="J247" i="17"/>
  <c r="J255" i="17"/>
  <c r="J263" i="17"/>
  <c r="J271" i="17"/>
  <c r="J279" i="17"/>
  <c r="J287" i="17"/>
  <c r="J295" i="17"/>
  <c r="J303" i="17"/>
  <c r="J311" i="17"/>
  <c r="J319" i="17"/>
  <c r="J327" i="17"/>
  <c r="J335" i="17"/>
  <c r="J343" i="17"/>
  <c r="J351" i="17"/>
  <c r="J359" i="17"/>
  <c r="J367" i="17"/>
  <c r="J375" i="17"/>
  <c r="J383" i="17"/>
  <c r="J391" i="17"/>
  <c r="J399" i="17"/>
  <c r="J407" i="17"/>
  <c r="J415" i="17"/>
  <c r="J423" i="17"/>
  <c r="J431" i="17"/>
  <c r="J439" i="17"/>
  <c r="J447" i="17"/>
  <c r="J455" i="17"/>
  <c r="J463" i="17"/>
  <c r="J471" i="17"/>
  <c r="J479" i="17"/>
  <c r="J487" i="17"/>
  <c r="J495" i="17"/>
  <c r="J503" i="17"/>
  <c r="J511" i="17"/>
  <c r="J519" i="17"/>
  <c r="J527" i="17"/>
  <c r="J535" i="17"/>
  <c r="J8" i="17"/>
  <c r="J16" i="17"/>
  <c r="J24" i="17"/>
  <c r="J32" i="17"/>
  <c r="J40" i="17"/>
  <c r="J48" i="17"/>
  <c r="J56" i="17"/>
  <c r="J64" i="17"/>
  <c r="J72" i="17"/>
  <c r="J80" i="17"/>
  <c r="J88" i="17"/>
  <c r="J96" i="17"/>
  <c r="J104" i="17"/>
  <c r="J112" i="17"/>
  <c r="J120" i="17"/>
  <c r="J128" i="17"/>
  <c r="J136" i="17"/>
  <c r="J144" i="17"/>
  <c r="J152" i="17"/>
  <c r="J160" i="17"/>
  <c r="J168" i="17"/>
  <c r="J176" i="17"/>
  <c r="J184" i="17"/>
  <c r="J192" i="17"/>
  <c r="J200" i="17"/>
  <c r="J208" i="17"/>
  <c r="J216" i="17"/>
  <c r="J224" i="17"/>
  <c r="J232" i="17"/>
  <c r="J240" i="17"/>
  <c r="J248" i="17"/>
  <c r="J256" i="17"/>
  <c r="J264" i="17"/>
  <c r="J272" i="17"/>
  <c r="J280" i="17"/>
  <c r="J288" i="17"/>
  <c r="J296" i="17"/>
  <c r="J304" i="17"/>
  <c r="J312" i="17"/>
  <c r="J320" i="17"/>
  <c r="J328" i="17"/>
  <c r="J336" i="17"/>
  <c r="J344" i="17"/>
  <c r="J352" i="17"/>
  <c r="J360" i="17"/>
  <c r="J368" i="17"/>
  <c r="J376" i="17"/>
  <c r="J384" i="17"/>
  <c r="J392" i="17"/>
  <c r="J400" i="17"/>
  <c r="J408" i="17"/>
  <c r="J416" i="17"/>
  <c r="J424" i="17"/>
  <c r="J432" i="17"/>
  <c r="J440" i="17"/>
  <c r="J448" i="17"/>
  <c r="J456" i="17"/>
  <c r="J464" i="17"/>
  <c r="J472" i="17"/>
  <c r="J480" i="17"/>
  <c r="J488" i="17"/>
  <c r="J496" i="17"/>
  <c r="J504" i="17"/>
  <c r="J512" i="17"/>
  <c r="J520" i="17"/>
  <c r="J528" i="17"/>
  <c r="J536" i="17"/>
  <c r="J544" i="17"/>
  <c r="J552" i="17"/>
  <c r="J560" i="17"/>
  <c r="J568" i="17"/>
  <c r="J576" i="17"/>
  <c r="J584" i="17"/>
  <c r="J592" i="17"/>
  <c r="J600" i="17"/>
  <c r="J608" i="17"/>
  <c r="J616" i="17"/>
  <c r="J624" i="17"/>
  <c r="J632" i="17"/>
  <c r="J640" i="17"/>
  <c r="J648" i="17"/>
  <c r="J656" i="17"/>
  <c r="J664" i="17"/>
  <c r="J672" i="17"/>
  <c r="J680" i="17"/>
  <c r="J688" i="17"/>
  <c r="J696" i="17"/>
  <c r="J704" i="17"/>
  <c r="J10" i="17"/>
  <c r="J18" i="17"/>
  <c r="J26" i="17"/>
  <c r="J34" i="17"/>
  <c r="J42" i="17"/>
  <c r="J50" i="17"/>
  <c r="J58" i="17"/>
  <c r="J66" i="17"/>
  <c r="J74" i="17"/>
  <c r="J82" i="17"/>
  <c r="J90" i="17"/>
  <c r="J98" i="17"/>
  <c r="J106" i="17"/>
  <c r="J114" i="17"/>
  <c r="J122" i="17"/>
  <c r="J130" i="17"/>
  <c r="J138" i="17"/>
  <c r="J146" i="17"/>
  <c r="J154" i="17"/>
  <c r="J162" i="17"/>
  <c r="J170" i="17"/>
  <c r="J178" i="17"/>
  <c r="J186" i="17"/>
  <c r="J194" i="17"/>
  <c r="J202" i="17"/>
  <c r="J210" i="17"/>
  <c r="J218" i="17"/>
  <c r="J226" i="17"/>
  <c r="J234" i="17"/>
  <c r="J242" i="17"/>
  <c r="J250" i="17"/>
  <c r="J258" i="17"/>
  <c r="J266" i="17"/>
  <c r="J274" i="17"/>
  <c r="J282" i="17"/>
  <c r="J290" i="17"/>
  <c r="J298" i="17"/>
  <c r="J306" i="17"/>
  <c r="J314" i="17"/>
  <c r="J322" i="17"/>
  <c r="J330" i="17"/>
  <c r="J338" i="17"/>
  <c r="J346" i="17"/>
  <c r="J354" i="17"/>
  <c r="J362" i="17"/>
  <c r="J370" i="17"/>
  <c r="J378" i="17"/>
  <c r="J386" i="17"/>
  <c r="J394" i="17"/>
  <c r="J402" i="17"/>
  <c r="J410" i="17"/>
  <c r="J418" i="17"/>
  <c r="J426" i="17"/>
  <c r="J434" i="17"/>
  <c r="J442" i="17"/>
  <c r="J450" i="17"/>
  <c r="J458" i="17"/>
  <c r="J466" i="17"/>
  <c r="J474" i="17"/>
  <c r="J482" i="17"/>
  <c r="J490" i="17"/>
  <c r="J498" i="17"/>
  <c r="J506" i="17"/>
  <c r="J514" i="17"/>
  <c r="J522" i="17"/>
  <c r="J530" i="17"/>
  <c r="J538" i="17"/>
  <c r="J546" i="17"/>
  <c r="J554" i="17"/>
  <c r="J562" i="17"/>
  <c r="J570" i="17"/>
  <c r="J578" i="17"/>
  <c r="J586" i="17"/>
  <c r="J594" i="17"/>
  <c r="J602" i="17"/>
  <c r="J610" i="17"/>
  <c r="J618" i="17"/>
  <c r="J626" i="17"/>
  <c r="J634" i="17"/>
  <c r="J642" i="17"/>
  <c r="J650" i="17"/>
  <c r="J658" i="17"/>
  <c r="J666" i="17"/>
  <c r="J674" i="17"/>
  <c r="J682" i="17"/>
  <c r="J690" i="17"/>
  <c r="J698" i="17"/>
  <c r="J706" i="17"/>
  <c r="J714" i="17"/>
  <c r="J722" i="17"/>
  <c r="J9" i="17"/>
  <c r="J73" i="17"/>
  <c r="J137" i="17"/>
  <c r="J201" i="17"/>
  <c r="J265" i="17"/>
  <c r="J329" i="17"/>
  <c r="J393" i="17"/>
  <c r="J457" i="17"/>
  <c r="J521" i="17"/>
  <c r="J561" i="17"/>
  <c r="J593" i="17"/>
  <c r="J625" i="17"/>
  <c r="J647" i="17"/>
  <c r="J670" i="17"/>
  <c r="J689" i="17"/>
  <c r="J710" i="17"/>
  <c r="J721" i="17"/>
  <c r="J734" i="17"/>
  <c r="J744" i="17"/>
  <c r="J754" i="17"/>
  <c r="J766" i="17"/>
  <c r="J776" i="17"/>
  <c r="J786" i="17"/>
  <c r="J798" i="17"/>
  <c r="J807" i="17"/>
  <c r="J816" i="17"/>
  <c r="J825" i="17"/>
  <c r="J834" i="17"/>
  <c r="J844" i="17"/>
  <c r="J853" i="17"/>
  <c r="J862" i="17"/>
  <c r="J871" i="17"/>
  <c r="J880" i="17"/>
  <c r="J889" i="17"/>
  <c r="J898" i="17"/>
  <c r="J908" i="17"/>
  <c r="J917" i="17"/>
  <c r="J926" i="17"/>
  <c r="J935" i="17"/>
  <c r="J944" i="17"/>
  <c r="J953" i="17"/>
  <c r="J962" i="17"/>
  <c r="J972" i="17"/>
  <c r="J981" i="17"/>
  <c r="J990" i="17"/>
  <c r="J999" i="17"/>
  <c r="J1008" i="17"/>
  <c r="J1017" i="17"/>
  <c r="J1025" i="17"/>
  <c r="J1033" i="17"/>
  <c r="J1041" i="17"/>
  <c r="J1049" i="17"/>
  <c r="J1057" i="17"/>
  <c r="J1065" i="17"/>
  <c r="J1073" i="17"/>
  <c r="J1081" i="17"/>
  <c r="J1089" i="17"/>
  <c r="J1097" i="17"/>
  <c r="J1105" i="17"/>
  <c r="J1113" i="17"/>
  <c r="J1121" i="17"/>
  <c r="J1129" i="17"/>
  <c r="J1137" i="17"/>
  <c r="J1145" i="17"/>
  <c r="J1153" i="17"/>
  <c r="J1161" i="17"/>
  <c r="J1169" i="17"/>
  <c r="J1177" i="17"/>
  <c r="J1185" i="17"/>
  <c r="J1193" i="17"/>
  <c r="J1201" i="17"/>
  <c r="J1209" i="17"/>
  <c r="J1217" i="17"/>
  <c r="J1225" i="17"/>
  <c r="J1233" i="17"/>
  <c r="J1241" i="17"/>
  <c r="J1249" i="17"/>
  <c r="J1257" i="17"/>
  <c r="J1265" i="17"/>
  <c r="J1273" i="17"/>
  <c r="J1281" i="17"/>
  <c r="J1289" i="17"/>
  <c r="J1297" i="17"/>
  <c r="J1305" i="17"/>
  <c r="J1313" i="17"/>
  <c r="J1321" i="17"/>
  <c r="J1329" i="17"/>
  <c r="J1242" i="17"/>
  <c r="J1266" i="17"/>
  <c r="J1282" i="17"/>
  <c r="J1298" i="17"/>
  <c r="J1314" i="17"/>
  <c r="J1330" i="17"/>
  <c r="J888" i="17"/>
  <c r="J1040" i="17"/>
  <c r="J1104" i="17"/>
  <c r="J1152" i="17"/>
  <c r="J1200" i="17"/>
  <c r="J1256" i="17"/>
  <c r="J1328" i="17"/>
  <c r="J17" i="17"/>
  <c r="J81" i="17"/>
  <c r="J145" i="17"/>
  <c r="J209" i="17"/>
  <c r="J273" i="17"/>
  <c r="J337" i="17"/>
  <c r="J401" i="17"/>
  <c r="J465" i="17"/>
  <c r="J529" i="17"/>
  <c r="J567" i="17"/>
  <c r="J599" i="17"/>
  <c r="J630" i="17"/>
  <c r="J649" i="17"/>
  <c r="J671" i="17"/>
  <c r="J694" i="17"/>
  <c r="J711" i="17"/>
  <c r="J724" i="17"/>
  <c r="J735" i="17"/>
  <c r="J745" i="17"/>
  <c r="J756" i="17"/>
  <c r="J767" i="17"/>
  <c r="J777" i="17"/>
  <c r="J788" i="17"/>
  <c r="J799" i="17"/>
  <c r="J808" i="17"/>
  <c r="J817" i="17"/>
  <c r="J826" i="17"/>
  <c r="J836" i="17"/>
  <c r="J845" i="17"/>
  <c r="J854" i="17"/>
  <c r="J863" i="17"/>
  <c r="J872" i="17"/>
  <c r="J881" i="17"/>
  <c r="J890" i="17"/>
  <c r="J900" i="17"/>
  <c r="J909" i="17"/>
  <c r="J918" i="17"/>
  <c r="J927" i="17"/>
  <c r="J936" i="17"/>
  <c r="J945" i="17"/>
  <c r="J954" i="17"/>
  <c r="J964" i="17"/>
  <c r="J973" i="17"/>
  <c r="J982" i="17"/>
  <c r="J991" i="17"/>
  <c r="J1000" i="17"/>
  <c r="J1009" i="17"/>
  <c r="J1018" i="17"/>
  <c r="J1026" i="17"/>
  <c r="J1034" i="17"/>
  <c r="J1042" i="17"/>
  <c r="J1050" i="17"/>
  <c r="J1058" i="17"/>
  <c r="J1066" i="17"/>
  <c r="J1074" i="17"/>
  <c r="J1082" i="17"/>
  <c r="J1090" i="17"/>
  <c r="J1098" i="17"/>
  <c r="J1106" i="17"/>
  <c r="J1114" i="17"/>
  <c r="J1122" i="17"/>
  <c r="J1130" i="17"/>
  <c r="J1138" i="17"/>
  <c r="J1146" i="17"/>
  <c r="J1154" i="17"/>
  <c r="J1162" i="17"/>
  <c r="J1170" i="17"/>
  <c r="J1178" i="17"/>
  <c r="J1186" i="17"/>
  <c r="J1194" i="17"/>
  <c r="J1202" i="17"/>
  <c r="J1210" i="17"/>
  <c r="J1218" i="17"/>
  <c r="J1226" i="17"/>
  <c r="J1234" i="17"/>
  <c r="J1250" i="17"/>
  <c r="J1258" i="17"/>
  <c r="J1274" i="17"/>
  <c r="J1290" i="17"/>
  <c r="J1306" i="17"/>
  <c r="J1322" i="17"/>
  <c r="J852" i="17"/>
  <c r="J989" i="17"/>
  <c r="J1056" i="17"/>
  <c r="J1112" i="17"/>
  <c r="J1168" i="17"/>
  <c r="J1216" i="17"/>
  <c r="J1272" i="17"/>
  <c r="J25" i="17"/>
  <c r="J89" i="17"/>
  <c r="J153" i="17"/>
  <c r="J217" i="17"/>
  <c r="J281" i="17"/>
  <c r="J345" i="17"/>
  <c r="J409" i="17"/>
  <c r="J473" i="17"/>
  <c r="J537" i="17"/>
  <c r="J569" i="17"/>
  <c r="J601" i="17"/>
  <c r="J631" i="17"/>
  <c r="J654" i="17"/>
  <c r="J673" i="17"/>
  <c r="J695" i="17"/>
  <c r="J712" i="17"/>
  <c r="J726" i="17"/>
  <c r="J736" i="17"/>
  <c r="J746" i="17"/>
  <c r="J758" i="17"/>
  <c r="J768" i="17"/>
  <c r="J778" i="17"/>
  <c r="J790" i="17"/>
  <c r="J800" i="17"/>
  <c r="J809" i="17"/>
  <c r="J818" i="17"/>
  <c r="J828" i="17"/>
  <c r="J837" i="17"/>
  <c r="J846" i="17"/>
  <c r="J855" i="17"/>
  <c r="J864" i="17"/>
  <c r="J873" i="17"/>
  <c r="J882" i="17"/>
  <c r="J892" i="17"/>
  <c r="J901" i="17"/>
  <c r="J910" i="17"/>
  <c r="J919" i="17"/>
  <c r="J928" i="17"/>
  <c r="J937" i="17"/>
  <c r="J946" i="17"/>
  <c r="J956" i="17"/>
  <c r="J965" i="17"/>
  <c r="J974" i="17"/>
  <c r="J983" i="17"/>
  <c r="J992" i="17"/>
  <c r="J1001" i="17"/>
  <c r="J1010" i="17"/>
  <c r="J1019" i="17"/>
  <c r="J1027" i="17"/>
  <c r="J1035" i="17"/>
  <c r="J1043" i="17"/>
  <c r="J1051" i="17"/>
  <c r="J1059" i="17"/>
  <c r="J1067" i="17"/>
  <c r="J1075" i="17"/>
  <c r="J1083" i="17"/>
  <c r="J1091" i="17"/>
  <c r="J1099" i="17"/>
  <c r="J1107" i="17"/>
  <c r="J1115" i="17"/>
  <c r="J1123" i="17"/>
  <c r="J1131" i="17"/>
  <c r="J1139" i="17"/>
  <c r="J1147" i="17"/>
  <c r="J1155" i="17"/>
  <c r="J1163" i="17"/>
  <c r="J1171" i="17"/>
  <c r="J1179" i="17"/>
  <c r="J1187" i="17"/>
  <c r="J1195" i="17"/>
  <c r="J1203" i="17"/>
  <c r="J1211" i="17"/>
  <c r="J1219" i="17"/>
  <c r="J1227" i="17"/>
  <c r="J1235" i="17"/>
  <c r="J1243" i="17"/>
  <c r="J1251" i="17"/>
  <c r="J1259" i="17"/>
  <c r="J1267" i="17"/>
  <c r="J1275" i="17"/>
  <c r="J1283" i="17"/>
  <c r="J1291" i="17"/>
  <c r="J1299" i="17"/>
  <c r="J1307" i="17"/>
  <c r="J1315" i="17"/>
  <c r="J1323" i="17"/>
  <c r="J1331" i="17"/>
  <c r="J1108" i="17"/>
  <c r="J1156" i="17"/>
  <c r="J1172" i="17"/>
  <c r="J1188" i="17"/>
  <c r="J1204" i="17"/>
  <c r="J1220" i="17"/>
  <c r="J1236" i="17"/>
  <c r="J1252" i="17"/>
  <c r="J1268" i="17"/>
  <c r="J1284" i="17"/>
  <c r="J1300" i="17"/>
  <c r="J1316" i="17"/>
  <c r="J1332" i="17"/>
  <c r="J720" i="17"/>
  <c r="J842" i="17"/>
  <c r="J916" i="17"/>
  <c r="J961" i="17"/>
  <c r="J1016" i="17"/>
  <c r="J1072" i="17"/>
  <c r="J1128" i="17"/>
  <c r="J1192" i="17"/>
  <c r="J1248" i="17"/>
  <c r="J1280" i="17"/>
  <c r="J1312" i="17"/>
  <c r="J33" i="17"/>
  <c r="J97" i="17"/>
  <c r="J161" i="17"/>
  <c r="J225" i="17"/>
  <c r="J289" i="17"/>
  <c r="J353" i="17"/>
  <c r="J417" i="17"/>
  <c r="J481" i="17"/>
  <c r="J543" i="17"/>
  <c r="J575" i="17"/>
  <c r="J607" i="17"/>
  <c r="J633" i="17"/>
  <c r="J655" i="17"/>
  <c r="J678" i="17"/>
  <c r="J697" i="17"/>
  <c r="J713" i="17"/>
  <c r="J727" i="17"/>
  <c r="J737" i="17"/>
  <c r="J748" i="17"/>
  <c r="J759" i="17"/>
  <c r="J769" i="17"/>
  <c r="J780" i="17"/>
  <c r="J791" i="17"/>
  <c r="J801" i="17"/>
  <c r="J810" i="17"/>
  <c r="J820" i="17"/>
  <c r="J829" i="17"/>
  <c r="J838" i="17"/>
  <c r="J847" i="17"/>
  <c r="J856" i="17"/>
  <c r="J865" i="17"/>
  <c r="J874" i="17"/>
  <c r="J884" i="17"/>
  <c r="J893" i="17"/>
  <c r="J902" i="17"/>
  <c r="J911" i="17"/>
  <c r="J920" i="17"/>
  <c r="J929" i="17"/>
  <c r="J938" i="17"/>
  <c r="J948" i="17"/>
  <c r="J957" i="17"/>
  <c r="J966" i="17"/>
  <c r="J975" i="17"/>
  <c r="J984" i="17"/>
  <c r="J993" i="17"/>
  <c r="J1002" i="17"/>
  <c r="J1012" i="17"/>
  <c r="J1020" i="17"/>
  <c r="J1028" i="17"/>
  <c r="J1036" i="17"/>
  <c r="J1044" i="17"/>
  <c r="J1052" i="17"/>
  <c r="J1060" i="17"/>
  <c r="J1068" i="17"/>
  <c r="J1076" i="17"/>
  <c r="J1084" i="17"/>
  <c r="J1092" i="17"/>
  <c r="J1100" i="17"/>
  <c r="J1116" i="17"/>
  <c r="J1124" i="17"/>
  <c r="J1132" i="17"/>
  <c r="J1140" i="17"/>
  <c r="J1148" i="17"/>
  <c r="J1164" i="17"/>
  <c r="J1180" i="17"/>
  <c r="J1196" i="17"/>
  <c r="J1212" i="17"/>
  <c r="J1228" i="17"/>
  <c r="J1244" i="17"/>
  <c r="J1260" i="17"/>
  <c r="J1276" i="17"/>
  <c r="J1292" i="17"/>
  <c r="J1308" i="17"/>
  <c r="J1324" i="17"/>
  <c r="J732" i="17"/>
  <c r="J870" i="17"/>
  <c r="J943" i="17"/>
  <c r="J1007" i="17"/>
  <c r="J1064" i="17"/>
  <c r="J1120" i="17"/>
  <c r="J1176" i="17"/>
  <c r="J1232" i="17"/>
  <c r="J1288" i="17"/>
  <c r="J41" i="17"/>
  <c r="J105" i="17"/>
  <c r="J169" i="17"/>
  <c r="J233" i="17"/>
  <c r="J297" i="17"/>
  <c r="J361" i="17"/>
  <c r="J425" i="17"/>
  <c r="J489" i="17"/>
  <c r="J545" i="17"/>
  <c r="J577" i="17"/>
  <c r="J609" i="17"/>
  <c r="J638" i="17"/>
  <c r="J657" i="17"/>
  <c r="J679" i="17"/>
  <c r="J702" i="17"/>
  <c r="J716" i="17"/>
  <c r="J728" i="17"/>
  <c r="J738" i="17"/>
  <c r="J750" i="17"/>
  <c r="J760" i="17"/>
  <c r="J770" i="17"/>
  <c r="J782" i="17"/>
  <c r="J792" i="17"/>
  <c r="J802" i="17"/>
  <c r="J812" i="17"/>
  <c r="J821" i="17"/>
  <c r="J830" i="17"/>
  <c r="J839" i="17"/>
  <c r="J848" i="17"/>
  <c r="J857" i="17"/>
  <c r="J866" i="17"/>
  <c r="J876" i="17"/>
  <c r="J885" i="17"/>
  <c r="J894" i="17"/>
  <c r="J903" i="17"/>
  <c r="J912" i="17"/>
  <c r="J921" i="17"/>
  <c r="J930" i="17"/>
  <c r="J940" i="17"/>
  <c r="J949" i="17"/>
  <c r="J958" i="17"/>
  <c r="J967" i="17"/>
  <c r="J976" i="17"/>
  <c r="J985" i="17"/>
  <c r="J994" i="17"/>
  <c r="J1004" i="17"/>
  <c r="J1013" i="17"/>
  <c r="J1021" i="17"/>
  <c r="J1029" i="17"/>
  <c r="J1037" i="17"/>
  <c r="J1045" i="17"/>
  <c r="J1053" i="17"/>
  <c r="J1061" i="17"/>
  <c r="J1069" i="17"/>
  <c r="J1077" i="17"/>
  <c r="J1085" i="17"/>
  <c r="J1093" i="17"/>
  <c r="J1101" i="17"/>
  <c r="J1109" i="17"/>
  <c r="J1117" i="17"/>
  <c r="J1125" i="17"/>
  <c r="J1133" i="17"/>
  <c r="J1141" i="17"/>
  <c r="J1149" i="17"/>
  <c r="J1157" i="17"/>
  <c r="J1165" i="17"/>
  <c r="J1173" i="17"/>
  <c r="J1181" i="17"/>
  <c r="J1189" i="17"/>
  <c r="J1197" i="17"/>
  <c r="J1205" i="17"/>
  <c r="J1213" i="17"/>
  <c r="J1221" i="17"/>
  <c r="J1229" i="17"/>
  <c r="J1237" i="17"/>
  <c r="J1245" i="17"/>
  <c r="J1253" i="17"/>
  <c r="J1261" i="17"/>
  <c r="J1269" i="17"/>
  <c r="J1277" i="17"/>
  <c r="J1285" i="17"/>
  <c r="J1293" i="17"/>
  <c r="J1301" i="17"/>
  <c r="J1309" i="17"/>
  <c r="J1317" i="17"/>
  <c r="J1325" i="17"/>
  <c r="J1333" i="17"/>
  <c r="J623" i="17"/>
  <c r="J815" i="17"/>
  <c r="J879" i="17"/>
  <c r="J934" i="17"/>
  <c r="J980" i="17"/>
  <c r="J1032" i="17"/>
  <c r="J1088" i="17"/>
  <c r="J1144" i="17"/>
  <c r="J1208" i="17"/>
  <c r="J1264" i="17"/>
  <c r="J1320" i="17"/>
  <c r="J49" i="17"/>
  <c r="J113" i="17"/>
  <c r="J177" i="17"/>
  <c r="J241" i="17"/>
  <c r="J305" i="17"/>
  <c r="J369" i="17"/>
  <c r="J433" i="17"/>
  <c r="J497" i="17"/>
  <c r="J551" i="17"/>
  <c r="J583" i="17"/>
  <c r="J615" i="17"/>
  <c r="J639" i="17"/>
  <c r="J662" i="17"/>
  <c r="J681" i="17"/>
  <c r="J703" i="17"/>
  <c r="J718" i="17"/>
  <c r="J729" i="17"/>
  <c r="J740" i="17"/>
  <c r="J751" i="17"/>
  <c r="J761" i="17"/>
  <c r="J772" i="17"/>
  <c r="J783" i="17"/>
  <c r="J793" i="17"/>
  <c r="J804" i="17"/>
  <c r="J813" i="17"/>
  <c r="J822" i="17"/>
  <c r="J831" i="17"/>
  <c r="J840" i="17"/>
  <c r="J849" i="17"/>
  <c r="J858" i="17"/>
  <c r="J868" i="17"/>
  <c r="J877" i="17"/>
  <c r="J886" i="17"/>
  <c r="J895" i="17"/>
  <c r="J904" i="17"/>
  <c r="J913" i="17"/>
  <c r="J922" i="17"/>
  <c r="J932" i="17"/>
  <c r="J941" i="17"/>
  <c r="J950" i="17"/>
  <c r="J959" i="17"/>
  <c r="J968" i="17"/>
  <c r="J977" i="17"/>
  <c r="J986" i="17"/>
  <c r="J996" i="17"/>
  <c r="J1005" i="17"/>
  <c r="J1014" i="17"/>
  <c r="J1022" i="17"/>
  <c r="J1030" i="17"/>
  <c r="J1038" i="17"/>
  <c r="J1046" i="17"/>
  <c r="J1054" i="17"/>
  <c r="J1062" i="17"/>
  <c r="J1070" i="17"/>
  <c r="J1078" i="17"/>
  <c r="J1086" i="17"/>
  <c r="J1094" i="17"/>
  <c r="J1102" i="17"/>
  <c r="J1110" i="17"/>
  <c r="J1118" i="17"/>
  <c r="J1126" i="17"/>
  <c r="J1134" i="17"/>
  <c r="J1142" i="17"/>
  <c r="J1150" i="17"/>
  <c r="J1158" i="17"/>
  <c r="J1166" i="17"/>
  <c r="J1174" i="17"/>
  <c r="J1182" i="17"/>
  <c r="J1190" i="17"/>
  <c r="J1198" i="17"/>
  <c r="J1206" i="17"/>
  <c r="J1214" i="17"/>
  <c r="J1222" i="17"/>
  <c r="J1230" i="17"/>
  <c r="J1238" i="17"/>
  <c r="J1246" i="17"/>
  <c r="J1254" i="17"/>
  <c r="J1262" i="17"/>
  <c r="J1270" i="17"/>
  <c r="J1278" i="17"/>
  <c r="J1286" i="17"/>
  <c r="J1294" i="17"/>
  <c r="J1302" i="17"/>
  <c r="J1310" i="17"/>
  <c r="J1318" i="17"/>
  <c r="J1326" i="17"/>
  <c r="J1334" i="17"/>
  <c r="J129" i="17"/>
  <c r="J257" i="17"/>
  <c r="J385" i="17"/>
  <c r="J513" i="17"/>
  <c r="J591" i="17"/>
  <c r="J665" i="17"/>
  <c r="J708" i="17"/>
  <c r="J753" i="17"/>
  <c r="J775" i="17"/>
  <c r="J796" i="17"/>
  <c r="J824" i="17"/>
  <c r="J861" i="17"/>
  <c r="J906" i="17"/>
  <c r="J952" i="17"/>
  <c r="J998" i="17"/>
  <c r="J1048" i="17"/>
  <c r="J1096" i="17"/>
  <c r="J1160" i="17"/>
  <c r="J1224" i="17"/>
  <c r="J1296" i="17"/>
  <c r="J57" i="17"/>
  <c r="J121" i="17"/>
  <c r="J185" i="17"/>
  <c r="J249" i="17"/>
  <c r="J313" i="17"/>
  <c r="J377" i="17"/>
  <c r="J441" i="17"/>
  <c r="J505" i="17"/>
  <c r="J553" i="17"/>
  <c r="J585" i="17"/>
  <c r="J617" i="17"/>
  <c r="J641" i="17"/>
  <c r="J663" i="17"/>
  <c r="J686" i="17"/>
  <c r="J705" i="17"/>
  <c r="J719" i="17"/>
  <c r="J730" i="17"/>
  <c r="J742" i="17"/>
  <c r="J752" i="17"/>
  <c r="J762" i="17"/>
  <c r="J774" i="17"/>
  <c r="J784" i="17"/>
  <c r="J794" i="17"/>
  <c r="J805" i="17"/>
  <c r="J814" i="17"/>
  <c r="J823" i="17"/>
  <c r="J832" i="17"/>
  <c r="J841" i="17"/>
  <c r="J850" i="17"/>
  <c r="J860" i="17"/>
  <c r="J869" i="17"/>
  <c r="J878" i="17"/>
  <c r="J887" i="17"/>
  <c r="J896" i="17"/>
  <c r="J905" i="17"/>
  <c r="J914" i="17"/>
  <c r="J924" i="17"/>
  <c r="J933" i="17"/>
  <c r="J942" i="17"/>
  <c r="J951" i="17"/>
  <c r="J960" i="17"/>
  <c r="J969" i="17"/>
  <c r="J978" i="17"/>
  <c r="J988" i="17"/>
  <c r="J997" i="17"/>
  <c r="J1006" i="17"/>
  <c r="J1015" i="17"/>
  <c r="J1023" i="17"/>
  <c r="J1031" i="17"/>
  <c r="J1039" i="17"/>
  <c r="J1047" i="17"/>
  <c r="J1055" i="17"/>
  <c r="J1063" i="17"/>
  <c r="J1071" i="17"/>
  <c r="J1079" i="17"/>
  <c r="J1087" i="17"/>
  <c r="J1095" i="17"/>
  <c r="J1103" i="17"/>
  <c r="J1111" i="17"/>
  <c r="J1119" i="17"/>
  <c r="J1127" i="17"/>
  <c r="J1135" i="17"/>
  <c r="J1143" i="17"/>
  <c r="J1151" i="17"/>
  <c r="J1159" i="17"/>
  <c r="J1167" i="17"/>
  <c r="J1175" i="17"/>
  <c r="J1183" i="17"/>
  <c r="J1191" i="17"/>
  <c r="J1199" i="17"/>
  <c r="J1207" i="17"/>
  <c r="J1215" i="17"/>
  <c r="J1223" i="17"/>
  <c r="J1231" i="17"/>
  <c r="J1239" i="17"/>
  <c r="J1247" i="17"/>
  <c r="J1255" i="17"/>
  <c r="J1263" i="17"/>
  <c r="J1271" i="17"/>
  <c r="J1279" i="17"/>
  <c r="J1287" i="17"/>
  <c r="J1295" i="17"/>
  <c r="J1303" i="17"/>
  <c r="J1311" i="17"/>
  <c r="J1319" i="17"/>
  <c r="J1327" i="17"/>
  <c r="J1335" i="17"/>
  <c r="J65" i="17"/>
  <c r="J193" i="17"/>
  <c r="J321" i="17"/>
  <c r="J449" i="17"/>
  <c r="J559" i="17"/>
  <c r="J646" i="17"/>
  <c r="J687" i="17"/>
  <c r="J743" i="17"/>
  <c r="J764" i="17"/>
  <c r="J785" i="17"/>
  <c r="J806" i="17"/>
  <c r="J833" i="17"/>
  <c r="J897" i="17"/>
  <c r="J925" i="17"/>
  <c r="J970" i="17"/>
  <c r="J1024" i="17"/>
  <c r="J1080" i="17"/>
  <c r="J1136" i="17"/>
  <c r="J1184" i="17"/>
  <c r="J1240" i="17"/>
  <c r="J1304" i="17"/>
  <c r="J2" i="17"/>
  <c r="K2" i="17" s="1"/>
  <c r="C322" i="17"/>
  <c r="C59" i="17"/>
  <c r="C172" i="17"/>
  <c r="C684" i="17"/>
  <c r="C189" i="17"/>
  <c r="C222" i="17"/>
  <c r="C734" i="17"/>
  <c r="C487" i="17"/>
  <c r="C16" i="17"/>
  <c r="C528" i="17"/>
  <c r="C257" i="17"/>
  <c r="C769" i="17"/>
  <c r="C202" i="17"/>
  <c r="C714" i="17"/>
  <c r="C52" i="17"/>
  <c r="C564" i="17"/>
  <c r="C69" i="17"/>
  <c r="C102" i="17"/>
  <c r="C614" i="17"/>
  <c r="C367" i="17"/>
  <c r="C879" i="17"/>
  <c r="C408" i="17"/>
  <c r="C137" i="17"/>
  <c r="C649" i="17"/>
  <c r="C859" i="17"/>
  <c r="C1060" i="17"/>
  <c r="C939" i="17"/>
  <c r="C1201" i="17"/>
  <c r="C274" i="17"/>
  <c r="C11" i="17"/>
  <c r="C124" i="17"/>
  <c r="C636" i="17"/>
  <c r="C141" i="17"/>
  <c r="C174" i="17"/>
  <c r="C686" i="17"/>
  <c r="C439" i="17"/>
  <c r="C951" i="17"/>
  <c r="C480" i="17"/>
  <c r="C209" i="17"/>
  <c r="C721" i="17"/>
  <c r="C974" i="17"/>
  <c r="C1324" i="17"/>
  <c r="C1037" i="17"/>
  <c r="C819" i="17"/>
  <c r="C346" i="17"/>
  <c r="C83" i="17"/>
  <c r="C260" i="17"/>
  <c r="C772" i="17"/>
  <c r="C277" i="17"/>
  <c r="C310" i="17"/>
  <c r="C63" i="17"/>
  <c r="C575" i="17"/>
  <c r="C104" i="17"/>
  <c r="C616" i="17"/>
  <c r="C345" i="17"/>
  <c r="C857" i="17"/>
  <c r="C1123" i="17"/>
  <c r="C899" i="17"/>
  <c r="C1173" i="17"/>
  <c r="C427" i="17"/>
  <c r="C482" i="17"/>
  <c r="C219" i="17"/>
  <c r="C332" i="17"/>
  <c r="C844" i="17"/>
  <c r="C349" i="17"/>
  <c r="C382" i="17"/>
  <c r="C135" i="17"/>
  <c r="C647" i="17"/>
  <c r="C176" i="17"/>
  <c r="C688" i="17"/>
  <c r="C417" i="17"/>
  <c r="C929" i="17"/>
  <c r="C1195" i="17"/>
  <c r="C1116" i="17"/>
  <c r="C1245" i="17"/>
  <c r="C42" i="17"/>
  <c r="C554" i="17"/>
  <c r="C291" i="17"/>
  <c r="C404" i="17"/>
  <c r="C916" i="17"/>
  <c r="C421" i="17"/>
  <c r="C454" i="17"/>
  <c r="C207" i="17"/>
  <c r="C719" i="17"/>
  <c r="C248" i="17"/>
  <c r="C760" i="17"/>
  <c r="C489" i="17"/>
  <c r="C1001" i="17"/>
  <c r="C498" i="17"/>
  <c r="C235" i="17"/>
  <c r="C348" i="17"/>
  <c r="C860" i="17"/>
  <c r="C365" i="17"/>
  <c r="C398" i="17"/>
  <c r="C151" i="17"/>
  <c r="C663" i="17"/>
  <c r="C192" i="17"/>
  <c r="C704" i="17"/>
  <c r="C433" i="17"/>
  <c r="C945" i="17"/>
  <c r="C1211" i="17"/>
  <c r="C1172" i="17"/>
  <c r="C1261" i="17"/>
  <c r="C58" i="17"/>
  <c r="C735" i="17"/>
  <c r="C1188" i="17"/>
  <c r="C787" i="17"/>
  <c r="C1161" i="17"/>
  <c r="C1103" i="17"/>
  <c r="C493" i="17"/>
  <c r="C1304" i="17"/>
  <c r="C371" i="17"/>
  <c r="C57" i="17"/>
  <c r="C786" i="17"/>
  <c r="C1002" i="17"/>
  <c r="C1210" i="17"/>
  <c r="C1239" i="17"/>
  <c r="C880" i="17"/>
  <c r="C1185" i="17"/>
  <c r="C86" i="17"/>
  <c r="C1008" i="17"/>
  <c r="C856" i="17"/>
  <c r="C1206" i="17"/>
  <c r="C878" i="17"/>
  <c r="C1153" i="17"/>
  <c r="C1128" i="17"/>
  <c r="C4" i="17"/>
  <c r="C386" i="17"/>
  <c r="C123" i="17"/>
  <c r="C236" i="17"/>
  <c r="C748" i="17"/>
  <c r="C253" i="17"/>
  <c r="C286" i="17"/>
  <c r="C39" i="17"/>
  <c r="C551" i="17"/>
  <c r="C80" i="17"/>
  <c r="C592" i="17"/>
  <c r="C321" i="17"/>
  <c r="C833" i="17"/>
  <c r="C266" i="17"/>
  <c r="C3" i="17"/>
  <c r="C116" i="17"/>
  <c r="C628" i="17"/>
  <c r="C133" i="17"/>
  <c r="C166" i="17"/>
  <c r="C678" i="17"/>
  <c r="C431" i="17"/>
  <c r="C943" i="17"/>
  <c r="C472" i="17"/>
  <c r="C201" i="17"/>
  <c r="C713" i="17"/>
  <c r="C962" i="17"/>
  <c r="C1268" i="17"/>
  <c r="C1029" i="17"/>
  <c r="C794" i="17"/>
  <c r="C338" i="17"/>
  <c r="C75" i="17"/>
  <c r="C188" i="17"/>
  <c r="C700" i="17"/>
  <c r="C205" i="17"/>
  <c r="C238" i="17"/>
  <c r="C750" i="17"/>
  <c r="C503" i="17"/>
  <c r="C32" i="17"/>
  <c r="C544" i="17"/>
  <c r="C273" i="17"/>
  <c r="C785" i="17"/>
  <c r="C1051" i="17"/>
  <c r="C669" i="17"/>
  <c r="C1101" i="17"/>
  <c r="C1154" i="17"/>
  <c r="C410" i="17"/>
  <c r="C147" i="17"/>
  <c r="C324" i="17"/>
  <c r="C836" i="17"/>
  <c r="C341" i="17"/>
  <c r="C374" i="17"/>
  <c r="C127" i="17"/>
  <c r="C639" i="17"/>
  <c r="C168" i="17"/>
  <c r="C680" i="17"/>
  <c r="C409" i="17"/>
  <c r="C921" i="17"/>
  <c r="C1187" i="17"/>
  <c r="C1076" i="17"/>
  <c r="C1237" i="17"/>
  <c r="C34" i="17"/>
  <c r="C546" i="17"/>
  <c r="C283" i="17"/>
  <c r="C396" i="17"/>
  <c r="C908" i="17"/>
  <c r="C413" i="17"/>
  <c r="C446" i="17"/>
  <c r="C199" i="17"/>
  <c r="C711" i="17"/>
  <c r="C240" i="17"/>
  <c r="C752" i="17"/>
  <c r="C481" i="17"/>
  <c r="C993" i="17"/>
  <c r="C1259" i="17"/>
  <c r="C515" i="17"/>
  <c r="C1309" i="17"/>
  <c r="C106" i="17"/>
  <c r="C618" i="17"/>
  <c r="C355" i="17"/>
  <c r="C468" i="17"/>
  <c r="C980" i="17"/>
  <c r="C6" i="17"/>
  <c r="C518" i="17"/>
  <c r="C271" i="17"/>
  <c r="C783" i="17"/>
  <c r="C312" i="17"/>
  <c r="C41" i="17"/>
  <c r="C5" i="17"/>
  <c r="C450" i="17"/>
  <c r="C187" i="17"/>
  <c r="C300" i="17"/>
  <c r="C812" i="17"/>
  <c r="C317" i="17"/>
  <c r="C350" i="17"/>
  <c r="C103" i="17"/>
  <c r="C615" i="17"/>
  <c r="C144" i="17"/>
  <c r="C656" i="17"/>
  <c r="C385" i="17"/>
  <c r="C897" i="17"/>
  <c r="C330" i="17"/>
  <c r="C67" i="17"/>
  <c r="C180" i="17"/>
  <c r="C692" i="17"/>
  <c r="C197" i="17"/>
  <c r="C230" i="17"/>
  <c r="C742" i="17"/>
  <c r="C495" i="17"/>
  <c r="C24" i="17"/>
  <c r="C536" i="17"/>
  <c r="C265" i="17"/>
  <c r="C777" i="17"/>
  <c r="C1043" i="17"/>
  <c r="C637" i="17"/>
  <c r="C1093" i="17"/>
  <c r="C1122" i="17"/>
  <c r="C402" i="17"/>
  <c r="C139" i="17"/>
  <c r="C252" i="17"/>
  <c r="C764" i="17"/>
  <c r="C269" i="17"/>
  <c r="C302" i="17"/>
  <c r="C55" i="17"/>
  <c r="C567" i="17"/>
  <c r="C96" i="17"/>
  <c r="C608" i="17"/>
  <c r="C337" i="17"/>
  <c r="C849" i="17"/>
  <c r="C1115" i="17"/>
  <c r="C874" i="17"/>
  <c r="C1165" i="17"/>
  <c r="C1284" i="17"/>
  <c r="C474" i="17"/>
  <c r="C211" i="17"/>
  <c r="C388" i="17"/>
  <c r="C900" i="17"/>
  <c r="C405" i="17"/>
  <c r="C438" i="17"/>
  <c r="C191" i="17"/>
  <c r="C703" i="17"/>
  <c r="C232" i="17"/>
  <c r="C744" i="17"/>
  <c r="C473" i="17"/>
  <c r="C985" i="17"/>
  <c r="C1251" i="17"/>
  <c r="C483" i="17"/>
  <c r="C1301" i="17"/>
  <c r="C98" i="17"/>
  <c r="C610" i="17"/>
  <c r="C347" i="17"/>
  <c r="C460" i="17"/>
  <c r="C972" i="17"/>
  <c r="C477" i="17"/>
  <c r="C510" i="17"/>
  <c r="C263" i="17"/>
  <c r="C775" i="17"/>
  <c r="C304" i="17"/>
  <c r="C33" i="17"/>
  <c r="C545" i="17"/>
  <c r="C571" i="17"/>
  <c r="C1323" i="17"/>
  <c r="C766" i="17"/>
  <c r="C1326" i="17"/>
  <c r="C170" i="17"/>
  <c r="C682" i="17"/>
  <c r="C20" i="17"/>
  <c r="C532" i="17"/>
  <c r="C37" i="17"/>
  <c r="C70" i="17"/>
  <c r="C582" i="17"/>
  <c r="C335" i="17"/>
  <c r="C847" i="17"/>
  <c r="C376" i="17"/>
  <c r="C105" i="17"/>
  <c r="C617" i="17"/>
  <c r="C114" i="17"/>
  <c r="C626" i="17"/>
  <c r="C363" i="17"/>
  <c r="C476" i="17"/>
  <c r="C988" i="17"/>
  <c r="C14" i="17"/>
  <c r="C526" i="17"/>
  <c r="C279" i="17"/>
  <c r="C791" i="17"/>
  <c r="C320" i="17"/>
  <c r="C49" i="17"/>
  <c r="C561" i="17"/>
  <c r="C635" i="17"/>
  <c r="C765" i="17"/>
  <c r="C798" i="17"/>
  <c r="C792" i="17"/>
  <c r="C307" i="17"/>
  <c r="C776" i="17"/>
  <c r="C643" i="17"/>
  <c r="C991" i="17"/>
  <c r="C1178" i="17"/>
  <c r="C1231" i="17"/>
  <c r="C867" i="17"/>
  <c r="C1145" i="17"/>
  <c r="C996" i="17"/>
  <c r="C603" i="17"/>
  <c r="C1205" i="17"/>
  <c r="C1134" i="17"/>
  <c r="C747" i="17"/>
  <c r="C755" i="17"/>
  <c r="C1056" i="17"/>
  <c r="C1170" i="17"/>
  <c r="C351" i="17"/>
  <c r="C835" i="17"/>
  <c r="C613" i="17"/>
  <c r="C984" i="17"/>
  <c r="C1055" i="17"/>
  <c r="C1298" i="17"/>
  <c r="C1256" i="17"/>
  <c r="C2" i="17"/>
  <c r="C514" i="17"/>
  <c r="C251" i="17"/>
  <c r="C364" i="17"/>
  <c r="C876" i="17"/>
  <c r="C381" i="17"/>
  <c r="C414" i="17"/>
  <c r="C167" i="17"/>
  <c r="C679" i="17"/>
  <c r="C208" i="17"/>
  <c r="C720" i="17"/>
  <c r="C449" i="17"/>
  <c r="C961" i="17"/>
  <c r="C394" i="17"/>
  <c r="C131" i="17"/>
  <c r="C244" i="17"/>
  <c r="C756" i="17"/>
  <c r="C261" i="17"/>
  <c r="C294" i="17"/>
  <c r="C47" i="17"/>
  <c r="C559" i="17"/>
  <c r="C88" i="17"/>
  <c r="C600" i="17"/>
  <c r="C329" i="17"/>
  <c r="C841" i="17"/>
  <c r="C1107" i="17"/>
  <c r="C848" i="17"/>
  <c r="C1157" i="17"/>
  <c r="C1204" i="17"/>
  <c r="C466" i="17"/>
  <c r="C203" i="17"/>
  <c r="C316" i="17"/>
  <c r="C828" i="17"/>
  <c r="C333" i="17"/>
  <c r="C366" i="17"/>
  <c r="C119" i="17"/>
  <c r="C631" i="17"/>
  <c r="C160" i="17"/>
  <c r="C672" i="17"/>
  <c r="C401" i="17"/>
  <c r="C913" i="17"/>
  <c r="C1179" i="17"/>
  <c r="C1052" i="17"/>
  <c r="C1229" i="17"/>
  <c r="C26" i="17"/>
  <c r="C66" i="17"/>
  <c r="C578" i="17"/>
  <c r="C315" i="17"/>
  <c r="C428" i="17"/>
  <c r="C940" i="17"/>
  <c r="C445" i="17"/>
  <c r="C478" i="17"/>
  <c r="C231" i="17"/>
  <c r="C743" i="17"/>
  <c r="C272" i="17"/>
  <c r="C784" i="17"/>
  <c r="C513" i="17"/>
  <c r="C403" i="17"/>
  <c r="C458" i="17"/>
  <c r="C195" i="17"/>
  <c r="C308" i="17"/>
  <c r="C820" i="17"/>
  <c r="C325" i="17"/>
  <c r="C358" i="17"/>
  <c r="C111" i="17"/>
  <c r="C623" i="17"/>
  <c r="C152" i="17"/>
  <c r="C664" i="17"/>
  <c r="C393" i="17"/>
  <c r="C905" i="17"/>
  <c r="C1171" i="17"/>
  <c r="C1036" i="17"/>
  <c r="C1221" i="17"/>
  <c r="C18" i="17"/>
  <c r="C530" i="17"/>
  <c r="C267" i="17"/>
  <c r="C380" i="17"/>
  <c r="C892" i="17"/>
  <c r="C397" i="17"/>
  <c r="C430" i="17"/>
  <c r="C183" i="17"/>
  <c r="C695" i="17"/>
  <c r="C224" i="17"/>
  <c r="C736" i="17"/>
  <c r="C465" i="17"/>
  <c r="C977" i="17"/>
  <c r="C1243" i="17"/>
  <c r="C419" i="17"/>
  <c r="C1293" i="17"/>
  <c r="C90" i="17"/>
  <c r="C602" i="17"/>
  <c r="C339" i="17"/>
  <c r="C516" i="17"/>
  <c r="C21" i="17"/>
  <c r="C54" i="17"/>
  <c r="C566" i="17"/>
  <c r="C319" i="17"/>
  <c r="C831" i="17"/>
  <c r="C360" i="17"/>
  <c r="C89" i="17"/>
  <c r="C601" i="17"/>
  <c r="C781" i="17"/>
  <c r="C938" i="17"/>
  <c r="C862" i="17"/>
  <c r="C1016" i="17"/>
  <c r="C226" i="17"/>
  <c r="C738" i="17"/>
  <c r="C76" i="17"/>
  <c r="C588" i="17"/>
  <c r="C93" i="17"/>
  <c r="C126" i="17"/>
  <c r="C638" i="17"/>
  <c r="C391" i="17"/>
  <c r="C903" i="17"/>
  <c r="C432" i="17"/>
  <c r="C161" i="17"/>
  <c r="C673" i="17"/>
  <c r="C898" i="17"/>
  <c r="C1140" i="17"/>
  <c r="C978" i="17"/>
  <c r="C1313" i="17"/>
  <c r="C298" i="17"/>
  <c r="C35" i="17"/>
  <c r="C148" i="17"/>
  <c r="C660" i="17"/>
  <c r="C165" i="17"/>
  <c r="C198" i="17"/>
  <c r="C710" i="17"/>
  <c r="C463" i="17"/>
  <c r="C975" i="17"/>
  <c r="C504" i="17"/>
  <c r="C233" i="17"/>
  <c r="C745" i="17"/>
  <c r="C242" i="17"/>
  <c r="C754" i="17"/>
  <c r="C92" i="17"/>
  <c r="C604" i="17"/>
  <c r="C109" i="17"/>
  <c r="C142" i="17"/>
  <c r="C654" i="17"/>
  <c r="C407" i="17"/>
  <c r="C919" i="17"/>
  <c r="C448" i="17"/>
  <c r="C177" i="17"/>
  <c r="C689" i="17"/>
  <c r="C923" i="17"/>
  <c r="C1164" i="17"/>
  <c r="C1000" i="17"/>
  <c r="C565" i="17"/>
  <c r="C932" i="17"/>
  <c r="C1017" i="17"/>
  <c r="C1189" i="17"/>
  <c r="C1126" i="17"/>
  <c r="C715" i="17"/>
  <c r="C691" i="17"/>
  <c r="C1048" i="17"/>
  <c r="C1130" i="17"/>
  <c r="C534" i="17"/>
  <c r="C1155" i="17"/>
  <c r="C661" i="17"/>
  <c r="C1278" i="17"/>
  <c r="C968" i="17"/>
  <c r="C725" i="17"/>
  <c r="C1184" i="17"/>
  <c r="C1274" i="17"/>
  <c r="C698" i="17"/>
  <c r="C392" i="17"/>
  <c r="C1020" i="17"/>
  <c r="C915" i="17"/>
  <c r="C947" i="17"/>
  <c r="C1183" i="17"/>
  <c r="C790" i="17"/>
  <c r="C130" i="17"/>
  <c r="C642" i="17"/>
  <c r="C379" i="17"/>
  <c r="C492" i="17"/>
  <c r="C1004" i="17"/>
  <c r="C30" i="17"/>
  <c r="C542" i="17"/>
  <c r="C295" i="17"/>
  <c r="C807" i="17"/>
  <c r="C336" i="17"/>
  <c r="C65" i="17"/>
  <c r="C577" i="17"/>
  <c r="C10" i="17"/>
  <c r="C522" i="17"/>
  <c r="C259" i="17"/>
  <c r="C372" i="17"/>
  <c r="C884" i="17"/>
  <c r="C389" i="17"/>
  <c r="C422" i="17"/>
  <c r="C175" i="17"/>
  <c r="C687" i="17"/>
  <c r="C216" i="17"/>
  <c r="C728" i="17"/>
  <c r="C457" i="17"/>
  <c r="C969" i="17"/>
  <c r="C1235" i="17"/>
  <c r="C1316" i="17"/>
  <c r="C1285" i="17"/>
  <c r="C82" i="17"/>
  <c r="C594" i="17"/>
  <c r="C331" i="17"/>
  <c r="C444" i="17"/>
  <c r="C956" i="17"/>
  <c r="C461" i="17"/>
  <c r="C494" i="17"/>
  <c r="C247" i="17"/>
  <c r="C759" i="17"/>
  <c r="C288" i="17"/>
  <c r="C17" i="17"/>
  <c r="C529" i="17"/>
  <c r="C507" i="17"/>
  <c r="C1307" i="17"/>
  <c r="C707" i="17"/>
  <c r="C1294" i="17"/>
  <c r="C154" i="17"/>
  <c r="C666" i="17"/>
  <c r="C68" i="17"/>
  <c r="C580" i="17"/>
  <c r="C85" i="17"/>
  <c r="C118" i="17"/>
  <c r="C630" i="17"/>
  <c r="C383" i="17"/>
  <c r="C895" i="17"/>
  <c r="C424" i="17"/>
  <c r="C153" i="17"/>
  <c r="C665" i="17"/>
  <c r="C885" i="17"/>
  <c r="C1092" i="17"/>
  <c r="C965" i="17"/>
  <c r="C1289" i="17"/>
  <c r="C290" i="17"/>
  <c r="C27" i="17"/>
  <c r="C140" i="17"/>
  <c r="C652" i="17"/>
  <c r="C157" i="17"/>
  <c r="C190" i="17"/>
  <c r="C702" i="17"/>
  <c r="C455" i="17"/>
  <c r="C967" i="17"/>
  <c r="C496" i="17"/>
  <c r="C225" i="17"/>
  <c r="C737" i="17"/>
  <c r="C998" i="17"/>
  <c r="C475" i="17"/>
  <c r="C1053" i="17"/>
  <c r="C922" i="17"/>
  <c r="C362" i="17"/>
  <c r="C99" i="17"/>
  <c r="C212" i="17"/>
  <c r="C724" i="17"/>
  <c r="C229" i="17"/>
  <c r="C262" i="17"/>
  <c r="C15" i="17"/>
  <c r="C527" i="17"/>
  <c r="C56" i="17"/>
  <c r="C568" i="17"/>
  <c r="C297" i="17"/>
  <c r="C809" i="17"/>
  <c r="C306" i="17"/>
  <c r="C43" i="17"/>
  <c r="C156" i="17"/>
  <c r="C668" i="17"/>
  <c r="C173" i="17"/>
  <c r="C206" i="17"/>
  <c r="C718" i="17"/>
  <c r="C471" i="17"/>
  <c r="C983" i="17"/>
  <c r="C512" i="17"/>
  <c r="C241" i="17"/>
  <c r="C753" i="17"/>
  <c r="C1019" i="17"/>
  <c r="C541" i="17"/>
  <c r="C1069" i="17"/>
  <c r="C1018" i="17"/>
  <c r="C437" i="17"/>
  <c r="C936" i="17"/>
  <c r="C1246" i="17"/>
  <c r="C1190" i="17"/>
  <c r="C853" i="17"/>
  <c r="C1065" i="17"/>
  <c r="C1112" i="17"/>
  <c r="C1244" i="17"/>
  <c r="C287" i="17"/>
  <c r="C1331" i="17"/>
  <c r="C581" i="17"/>
  <c r="C920" i="17"/>
  <c r="C1047" i="17"/>
  <c r="C1250" i="17"/>
  <c r="C1248" i="17"/>
  <c r="C36" i="17"/>
  <c r="C121" i="17"/>
  <c r="C811" i="17"/>
  <c r="C1013" i="17"/>
  <c r="C1242" i="17"/>
  <c r="C1247" i="17"/>
  <c r="C893" i="17"/>
  <c r="C194" i="17"/>
  <c r="C706" i="17"/>
  <c r="C44" i="17"/>
  <c r="C556" i="17"/>
  <c r="C61" i="17"/>
  <c r="C94" i="17"/>
  <c r="C606" i="17"/>
  <c r="C359" i="17"/>
  <c r="C871" i="17"/>
  <c r="C400" i="17"/>
  <c r="C129" i="17"/>
  <c r="C641" i="17"/>
  <c r="C74" i="17"/>
  <c r="C586" i="17"/>
  <c r="C323" i="17"/>
  <c r="C436" i="17"/>
  <c r="C948" i="17"/>
  <c r="C453" i="17"/>
  <c r="C486" i="17"/>
  <c r="C239" i="17"/>
  <c r="C751" i="17"/>
  <c r="C280" i="17"/>
  <c r="C9" i="17"/>
  <c r="C521" i="17"/>
  <c r="C467" i="17"/>
  <c r="C1299" i="17"/>
  <c r="C675" i="17"/>
  <c r="C1270" i="17"/>
  <c r="C146" i="17"/>
  <c r="C658" i="17"/>
  <c r="C395" i="17"/>
  <c r="C508" i="17"/>
  <c r="C13" i="17"/>
  <c r="C46" i="17"/>
  <c r="C558" i="17"/>
  <c r="C311" i="17"/>
  <c r="C823" i="17"/>
  <c r="C352" i="17"/>
  <c r="C81" i="17"/>
  <c r="C593" i="17"/>
  <c r="C763" i="17"/>
  <c r="C912" i="17"/>
  <c r="C850" i="17"/>
  <c r="C971" i="17"/>
  <c r="C218" i="17"/>
  <c r="C730" i="17"/>
  <c r="C132" i="17"/>
  <c r="C644" i="17"/>
  <c r="C149" i="17"/>
  <c r="C182" i="17"/>
  <c r="C694" i="17"/>
  <c r="C447" i="17"/>
  <c r="C959" i="17"/>
  <c r="C488" i="17"/>
  <c r="C217" i="17"/>
  <c r="C729" i="17"/>
  <c r="C987" i="17"/>
  <c r="C411" i="17"/>
  <c r="C1045" i="17"/>
  <c r="C870" i="17"/>
  <c r="C354" i="17"/>
  <c r="C91" i="17"/>
  <c r="C204" i="17"/>
  <c r="C716" i="17"/>
  <c r="C221" i="17"/>
  <c r="C254" i="17"/>
  <c r="C7" i="17"/>
  <c r="C519" i="17"/>
  <c r="C48" i="17"/>
  <c r="C560" i="17"/>
  <c r="C289" i="17"/>
  <c r="C801" i="17"/>
  <c r="C1067" i="17"/>
  <c r="C733" i="17"/>
  <c r="C1117" i="17"/>
  <c r="C1226" i="17"/>
  <c r="C426" i="17"/>
  <c r="C163" i="17"/>
  <c r="C276" i="17"/>
  <c r="C788" i="17"/>
  <c r="C293" i="17"/>
  <c r="C326" i="17"/>
  <c r="C79" i="17"/>
  <c r="C591" i="17"/>
  <c r="C120" i="17"/>
  <c r="C632" i="17"/>
  <c r="C361" i="17"/>
  <c r="C873" i="17"/>
  <c r="C370" i="17"/>
  <c r="C107" i="17"/>
  <c r="C220" i="17"/>
  <c r="C732" i="17"/>
  <c r="C237" i="17"/>
  <c r="C270" i="17"/>
  <c r="C23" i="17"/>
  <c r="C535" i="17"/>
  <c r="C64" i="17"/>
  <c r="C576" i="17"/>
  <c r="C305" i="17"/>
  <c r="C817" i="17"/>
  <c r="C1083" i="17"/>
  <c r="C797" i="17"/>
  <c r="C1133" i="17"/>
  <c r="C1290" i="17"/>
  <c r="C470" i="17"/>
  <c r="C1139" i="17"/>
  <c r="C597" i="17"/>
  <c r="C1262" i="17"/>
  <c r="C955" i="17"/>
  <c r="C533" i="17"/>
  <c r="C1176" i="17"/>
  <c r="C1218" i="17"/>
  <c r="C122" i="17"/>
  <c r="C799" i="17"/>
  <c r="C1236" i="17"/>
  <c r="C800" i="17"/>
  <c r="C1177" i="17"/>
  <c r="C1111" i="17"/>
  <c r="C525" i="17"/>
  <c r="C1312" i="17"/>
  <c r="C548" i="17"/>
  <c r="C633" i="17"/>
  <c r="C1061" i="17"/>
  <c r="C1078" i="17"/>
  <c r="C523" i="17"/>
  <c r="C1311" i="17"/>
  <c r="C994" i="17"/>
  <c r="C258" i="17"/>
  <c r="C770" i="17"/>
  <c r="C108" i="17"/>
  <c r="C620" i="17"/>
  <c r="C125" i="17"/>
  <c r="C158" i="17"/>
  <c r="C670" i="17"/>
  <c r="C423" i="17"/>
  <c r="C935" i="17"/>
  <c r="C464" i="17"/>
  <c r="C193" i="17"/>
  <c r="C705" i="17"/>
  <c r="C138" i="17"/>
  <c r="C650" i="17"/>
  <c r="C387" i="17"/>
  <c r="C500" i="17"/>
  <c r="C1012" i="17"/>
  <c r="C38" i="17"/>
  <c r="C550" i="17"/>
  <c r="C303" i="17"/>
  <c r="C815" i="17"/>
  <c r="C344" i="17"/>
  <c r="C73" i="17"/>
  <c r="C585" i="17"/>
  <c r="C731" i="17"/>
  <c r="C886" i="17"/>
  <c r="C837" i="17"/>
  <c r="C958" i="17"/>
  <c r="C210" i="17"/>
  <c r="C722" i="17"/>
  <c r="C60" i="17"/>
  <c r="C572" i="17"/>
  <c r="C77" i="17"/>
  <c r="C110" i="17"/>
  <c r="C622" i="17"/>
  <c r="C375" i="17"/>
  <c r="C887" i="17"/>
  <c r="C416" i="17"/>
  <c r="C145" i="17"/>
  <c r="C657" i="17"/>
  <c r="C872" i="17"/>
  <c r="C1068" i="17"/>
  <c r="C952" i="17"/>
  <c r="C1241" i="17"/>
  <c r="C282" i="17"/>
  <c r="C19" i="17"/>
  <c r="C196" i="17"/>
  <c r="C708" i="17"/>
  <c r="C213" i="17"/>
  <c r="C246" i="17"/>
  <c r="C758" i="17"/>
  <c r="C511" i="17"/>
  <c r="C40" i="17"/>
  <c r="C552" i="17"/>
  <c r="C281" i="17"/>
  <c r="C793" i="17"/>
  <c r="C1059" i="17"/>
  <c r="C701" i="17"/>
  <c r="C1109" i="17"/>
  <c r="C1186" i="17"/>
  <c r="C418" i="17"/>
  <c r="C155" i="17"/>
  <c r="C268" i="17"/>
  <c r="C780" i="17"/>
  <c r="C285" i="17"/>
  <c r="C318" i="17"/>
  <c r="C71" i="17"/>
  <c r="C583" i="17"/>
  <c r="C112" i="17"/>
  <c r="C624" i="17"/>
  <c r="C353" i="17"/>
  <c r="C865" i="17"/>
  <c r="C1131" i="17"/>
  <c r="C925" i="17"/>
  <c r="C1181" i="17"/>
  <c r="C485" i="17"/>
  <c r="C490" i="17"/>
  <c r="C227" i="17"/>
  <c r="C340" i="17"/>
  <c r="C852" i="17"/>
  <c r="C357" i="17"/>
  <c r="C390" i="17"/>
  <c r="C143" i="17"/>
  <c r="C655" i="17"/>
  <c r="C184" i="17"/>
  <c r="C696" i="17"/>
  <c r="C425" i="17"/>
  <c r="C937" i="17"/>
  <c r="C434" i="17"/>
  <c r="C171" i="17"/>
  <c r="C284" i="17"/>
  <c r="C796" i="17"/>
  <c r="C301" i="17"/>
  <c r="C334" i="17"/>
  <c r="C87" i="17"/>
  <c r="C599" i="17"/>
  <c r="C128" i="17"/>
  <c r="C640" i="17"/>
  <c r="C369" i="17"/>
  <c r="C881" i="17"/>
  <c r="C1147" i="17"/>
  <c r="C989" i="17"/>
  <c r="C1197" i="17"/>
  <c r="C549" i="17"/>
  <c r="C223" i="17"/>
  <c r="C1291" i="17"/>
  <c r="C517" i="17"/>
  <c r="C869" i="17"/>
  <c r="C1039" i="17"/>
  <c r="C1202" i="17"/>
  <c r="C1240" i="17"/>
  <c r="C634" i="17"/>
  <c r="C328" i="17"/>
  <c r="C1010" i="17"/>
  <c r="C902" i="17"/>
  <c r="C896" i="17"/>
  <c r="C1175" i="17"/>
  <c r="C774" i="17"/>
  <c r="C830" i="17"/>
  <c r="C53" i="17"/>
  <c r="C667" i="17"/>
  <c r="C1213" i="17"/>
  <c r="C1142" i="17"/>
  <c r="C773" i="17"/>
  <c r="C805" i="17"/>
  <c r="C1064" i="17"/>
  <c r="C538" i="17"/>
  <c r="C296" i="17"/>
  <c r="C674" i="17"/>
  <c r="C368" i="17"/>
  <c r="C746" i="17"/>
  <c r="C440" i="17"/>
  <c r="C299" i="17"/>
  <c r="C462" i="17"/>
  <c r="C768" i="17"/>
  <c r="C579" i="17"/>
  <c r="C963" i="17"/>
  <c r="C749" i="17"/>
  <c r="C531" i="17"/>
  <c r="C1120" i="17"/>
  <c r="C1286" i="17"/>
  <c r="C894" i="17"/>
  <c r="C762" i="17"/>
  <c r="C456" i="17"/>
  <c r="C1148" i="17"/>
  <c r="C928" i="17"/>
  <c r="C1007" i="17"/>
  <c r="C1191" i="17"/>
  <c r="C803" i="17"/>
  <c r="C946" i="17"/>
  <c r="C676" i="17"/>
  <c r="C761" i="17"/>
  <c r="C1085" i="17"/>
  <c r="C1094" i="17"/>
  <c r="C587" i="17"/>
  <c r="C1327" i="17"/>
  <c r="C1015" i="17"/>
  <c r="C997" i="17"/>
  <c r="C278" i="17"/>
  <c r="C1075" i="17"/>
  <c r="C1137" i="17"/>
  <c r="C1230" i="17"/>
  <c r="C917" i="17"/>
  <c r="C1249" i="17"/>
  <c r="C1152" i="17"/>
  <c r="C1050" i="17"/>
  <c r="C159" i="17"/>
  <c r="C1283" i="17"/>
  <c r="C1108" i="17"/>
  <c r="C818" i="17"/>
  <c r="C1031" i="17"/>
  <c r="C1146" i="17"/>
  <c r="C1232" i="17"/>
  <c r="C136" i="17"/>
  <c r="C842" i="17"/>
  <c r="C944" i="17"/>
  <c r="C1032" i="17"/>
  <c r="C827" i="17"/>
  <c r="C1091" i="17"/>
  <c r="C1267" i="17"/>
  <c r="C275" i="17"/>
  <c r="C25" i="17"/>
  <c r="C12" i="17"/>
  <c r="C97" i="17"/>
  <c r="C84" i="17"/>
  <c r="C169" i="17"/>
  <c r="C28" i="17"/>
  <c r="C590" i="17"/>
  <c r="C113" i="17"/>
  <c r="C901" i="17"/>
  <c r="C1011" i="17"/>
  <c r="C970" i="17"/>
  <c r="C1070" i="17"/>
  <c r="C832" i="17"/>
  <c r="C186" i="17"/>
  <c r="C1209" i="17"/>
  <c r="C1225" i="17"/>
  <c r="C100" i="17"/>
  <c r="C185" i="17"/>
  <c r="C824" i="17"/>
  <c r="C1022" i="17"/>
  <c r="C1282" i="17"/>
  <c r="C1255" i="17"/>
  <c r="C906" i="17"/>
  <c r="C1257" i="17"/>
  <c r="C181" i="17"/>
  <c r="C808" i="17"/>
  <c r="C1269" i="17"/>
  <c r="C1158" i="17"/>
  <c r="C802" i="17"/>
  <c r="C882" i="17"/>
  <c r="C1080" i="17"/>
  <c r="C1266" i="17"/>
  <c r="C31" i="17"/>
  <c r="C1227" i="17"/>
  <c r="C1258" i="17"/>
  <c r="C1334" i="17"/>
  <c r="C1014" i="17"/>
  <c r="C1034" i="17"/>
  <c r="C1216" i="17"/>
  <c r="C1252" i="17"/>
  <c r="C671" i="17"/>
  <c r="C1156" i="17"/>
  <c r="C771" i="17"/>
  <c r="C1129" i="17"/>
  <c r="C1095" i="17"/>
  <c r="C443" i="17"/>
  <c r="C1296" i="17"/>
  <c r="C810" i="17"/>
  <c r="C1081" i="17"/>
  <c r="C629" i="17"/>
  <c r="C1066" i="17"/>
  <c r="C995" i="17"/>
  <c r="C1169" i="17"/>
  <c r="C1330" i="17"/>
  <c r="C452" i="17"/>
  <c r="C537" i="17"/>
  <c r="C524" i="17"/>
  <c r="C609" i="17"/>
  <c r="C596" i="17"/>
  <c r="C553" i="17"/>
  <c r="C412" i="17"/>
  <c r="C215" i="17"/>
  <c r="C497" i="17"/>
  <c r="C1325" i="17"/>
  <c r="C890" i="17"/>
  <c r="C778" i="17"/>
  <c r="C1198" i="17"/>
  <c r="C1308" i="17"/>
  <c r="C598" i="17"/>
  <c r="C981" i="17"/>
  <c r="C883" i="17"/>
  <c r="C612" i="17"/>
  <c r="C697" i="17"/>
  <c r="C1077" i="17"/>
  <c r="C1086" i="17"/>
  <c r="C555" i="17"/>
  <c r="C1319" i="17"/>
  <c r="C1005" i="17"/>
  <c r="C934" i="17"/>
  <c r="C214" i="17"/>
  <c r="C1035" i="17"/>
  <c r="C1073" i="17"/>
  <c r="C1222" i="17"/>
  <c r="C904" i="17"/>
  <c r="C1217" i="17"/>
  <c r="C1144" i="17"/>
  <c r="C973" i="17"/>
  <c r="C543" i="17"/>
  <c r="C1028" i="17"/>
  <c r="C709" i="17"/>
  <c r="C1089" i="17"/>
  <c r="C1079" i="17"/>
  <c r="C1276" i="17"/>
  <c r="C1280" i="17"/>
  <c r="C506" i="17"/>
  <c r="C200" i="17"/>
  <c r="C822" i="17"/>
  <c r="C877" i="17"/>
  <c r="C757" i="17"/>
  <c r="C1159" i="17"/>
  <c r="C717" i="17"/>
  <c r="C723" i="17"/>
  <c r="C864" i="17"/>
  <c r="C179" i="17"/>
  <c r="C292" i="17"/>
  <c r="C804" i="17"/>
  <c r="C1096" i="17"/>
  <c r="C1238" i="17"/>
  <c r="C563" i="17"/>
  <c r="C1332" i="17"/>
  <c r="C964" i="17"/>
  <c r="C539" i="17"/>
  <c r="C29" i="17"/>
  <c r="C795" i="17"/>
  <c r="C101" i="17"/>
  <c r="C681" i="17"/>
  <c r="C540" i="17"/>
  <c r="C343" i="17"/>
  <c r="C625" i="17"/>
  <c r="C1097" i="17"/>
  <c r="C1062" i="17"/>
  <c r="C806" i="17"/>
  <c r="C484" i="17"/>
  <c r="C491" i="17"/>
  <c r="C863" i="17"/>
  <c r="C1119" i="17"/>
  <c r="C1194" i="17"/>
  <c r="C117" i="17"/>
  <c r="C699" i="17"/>
  <c r="C1253" i="17"/>
  <c r="C1150" i="17"/>
  <c r="C789" i="17"/>
  <c r="C843" i="17"/>
  <c r="C1072" i="17"/>
  <c r="C1234" i="17"/>
  <c r="C726" i="17"/>
  <c r="C1219" i="17"/>
  <c r="C1090" i="17"/>
  <c r="C1318" i="17"/>
  <c r="C1003" i="17"/>
  <c r="C986" i="17"/>
  <c r="C1208" i="17"/>
  <c r="C1212" i="17"/>
  <c r="C378" i="17"/>
  <c r="C72" i="17"/>
  <c r="C782" i="17"/>
  <c r="C851" i="17"/>
  <c r="C1305" i="17"/>
  <c r="C1143" i="17"/>
  <c r="C653" i="17"/>
  <c r="C595" i="17"/>
  <c r="C243" i="17"/>
  <c r="C712" i="17"/>
  <c r="C611" i="17"/>
  <c r="C979" i="17"/>
  <c r="C1138" i="17"/>
  <c r="C1223" i="17"/>
  <c r="C854" i="17"/>
  <c r="C1105" i="17"/>
  <c r="C501" i="17"/>
  <c r="C648" i="17"/>
  <c r="C377" i="17"/>
  <c r="C889" i="17"/>
  <c r="C1084" i="17"/>
  <c r="C930" i="17"/>
  <c r="C1023" i="17"/>
  <c r="C469" i="17"/>
  <c r="C1315" i="17"/>
  <c r="C62" i="17"/>
  <c r="C950" i="17"/>
  <c r="C134" i="17"/>
  <c r="C50" i="17"/>
  <c r="C924" i="17"/>
  <c r="C727" i="17"/>
  <c r="C1009" i="17"/>
  <c r="C570" i="17"/>
  <c r="C845" i="17"/>
  <c r="C22" i="17"/>
  <c r="C866" i="17"/>
  <c r="C1163" i="17"/>
  <c r="C858" i="17"/>
  <c r="C1273" i="17"/>
  <c r="C150" i="17"/>
  <c r="C1027" i="17"/>
  <c r="C907" i="17"/>
  <c r="C1214" i="17"/>
  <c r="C891" i="17"/>
  <c r="C1193" i="17"/>
  <c r="C1136" i="17"/>
  <c r="C779" i="17"/>
  <c r="C479" i="17"/>
  <c r="C976" i="17"/>
  <c r="C677" i="17"/>
  <c r="C1057" i="17"/>
  <c r="C1071" i="17"/>
  <c r="C1196" i="17"/>
  <c r="C1272" i="17"/>
  <c r="C115" i="17"/>
  <c r="C584" i="17"/>
  <c r="C1260" i="17"/>
  <c r="C954" i="17"/>
  <c r="C1074" i="17"/>
  <c r="C1207" i="17"/>
  <c r="C829" i="17"/>
  <c r="C1041" i="17"/>
  <c r="C356" i="17"/>
  <c r="C441" i="17"/>
  <c r="C990" i="17"/>
  <c r="C1054" i="17"/>
  <c r="C1300" i="17"/>
  <c r="C1287" i="17"/>
  <c r="C957" i="17"/>
  <c r="C693" i="17"/>
  <c r="C1151" i="17"/>
  <c r="C547" i="17"/>
  <c r="C926" i="17"/>
  <c r="C1141" i="17"/>
  <c r="C309" i="17"/>
  <c r="C1281" i="17"/>
  <c r="C1082" i="17"/>
  <c r="C1288" i="17"/>
  <c r="C502" i="17"/>
  <c r="C739" i="17"/>
  <c r="C574" i="17"/>
  <c r="C875" i="17"/>
  <c r="C646" i="17"/>
  <c r="C178" i="17"/>
  <c r="C45" i="17"/>
  <c r="C855" i="17"/>
  <c r="C821" i="17"/>
  <c r="C420" i="17"/>
  <c r="C435" i="17"/>
  <c r="C569" i="17"/>
  <c r="C1303" i="17"/>
  <c r="C509" i="17"/>
  <c r="C557" i="17"/>
  <c r="C1314" i="17"/>
  <c r="C662" i="17"/>
  <c r="C1203" i="17"/>
  <c r="C1058" i="17"/>
  <c r="C1302" i="17"/>
  <c r="C992" i="17"/>
  <c r="C909" i="17"/>
  <c r="C1200" i="17"/>
  <c r="C1124" i="17"/>
  <c r="C314" i="17"/>
  <c r="C8" i="17"/>
  <c r="C605" i="17"/>
  <c r="C838" i="17"/>
  <c r="C1265" i="17"/>
  <c r="C1135" i="17"/>
  <c r="C621" i="17"/>
  <c r="C451" i="17"/>
  <c r="C228" i="17"/>
  <c r="C313" i="17"/>
  <c r="C914" i="17"/>
  <c r="C1038" i="17"/>
  <c r="C1132" i="17"/>
  <c r="C1271" i="17"/>
  <c r="C931" i="17"/>
  <c r="C459" i="17"/>
  <c r="C868" i="17"/>
  <c r="C953" i="17"/>
  <c r="C1149" i="17"/>
  <c r="C1118" i="17"/>
  <c r="C683" i="17"/>
  <c r="C627" i="17"/>
  <c r="C1040" i="17"/>
  <c r="C1098" i="17"/>
  <c r="C685" i="17"/>
  <c r="C966" i="17"/>
  <c r="C1046" i="17"/>
  <c r="C1110" i="17"/>
  <c r="C846" i="17"/>
  <c r="C1160" i="17"/>
  <c r="C1224" i="17"/>
  <c r="C1044" i="17"/>
  <c r="C1087" i="17"/>
  <c r="C255" i="17"/>
  <c r="C1310" i="17"/>
  <c r="C327" i="17"/>
  <c r="C1049" i="17"/>
  <c r="C399" i="17"/>
  <c r="C562" i="17"/>
  <c r="C429" i="17"/>
  <c r="C256" i="17"/>
  <c r="C1275" i="17"/>
  <c r="C264" i="17"/>
  <c r="C1167" i="17"/>
  <c r="C949" i="17"/>
  <c r="C1113" i="17"/>
  <c r="C960" i="17"/>
  <c r="C1192" i="17"/>
  <c r="C415" i="17"/>
  <c r="C861" i="17"/>
  <c r="C645" i="17"/>
  <c r="C1025" i="17"/>
  <c r="C1063" i="17"/>
  <c r="C1100" i="17"/>
  <c r="C1264" i="17"/>
  <c r="C51" i="17"/>
  <c r="C520" i="17"/>
  <c r="C1220" i="17"/>
  <c r="C941" i="17"/>
  <c r="C1042" i="17"/>
  <c r="C1199" i="17"/>
  <c r="C816" i="17"/>
  <c r="C1006" i="17"/>
  <c r="C740" i="17"/>
  <c r="C825" i="17"/>
  <c r="C1125" i="17"/>
  <c r="C1102" i="17"/>
  <c r="C619" i="17"/>
  <c r="C1335" i="17"/>
  <c r="C1024" i="17"/>
  <c r="C1026" i="17"/>
  <c r="C373" i="17"/>
  <c r="C910" i="17"/>
  <c r="C1333" i="17"/>
  <c r="C1182" i="17"/>
  <c r="C840" i="17"/>
  <c r="C1033" i="17"/>
  <c r="C1104" i="17"/>
  <c r="C1180" i="17"/>
  <c r="C659" i="17"/>
  <c r="C1106" i="17"/>
  <c r="C1228" i="17"/>
  <c r="C651" i="17"/>
  <c r="C1317" i="17"/>
  <c r="C1114" i="17"/>
  <c r="C1292" i="17"/>
  <c r="C607" i="17"/>
  <c r="C741" i="17"/>
  <c r="C1121" i="17"/>
  <c r="C767" i="17"/>
  <c r="C999" i="17"/>
  <c r="C826" i="17"/>
  <c r="C1322" i="17"/>
  <c r="C933" i="17"/>
  <c r="C1321" i="17"/>
  <c r="C499" i="17"/>
  <c r="C95" i="17"/>
  <c r="C162" i="17"/>
  <c r="C505" i="17"/>
  <c r="C1233" i="17"/>
  <c r="C1263" i="17"/>
  <c r="C1088" i="17"/>
  <c r="C1168" i="17"/>
  <c r="C839" i="17"/>
  <c r="C1295" i="17"/>
  <c r="C1021" i="17"/>
  <c r="C813" i="17"/>
  <c r="C1127" i="17"/>
  <c r="C918" i="17"/>
  <c r="C1306" i="17"/>
  <c r="C1162" i="17"/>
  <c r="C442" i="17"/>
  <c r="C234" i="17"/>
  <c r="C982" i="17"/>
  <c r="C1320" i="17"/>
  <c r="C589" i="17"/>
  <c r="C1297" i="17"/>
  <c r="C245" i="17"/>
  <c r="C406" i="17"/>
  <c r="C1174" i="17"/>
  <c r="C911" i="17"/>
  <c r="C1328" i="17"/>
  <c r="C164" i="17"/>
  <c r="C834" i="17"/>
  <c r="C1099" i="17"/>
  <c r="C690" i="17"/>
  <c r="C250" i="17"/>
  <c r="C249" i="17"/>
  <c r="C1277" i="17"/>
  <c r="C1329" i="17"/>
  <c r="C78" i="17"/>
  <c r="C927" i="17"/>
  <c r="C888" i="17"/>
  <c r="C1166" i="17"/>
  <c r="C1254" i="17"/>
  <c r="C1215" i="17"/>
  <c r="C384" i="17"/>
  <c r="C573" i="17"/>
  <c r="C1030" i="17"/>
  <c r="C814" i="17"/>
  <c r="C942" i="17"/>
  <c r="C1279" i="17"/>
  <c r="C342" i="17"/>
  <c r="K945" i="17"/>
  <c r="K7" i="1" l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N6" i="1"/>
  <c r="M6" i="1"/>
  <c r="L2" i="1"/>
  <c r="B1301" i="8"/>
  <c r="B1237" i="8"/>
  <c r="B1173" i="8"/>
  <c r="B1109" i="8"/>
  <c r="B1045" i="8"/>
  <c r="B981" i="8"/>
  <c r="B917" i="8"/>
  <c r="B853" i="8"/>
  <c r="B1276" i="8"/>
  <c r="B1212" i="8"/>
  <c r="B1148" i="8"/>
  <c r="B1084" i="8"/>
  <c r="B1020" i="8"/>
  <c r="B956" i="8"/>
  <c r="B892" i="8"/>
  <c r="B828" i="8"/>
  <c r="B764" i="8"/>
  <c r="B700" i="8"/>
  <c r="B1299" i="8"/>
  <c r="B1235" i="8"/>
  <c r="B1171" i="8"/>
  <c r="B1107" i="8"/>
  <c r="B1043" i="8"/>
  <c r="B979" i="8"/>
  <c r="B915" i="8"/>
  <c r="B851" i="8"/>
  <c r="B787" i="8"/>
  <c r="B723" i="8"/>
  <c r="B659" i="8"/>
  <c r="B595" i="8"/>
  <c r="B531" i="8"/>
  <c r="B467" i="8"/>
  <c r="B403" i="8"/>
  <c r="B339" i="8"/>
  <c r="B1290" i="8"/>
  <c r="B1226" i="8"/>
  <c r="B1162" i="8"/>
  <c r="B1098" i="8"/>
  <c r="B1034" i="8"/>
  <c r="B1289" i="8"/>
  <c r="B1225" i="8"/>
  <c r="B1161" i="8"/>
  <c r="B1097" i="8"/>
  <c r="B1320" i="8"/>
  <c r="B1256" i="8"/>
  <c r="B1192" i="8"/>
  <c r="B1128" i="8"/>
  <c r="B1064" i="8"/>
  <c r="B1000" i="8"/>
  <c r="B936" i="8"/>
  <c r="B872" i="8"/>
  <c r="B808" i="8"/>
  <c r="B744" i="8"/>
  <c r="B680" i="8"/>
  <c r="B1279" i="8"/>
  <c r="B1215" i="8"/>
  <c r="B1151" i="8"/>
  <c r="B1087" i="8"/>
  <c r="B1023" i="8"/>
  <c r="B959" i="8"/>
  <c r="B895" i="8"/>
  <c r="B831" i="8"/>
  <c r="B767" i="8"/>
  <c r="B703" i="8"/>
  <c r="B639" i="8"/>
  <c r="B575" i="8"/>
  <c r="B511" i="8"/>
  <c r="B447" i="8"/>
  <c r="B383" i="8"/>
  <c r="B319" i="8"/>
  <c r="B978" i="8"/>
  <c r="B818" i="8"/>
  <c r="B690" i="8"/>
  <c r="B598" i="8"/>
  <c r="B513" i="8"/>
  <c r="B428" i="8"/>
  <c r="B342" i="8"/>
  <c r="B272" i="8"/>
  <c r="B208" i="8"/>
  <c r="B144" i="8"/>
  <c r="B80" i="8"/>
  <c r="B16" i="8"/>
  <c r="B63" i="8"/>
  <c r="B1022" i="8"/>
  <c r="B849" i="8"/>
  <c r="B721" i="8"/>
  <c r="B618" i="8"/>
  <c r="B533" i="8"/>
  <c r="B448" i="8"/>
  <c r="B362" i="8"/>
  <c r="B287" i="8"/>
  <c r="B223" i="8"/>
  <c r="B1293" i="8"/>
  <c r="B1229" i="8"/>
  <c r="B1165" i="8"/>
  <c r="B1101" i="8"/>
  <c r="B1037" i="8"/>
  <c r="B973" i="8"/>
  <c r="B909" i="8"/>
  <c r="B1332" i="8"/>
  <c r="B1268" i="8"/>
  <c r="B1204" i="8"/>
  <c r="B1140" i="8"/>
  <c r="B1076" i="8"/>
  <c r="B1012" i="8"/>
  <c r="B948" i="8"/>
  <c r="B884" i="8"/>
  <c r="B820" i="8"/>
  <c r="B756" i="8"/>
  <c r="B692" i="8"/>
  <c r="B1291" i="8"/>
  <c r="B1227" i="8"/>
  <c r="B1163" i="8"/>
  <c r="B1099" i="8"/>
  <c r="B1035" i="8"/>
  <c r="B971" i="8"/>
  <c r="B907" i="8"/>
  <c r="B843" i="8"/>
  <c r="B779" i="8"/>
  <c r="B715" i="8"/>
  <c r="B651" i="8"/>
  <c r="B587" i="8"/>
  <c r="B523" i="8"/>
  <c r="B459" i="8"/>
  <c r="B395" i="8"/>
  <c r="B331" i="8"/>
  <c r="B1282" i="8"/>
  <c r="B1218" i="8"/>
  <c r="B1154" i="8"/>
  <c r="B1090" i="8"/>
  <c r="B1026" i="8"/>
  <c r="B1281" i="8"/>
  <c r="B1217" i="8"/>
  <c r="B1153" i="8"/>
  <c r="B1089" i="8"/>
  <c r="B1312" i="8"/>
  <c r="B1248" i="8"/>
  <c r="B1184" i="8"/>
  <c r="B1120" i="8"/>
  <c r="B1056" i="8"/>
  <c r="B992" i="8"/>
  <c r="B928" i="8"/>
  <c r="B864" i="8"/>
  <c r="B800" i="8"/>
  <c r="B736" i="8"/>
  <c r="B672" i="8"/>
  <c r="B1271" i="8"/>
  <c r="B1207" i="8"/>
  <c r="B1143" i="8"/>
  <c r="B1079" i="8"/>
  <c r="B1015" i="8"/>
  <c r="B951" i="8"/>
  <c r="B887" i="8"/>
  <c r="B823" i="8"/>
  <c r="B759" i="8"/>
  <c r="B695" i="8"/>
  <c r="B631" i="8"/>
  <c r="B567" i="8"/>
  <c r="B503" i="8"/>
  <c r="B439" i="8"/>
  <c r="B375" i="8"/>
  <c r="B1326" i="8"/>
  <c r="B958" i="8"/>
  <c r="B802" i="8"/>
  <c r="B674" i="8"/>
  <c r="B588" i="8"/>
  <c r="B502" i="8"/>
  <c r="B417" i="8"/>
  <c r="B332" i="8"/>
  <c r="B264" i="8"/>
  <c r="B200" i="8"/>
  <c r="B136" i="8"/>
  <c r="B72" i="8"/>
  <c r="B8" i="8"/>
  <c r="B47" i="8"/>
  <c r="B998" i="8"/>
  <c r="B833" i="8"/>
  <c r="B705" i="8"/>
  <c r="B608" i="8"/>
  <c r="B522" i="8"/>
  <c r="B437" i="8"/>
  <c r="B352" i="8"/>
  <c r="B279" i="8"/>
  <c r="B215" i="8"/>
  <c r="B135" i="8"/>
  <c r="B1246" i="8"/>
  <c r="B930" i="8"/>
  <c r="B782" i="8"/>
  <c r="B660" i="8"/>
  <c r="B574" i="8"/>
  <c r="B489" i="8"/>
  <c r="B404" i="8"/>
  <c r="B318" i="8"/>
  <c r="B254" i="8"/>
  <c r="B190" i="8"/>
  <c r="B126" i="8"/>
  <c r="B62" i="8"/>
  <c r="B970" i="8"/>
  <c r="B813" i="8"/>
  <c r="B685" i="8"/>
  <c r="B594" i="8"/>
  <c r="B509" i="8"/>
  <c r="B424" i="8"/>
  <c r="B338" i="8"/>
  <c r="B269" i="8"/>
  <c r="B205" i="8"/>
  <c r="B141" i="8"/>
  <c r="B77" i="8"/>
  <c r="B13" i="8"/>
  <c r="B44" i="8"/>
  <c r="B1041" i="8"/>
  <c r="B862" i="8"/>
  <c r="B730" i="8"/>
  <c r="B625" i="8"/>
  <c r="B1285" i="8"/>
  <c r="B1221" i="8"/>
  <c r="B1157" i="8"/>
  <c r="B1093" i="8"/>
  <c r="B1029" i="8"/>
  <c r="B965" i="8"/>
  <c r="B901" i="8"/>
  <c r="B1324" i="8"/>
  <c r="B1260" i="8"/>
  <c r="B1196" i="8"/>
  <c r="B1132" i="8"/>
  <c r="B1068" i="8"/>
  <c r="B1004" i="8"/>
  <c r="B940" i="8"/>
  <c r="B876" i="8"/>
  <c r="B812" i="8"/>
  <c r="B748" i="8"/>
  <c r="B684" i="8"/>
  <c r="B1283" i="8"/>
  <c r="B1219" i="8"/>
  <c r="B1155" i="8"/>
  <c r="B1091" i="8"/>
  <c r="B1027" i="8"/>
  <c r="B963" i="8"/>
  <c r="B899" i="8"/>
  <c r="B835" i="8"/>
  <c r="B771" i="8"/>
  <c r="B707" i="8"/>
  <c r="B643" i="8"/>
  <c r="B579" i="8"/>
  <c r="B515" i="8"/>
  <c r="B451" i="8"/>
  <c r="B387" i="8"/>
  <c r="B323" i="8"/>
  <c r="B1274" i="8"/>
  <c r="B1210" i="8"/>
  <c r="B1146" i="8"/>
  <c r="B1082" i="8"/>
  <c r="B1018" i="8"/>
  <c r="B1273" i="8"/>
  <c r="B1209" i="8"/>
  <c r="B1145" i="8"/>
  <c r="B1081" i="8"/>
  <c r="B1304" i="8"/>
  <c r="B1240" i="8"/>
  <c r="B1176" i="8"/>
  <c r="B1112" i="8"/>
  <c r="B1048" i="8"/>
  <c r="B984" i="8"/>
  <c r="B920" i="8"/>
  <c r="B856" i="8"/>
  <c r="B792" i="8"/>
  <c r="B728" i="8"/>
  <c r="B1327" i="8"/>
  <c r="B1263" i="8"/>
  <c r="B1199" i="8"/>
  <c r="B1135" i="8"/>
  <c r="B1071" i="8"/>
  <c r="B1007" i="8"/>
  <c r="B943" i="8"/>
  <c r="B879" i="8"/>
  <c r="B815" i="8"/>
  <c r="B751" i="8"/>
  <c r="B687" i="8"/>
  <c r="B623" i="8"/>
  <c r="B559" i="8"/>
  <c r="B495" i="8"/>
  <c r="B431" i="8"/>
  <c r="B367" i="8"/>
  <c r="B1262" i="8"/>
  <c r="B937" i="8"/>
  <c r="B786" i="8"/>
  <c r="B662" i="8"/>
  <c r="B577" i="8"/>
  <c r="B492" i="8"/>
  <c r="B406" i="8"/>
  <c r="B321" i="8"/>
  <c r="B256" i="8"/>
  <c r="B192" i="8"/>
  <c r="B128" i="8"/>
  <c r="B64" i="8"/>
  <c r="B167" i="8"/>
  <c r="B31" i="8"/>
  <c r="B977" i="8"/>
  <c r="B817" i="8"/>
  <c r="B689" i="8"/>
  <c r="B597" i="8"/>
  <c r="B512" i="8"/>
  <c r="B426" i="8"/>
  <c r="B341" i="8"/>
  <c r="B271" i="8"/>
  <c r="B207" i="8"/>
  <c r="B119" i="8"/>
  <c r="B1182" i="8"/>
  <c r="B910" i="8"/>
  <c r="B766" i="8"/>
  <c r="B649" i="8"/>
  <c r="B564" i="8"/>
  <c r="B478" i="8"/>
  <c r="B393" i="8"/>
  <c r="B310" i="8"/>
  <c r="B246" i="8"/>
  <c r="B182" i="8"/>
  <c r="B118" i="8"/>
  <c r="B1302" i="8"/>
  <c r="B950" i="8"/>
  <c r="B797" i="8"/>
  <c r="B669" i="8"/>
  <c r="B584" i="8"/>
  <c r="B498" i="8"/>
  <c r="B413" i="8"/>
  <c r="B328" i="8"/>
  <c r="B261" i="8"/>
  <c r="B197" i="8"/>
  <c r="B133" i="8"/>
  <c r="B69" i="8"/>
  <c r="B5" i="8"/>
  <c r="B461" i="8"/>
  <c r="B1010" i="8"/>
  <c r="B842" i="8"/>
  <c r="B714" i="8"/>
  <c r="B614" i="8"/>
  <c r="B529" i="8"/>
  <c r="B444" i="8"/>
  <c r="B358" i="8"/>
  <c r="B284" i="8"/>
  <c r="B220" i="8"/>
  <c r="B1277" i="8"/>
  <c r="B1213" i="8"/>
  <c r="B1149" i="8"/>
  <c r="B1085" i="8"/>
  <c r="B1021" i="8"/>
  <c r="B957" i="8"/>
  <c r="B893" i="8"/>
  <c r="B1316" i="8"/>
  <c r="B1252" i="8"/>
  <c r="B1188" i="8"/>
  <c r="B1124" i="8"/>
  <c r="B1060" i="8"/>
  <c r="B996" i="8"/>
  <c r="B932" i="8"/>
  <c r="B868" i="8"/>
  <c r="B804" i="8"/>
  <c r="B740" i="8"/>
  <c r="B676" i="8"/>
  <c r="B1275" i="8"/>
  <c r="B1211" i="8"/>
  <c r="B1147" i="8"/>
  <c r="B1083" i="8"/>
  <c r="B1019" i="8"/>
  <c r="B955" i="8"/>
  <c r="B891" i="8"/>
  <c r="B827" i="8"/>
  <c r="B763" i="8"/>
  <c r="B699" i="8"/>
  <c r="B635" i="8"/>
  <c r="B571" i="8"/>
  <c r="B507" i="8"/>
  <c r="B443" i="8"/>
  <c r="B379" i="8"/>
  <c r="B1330" i="8"/>
  <c r="B1266" i="8"/>
  <c r="B1202" i="8"/>
  <c r="B1138" i="8"/>
  <c r="B1074" i="8"/>
  <c r="B1329" i="8"/>
  <c r="B1265" i="8"/>
  <c r="B1201" i="8"/>
  <c r="B1137" i="8"/>
  <c r="B1073" i="8"/>
  <c r="B1296" i="8"/>
  <c r="B1232" i="8"/>
  <c r="B1168" i="8"/>
  <c r="B1104" i="8"/>
  <c r="B1040" i="8"/>
  <c r="B976" i="8"/>
  <c r="B912" i="8"/>
  <c r="B848" i="8"/>
  <c r="B784" i="8"/>
  <c r="B720" i="8"/>
  <c r="B1319" i="8"/>
  <c r="B1255" i="8"/>
  <c r="B1191" i="8"/>
  <c r="B1127" i="8"/>
  <c r="B1063" i="8"/>
  <c r="B999" i="8"/>
  <c r="B935" i="8"/>
  <c r="B871" i="8"/>
  <c r="B807" i="8"/>
  <c r="B743" i="8"/>
  <c r="B679" i="8"/>
  <c r="B615" i="8"/>
  <c r="B551" i="8"/>
  <c r="B487" i="8"/>
  <c r="B423" i="8"/>
  <c r="B359" i="8"/>
  <c r="B1198" i="8"/>
  <c r="B914" i="8"/>
  <c r="B770" i="8"/>
  <c r="B652" i="8"/>
  <c r="B566" i="8"/>
  <c r="B481" i="8"/>
  <c r="B396" i="8"/>
  <c r="B312" i="8"/>
  <c r="B248" i="8"/>
  <c r="B184" i="8"/>
  <c r="B120" i="8"/>
  <c r="B56" i="8"/>
  <c r="B143" i="8"/>
  <c r="B1318" i="8"/>
  <c r="B954" i="8"/>
  <c r="B801" i="8"/>
  <c r="B673" i="8"/>
  <c r="B586" i="8"/>
  <c r="B501" i="8"/>
  <c r="B416" i="8"/>
  <c r="B330" i="8"/>
  <c r="B263" i="8"/>
  <c r="B199" i="8"/>
  <c r="B103" i="8"/>
  <c r="B1118" i="8"/>
  <c r="B889" i="8"/>
  <c r="B750" i="8"/>
  <c r="B638" i="8"/>
  <c r="B553" i="8"/>
  <c r="B468" i="8"/>
  <c r="B382" i="8"/>
  <c r="B302" i="8"/>
  <c r="B238" i="8"/>
  <c r="B174" i="8"/>
  <c r="B110" i="8"/>
  <c r="B1238" i="8"/>
  <c r="B929" i="8"/>
  <c r="B781" i="8"/>
  <c r="B658" i="8"/>
  <c r="B573" i="8"/>
  <c r="B488" i="8"/>
  <c r="B402" i="8"/>
  <c r="B317" i="8"/>
  <c r="B253" i="8"/>
  <c r="B189" i="8"/>
  <c r="B125" i="8"/>
  <c r="B61" i="8"/>
  <c r="B148" i="8"/>
  <c r="B305" i="8"/>
  <c r="B990" i="8"/>
  <c r="B826" i="8"/>
  <c r="B698" i="8"/>
  <c r="B604" i="8"/>
  <c r="B1333" i="8"/>
  <c r="B1269" i="8"/>
  <c r="B1205" i="8"/>
  <c r="B1141" i="8"/>
  <c r="B1077" i="8"/>
  <c r="B1013" i="8"/>
  <c r="B949" i="8"/>
  <c r="B885" i="8"/>
  <c r="B1308" i="8"/>
  <c r="B1244" i="8"/>
  <c r="B1180" i="8"/>
  <c r="B1116" i="8"/>
  <c r="B1052" i="8"/>
  <c r="B988" i="8"/>
  <c r="B924" i="8"/>
  <c r="B860" i="8"/>
  <c r="B796" i="8"/>
  <c r="B732" i="8"/>
  <c r="B1331" i="8"/>
  <c r="B1267" i="8"/>
  <c r="B1203" i="8"/>
  <c r="B1139" i="8"/>
  <c r="B1075" i="8"/>
  <c r="B1011" i="8"/>
  <c r="B947" i="8"/>
  <c r="B883" i="8"/>
  <c r="B819" i="8"/>
  <c r="B755" i="8"/>
  <c r="B691" i="8"/>
  <c r="B627" i="8"/>
  <c r="B563" i="8"/>
  <c r="B499" i="8"/>
  <c r="B435" i="8"/>
  <c r="B371" i="8"/>
  <c r="B1322" i="8"/>
  <c r="B1258" i="8"/>
  <c r="B1194" i="8"/>
  <c r="B1130" i="8"/>
  <c r="B1066" i="8"/>
  <c r="B1321" i="8"/>
  <c r="B1257" i="8"/>
  <c r="B1193" i="8"/>
  <c r="B1129" i="8"/>
  <c r="B1065" i="8"/>
  <c r="B1288" i="8"/>
  <c r="B1224" i="8"/>
  <c r="B1160" i="8"/>
  <c r="B1096" i="8"/>
  <c r="B1032" i="8"/>
  <c r="B968" i="8"/>
  <c r="B904" i="8"/>
  <c r="B840" i="8"/>
  <c r="B776" i="8"/>
  <c r="B712" i="8"/>
  <c r="B1311" i="8"/>
  <c r="B1247" i="8"/>
  <c r="B1183" i="8"/>
  <c r="B1119" i="8"/>
  <c r="B1055" i="8"/>
  <c r="B991" i="8"/>
  <c r="B927" i="8"/>
  <c r="B863" i="8"/>
  <c r="B799" i="8"/>
  <c r="B735" i="8"/>
  <c r="B671" i="8"/>
  <c r="B607" i="8"/>
  <c r="B543" i="8"/>
  <c r="B479" i="8"/>
  <c r="B415" i="8"/>
  <c r="B351" i="8"/>
  <c r="B1134" i="8"/>
  <c r="B894" i="8"/>
  <c r="B754" i="8"/>
  <c r="B641" i="8"/>
  <c r="B556" i="8"/>
  <c r="B470" i="8"/>
  <c r="B385" i="8"/>
  <c r="B304" i="8"/>
  <c r="B240" i="8"/>
  <c r="B176" i="8"/>
  <c r="B112" i="8"/>
  <c r="B48" i="8"/>
  <c r="B127" i="8"/>
  <c r="B1254" i="8"/>
  <c r="B934" i="8"/>
  <c r="B785" i="8"/>
  <c r="B661" i="8"/>
  <c r="B576" i="8"/>
  <c r="B490" i="8"/>
  <c r="B405" i="8"/>
  <c r="B320" i="8"/>
  <c r="B255" i="8"/>
  <c r="B191" i="8"/>
  <c r="B87" i="8"/>
  <c r="B1054" i="8"/>
  <c r="B866" i="8"/>
  <c r="B734" i="8"/>
  <c r="B628" i="8"/>
  <c r="B542" i="8"/>
  <c r="B457" i="8"/>
  <c r="B372" i="8"/>
  <c r="B294" i="8"/>
  <c r="B230" i="8"/>
  <c r="B166" i="8"/>
  <c r="B102" i="8"/>
  <c r="B1174" i="8"/>
  <c r="B906" i="8"/>
  <c r="B765" i="8"/>
  <c r="B648" i="8"/>
  <c r="B562" i="8"/>
  <c r="B477" i="8"/>
  <c r="B392" i="8"/>
  <c r="B309" i="8"/>
  <c r="B245" i="8"/>
  <c r="B181" i="8"/>
  <c r="B117" i="8"/>
  <c r="B53" i="8"/>
  <c r="B124" i="8"/>
  <c r="B257" i="8"/>
  <c r="B969" i="8"/>
  <c r="B810" i="8"/>
  <c r="B682" i="8"/>
  <c r="B593" i="8"/>
  <c r="B508" i="8"/>
  <c r="B1325" i="8"/>
  <c r="B1261" i="8"/>
  <c r="B1197" i="8"/>
  <c r="B1133" i="8"/>
  <c r="B1069" i="8"/>
  <c r="B1005" i="8"/>
  <c r="B941" i="8"/>
  <c r="B877" i="8"/>
  <c r="B1300" i="8"/>
  <c r="B1236" i="8"/>
  <c r="B1172" i="8"/>
  <c r="B1108" i="8"/>
  <c r="B1044" i="8"/>
  <c r="B980" i="8"/>
  <c r="B916" i="8"/>
  <c r="B852" i="8"/>
  <c r="B788" i="8"/>
  <c r="B724" i="8"/>
  <c r="B1323" i="8"/>
  <c r="B1259" i="8"/>
  <c r="B1195" i="8"/>
  <c r="B1131" i="8"/>
  <c r="B1067" i="8"/>
  <c r="B1003" i="8"/>
  <c r="B939" i="8"/>
  <c r="B875" i="8"/>
  <c r="B811" i="8"/>
  <c r="B747" i="8"/>
  <c r="B683" i="8"/>
  <c r="B619" i="8"/>
  <c r="B555" i="8"/>
  <c r="B491" i="8"/>
  <c r="B427" i="8"/>
  <c r="B363" i="8"/>
  <c r="B1314" i="8"/>
  <c r="B1250" i="8"/>
  <c r="B1186" i="8"/>
  <c r="B1122" i="8"/>
  <c r="B1058" i="8"/>
  <c r="B1313" i="8"/>
  <c r="B1249" i="8"/>
  <c r="B1185" i="8"/>
  <c r="B1121" i="8"/>
  <c r="B1057" i="8"/>
  <c r="B1280" i="8"/>
  <c r="B1216" i="8"/>
  <c r="B1152" i="8"/>
  <c r="B1088" i="8"/>
  <c r="B1024" i="8"/>
  <c r="B960" i="8"/>
  <c r="B896" i="8"/>
  <c r="B832" i="8"/>
  <c r="B768" i="8"/>
  <c r="B704" i="8"/>
  <c r="B1303" i="8"/>
  <c r="B1239" i="8"/>
  <c r="B1175" i="8"/>
  <c r="B1111" i="8"/>
  <c r="B1047" i="8"/>
  <c r="B983" i="8"/>
  <c r="B919" i="8"/>
  <c r="B855" i="8"/>
  <c r="B791" i="8"/>
  <c r="B727" i="8"/>
  <c r="B663" i="8"/>
  <c r="B599" i="8"/>
  <c r="B535" i="8"/>
  <c r="B471" i="8"/>
  <c r="B407" i="8"/>
  <c r="B343" i="8"/>
  <c r="B1070" i="8"/>
  <c r="B873" i="8"/>
  <c r="B738" i="8"/>
  <c r="B630" i="8"/>
  <c r="B545" i="8"/>
  <c r="B460" i="8"/>
  <c r="B374" i="8"/>
  <c r="B296" i="8"/>
  <c r="B232" i="8"/>
  <c r="B168" i="8"/>
  <c r="B104" i="8"/>
  <c r="B40" i="8"/>
  <c r="B111" i="8"/>
  <c r="B1190" i="8"/>
  <c r="B913" i="8"/>
  <c r="B769" i="8"/>
  <c r="B650" i="8"/>
  <c r="B565" i="8"/>
  <c r="B480" i="8"/>
  <c r="B394" i="8"/>
  <c r="B311" i="8"/>
  <c r="B247" i="8"/>
  <c r="B1317" i="8"/>
  <c r="B1253" i="8"/>
  <c r="B1189" i="8"/>
  <c r="B1125" i="8"/>
  <c r="B1061" i="8"/>
  <c r="B997" i="8"/>
  <c r="B933" i="8"/>
  <c r="B869" i="8"/>
  <c r="B1292" i="8"/>
  <c r="B1228" i="8"/>
  <c r="B1164" i="8"/>
  <c r="B1100" i="8"/>
  <c r="B1036" i="8"/>
  <c r="B972" i="8"/>
  <c r="B908" i="8"/>
  <c r="B844" i="8"/>
  <c r="B780" i="8"/>
  <c r="B716" i="8"/>
  <c r="B1315" i="8"/>
  <c r="B1251" i="8"/>
  <c r="B1187" i="8"/>
  <c r="B1123" i="8"/>
  <c r="B1059" i="8"/>
  <c r="B995" i="8"/>
  <c r="B931" i="8"/>
  <c r="B867" i="8"/>
  <c r="B803" i="8"/>
  <c r="B739" i="8"/>
  <c r="B675" i="8"/>
  <c r="B611" i="8"/>
  <c r="B547" i="8"/>
  <c r="B483" i="8"/>
  <c r="B419" i="8"/>
  <c r="B355" i="8"/>
  <c r="B1306" i="8"/>
  <c r="B1242" i="8"/>
  <c r="B1178" i="8"/>
  <c r="B1114" i="8"/>
  <c r="B1050" i="8"/>
  <c r="B1305" i="8"/>
  <c r="B1241" i="8"/>
  <c r="B1177" i="8"/>
  <c r="B1113" i="8"/>
  <c r="B1049" i="8"/>
  <c r="B1272" i="8"/>
  <c r="B1208" i="8"/>
  <c r="B1144" i="8"/>
  <c r="B1080" i="8"/>
  <c r="B1016" i="8"/>
  <c r="B952" i="8"/>
  <c r="B888" i="8"/>
  <c r="B824" i="8"/>
  <c r="B760" i="8"/>
  <c r="B696" i="8"/>
  <c r="B1295" i="8"/>
  <c r="B1231" i="8"/>
  <c r="B1167" i="8"/>
  <c r="B1103" i="8"/>
  <c r="B1039" i="8"/>
  <c r="B975" i="8"/>
  <c r="B911" i="8"/>
  <c r="B847" i="8"/>
  <c r="B783" i="8"/>
  <c r="B719" i="8"/>
  <c r="B655" i="8"/>
  <c r="B591" i="8"/>
  <c r="B527" i="8"/>
  <c r="B463" i="8"/>
  <c r="B399" i="8"/>
  <c r="B335" i="8"/>
  <c r="B1025" i="8"/>
  <c r="B850" i="8"/>
  <c r="B722" i="8"/>
  <c r="B620" i="8"/>
  <c r="B534" i="8"/>
  <c r="B449" i="8"/>
  <c r="B364" i="8"/>
  <c r="B288" i="8"/>
  <c r="B224" i="8"/>
  <c r="B160" i="8"/>
  <c r="B96" i="8"/>
  <c r="B32" i="8"/>
  <c r="B95" i="8"/>
  <c r="B1126" i="8"/>
  <c r="B890" i="8"/>
  <c r="B753" i="8"/>
  <c r="B640" i="8"/>
  <c r="B554" i="8"/>
  <c r="B469" i="8"/>
  <c r="B384" i="8"/>
  <c r="B303" i="8"/>
  <c r="B239" i="8"/>
  <c r="B175" i="8"/>
  <c r="B55" i="8"/>
  <c r="B994" i="8"/>
  <c r="B830" i="8"/>
  <c r="B702" i="8"/>
  <c r="B606" i="8"/>
  <c r="B521" i="8"/>
  <c r="B436" i="8"/>
  <c r="B350" i="8"/>
  <c r="B278" i="8"/>
  <c r="B214" i="8"/>
  <c r="B150" i="8"/>
  <c r="B86" i="8"/>
  <c r="B1046" i="8"/>
  <c r="B865" i="8"/>
  <c r="B733" i="8"/>
  <c r="B626" i="8"/>
  <c r="B541" i="8"/>
  <c r="B456" i="8"/>
  <c r="B370" i="8"/>
  <c r="B293" i="8"/>
  <c r="B229" i="8"/>
  <c r="B165" i="8"/>
  <c r="B101" i="8"/>
  <c r="B37" i="8"/>
  <c r="B92" i="8"/>
  <c r="B1230" i="8"/>
  <c r="B926" i="8"/>
  <c r="B778" i="8"/>
  <c r="B657" i="8"/>
  <c r="B572" i="8"/>
  <c r="B486" i="8"/>
  <c r="B401" i="8"/>
  <c r="B316" i="8"/>
  <c r="B252" i="8"/>
  <c r="B1309" i="8"/>
  <c r="B1284" i="8"/>
  <c r="B772" i="8"/>
  <c r="B923" i="8"/>
  <c r="B411" i="8"/>
  <c r="B1233" i="8"/>
  <c r="B1008" i="8"/>
  <c r="B1159" i="8"/>
  <c r="B647" i="8"/>
  <c r="B706" i="8"/>
  <c r="B88" i="8"/>
  <c r="B458" i="8"/>
  <c r="B39" i="8"/>
  <c r="B718" i="8"/>
  <c r="B500" i="8"/>
  <c r="B270" i="8"/>
  <c r="B94" i="8"/>
  <c r="B829" i="8"/>
  <c r="B530" i="8"/>
  <c r="B301" i="8"/>
  <c r="B149" i="8"/>
  <c r="B76" i="8"/>
  <c r="B794" i="8"/>
  <c r="B550" i="8"/>
  <c r="B422" i="8"/>
  <c r="B308" i="8"/>
  <c r="B228" i="8"/>
  <c r="B156" i="8"/>
  <c r="B36" i="8"/>
  <c r="B233" i="8"/>
  <c r="B966" i="8"/>
  <c r="B809" i="8"/>
  <c r="B681" i="8"/>
  <c r="B592" i="8"/>
  <c r="B506" i="8"/>
  <c r="B421" i="8"/>
  <c r="B336" i="8"/>
  <c r="B267" i="8"/>
  <c r="B203" i="8"/>
  <c r="B139" i="8"/>
  <c r="B75" i="8"/>
  <c r="B11" i="8"/>
  <c r="B837" i="8"/>
  <c r="B610" i="8"/>
  <c r="B408" i="8"/>
  <c r="B1278" i="8"/>
  <c r="B942" i="8"/>
  <c r="B790" i="8"/>
  <c r="B665" i="8"/>
  <c r="B580" i="8"/>
  <c r="B494" i="8"/>
  <c r="B409" i="8"/>
  <c r="B324" i="8"/>
  <c r="B258" i="8"/>
  <c r="B194" i="8"/>
  <c r="B130" i="8"/>
  <c r="B66" i="8"/>
  <c r="B2" i="8"/>
  <c r="B821" i="8"/>
  <c r="B600" i="8"/>
  <c r="B418" i="8"/>
  <c r="B225" i="8"/>
  <c r="B33" i="8"/>
  <c r="B15" i="8"/>
  <c r="B23" i="8"/>
  <c r="B17" i="8"/>
  <c r="B410" i="8"/>
  <c r="B569" i="8"/>
  <c r="B789" i="8"/>
  <c r="B217" i="8"/>
  <c r="B1245" i="8"/>
  <c r="B1220" i="8"/>
  <c r="B708" i="8"/>
  <c r="B859" i="8"/>
  <c r="B347" i="8"/>
  <c r="B1169" i="8"/>
  <c r="B944" i="8"/>
  <c r="B1095" i="8"/>
  <c r="B583" i="8"/>
  <c r="B609" i="8"/>
  <c r="B24" i="8"/>
  <c r="B373" i="8"/>
  <c r="B1310" i="8"/>
  <c r="B686" i="8"/>
  <c r="B446" i="8"/>
  <c r="B262" i="8"/>
  <c r="B78" i="8"/>
  <c r="B749" i="8"/>
  <c r="B520" i="8"/>
  <c r="B285" i="8"/>
  <c r="B109" i="8"/>
  <c r="B60" i="8"/>
  <c r="B762" i="8"/>
  <c r="B540" i="8"/>
  <c r="B412" i="8"/>
  <c r="B300" i="8"/>
  <c r="B212" i="8"/>
  <c r="B140" i="8"/>
  <c r="B28" i="8"/>
  <c r="B1286" i="8"/>
  <c r="B945" i="8"/>
  <c r="B793" i="8"/>
  <c r="B496" i="8"/>
  <c r="B195" i="8"/>
  <c r="B805" i="8"/>
  <c r="B654" i="8"/>
  <c r="B186" i="8"/>
  <c r="B397" i="8"/>
  <c r="B1181" i="8"/>
  <c r="B1156" i="8"/>
  <c r="B1307" i="8"/>
  <c r="B795" i="8"/>
  <c r="B1298" i="8"/>
  <c r="B1105" i="8"/>
  <c r="B880" i="8"/>
  <c r="B1031" i="8"/>
  <c r="B519" i="8"/>
  <c r="B524" i="8"/>
  <c r="B79" i="8"/>
  <c r="B295" i="8"/>
  <c r="B1017" i="8"/>
  <c r="B670" i="8"/>
  <c r="B425" i="8"/>
  <c r="B222" i="8"/>
  <c r="B70" i="8"/>
  <c r="B717" i="8"/>
  <c r="B466" i="8"/>
  <c r="B277" i="8"/>
  <c r="B93" i="8"/>
  <c r="B1294" i="8"/>
  <c r="B746" i="8"/>
  <c r="B518" i="8"/>
  <c r="B390" i="8"/>
  <c r="B292" i="8"/>
  <c r="B204" i="8"/>
  <c r="B132" i="8"/>
  <c r="B20" i="8"/>
  <c r="B1222" i="8"/>
  <c r="B922" i="8"/>
  <c r="B777" i="8"/>
  <c r="B656" i="8"/>
  <c r="B570" i="8"/>
  <c r="B485" i="8"/>
  <c r="B400" i="8"/>
  <c r="B315" i="8"/>
  <c r="B251" i="8"/>
  <c r="B187" i="8"/>
  <c r="B123" i="8"/>
  <c r="B59" i="8"/>
  <c r="B1206" i="8"/>
  <c r="B773" i="8"/>
  <c r="B568" i="8"/>
  <c r="B365" i="8"/>
  <c r="B1150" i="8"/>
  <c r="B898" i="8"/>
  <c r="B758" i="8"/>
  <c r="B644" i="8"/>
  <c r="B558" i="8"/>
  <c r="B473" i="8"/>
  <c r="B388" i="8"/>
  <c r="B306" i="8"/>
  <c r="B242" i="8"/>
  <c r="B178" i="8"/>
  <c r="B114" i="8"/>
  <c r="B50" i="8"/>
  <c r="B1078" i="8"/>
  <c r="B757" i="8"/>
  <c r="B557" i="8"/>
  <c r="B376" i="8"/>
  <c r="B145" i="8"/>
  <c r="B129" i="8"/>
  <c r="B65" i="8"/>
  <c r="B105" i="8"/>
  <c r="B153" i="8"/>
  <c r="B1117" i="8"/>
  <c r="B1092" i="8"/>
  <c r="B1243" i="8"/>
  <c r="B731" i="8"/>
  <c r="B1234" i="8"/>
  <c r="B1328" i="8"/>
  <c r="B816" i="8"/>
  <c r="B967" i="8"/>
  <c r="B455" i="8"/>
  <c r="B438" i="8"/>
  <c r="B1062" i="8"/>
  <c r="B231" i="8"/>
  <c r="B974" i="8"/>
  <c r="B617" i="8"/>
  <c r="B414" i="8"/>
  <c r="B206" i="8"/>
  <c r="B1110" i="8"/>
  <c r="B445" i="8"/>
  <c r="B237" i="8"/>
  <c r="B85" i="8"/>
  <c r="B1166" i="8"/>
  <c r="B668" i="8"/>
  <c r="B497" i="8"/>
  <c r="B380" i="8"/>
  <c r="B276" i="8"/>
  <c r="B196" i="8"/>
  <c r="B116" i="8"/>
  <c r="B12" i="8"/>
  <c r="B902" i="8"/>
  <c r="B761" i="8"/>
  <c r="B645" i="8"/>
  <c r="B560" i="8"/>
  <c r="B389" i="8"/>
  <c r="B307" i="8"/>
  <c r="B179" i="8"/>
  <c r="B51" i="8"/>
  <c r="B741" i="8"/>
  <c r="B536" i="8"/>
  <c r="B1086" i="8"/>
  <c r="B742" i="8"/>
  <c r="B548" i="8"/>
  <c r="B462" i="8"/>
  <c r="B298" i="8"/>
  <c r="B170" i="8"/>
  <c r="B42" i="8"/>
  <c r="B725" i="8"/>
  <c r="B354" i="8"/>
  <c r="B81" i="8"/>
  <c r="B121" i="8"/>
  <c r="B89" i="8"/>
  <c r="B73" i="8"/>
  <c r="B46" i="8"/>
  <c r="B325" i="8"/>
  <c r="B131" i="8"/>
  <c r="B589" i="8"/>
  <c r="B774" i="8"/>
  <c r="B314" i="8"/>
  <c r="B1270" i="8"/>
  <c r="B9" i="8"/>
  <c r="B701" i="8"/>
  <c r="B1158" i="8"/>
  <c r="B474" i="8"/>
  <c r="B243" i="8"/>
  <c r="B115" i="8"/>
  <c r="B1142" i="8"/>
  <c r="B344" i="8"/>
  <c r="B878" i="8"/>
  <c r="B633" i="8"/>
  <c r="B377" i="8"/>
  <c r="B234" i="8"/>
  <c r="B106" i="8"/>
  <c r="B1002" i="8"/>
  <c r="B546" i="8"/>
  <c r="B30" i="8"/>
  <c r="B49" i="8"/>
  <c r="B249" i="8"/>
  <c r="B581" i="8"/>
  <c r="B3" i="8"/>
  <c r="B921" i="8"/>
  <c r="B250" i="8"/>
  <c r="B578" i="8"/>
  <c r="B169" i="8"/>
  <c r="B1053" i="8"/>
  <c r="B1028" i="8"/>
  <c r="B1179" i="8"/>
  <c r="B667" i="8"/>
  <c r="B1170" i="8"/>
  <c r="B1264" i="8"/>
  <c r="B752" i="8"/>
  <c r="B903" i="8"/>
  <c r="B391" i="8"/>
  <c r="B353" i="8"/>
  <c r="B870" i="8"/>
  <c r="B183" i="8"/>
  <c r="B953" i="8"/>
  <c r="B596" i="8"/>
  <c r="B361" i="8"/>
  <c r="B198" i="8"/>
  <c r="B1014" i="8"/>
  <c r="B637" i="8"/>
  <c r="B434" i="8"/>
  <c r="B221" i="8"/>
  <c r="B45" i="8"/>
  <c r="B1102" i="8"/>
  <c r="B646" i="8"/>
  <c r="B476" i="8"/>
  <c r="B369" i="8"/>
  <c r="B268" i="8"/>
  <c r="B188" i="8"/>
  <c r="B100" i="8"/>
  <c r="B4" i="8"/>
  <c r="B1094" i="8"/>
  <c r="B881" i="8"/>
  <c r="B745" i="8"/>
  <c r="B634" i="8"/>
  <c r="B549" i="8"/>
  <c r="B464" i="8"/>
  <c r="B378" i="8"/>
  <c r="B299" i="8"/>
  <c r="B235" i="8"/>
  <c r="B171" i="8"/>
  <c r="B107" i="8"/>
  <c r="B43" i="8"/>
  <c r="B1030" i="8"/>
  <c r="B709" i="8"/>
  <c r="B514" i="8"/>
  <c r="B313" i="8"/>
  <c r="B1033" i="8"/>
  <c r="B857" i="8"/>
  <c r="B726" i="8"/>
  <c r="B622" i="8"/>
  <c r="B537" i="8"/>
  <c r="B452" i="8"/>
  <c r="B366" i="8"/>
  <c r="B290" i="8"/>
  <c r="B226" i="8"/>
  <c r="B162" i="8"/>
  <c r="B98" i="8"/>
  <c r="B34" i="8"/>
  <c r="B982" i="8"/>
  <c r="B693" i="8"/>
  <c r="B525" i="8"/>
  <c r="B333" i="8"/>
  <c r="B38" i="8"/>
  <c r="B7" i="8"/>
  <c r="B25" i="8"/>
  <c r="B22" i="8"/>
  <c r="B41" i="8"/>
  <c r="B846" i="8"/>
  <c r="B29" i="8"/>
  <c r="B636" i="8"/>
  <c r="B348" i="8"/>
  <c r="B180" i="8"/>
  <c r="B482" i="8"/>
  <c r="B858" i="8"/>
  <c r="B729" i="8"/>
  <c r="B538" i="8"/>
  <c r="B368" i="8"/>
  <c r="B291" i="8"/>
  <c r="B163" i="8"/>
  <c r="B35" i="8"/>
  <c r="B961" i="8"/>
  <c r="B493" i="8"/>
  <c r="B1006" i="8"/>
  <c r="B710" i="8"/>
  <c r="B612" i="8"/>
  <c r="B441" i="8"/>
  <c r="B356" i="8"/>
  <c r="B218" i="8"/>
  <c r="B90" i="8"/>
  <c r="B938" i="8"/>
  <c r="B504" i="8"/>
  <c r="B297" i="8"/>
  <c r="B185" i="8"/>
  <c r="B161" i="8"/>
  <c r="B632" i="8"/>
  <c r="B806" i="8"/>
  <c r="B505" i="8"/>
  <c r="B334" i="8"/>
  <c r="B202" i="8"/>
  <c r="B74" i="8"/>
  <c r="B854" i="8"/>
  <c r="B440" i="8"/>
  <c r="B113" i="8"/>
  <c r="B259" i="8"/>
  <c r="B386" i="8"/>
  <c r="B484" i="8"/>
  <c r="B122" i="8"/>
  <c r="B209" i="8"/>
  <c r="B989" i="8"/>
  <c r="B964" i="8"/>
  <c r="B1115" i="8"/>
  <c r="B603" i="8"/>
  <c r="B1106" i="8"/>
  <c r="B1200" i="8"/>
  <c r="B688" i="8"/>
  <c r="B839" i="8"/>
  <c r="B327" i="8"/>
  <c r="B280" i="8"/>
  <c r="B737" i="8"/>
  <c r="B159" i="8"/>
  <c r="B585" i="8"/>
  <c r="B340" i="8"/>
  <c r="B158" i="8"/>
  <c r="B993" i="8"/>
  <c r="B616" i="8"/>
  <c r="B381" i="8"/>
  <c r="B213" i="8"/>
  <c r="B946" i="8"/>
  <c r="B465" i="8"/>
  <c r="B260" i="8"/>
  <c r="B84" i="8"/>
  <c r="B1038" i="8"/>
  <c r="B624" i="8"/>
  <c r="B453" i="8"/>
  <c r="B227" i="8"/>
  <c r="B99" i="8"/>
  <c r="B677" i="8"/>
  <c r="B289" i="8"/>
  <c r="B838" i="8"/>
  <c r="B526" i="8"/>
  <c r="B282" i="8"/>
  <c r="B154" i="8"/>
  <c r="B26" i="8"/>
  <c r="B664" i="8"/>
  <c r="B201" i="8"/>
  <c r="B54" i="8"/>
  <c r="B14" i="8"/>
  <c r="B925" i="8"/>
  <c r="B900" i="8"/>
  <c r="B1051" i="8"/>
  <c r="B539" i="8"/>
  <c r="B1042" i="8"/>
  <c r="B1136" i="8"/>
  <c r="B1287" i="8"/>
  <c r="B775" i="8"/>
  <c r="B1001" i="8"/>
  <c r="B216" i="8"/>
  <c r="B629" i="8"/>
  <c r="B151" i="8"/>
  <c r="B814" i="8"/>
  <c r="B532" i="8"/>
  <c r="B329" i="8"/>
  <c r="B142" i="8"/>
  <c r="B886" i="8"/>
  <c r="B605" i="8"/>
  <c r="B360" i="8"/>
  <c r="B173" i="8"/>
  <c r="B21" i="8"/>
  <c r="B905" i="8"/>
  <c r="B582" i="8"/>
  <c r="B454" i="8"/>
  <c r="B337" i="8"/>
  <c r="B244" i="8"/>
  <c r="B172" i="8"/>
  <c r="B68" i="8"/>
  <c r="B322" i="8"/>
  <c r="B1009" i="8"/>
  <c r="B841" i="8"/>
  <c r="B713" i="8"/>
  <c r="B613" i="8"/>
  <c r="B528" i="8"/>
  <c r="B442" i="8"/>
  <c r="B357" i="8"/>
  <c r="B283" i="8"/>
  <c r="B219" i="8"/>
  <c r="B155" i="8"/>
  <c r="B91" i="8"/>
  <c r="B27" i="8"/>
  <c r="B918" i="8"/>
  <c r="B653" i="8"/>
  <c r="B450" i="8"/>
  <c r="B273" i="8"/>
  <c r="B985" i="8"/>
  <c r="B822" i="8"/>
  <c r="B694" i="8"/>
  <c r="B601" i="8"/>
  <c r="B516" i="8"/>
  <c r="B430" i="8"/>
  <c r="B345" i="8"/>
  <c r="B274" i="8"/>
  <c r="B210" i="8"/>
  <c r="B146" i="8"/>
  <c r="B82" i="8"/>
  <c r="B18" i="8"/>
  <c r="B897" i="8"/>
  <c r="B642" i="8"/>
  <c r="B472" i="8"/>
  <c r="B281" i="8"/>
  <c r="B137" i="8"/>
  <c r="B57" i="8"/>
  <c r="B177" i="8"/>
  <c r="B97" i="8"/>
  <c r="B861" i="8"/>
  <c r="B836" i="8"/>
  <c r="B987" i="8"/>
  <c r="B475" i="8"/>
  <c r="B1297" i="8"/>
  <c r="B1072" i="8"/>
  <c r="B1223" i="8"/>
  <c r="B711" i="8"/>
  <c r="B834" i="8"/>
  <c r="B152" i="8"/>
  <c r="B544" i="8"/>
  <c r="B71" i="8"/>
  <c r="B798" i="8"/>
  <c r="B510" i="8"/>
  <c r="B286" i="8"/>
  <c r="B134" i="8"/>
  <c r="B845" i="8"/>
  <c r="B552" i="8"/>
  <c r="B349" i="8"/>
  <c r="B157" i="8"/>
  <c r="B108" i="8"/>
  <c r="B882" i="8"/>
  <c r="B561" i="8"/>
  <c r="B433" i="8"/>
  <c r="B326" i="8"/>
  <c r="B236" i="8"/>
  <c r="B164" i="8"/>
  <c r="B52" i="8"/>
  <c r="B265" i="8"/>
  <c r="B986" i="8"/>
  <c r="B825" i="8"/>
  <c r="B697" i="8"/>
  <c r="B602" i="8"/>
  <c r="B517" i="8"/>
  <c r="B432" i="8"/>
  <c r="B346" i="8"/>
  <c r="B275" i="8"/>
  <c r="B211" i="8"/>
  <c r="B147" i="8"/>
  <c r="B83" i="8"/>
  <c r="B19" i="8"/>
  <c r="B874" i="8"/>
  <c r="B429" i="8"/>
  <c r="B241" i="8"/>
  <c r="B962" i="8"/>
  <c r="B678" i="8"/>
  <c r="B590" i="8"/>
  <c r="B420" i="8"/>
  <c r="B266" i="8"/>
  <c r="B138" i="8"/>
  <c r="B10" i="8"/>
  <c r="B621" i="8"/>
  <c r="B6" i="8"/>
  <c r="B666" i="8"/>
  <c r="B67" i="8"/>
  <c r="B1214" i="8"/>
  <c r="B398" i="8"/>
  <c r="B58" i="8"/>
  <c r="B193" i="8"/>
  <c r="F19" i="2"/>
  <c r="M2" i="1" l="1"/>
  <c r="I852" i="11"/>
  <c r="I439" i="11"/>
  <c r="I954" i="11"/>
  <c r="I1086" i="11"/>
  <c r="I1170" i="11"/>
  <c r="I1241" i="11"/>
  <c r="I823" i="11"/>
  <c r="I70" i="11"/>
  <c r="I879" i="11"/>
  <c r="I1277" i="11"/>
  <c r="I783" i="11"/>
  <c r="I183" i="11"/>
  <c r="I346" i="11"/>
  <c r="I1169" i="11"/>
  <c r="I752" i="11"/>
  <c r="I777" i="11"/>
  <c r="I1002" i="11"/>
  <c r="I779" i="11"/>
  <c r="I1122" i="11"/>
  <c r="I881" i="11"/>
  <c r="I673" i="11"/>
  <c r="I794" i="11"/>
  <c r="I424" i="11"/>
  <c r="I677" i="11"/>
  <c r="I1232" i="11"/>
  <c r="I1222" i="11"/>
  <c r="I153" i="11"/>
  <c r="I258" i="11"/>
  <c r="I775" i="11"/>
  <c r="I188" i="11"/>
  <c r="I1040" i="11"/>
  <c r="I1030" i="11"/>
  <c r="I1203" i="11"/>
  <c r="I34" i="11"/>
  <c r="I263" i="11"/>
  <c r="I539" i="11"/>
  <c r="I265" i="11"/>
  <c r="I321" i="11"/>
  <c r="I1124" i="11"/>
  <c r="I538" i="11"/>
  <c r="I168" i="11"/>
  <c r="I908" i="11"/>
  <c r="I1101" i="11"/>
  <c r="I715" i="11"/>
  <c r="I144" i="11"/>
  <c r="I1207" i="11"/>
  <c r="I609" i="11"/>
  <c r="I750" i="11"/>
  <c r="I8" i="11"/>
  <c r="I475" i="11"/>
  <c r="I1137" i="11"/>
  <c r="I396" i="11"/>
  <c r="I1329" i="11"/>
  <c r="I582" i="11"/>
  <c r="I716" i="11"/>
  <c r="I432" i="11"/>
  <c r="I1150" i="11"/>
  <c r="I264" i="11"/>
  <c r="I1120" i="11"/>
  <c r="I610" i="11"/>
  <c r="I841" i="11"/>
  <c r="I1129" i="11"/>
  <c r="I1292" i="11"/>
  <c r="I618" i="11"/>
  <c r="I256" i="11"/>
  <c r="I229" i="11"/>
  <c r="I1088" i="11"/>
  <c r="I1078" i="11"/>
  <c r="I1307" i="11"/>
  <c r="I90" i="11"/>
  <c r="I399" i="11"/>
  <c r="I675" i="11"/>
  <c r="I1260" i="11"/>
  <c r="I249" i="11"/>
  <c r="I169" i="11"/>
  <c r="I999" i="11"/>
  <c r="I856" i="11"/>
  <c r="I830" i="11"/>
  <c r="I91" i="11"/>
  <c r="I1100" i="11"/>
  <c r="I1000" i="11"/>
  <c r="I1036" i="11"/>
  <c r="I1031" i="11"/>
  <c r="I1180" i="11"/>
  <c r="I345" i="11"/>
  <c r="I637" i="11"/>
  <c r="I1113" i="11"/>
  <c r="I1312" i="11"/>
  <c r="I1267" i="11"/>
  <c r="I217" i="11"/>
  <c r="I381" i="11"/>
  <c r="I1258" i="11"/>
  <c r="I1006" i="11"/>
  <c r="I1229" i="11"/>
  <c r="I647" i="11"/>
  <c r="I1247" i="11"/>
  <c r="I114" i="11"/>
  <c r="I1081" i="11"/>
  <c r="I1223" i="11"/>
  <c r="I1044" i="11"/>
  <c r="I450" i="11"/>
  <c r="I80" i="11"/>
  <c r="I700" i="11"/>
  <c r="I1325" i="11"/>
  <c r="I633" i="11"/>
  <c r="I553" i="11"/>
  <c r="I1051" i="11"/>
  <c r="I912" i="11"/>
  <c r="I966" i="11"/>
  <c r="I227" i="11"/>
  <c r="I1131" i="11"/>
  <c r="I1319" i="11"/>
  <c r="I1181" i="11"/>
  <c r="I1026" i="11"/>
  <c r="I688" i="11"/>
  <c r="I366" i="11"/>
  <c r="I1184" i="11"/>
  <c r="I1166" i="11"/>
  <c r="I1309" i="11"/>
  <c r="I194" i="11"/>
  <c r="I679" i="11"/>
  <c r="I12" i="11"/>
  <c r="I1212" i="11"/>
  <c r="I137" i="11"/>
  <c r="I134" i="11"/>
  <c r="I434" i="11"/>
  <c r="I944" i="11"/>
  <c r="I1106" i="11"/>
  <c r="I913" i="11"/>
  <c r="I252" i="11"/>
  <c r="I1119" i="11"/>
  <c r="I1057" i="11"/>
  <c r="I929" i="11"/>
  <c r="I1025" i="11"/>
  <c r="I529" i="11"/>
  <c r="I204" i="11"/>
  <c r="I1009" i="11"/>
  <c r="I1313" i="11"/>
  <c r="I1130" i="11"/>
  <c r="I267" i="11"/>
  <c r="I1316" i="11"/>
  <c r="I518" i="11"/>
  <c r="I1089" i="11"/>
  <c r="I656" i="11"/>
  <c r="I1256" i="11"/>
  <c r="I1238" i="11"/>
  <c r="I281" i="11"/>
  <c r="I282" i="11"/>
  <c r="I815" i="11"/>
  <c r="I212" i="11"/>
  <c r="I1227" i="11"/>
  <c r="I977" i="11"/>
  <c r="I1221" i="11"/>
  <c r="I337" i="11"/>
  <c r="I744" i="11"/>
  <c r="I510" i="11"/>
  <c r="I1202" i="11"/>
  <c r="I1063" i="11"/>
  <c r="I1029" i="11"/>
  <c r="I882" i="11"/>
  <c r="I520" i="11"/>
  <c r="I933" i="11"/>
  <c r="I4" i="11"/>
  <c r="I1032" i="11"/>
  <c r="I1019" i="11"/>
  <c r="I1187" i="11"/>
  <c r="I26" i="11"/>
  <c r="I247" i="11"/>
  <c r="I523" i="11"/>
  <c r="I1330" i="11"/>
  <c r="I488" i="11"/>
  <c r="I1264" i="11"/>
  <c r="I778" i="11"/>
  <c r="I11" i="11"/>
  <c r="I988" i="11"/>
  <c r="I745" i="11"/>
  <c r="I617" i="11"/>
  <c r="I1248" i="11"/>
  <c r="I682" i="11"/>
  <c r="I1239" i="11"/>
  <c r="I825" i="11"/>
  <c r="I697" i="11"/>
  <c r="I1243" i="11"/>
  <c r="I1324" i="11"/>
  <c r="I245" i="11"/>
  <c r="I1102" i="11"/>
  <c r="I240" i="11"/>
  <c r="I1104" i="11"/>
  <c r="I1094" i="11"/>
  <c r="I1132" i="11"/>
  <c r="I106" i="11"/>
  <c r="I463" i="11"/>
  <c r="I739" i="11"/>
  <c r="I1250" i="11"/>
  <c r="I1111" i="11"/>
  <c r="I1077" i="11"/>
  <c r="I930" i="11"/>
  <c r="I576" i="11"/>
  <c r="I62" i="11"/>
  <c r="I1058" i="11"/>
  <c r="I369" i="11"/>
  <c r="I161" i="11"/>
  <c r="I714" i="11"/>
  <c r="I344" i="11"/>
  <c r="I485" i="11"/>
  <c r="I1236" i="11"/>
  <c r="I185" i="11"/>
  <c r="I105" i="11"/>
  <c r="I961" i="11"/>
  <c r="I848" i="11"/>
  <c r="I814" i="11"/>
  <c r="I75" i="11"/>
  <c r="I1186" i="11"/>
  <c r="I1167" i="11"/>
  <c r="I829" i="11"/>
  <c r="I57" i="11"/>
  <c r="I290" i="11"/>
  <c r="I1060" i="11"/>
  <c r="I858" i="11"/>
  <c r="I729" i="11"/>
  <c r="I1073" i="11"/>
  <c r="I266" i="11"/>
  <c r="I1085" i="11"/>
  <c r="I987" i="11"/>
  <c r="I1294" i="11"/>
  <c r="I905" i="11"/>
  <c r="I401" i="11"/>
  <c r="I923" i="11"/>
  <c r="I1149" i="11"/>
  <c r="I503" i="11"/>
  <c r="I1209" i="11"/>
  <c r="I761" i="11"/>
  <c r="I681" i="11"/>
  <c r="I1075" i="11"/>
  <c r="I936" i="11"/>
  <c r="I1022" i="11"/>
  <c r="I291" i="11"/>
  <c r="I1098" i="11"/>
  <c r="I753" i="11"/>
  <c r="I545" i="11"/>
  <c r="I770" i="11"/>
  <c r="I400" i="11"/>
  <c r="I629" i="11"/>
  <c r="I329" i="11"/>
  <c r="I513" i="11"/>
  <c r="I1148" i="11"/>
  <c r="I546" i="11"/>
  <c r="I176" i="11"/>
  <c r="I916" i="11"/>
  <c r="I1274" i="11"/>
  <c r="I514" i="11"/>
  <c r="I1096" i="11"/>
  <c r="I98" i="11"/>
  <c r="I1327" i="11"/>
  <c r="I652" i="11"/>
  <c r="I693" i="11"/>
  <c r="I817" i="11"/>
  <c r="I832" i="11"/>
  <c r="I458" i="11"/>
  <c r="I72" i="11"/>
  <c r="I802" i="11"/>
  <c r="I177" i="11"/>
  <c r="I776" i="11"/>
  <c r="I1139" i="11"/>
  <c r="I1083" i="11"/>
  <c r="I737" i="11"/>
  <c r="I1160" i="11"/>
  <c r="I626" i="11"/>
  <c r="I1268" i="11"/>
  <c r="I302" i="11"/>
  <c r="I1251" i="11"/>
  <c r="I1049" i="11"/>
  <c r="I1245" i="11"/>
  <c r="I465" i="11"/>
  <c r="I768" i="11"/>
  <c r="I574" i="11"/>
  <c r="I713" i="11"/>
  <c r="I1065" i="11"/>
  <c r="I1220" i="11"/>
  <c r="I602" i="11"/>
  <c r="I232" i="11"/>
  <c r="I165" i="11"/>
  <c r="I65" i="11"/>
  <c r="I1326" i="11"/>
  <c r="I919" i="11"/>
  <c r="I370" i="11"/>
  <c r="I911" i="11"/>
  <c r="I468" i="11"/>
  <c r="I1194" i="11"/>
  <c r="I1047" i="11"/>
  <c r="I1017" i="11"/>
  <c r="I874" i="11"/>
  <c r="I512" i="11"/>
  <c r="I893" i="11"/>
  <c r="I1323" i="11"/>
  <c r="I600" i="11"/>
  <c r="I331" i="11"/>
  <c r="I938" i="11"/>
  <c r="I1254" i="11"/>
  <c r="I408" i="11"/>
  <c r="I88" i="11"/>
  <c r="I920" i="11"/>
  <c r="I1230" i="11"/>
  <c r="I320" i="11"/>
  <c r="I584" i="11"/>
  <c r="I15" i="11"/>
  <c r="I1059" i="11"/>
  <c r="I1024" i="11"/>
  <c r="I170" i="11"/>
  <c r="I1322" i="11"/>
  <c r="I1188" i="11"/>
  <c r="I181" i="11"/>
  <c r="I1266" i="11"/>
  <c r="I1143" i="11"/>
  <c r="I1093" i="11"/>
  <c r="I946" i="11"/>
  <c r="I592" i="11"/>
  <c r="I126" i="11"/>
  <c r="I1174" i="11"/>
  <c r="I1165" i="11"/>
  <c r="I903" i="11"/>
  <c r="I1287" i="11"/>
  <c r="I1157" i="11"/>
  <c r="I1010" i="11"/>
  <c r="I664" i="11"/>
  <c r="I318" i="11"/>
  <c r="I1090" i="11"/>
  <c r="I1080" i="11"/>
  <c r="I689" i="11"/>
  <c r="I1070" i="11"/>
  <c r="I481" i="11"/>
  <c r="I1275" i="11"/>
  <c r="I754" i="11"/>
  <c r="I74" i="11"/>
  <c r="I392" i="11"/>
  <c r="I375" i="11"/>
  <c r="I573" i="11"/>
  <c r="I667" i="11"/>
  <c r="I9" i="11"/>
  <c r="I996" i="11"/>
  <c r="I975" i="11"/>
  <c r="I49" i="11"/>
  <c r="I927" i="11"/>
  <c r="I1121" i="11"/>
  <c r="I1115" i="11"/>
  <c r="I666" i="11"/>
  <c r="I976" i="11"/>
  <c r="I296" i="11"/>
  <c r="I135" i="11"/>
  <c r="I317" i="11"/>
  <c r="I411" i="11"/>
  <c r="I1332" i="11"/>
  <c r="I521" i="11"/>
  <c r="I377" i="11"/>
  <c r="I833" i="11"/>
  <c r="I297" i="11"/>
  <c r="I1164" i="11"/>
  <c r="I1027" i="11"/>
  <c r="I562" i="11"/>
  <c r="I880" i="11"/>
  <c r="I200" i="11"/>
  <c r="I878" i="11"/>
  <c r="I61" i="11"/>
  <c r="I155" i="11"/>
  <c r="I1283" i="11"/>
  <c r="I1161" i="11"/>
  <c r="I1097" i="11"/>
  <c r="I1255" i="11"/>
  <c r="I1285" i="11"/>
  <c r="I1068" i="11"/>
  <c r="I657" i="11"/>
  <c r="I474" i="11"/>
  <c r="I784" i="11"/>
  <c r="I104" i="11"/>
  <c r="I638" i="11"/>
  <c r="I724" i="11"/>
  <c r="I1242" i="11"/>
  <c r="I1304" i="11"/>
  <c r="I897" i="11"/>
  <c r="I1311" i="11"/>
  <c r="I489" i="11"/>
  <c r="I1265" i="11"/>
  <c r="I1291" i="11"/>
  <c r="I850" i="11"/>
  <c r="I338" i="11"/>
  <c r="I824" i="11"/>
  <c r="I312" i="11"/>
  <c r="I631" i="11"/>
  <c r="I262" i="11"/>
  <c r="I844" i="11"/>
  <c r="I459" i="11"/>
  <c r="I826" i="11"/>
  <c r="I314" i="11"/>
  <c r="I1033" i="11"/>
  <c r="I1333" i="11"/>
  <c r="I97" i="11"/>
  <c r="I326" i="11"/>
  <c r="I1039" i="11"/>
  <c r="I1003" i="11"/>
  <c r="I866" i="11"/>
  <c r="I496" i="11"/>
  <c r="I869" i="11"/>
  <c r="I7" i="11"/>
  <c r="I1012" i="11"/>
  <c r="I993" i="11"/>
  <c r="I113" i="11"/>
  <c r="I969" i="11"/>
  <c r="I1193" i="11"/>
  <c r="I1123" i="11"/>
  <c r="I674" i="11"/>
  <c r="I984" i="11"/>
  <c r="I304" i="11"/>
  <c r="I143" i="11"/>
  <c r="I357" i="11"/>
  <c r="I419" i="11"/>
  <c r="I1253" i="11"/>
  <c r="I585" i="11"/>
  <c r="I505" i="11"/>
  <c r="I956" i="11"/>
  <c r="I361" i="11"/>
  <c r="I1172" i="11"/>
  <c r="I1035" i="11"/>
  <c r="I578" i="11"/>
  <c r="I896" i="11"/>
  <c r="I208" i="11"/>
  <c r="I902" i="11"/>
  <c r="I117" i="11"/>
  <c r="I163" i="11"/>
  <c r="I1315" i="11"/>
  <c r="I1201" i="11"/>
  <c r="I1145" i="11"/>
  <c r="I1263" i="11"/>
  <c r="I1317" i="11"/>
  <c r="I1076" i="11"/>
  <c r="I721" i="11"/>
  <c r="I482" i="11"/>
  <c r="I792" i="11"/>
  <c r="I112" i="11"/>
  <c r="I1175" i="11"/>
  <c r="I202" i="11"/>
  <c r="I1107" i="11"/>
  <c r="I857" i="11"/>
  <c r="I445" i="11"/>
  <c r="I1034" i="11"/>
  <c r="I241" i="11"/>
  <c r="I33" i="11"/>
  <c r="I690" i="11"/>
  <c r="I328" i="11"/>
  <c r="I421" i="11"/>
  <c r="I1293" i="11"/>
  <c r="I649" i="11"/>
  <c r="I569" i="11"/>
  <c r="I1041" i="11"/>
  <c r="I425" i="11"/>
  <c r="I1196" i="11"/>
  <c r="I1043" i="11"/>
  <c r="I586" i="11"/>
  <c r="I904" i="11"/>
  <c r="I216" i="11"/>
  <c r="I942" i="11"/>
  <c r="I125" i="11"/>
  <c r="I203" i="11"/>
  <c r="I1331" i="11"/>
  <c r="I1297" i="11"/>
  <c r="I1177" i="11"/>
  <c r="I1279" i="11"/>
  <c r="I1105" i="11"/>
  <c r="I1084" i="11"/>
  <c r="I785" i="11"/>
  <c r="I490" i="11"/>
  <c r="I808" i="11"/>
  <c r="I128" i="11"/>
  <c r="I686" i="11"/>
  <c r="I788" i="11"/>
  <c r="I1163" i="11"/>
  <c r="I577" i="11"/>
  <c r="I257" i="11"/>
  <c r="I1135" i="11"/>
  <c r="I1197" i="11"/>
  <c r="I985" i="11"/>
  <c r="I145" i="11"/>
  <c r="I394" i="11"/>
  <c r="I712" i="11"/>
  <c r="I24" i="11"/>
  <c r="I430" i="11"/>
  <c r="I532" i="11"/>
  <c r="I1282" i="11"/>
  <c r="I1272" i="11"/>
  <c r="I1183" i="11"/>
  <c r="I1262" i="11"/>
  <c r="I1117" i="11"/>
  <c r="I409" i="11"/>
  <c r="I962" i="11"/>
  <c r="I298" i="11"/>
  <c r="I616" i="11"/>
  <c r="I839" i="11"/>
  <c r="I174" i="11"/>
  <c r="I276" i="11"/>
  <c r="I10" i="11"/>
  <c r="I1114" i="11"/>
  <c r="I1176" i="11"/>
  <c r="I1127" i="11"/>
  <c r="I1310" i="11"/>
  <c r="I1237" i="11"/>
  <c r="I1116" i="11"/>
  <c r="I1067" i="11"/>
  <c r="I722" i="11"/>
  <c r="I210" i="11"/>
  <c r="I696" i="11"/>
  <c r="I184" i="11"/>
  <c r="I271" i="11"/>
  <c r="I949" i="11"/>
  <c r="I508" i="11"/>
  <c r="I99" i="11"/>
  <c r="I698" i="11"/>
  <c r="I186" i="11"/>
  <c r="I1028" i="11"/>
  <c r="I695" i="11"/>
  <c r="I1042" i="11"/>
  <c r="I1018" i="11"/>
  <c r="I460" i="11"/>
  <c r="I201" i="11"/>
  <c r="I193" i="11"/>
  <c r="I1108" i="11"/>
  <c r="I522" i="11"/>
  <c r="I152" i="11"/>
  <c r="I892" i="11"/>
  <c r="I1140" i="11"/>
  <c r="I73" i="11"/>
  <c r="I1281" i="11"/>
  <c r="I1295" i="11"/>
  <c r="I1185" i="11"/>
  <c r="I1092" i="11"/>
  <c r="I849" i="11"/>
  <c r="I498" i="11"/>
  <c r="I816" i="11"/>
  <c r="I136" i="11"/>
  <c r="I702" i="11"/>
  <c r="I828" i="11"/>
  <c r="I1195" i="11"/>
  <c r="I769" i="11"/>
  <c r="I449" i="11"/>
  <c r="I1151" i="11"/>
  <c r="I1205" i="11"/>
  <c r="I1001" i="11"/>
  <c r="I209" i="11"/>
  <c r="I410" i="11"/>
  <c r="I720" i="11"/>
  <c r="I40" i="11"/>
  <c r="I454" i="11"/>
  <c r="I572" i="11"/>
  <c r="I1290" i="11"/>
  <c r="I1280" i="11"/>
  <c r="I1199" i="11"/>
  <c r="I1270" i="11"/>
  <c r="I1125" i="11"/>
  <c r="I537" i="11"/>
  <c r="I970" i="11"/>
  <c r="I306" i="11"/>
  <c r="I624" i="11"/>
  <c r="I847" i="11"/>
  <c r="I190" i="11"/>
  <c r="I316" i="11"/>
  <c r="I1210" i="11"/>
  <c r="I1200" i="11"/>
  <c r="I1071" i="11"/>
  <c r="I1190" i="11"/>
  <c r="I1037" i="11"/>
  <c r="I1153" i="11"/>
  <c r="I890" i="11"/>
  <c r="I218" i="11"/>
  <c r="I528" i="11"/>
  <c r="I711" i="11"/>
  <c r="I957" i="11"/>
  <c r="I60" i="11"/>
  <c r="I1273" i="11"/>
  <c r="I1050" i="11"/>
  <c r="I1112" i="11"/>
  <c r="I1055" i="11"/>
  <c r="I1246" i="11"/>
  <c r="I1173" i="11"/>
  <c r="I1052" i="11"/>
  <c r="I983" i="11"/>
  <c r="I658" i="11"/>
  <c r="I146" i="11"/>
  <c r="I632" i="11"/>
  <c r="I120" i="11"/>
  <c r="I119" i="11"/>
  <c r="I765" i="11"/>
  <c r="I332" i="11"/>
  <c r="I634" i="11"/>
  <c r="I122" i="11"/>
  <c r="I426" i="11"/>
  <c r="I20" i="11"/>
  <c r="I1328" i="11"/>
  <c r="I706" i="11"/>
  <c r="I1320" i="11"/>
  <c r="I1302" i="11"/>
  <c r="I793" i="11"/>
  <c r="I354" i="11"/>
  <c r="I887" i="11"/>
  <c r="I404" i="11"/>
  <c r="I1211" i="11"/>
  <c r="I995" i="11"/>
  <c r="I641" i="11"/>
  <c r="I1159" i="11"/>
  <c r="I1213" i="11"/>
  <c r="I1016" i="11"/>
  <c r="I273" i="11"/>
  <c r="I418" i="11"/>
  <c r="I728" i="11"/>
  <c r="I48" i="11"/>
  <c r="I494" i="11"/>
  <c r="I588" i="11"/>
  <c r="I1298" i="11"/>
  <c r="I1288" i="11"/>
  <c r="I1215" i="11"/>
  <c r="I1278" i="11"/>
  <c r="I1133" i="11"/>
  <c r="I601" i="11"/>
  <c r="I986" i="11"/>
  <c r="I322" i="11"/>
  <c r="I640" i="11"/>
  <c r="I855" i="11"/>
  <c r="I238" i="11"/>
  <c r="I340" i="11"/>
  <c r="I1218" i="11"/>
  <c r="I1208" i="11"/>
  <c r="I1079" i="11"/>
  <c r="I1198" i="11"/>
  <c r="I1053" i="11"/>
  <c r="I1233" i="11"/>
  <c r="I898" i="11"/>
  <c r="I226" i="11"/>
  <c r="I536" i="11"/>
  <c r="I719" i="11"/>
  <c r="I997" i="11"/>
  <c r="I76" i="11"/>
  <c r="I1138" i="11"/>
  <c r="I1128" i="11"/>
  <c r="I972" i="11"/>
  <c r="I1110" i="11"/>
  <c r="I801" i="11"/>
  <c r="I1204" i="11"/>
  <c r="I810" i="11"/>
  <c r="I130" i="11"/>
  <c r="I448" i="11"/>
  <c r="I519" i="11"/>
  <c r="I741" i="11"/>
  <c r="I803" i="11"/>
  <c r="I1284" i="11"/>
  <c r="I937" i="11"/>
  <c r="I1048" i="11"/>
  <c r="I951" i="11"/>
  <c r="I1182" i="11"/>
  <c r="I1109" i="11"/>
  <c r="I943" i="11"/>
  <c r="I593" i="11"/>
  <c r="I594" i="11"/>
  <c r="I82" i="11"/>
  <c r="I568" i="11"/>
  <c r="I56" i="11"/>
  <c r="I958" i="11"/>
  <c r="I613" i="11"/>
  <c r="I148" i="11"/>
  <c r="I570" i="11"/>
  <c r="I58" i="11"/>
  <c r="I64" i="11"/>
  <c r="I1303" i="11"/>
  <c r="I362" i="11"/>
  <c r="I1168" i="11"/>
  <c r="I1158" i="11"/>
  <c r="I1269" i="11"/>
  <c r="I178" i="11"/>
  <c r="I655" i="11"/>
  <c r="I931" i="11"/>
  <c r="I1314" i="11"/>
  <c r="I1296" i="11"/>
  <c r="I1231" i="11"/>
  <c r="I1286" i="11"/>
  <c r="I1141" i="11"/>
  <c r="I665" i="11"/>
  <c r="I994" i="11"/>
  <c r="I330" i="11"/>
  <c r="I648" i="11"/>
  <c r="I863" i="11"/>
  <c r="I254" i="11"/>
  <c r="I380" i="11"/>
  <c r="I1226" i="11"/>
  <c r="I1216" i="11"/>
  <c r="I1087" i="11"/>
  <c r="I1206" i="11"/>
  <c r="I1061" i="11"/>
  <c r="I25" i="11"/>
  <c r="I906" i="11"/>
  <c r="I234" i="11"/>
  <c r="I552" i="11"/>
  <c r="I759" i="11"/>
  <c r="I1013" i="11"/>
  <c r="I124" i="11"/>
  <c r="I1146" i="11"/>
  <c r="I1136" i="11"/>
  <c r="I991" i="11"/>
  <c r="I1126" i="11"/>
  <c r="I865" i="11"/>
  <c r="I1228" i="11"/>
  <c r="I818" i="11"/>
  <c r="I138" i="11"/>
  <c r="I456" i="11"/>
  <c r="I636" i="11"/>
  <c r="I305" i="11"/>
  <c r="I680" i="11"/>
  <c r="I1023" i="11"/>
  <c r="I1004" i="11"/>
  <c r="I1171" i="11"/>
  <c r="I1008" i="11"/>
  <c r="I199" i="11"/>
  <c r="I483" i="11"/>
  <c r="I1234" i="11"/>
  <c r="I1224" i="11"/>
  <c r="I1095" i="11"/>
  <c r="I1214" i="11"/>
  <c r="I1069" i="11"/>
  <c r="I89" i="11"/>
  <c r="I922" i="11"/>
  <c r="I242" i="11"/>
  <c r="I560" i="11"/>
  <c r="I767" i="11"/>
  <c r="I1021" i="11"/>
  <c r="I140" i="11"/>
  <c r="I1154" i="11"/>
  <c r="I1144" i="11"/>
  <c r="I1007" i="11"/>
  <c r="I1134" i="11"/>
  <c r="I945" i="11"/>
  <c r="I1252" i="11"/>
  <c r="I834" i="11"/>
  <c r="I154" i="11"/>
  <c r="I464" i="11"/>
  <c r="I583" i="11"/>
  <c r="I805" i="11"/>
  <c r="I859" i="11"/>
  <c r="I1074" i="11"/>
  <c r="I1064" i="11"/>
  <c r="I561" i="11"/>
  <c r="I1046" i="11"/>
  <c r="I289" i="11"/>
  <c r="I1235" i="11"/>
  <c r="I738" i="11"/>
  <c r="I50" i="11"/>
  <c r="I368" i="11"/>
  <c r="I327" i="11"/>
  <c r="I509" i="11"/>
  <c r="I603" i="11"/>
  <c r="I5" i="11"/>
  <c r="I959" i="11"/>
  <c r="I889" i="11"/>
  <c r="I1217" i="11"/>
  <c r="I809" i="11"/>
  <c r="I1261" i="11"/>
  <c r="I1091" i="11"/>
  <c r="I642" i="11"/>
  <c r="I960" i="11"/>
  <c r="I272" i="11"/>
  <c r="I71" i="11"/>
  <c r="I293" i="11"/>
  <c r="I347" i="11"/>
  <c r="I1179" i="11"/>
  <c r="I1249" i="11"/>
  <c r="I441" i="11"/>
  <c r="I1321" i="11"/>
  <c r="I1054" i="11"/>
  <c r="I921" i="11"/>
  <c r="I1289" i="11"/>
  <c r="I978" i="11"/>
  <c r="I466" i="11"/>
  <c r="I952" i="11"/>
  <c r="I440" i="11"/>
  <c r="I831" i="11"/>
  <c r="I622" i="11"/>
  <c r="I253" i="11"/>
  <c r="I795" i="11"/>
  <c r="I442" i="11"/>
  <c r="I928" i="11"/>
  <c r="I1192" i="11"/>
  <c r="I1318" i="11"/>
  <c r="I336" i="11"/>
  <c r="I121" i="11"/>
  <c r="I41" i="11"/>
  <c r="I940" i="11"/>
  <c r="I840" i="11"/>
  <c r="I766" i="11"/>
  <c r="I27" i="11"/>
  <c r="I1162" i="11"/>
  <c r="I1152" i="11"/>
  <c r="I1020" i="11"/>
  <c r="I1142" i="11"/>
  <c r="I967" i="11"/>
  <c r="I1300" i="11"/>
  <c r="I842" i="11"/>
  <c r="I162" i="11"/>
  <c r="I472" i="11"/>
  <c r="I591" i="11"/>
  <c r="I821" i="11"/>
  <c r="I867" i="11"/>
  <c r="I1082" i="11"/>
  <c r="I1072" i="11"/>
  <c r="I625" i="11"/>
  <c r="I1062" i="11"/>
  <c r="I353" i="11"/>
  <c r="I1259" i="11"/>
  <c r="I746" i="11"/>
  <c r="I66" i="11"/>
  <c r="I384" i="11"/>
  <c r="I335" i="11"/>
  <c r="I565" i="11"/>
  <c r="I651" i="11"/>
  <c r="I6" i="11"/>
  <c r="I980" i="11"/>
  <c r="I953" i="11"/>
  <c r="I1257" i="11"/>
  <c r="I873" i="11"/>
  <c r="I1301" i="11"/>
  <c r="I1099" i="11"/>
  <c r="I650" i="11"/>
  <c r="I968" i="11"/>
  <c r="I280" i="11"/>
  <c r="I79" i="11"/>
  <c r="I309" i="11"/>
  <c r="I355" i="11"/>
  <c r="I1308" i="11"/>
  <c r="I393" i="11"/>
  <c r="I313" i="11"/>
  <c r="I705" i="11"/>
  <c r="I233" i="11"/>
  <c r="I1156" i="11"/>
  <c r="I1015" i="11"/>
  <c r="I554" i="11"/>
  <c r="I872" i="11"/>
  <c r="I192" i="11"/>
  <c r="I838" i="11"/>
  <c r="I53" i="11"/>
  <c r="I139" i="11"/>
  <c r="I1306" i="11"/>
  <c r="I935" i="11"/>
  <c r="I1225" i="11"/>
  <c r="I1011" i="11"/>
  <c r="I948" i="11"/>
  <c r="I417" i="11"/>
  <c r="I1276" i="11"/>
  <c r="I914" i="11"/>
  <c r="I402" i="11"/>
  <c r="I888" i="11"/>
  <c r="I376" i="11"/>
  <c r="I743" i="11"/>
  <c r="I446" i="11"/>
  <c r="I101" i="11"/>
  <c r="I611" i="11"/>
  <c r="I378" i="11"/>
  <c r="I527" i="11"/>
  <c r="I1056" i="11"/>
  <c r="I1219" i="11"/>
  <c r="I311" i="11"/>
  <c r="I932" i="11"/>
  <c r="I473" i="11"/>
  <c r="I504" i="11"/>
  <c r="I971" i="11"/>
  <c r="I506" i="11"/>
  <c r="I544" i="11"/>
  <c r="I32" i="11"/>
  <c r="I894" i="11"/>
  <c r="I549" i="11"/>
  <c r="I84" i="11"/>
  <c r="I383" i="11"/>
  <c r="I886" i="11"/>
  <c r="I374" i="11"/>
  <c r="I877" i="11"/>
  <c r="I365" i="11"/>
  <c r="I772" i="11"/>
  <c r="I260" i="11"/>
  <c r="I723" i="11"/>
  <c r="I211" i="11"/>
  <c r="I303" i="11"/>
  <c r="I806" i="11"/>
  <c r="I294" i="11"/>
  <c r="I797" i="11"/>
  <c r="I285" i="11"/>
  <c r="I692" i="11"/>
  <c r="I180" i="11"/>
  <c r="I643" i="11"/>
  <c r="I131" i="11"/>
  <c r="I615" i="11"/>
  <c r="I103" i="11"/>
  <c r="I606" i="11"/>
  <c r="I94" i="11"/>
  <c r="I597" i="11"/>
  <c r="I85" i="11"/>
  <c r="I492" i="11"/>
  <c r="I955" i="11"/>
  <c r="I443" i="11"/>
  <c r="I543" i="11"/>
  <c r="I31" i="11"/>
  <c r="I534" i="11"/>
  <c r="I22" i="11"/>
  <c r="I525" i="11"/>
  <c r="I13" i="11"/>
  <c r="I420" i="11"/>
  <c r="I883" i="11"/>
  <c r="I371" i="11"/>
  <c r="I471" i="11"/>
  <c r="I974" i="11"/>
  <c r="I462" i="11"/>
  <c r="I965" i="11"/>
  <c r="I453" i="11"/>
  <c r="I860" i="11"/>
  <c r="I348" i="11"/>
  <c r="I811" i="11"/>
  <c r="I299" i="11"/>
  <c r="F20" i="8"/>
  <c r="F84" i="8"/>
  <c r="F148" i="8"/>
  <c r="F212" i="8"/>
  <c r="F276" i="8"/>
  <c r="F340" i="8"/>
  <c r="F404" i="8"/>
  <c r="F468" i="8"/>
  <c r="F532" i="8"/>
  <c r="F596" i="8"/>
  <c r="F660" i="8"/>
  <c r="F724" i="8"/>
  <c r="F788" i="8"/>
  <c r="F852" i="8"/>
  <c r="F916" i="8"/>
  <c r="F980" i="8"/>
  <c r="F29" i="8"/>
  <c r="F93" i="8"/>
  <c r="F157" i="8"/>
  <c r="F221" i="8"/>
  <c r="F285" i="8"/>
  <c r="F349" i="8"/>
  <c r="F413" i="8"/>
  <c r="F477" i="8"/>
  <c r="F541" i="8"/>
  <c r="F605" i="8"/>
  <c r="F669" i="8"/>
  <c r="F733" i="8"/>
  <c r="F797" i="8"/>
  <c r="F861" i="8"/>
  <c r="F925" i="8"/>
  <c r="F989" i="8"/>
  <c r="F46" i="8"/>
  <c r="F110" i="8"/>
  <c r="F174" i="8"/>
  <c r="F238" i="8"/>
  <c r="F302" i="8"/>
  <c r="F366" i="8"/>
  <c r="F430" i="8"/>
  <c r="F494" i="8"/>
  <c r="F558" i="8"/>
  <c r="I646" i="11"/>
  <c r="I129" i="11"/>
  <c r="I17" i="11"/>
  <c r="I390" i="11"/>
  <c r="I1271" i="11"/>
  <c r="I1155" i="11"/>
  <c r="I248" i="11"/>
  <c r="I283" i="11"/>
  <c r="I250" i="11"/>
  <c r="I480" i="11"/>
  <c r="I871" i="11"/>
  <c r="I710" i="11"/>
  <c r="I373" i="11"/>
  <c r="I907" i="11"/>
  <c r="I319" i="11"/>
  <c r="I822" i="11"/>
  <c r="I310" i="11"/>
  <c r="I813" i="11"/>
  <c r="I301" i="11"/>
  <c r="I708" i="11"/>
  <c r="I196" i="11"/>
  <c r="I659" i="11"/>
  <c r="I147" i="11"/>
  <c r="I751" i="11"/>
  <c r="I239" i="11"/>
  <c r="I742" i="11"/>
  <c r="I230" i="11"/>
  <c r="I733" i="11"/>
  <c r="I221" i="11"/>
  <c r="I628" i="11"/>
  <c r="I116" i="11"/>
  <c r="I579" i="11"/>
  <c r="I67" i="11"/>
  <c r="I551" i="11"/>
  <c r="I39" i="11"/>
  <c r="I542" i="11"/>
  <c r="I30" i="11"/>
  <c r="I533" i="11"/>
  <c r="I21" i="11"/>
  <c r="I428" i="11"/>
  <c r="I891" i="11"/>
  <c r="I379" i="11"/>
  <c r="I479" i="11"/>
  <c r="I982" i="11"/>
  <c r="I470" i="11"/>
  <c r="I973" i="11"/>
  <c r="I461" i="11"/>
  <c r="I868" i="11"/>
  <c r="I356" i="11"/>
  <c r="I819" i="11"/>
  <c r="I307" i="11"/>
  <c r="I407" i="11"/>
  <c r="I910" i="11"/>
  <c r="I398" i="11"/>
  <c r="I901" i="11"/>
  <c r="I389" i="11"/>
  <c r="I796" i="11"/>
  <c r="I284" i="11"/>
  <c r="I747" i="11"/>
  <c r="I235" i="11"/>
  <c r="F28" i="8"/>
  <c r="F92" i="8"/>
  <c r="F156" i="8"/>
  <c r="F220" i="8"/>
  <c r="F284" i="8"/>
  <c r="F348" i="8"/>
  <c r="F412" i="8"/>
  <c r="F476" i="8"/>
  <c r="F540" i="8"/>
  <c r="F604" i="8"/>
  <c r="F668" i="8"/>
  <c r="F732" i="8"/>
  <c r="F796" i="8"/>
  <c r="F860" i="8"/>
  <c r="F924" i="8"/>
  <c r="F988" i="8"/>
  <c r="F37" i="8"/>
  <c r="F101" i="8"/>
  <c r="F165" i="8"/>
  <c r="F229" i="8"/>
  <c r="F293" i="8"/>
  <c r="F357" i="8"/>
  <c r="F421" i="8"/>
  <c r="F485" i="8"/>
  <c r="I757" i="11"/>
  <c r="I433" i="11"/>
  <c r="I730" i="11"/>
  <c r="I501" i="11"/>
  <c r="I497" i="11"/>
  <c r="I81" i="11"/>
  <c r="I895" i="11"/>
  <c r="I992" i="11"/>
  <c r="I416" i="11"/>
  <c r="I807" i="11"/>
  <c r="I558" i="11"/>
  <c r="I189" i="11"/>
  <c r="I731" i="11"/>
  <c r="I255" i="11"/>
  <c r="I758" i="11"/>
  <c r="I246" i="11"/>
  <c r="I749" i="11"/>
  <c r="I237" i="11"/>
  <c r="I644" i="11"/>
  <c r="I132" i="11"/>
  <c r="I595" i="11"/>
  <c r="I83" i="11"/>
  <c r="I687" i="11"/>
  <c r="I175" i="11"/>
  <c r="I678" i="11"/>
  <c r="I166" i="11"/>
  <c r="I669" i="11"/>
  <c r="I157" i="11"/>
  <c r="I564" i="11"/>
  <c r="I52" i="11"/>
  <c r="I515" i="11"/>
  <c r="I2" i="11"/>
  <c r="I487" i="11"/>
  <c r="I990" i="11"/>
  <c r="I478" i="11"/>
  <c r="I981" i="11"/>
  <c r="I469" i="11"/>
  <c r="I876" i="11"/>
  <c r="I364" i="11"/>
  <c r="I827" i="11"/>
  <c r="I315" i="11"/>
  <c r="I415" i="11"/>
  <c r="I918" i="11"/>
  <c r="I406" i="11"/>
  <c r="I909" i="11"/>
  <c r="I397" i="11"/>
  <c r="I804" i="11"/>
  <c r="I292" i="11"/>
  <c r="I755" i="11"/>
  <c r="I243" i="11"/>
  <c r="I343" i="11"/>
  <c r="I846" i="11"/>
  <c r="I334" i="11"/>
  <c r="I837" i="11"/>
  <c r="I325" i="11"/>
  <c r="I732" i="11"/>
  <c r="I220" i="11"/>
  <c r="I683" i="11"/>
  <c r="I171" i="11"/>
  <c r="F36" i="8"/>
  <c r="F100" i="8"/>
  <c r="F164" i="8"/>
  <c r="F228" i="8"/>
  <c r="F292" i="8"/>
  <c r="F356" i="8"/>
  <c r="F420" i="8"/>
  <c r="F484" i="8"/>
  <c r="F548" i="8"/>
  <c r="F612" i="8"/>
  <c r="F676" i="8"/>
  <c r="F740" i="8"/>
  <c r="F804" i="8"/>
  <c r="F868" i="8"/>
  <c r="F932" i="8"/>
  <c r="F996" i="8"/>
  <c r="F45" i="8"/>
  <c r="F109" i="8"/>
  <c r="F173" i="8"/>
  <c r="F237" i="8"/>
  <c r="F301" i="8"/>
  <c r="F365" i="8"/>
  <c r="F429" i="8"/>
  <c r="F493" i="8"/>
  <c r="F557" i="8"/>
  <c r="F621" i="8"/>
  <c r="F685" i="8"/>
  <c r="F749" i="8"/>
  <c r="F813" i="8"/>
  <c r="F877" i="8"/>
  <c r="F941" i="8"/>
  <c r="F1005" i="8"/>
  <c r="F62" i="8"/>
  <c r="F126" i="8"/>
  <c r="F190" i="8"/>
  <c r="F254" i="8"/>
  <c r="F318" i="8"/>
  <c r="F382" i="8"/>
  <c r="F446" i="8"/>
  <c r="F510" i="8"/>
  <c r="I764" i="11"/>
  <c r="I1103" i="11"/>
  <c r="I386" i="11"/>
  <c r="I524" i="11"/>
  <c r="I1191" i="11"/>
  <c r="I786" i="11"/>
  <c r="I455" i="11"/>
  <c r="I864" i="11"/>
  <c r="I352" i="11"/>
  <c r="I703" i="11"/>
  <c r="I382" i="11"/>
  <c r="I37" i="11"/>
  <c r="I547" i="11"/>
  <c r="I191" i="11"/>
  <c r="I694" i="11"/>
  <c r="I182" i="11"/>
  <c r="I685" i="11"/>
  <c r="I173" i="11"/>
  <c r="I580" i="11"/>
  <c r="I68" i="11"/>
  <c r="I531" i="11"/>
  <c r="I19" i="11"/>
  <c r="I623" i="11"/>
  <c r="I111" i="11"/>
  <c r="I614" i="11"/>
  <c r="I102" i="11"/>
  <c r="I605" i="11"/>
  <c r="I93" i="11"/>
  <c r="I500" i="11"/>
  <c r="I963" i="11"/>
  <c r="I451" i="11"/>
  <c r="I423" i="11"/>
  <c r="I926" i="11"/>
  <c r="I414" i="11"/>
  <c r="I917" i="11"/>
  <c r="I405" i="11"/>
  <c r="I812" i="11"/>
  <c r="I300" i="11"/>
  <c r="I763" i="11"/>
  <c r="I251" i="11"/>
  <c r="I351" i="11"/>
  <c r="I854" i="11"/>
  <c r="I342" i="11"/>
  <c r="I845" i="11"/>
  <c r="I333" i="11"/>
  <c r="I740" i="11"/>
  <c r="I228" i="11"/>
  <c r="I691" i="11"/>
  <c r="I179" i="11"/>
  <c r="I791" i="11"/>
  <c r="I279" i="11"/>
  <c r="I782" i="11"/>
  <c r="I270" i="11"/>
  <c r="I773" i="11"/>
  <c r="I261" i="11"/>
  <c r="I668" i="11"/>
  <c r="I156" i="11"/>
  <c r="I619" i="11"/>
  <c r="I107" i="11"/>
  <c r="F44" i="8"/>
  <c r="F108" i="8"/>
  <c r="F172" i="8"/>
  <c r="F236" i="8"/>
  <c r="F300" i="8"/>
  <c r="F364" i="8"/>
  <c r="F428" i="8"/>
  <c r="F492" i="8"/>
  <c r="F556" i="8"/>
  <c r="F620" i="8"/>
  <c r="F684" i="8"/>
  <c r="F748" i="8"/>
  <c r="F812" i="8"/>
  <c r="F876" i="8"/>
  <c r="F940" i="8"/>
  <c r="F1004" i="8"/>
  <c r="F53" i="8"/>
  <c r="F117" i="8"/>
  <c r="F181" i="8"/>
  <c r="F245" i="8"/>
  <c r="F309" i="8"/>
  <c r="F373" i="8"/>
  <c r="F437" i="8"/>
  <c r="F501" i="8"/>
  <c r="F565" i="8"/>
  <c r="F629" i="8"/>
  <c r="F693" i="8"/>
  <c r="F757" i="8"/>
  <c r="F821" i="8"/>
  <c r="F885" i="8"/>
  <c r="F949" i="8"/>
  <c r="F6" i="8"/>
  <c r="F70" i="8"/>
  <c r="F134" i="8"/>
  <c r="F198" i="8"/>
  <c r="F262" i="8"/>
  <c r="F326" i="8"/>
  <c r="F390" i="8"/>
  <c r="F454" i="8"/>
  <c r="F518" i="8"/>
  <c r="I843" i="11"/>
  <c r="I1038" i="11"/>
  <c r="I42" i="11"/>
  <c r="I587" i="11"/>
  <c r="I1299" i="11"/>
  <c r="I1118" i="11"/>
  <c r="I530" i="11"/>
  <c r="I774" i="11"/>
  <c r="I800" i="11"/>
  <c r="I288" i="11"/>
  <c r="I567" i="11"/>
  <c r="I198" i="11"/>
  <c r="I780" i="11"/>
  <c r="I395" i="11"/>
  <c r="I639" i="11"/>
  <c r="I127" i="11"/>
  <c r="I630" i="11"/>
  <c r="I118" i="11"/>
  <c r="I621" i="11"/>
  <c r="I109" i="11"/>
  <c r="I516" i="11"/>
  <c r="I979" i="11"/>
  <c r="I467" i="11"/>
  <c r="I559" i="11"/>
  <c r="I47" i="11"/>
  <c r="I550" i="11"/>
  <c r="I38" i="11"/>
  <c r="I541" i="11"/>
  <c r="I29" i="11"/>
  <c r="I436" i="11"/>
  <c r="I899" i="11"/>
  <c r="I387" i="11"/>
  <c r="I359" i="11"/>
  <c r="I862" i="11"/>
  <c r="I350" i="11"/>
  <c r="I853" i="11"/>
  <c r="I341" i="11"/>
  <c r="I748" i="11"/>
  <c r="I236" i="11"/>
  <c r="I699" i="11"/>
  <c r="I187" i="11"/>
  <c r="I799" i="11"/>
  <c r="I287" i="11"/>
  <c r="I790" i="11"/>
  <c r="I278" i="11"/>
  <c r="I781" i="11"/>
  <c r="I269" i="11"/>
  <c r="I676" i="11"/>
  <c r="I164" i="11"/>
  <c r="I627" i="11"/>
  <c r="I115" i="11"/>
  <c r="I727" i="11"/>
  <c r="I215" i="11"/>
  <c r="I718" i="11"/>
  <c r="I206" i="11"/>
  <c r="I709" i="11"/>
  <c r="I197" i="11"/>
  <c r="I604" i="11"/>
  <c r="I92" i="11"/>
  <c r="I555" i="11"/>
  <c r="I43" i="11"/>
  <c r="F52" i="8"/>
  <c r="F116" i="8"/>
  <c r="F180" i="8"/>
  <c r="F244" i="8"/>
  <c r="F308" i="8"/>
  <c r="F372" i="8"/>
  <c r="F436" i="8"/>
  <c r="F500" i="8"/>
  <c r="F564" i="8"/>
  <c r="F628" i="8"/>
  <c r="F692" i="8"/>
  <c r="F756" i="8"/>
  <c r="F820" i="8"/>
  <c r="F884" i="8"/>
  <c r="F948" i="8"/>
  <c r="F1012" i="8"/>
  <c r="F61" i="8"/>
  <c r="F125" i="8"/>
  <c r="F189" i="8"/>
  <c r="F253" i="8"/>
  <c r="F317" i="8"/>
  <c r="F381" i="8"/>
  <c r="F445" i="8"/>
  <c r="F509" i="8"/>
  <c r="F573" i="8"/>
  <c r="F637" i="8"/>
  <c r="F701" i="8"/>
  <c r="F765" i="8"/>
  <c r="F829" i="8"/>
  <c r="F893" i="8"/>
  <c r="F957" i="8"/>
  <c r="F14" i="8"/>
  <c r="F78" i="8"/>
  <c r="F142" i="8"/>
  <c r="F206" i="8"/>
  <c r="F270" i="8"/>
  <c r="F334" i="8"/>
  <c r="F398" i="8"/>
  <c r="F462" i="8"/>
  <c r="F526" i="8"/>
  <c r="I1147" i="11"/>
  <c r="I1189" i="11"/>
  <c r="I704" i="11"/>
  <c r="I1178" i="11"/>
  <c r="I1305" i="11"/>
  <c r="I274" i="11"/>
  <c r="I110" i="11"/>
  <c r="I736" i="11"/>
  <c r="I224" i="11"/>
  <c r="I391" i="11"/>
  <c r="I46" i="11"/>
  <c r="I596" i="11"/>
  <c r="I219" i="11"/>
  <c r="I575" i="11"/>
  <c r="I63" i="11"/>
  <c r="I566" i="11"/>
  <c r="I54" i="11"/>
  <c r="I557" i="11"/>
  <c r="I45" i="11"/>
  <c r="I452" i="11"/>
  <c r="I915" i="11"/>
  <c r="I403" i="11"/>
  <c r="I495" i="11"/>
  <c r="I998" i="11"/>
  <c r="I486" i="11"/>
  <c r="I989" i="11"/>
  <c r="I477" i="11"/>
  <c r="I884" i="11"/>
  <c r="I372" i="11"/>
  <c r="I835" i="11"/>
  <c r="I323" i="11"/>
  <c r="I295" i="11"/>
  <c r="I798" i="11"/>
  <c r="I286" i="11"/>
  <c r="I789" i="11"/>
  <c r="I277" i="11"/>
  <c r="I684" i="11"/>
  <c r="I172" i="11"/>
  <c r="I635" i="11"/>
  <c r="I123" i="11"/>
  <c r="I735" i="11"/>
  <c r="I223" i="11"/>
  <c r="I726" i="11"/>
  <c r="I214" i="11"/>
  <c r="I717" i="11"/>
  <c r="I205" i="11"/>
  <c r="I612" i="11"/>
  <c r="I100" i="11"/>
  <c r="I563" i="11"/>
  <c r="I51" i="11"/>
  <c r="I663" i="11"/>
  <c r="I151" i="11"/>
  <c r="I654" i="11"/>
  <c r="I142" i="11"/>
  <c r="I645" i="11"/>
  <c r="I133" i="11"/>
  <c r="I540" i="11"/>
  <c r="I28" i="11"/>
  <c r="I491" i="11"/>
  <c r="F60" i="8"/>
  <c r="F124" i="8"/>
  <c r="F188" i="8"/>
  <c r="F252" i="8"/>
  <c r="F316" i="8"/>
  <c r="F380" i="8"/>
  <c r="F444" i="8"/>
  <c r="F508" i="8"/>
  <c r="F572" i="8"/>
  <c r="F636" i="8"/>
  <c r="F700" i="8"/>
  <c r="F764" i="8"/>
  <c r="F828" i="8"/>
  <c r="F892" i="8"/>
  <c r="F956" i="8"/>
  <c r="F5" i="8"/>
  <c r="F69" i="8"/>
  <c r="F133" i="8"/>
  <c r="F197" i="8"/>
  <c r="F261" i="8"/>
  <c r="F325" i="8"/>
  <c r="F389" i="8"/>
  <c r="F453" i="8"/>
  <c r="F517" i="8"/>
  <c r="I1066" i="11"/>
  <c r="I225" i="11"/>
  <c r="I360" i="11"/>
  <c r="I457" i="11"/>
  <c r="I1045" i="11"/>
  <c r="I18" i="11"/>
  <c r="I437" i="11"/>
  <c r="I672" i="11"/>
  <c r="I160" i="11"/>
  <c r="I207" i="11"/>
  <c r="I885" i="11"/>
  <c r="I444" i="11"/>
  <c r="I35" i="11"/>
  <c r="I511" i="11"/>
  <c r="I1014" i="11"/>
  <c r="I502" i="11"/>
  <c r="I1005" i="11"/>
  <c r="I493" i="11"/>
  <c r="I900" i="11"/>
  <c r="I388" i="11"/>
  <c r="I851" i="11"/>
  <c r="I339" i="11"/>
  <c r="I431" i="11"/>
  <c r="I934" i="11"/>
  <c r="I422" i="11"/>
  <c r="I925" i="11"/>
  <c r="I413" i="11"/>
  <c r="I820" i="11"/>
  <c r="I308" i="11"/>
  <c r="I771" i="11"/>
  <c r="I259" i="11"/>
  <c r="I231" i="11"/>
  <c r="I734" i="11"/>
  <c r="I222" i="11"/>
  <c r="I725" i="11"/>
  <c r="I213" i="11"/>
  <c r="I620" i="11"/>
  <c r="I108" i="11"/>
  <c r="I571" i="11"/>
  <c r="I59" i="11"/>
  <c r="I671" i="11"/>
  <c r="I159" i="11"/>
  <c r="I662" i="11"/>
  <c r="I150" i="11"/>
  <c r="I653" i="11"/>
  <c r="I141" i="11"/>
  <c r="I548" i="11"/>
  <c r="I36" i="11"/>
  <c r="I499" i="11"/>
  <c r="I599" i="11"/>
  <c r="I87" i="11"/>
  <c r="I590" i="11"/>
  <c r="I78" i="11"/>
  <c r="I581" i="11"/>
  <c r="I69" i="11"/>
  <c r="I476" i="11"/>
  <c r="I939" i="11"/>
  <c r="I427" i="11"/>
  <c r="F4" i="8"/>
  <c r="F68" i="8"/>
  <c r="F132" i="8"/>
  <c r="F196" i="8"/>
  <c r="F260" i="8"/>
  <c r="F324" i="8"/>
  <c r="F388" i="8"/>
  <c r="F452" i="8"/>
  <c r="F516" i="8"/>
  <c r="F580" i="8"/>
  <c r="F644" i="8"/>
  <c r="F708" i="8"/>
  <c r="F772" i="8"/>
  <c r="F836" i="8"/>
  <c r="F900" i="8"/>
  <c r="F964" i="8"/>
  <c r="F13" i="8"/>
  <c r="F77" i="8"/>
  <c r="F141" i="8"/>
  <c r="F205" i="8"/>
  <c r="F269" i="8"/>
  <c r="F333" i="8"/>
  <c r="F397" i="8"/>
  <c r="F461" i="8"/>
  <c r="F525" i="8"/>
  <c r="F589" i="8"/>
  <c r="F653" i="8"/>
  <c r="F717" i="8"/>
  <c r="F781" i="8"/>
  <c r="F845" i="8"/>
  <c r="F909" i="8"/>
  <c r="F973" i="8"/>
  <c r="F30" i="8"/>
  <c r="F94" i="8"/>
  <c r="F158" i="8"/>
  <c r="F222" i="8"/>
  <c r="F286" i="8"/>
  <c r="F350" i="8"/>
  <c r="F414" i="8"/>
  <c r="F478" i="8"/>
  <c r="F542" i="8"/>
  <c r="I385" i="11"/>
  <c r="I964" i="11"/>
  <c r="I16" i="11"/>
  <c r="I1240" i="11"/>
  <c r="I1244" i="11"/>
  <c r="I760" i="11"/>
  <c r="I660" i="11"/>
  <c r="I762" i="11"/>
  <c r="I608" i="11"/>
  <c r="I96" i="11"/>
  <c r="I55" i="11"/>
  <c r="I701" i="11"/>
  <c r="I268" i="11"/>
  <c r="I447" i="11"/>
  <c r="I950" i="11"/>
  <c r="I438" i="11"/>
  <c r="I941" i="11"/>
  <c r="I429" i="11"/>
  <c r="I836" i="11"/>
  <c r="I324" i="11"/>
  <c r="I787" i="11"/>
  <c r="I275" i="11"/>
  <c r="I367" i="11"/>
  <c r="I870" i="11"/>
  <c r="I358" i="11"/>
  <c r="I861" i="11"/>
  <c r="I349" i="11"/>
  <c r="I756" i="11"/>
  <c r="I244" i="11"/>
  <c r="I707" i="11"/>
  <c r="I195" i="11"/>
  <c r="I167" i="11"/>
  <c r="I670" i="11"/>
  <c r="I158" i="11"/>
  <c r="I661" i="11"/>
  <c r="I149" i="11"/>
  <c r="I556" i="11"/>
  <c r="I44" i="11"/>
  <c r="I507" i="11"/>
  <c r="I607" i="11"/>
  <c r="I95" i="11"/>
  <c r="I598" i="11"/>
  <c r="I86" i="11"/>
  <c r="I589" i="11"/>
  <c r="I77" i="11"/>
  <c r="I484" i="11"/>
  <c r="I947" i="11"/>
  <c r="I435" i="11"/>
  <c r="I535" i="11"/>
  <c r="I23" i="11"/>
  <c r="I526" i="11"/>
  <c r="I14" i="11"/>
  <c r="I517" i="11"/>
  <c r="I924" i="11"/>
  <c r="I412" i="11"/>
  <c r="I875" i="11"/>
  <c r="I363" i="11"/>
  <c r="F12" i="8"/>
  <c r="F76" i="8"/>
  <c r="F140" i="8"/>
  <c r="F204" i="8"/>
  <c r="F268" i="8"/>
  <c r="F332" i="8"/>
  <c r="F396" i="8"/>
  <c r="F460" i="8"/>
  <c r="F524" i="8"/>
  <c r="F588" i="8"/>
  <c r="F652" i="8"/>
  <c r="F716" i="8"/>
  <c r="F780" i="8"/>
  <c r="F844" i="8"/>
  <c r="F908" i="8"/>
  <c r="F972" i="8"/>
  <c r="F21" i="8"/>
  <c r="F85" i="8"/>
  <c r="F149" i="8"/>
  <c r="F213" i="8"/>
  <c r="F277" i="8"/>
  <c r="F341" i="8"/>
  <c r="F405" i="8"/>
  <c r="F469" i="8"/>
  <c r="F533" i="8"/>
  <c r="F597" i="8"/>
  <c r="F661" i="8"/>
  <c r="F725" i="8"/>
  <c r="F789" i="8"/>
  <c r="F853" i="8"/>
  <c r="F917" i="8"/>
  <c r="F981" i="8"/>
  <c r="F38" i="8"/>
  <c r="F102" i="8"/>
  <c r="F166" i="8"/>
  <c r="F230" i="8"/>
  <c r="F294" i="8"/>
  <c r="F358" i="8"/>
  <c r="F422" i="8"/>
  <c r="F486" i="8"/>
  <c r="F549" i="8"/>
  <c r="F805" i="8"/>
  <c r="F54" i="8"/>
  <c r="F310" i="8"/>
  <c r="F550" i="8"/>
  <c r="F622" i="8"/>
  <c r="F686" i="8"/>
  <c r="F750" i="8"/>
  <c r="F814" i="8"/>
  <c r="F878" i="8"/>
  <c r="F942" i="8"/>
  <c r="F1006" i="8"/>
  <c r="F55" i="8"/>
  <c r="F119" i="8"/>
  <c r="F183" i="8"/>
  <c r="F247" i="8"/>
  <c r="F311" i="8"/>
  <c r="F375" i="8"/>
  <c r="F439" i="8"/>
  <c r="F503" i="8"/>
  <c r="F567" i="8"/>
  <c r="F631" i="8"/>
  <c r="F695" i="8"/>
  <c r="F759" i="8"/>
  <c r="F823" i="8"/>
  <c r="F887" i="8"/>
  <c r="F951" i="8"/>
  <c r="F1015" i="8"/>
  <c r="F64" i="8"/>
  <c r="F128" i="8"/>
  <c r="F192" i="8"/>
  <c r="F256" i="8"/>
  <c r="F320" i="8"/>
  <c r="F384" i="8"/>
  <c r="F448" i="8"/>
  <c r="F512" i="8"/>
  <c r="F576" i="8"/>
  <c r="F640" i="8"/>
  <c r="F704" i="8"/>
  <c r="F65" i="8"/>
  <c r="F129" i="8"/>
  <c r="F193" i="8"/>
  <c r="F257" i="8"/>
  <c r="F321" i="8"/>
  <c r="F385" i="8"/>
  <c r="F449" i="8"/>
  <c r="F513" i="8"/>
  <c r="F577" i="8"/>
  <c r="F641" i="8"/>
  <c r="F705" i="8"/>
  <c r="F769" i="8"/>
  <c r="F833" i="8"/>
  <c r="F897" i="8"/>
  <c r="F961" i="8"/>
  <c r="F10" i="8"/>
  <c r="F74" i="8"/>
  <c r="F138" i="8"/>
  <c r="F202" i="8"/>
  <c r="F266" i="8"/>
  <c r="F330" i="8"/>
  <c r="F394" i="8"/>
  <c r="F458" i="8"/>
  <c r="F522" i="8"/>
  <c r="F586" i="8"/>
  <c r="F650" i="8"/>
  <c r="F714" i="8"/>
  <c r="F778" i="8"/>
  <c r="F842" i="8"/>
  <c r="F906" i="8"/>
  <c r="F267" i="8"/>
  <c r="F744" i="8"/>
  <c r="F978" i="8"/>
  <c r="F1066" i="8"/>
  <c r="F1130" i="8"/>
  <c r="F1194" i="8"/>
  <c r="F1258" i="8"/>
  <c r="F1322" i="8"/>
  <c r="F715" i="8"/>
  <c r="F1219" i="8"/>
  <c r="F347" i="8"/>
  <c r="F784" i="8"/>
  <c r="F1003" i="8"/>
  <c r="F1076" i="8"/>
  <c r="F1140" i="8"/>
  <c r="F1204" i="8"/>
  <c r="F1268" i="8"/>
  <c r="F1332" i="8"/>
  <c r="F1301" i="8"/>
  <c r="F1302" i="8"/>
  <c r="F1163" i="8"/>
  <c r="F291" i="8"/>
  <c r="F755" i="8"/>
  <c r="F986" i="8"/>
  <c r="F1069" i="8"/>
  <c r="F1133" i="8"/>
  <c r="F1205" i="8"/>
  <c r="F1166" i="8"/>
  <c r="F1249" i="8"/>
  <c r="F1227" i="8"/>
  <c r="F363" i="8"/>
  <c r="F792" i="8"/>
  <c r="F1010" i="8"/>
  <c r="F1078" i="8"/>
  <c r="F1142" i="8"/>
  <c r="F1294" i="8"/>
  <c r="F1123" i="8"/>
  <c r="F307" i="8"/>
  <c r="F763" i="8"/>
  <c r="F992" i="8"/>
  <c r="F1071" i="8"/>
  <c r="F1135" i="8"/>
  <c r="F1199" i="8"/>
  <c r="F1263" i="8"/>
  <c r="F1327" i="8"/>
  <c r="F835" i="8"/>
  <c r="F1089" i="8"/>
  <c r="F1225" i="8"/>
  <c r="F1115" i="8"/>
  <c r="F187" i="8"/>
  <c r="F699" i="8"/>
  <c r="F952" i="8"/>
  <c r="F1056" i="8"/>
  <c r="F1120" i="8"/>
  <c r="F1184" i="8"/>
  <c r="F1248" i="8"/>
  <c r="F1312" i="8"/>
  <c r="F739" i="8"/>
  <c r="F1065" i="8"/>
  <c r="F1201" i="8"/>
  <c r="F1019" i="8"/>
  <c r="F3" i="8"/>
  <c r="G1324" i="8"/>
  <c r="G1260" i="8"/>
  <c r="G1196" i="8"/>
  <c r="G1132" i="8"/>
  <c r="G1068" i="8"/>
  <c r="G1004" i="8"/>
  <c r="G940" i="8"/>
  <c r="G876" i="8"/>
  <c r="G1283" i="8"/>
  <c r="G1219" i="8"/>
  <c r="G1155" i="8"/>
  <c r="G1091" i="8"/>
  <c r="G1027" i="8"/>
  <c r="G963" i="8"/>
  <c r="G899" i="8"/>
  <c r="G835" i="8"/>
  <c r="G771" i="8"/>
  <c r="G707" i="8"/>
  <c r="G1274" i="8"/>
  <c r="G1210" i="8"/>
  <c r="G1146" i="8"/>
  <c r="G1082" i="8"/>
  <c r="G1018" i="8"/>
  <c r="G1273" i="8"/>
  <c r="G1209" i="8"/>
  <c r="G1145" i="8"/>
  <c r="G1081" i="8"/>
  <c r="G1304" i="8"/>
  <c r="G1240" i="8"/>
  <c r="G1176" i="8"/>
  <c r="G1112" i="8"/>
  <c r="G1048" i="8"/>
  <c r="G1327" i="8"/>
  <c r="G1263" i="8"/>
  <c r="G1199" i="8"/>
  <c r="G1135" i="8"/>
  <c r="G1071" i="8"/>
  <c r="G1007" i="8"/>
  <c r="G943" i="8"/>
  <c r="G879" i="8"/>
  <c r="G815" i="8"/>
  <c r="G751" i="8"/>
  <c r="G687" i="8"/>
  <c r="G936" i="8"/>
  <c r="G786" i="8"/>
  <c r="G662" i="8"/>
  <c r="G491" i="8"/>
  <c r="G406" i="8"/>
  <c r="G167" i="8"/>
  <c r="G31" i="8"/>
  <c r="G597" i="8"/>
  <c r="G426" i="8"/>
  <c r="G341" i="8"/>
  <c r="G271" i="8"/>
  <c r="G207" i="8"/>
  <c r="G119" i="8"/>
  <c r="G766" i="8"/>
  <c r="G649" i="8"/>
  <c r="G478" i="8"/>
  <c r="G393" i="8"/>
  <c r="G310" i="8"/>
  <c r="G246" i="8"/>
  <c r="G182" i="8"/>
  <c r="G118" i="8"/>
  <c r="G669" i="8"/>
  <c r="G498" i="8"/>
  <c r="G413" i="8"/>
  <c r="G261" i="8"/>
  <c r="G197" i="8"/>
  <c r="G133" i="8"/>
  <c r="G69" i="8"/>
  <c r="G1010" i="8"/>
  <c r="G842" i="8"/>
  <c r="G714" i="8"/>
  <c r="G614" i="8"/>
  <c r="G529" i="8"/>
  <c r="G358" i="8"/>
  <c r="G284" i="8"/>
  <c r="G220" i="8"/>
  <c r="G156" i="8"/>
  <c r="G36" i="8"/>
  <c r="G506" i="8"/>
  <c r="G421" i="8"/>
  <c r="G267" i="8"/>
  <c r="G203" i="8"/>
  <c r="G139" i="8"/>
  <c r="G75" i="8"/>
  <c r="G11" i="8"/>
  <c r="G790" i="8"/>
  <c r="G665" i="8"/>
  <c r="G494" i="8"/>
  <c r="G409" i="8"/>
  <c r="G194" i="8"/>
  <c r="G130" i="8"/>
  <c r="G66" i="8"/>
  <c r="G2" i="8"/>
  <c r="G15" i="8"/>
  <c r="G23" i="8"/>
  <c r="G347" i="8"/>
  <c r="G232" i="8"/>
  <c r="G1093" i="8"/>
  <c r="G944" i="8"/>
  <c r="G824" i="8"/>
  <c r="G760" i="8"/>
  <c r="G696" i="8"/>
  <c r="G591" i="8"/>
  <c r="G463" i="8"/>
  <c r="G335" i="8"/>
  <c r="G960" i="8"/>
  <c r="G804" i="8"/>
  <c r="G676" i="8"/>
  <c r="G588" i="8"/>
  <c r="G492" i="8"/>
  <c r="G385" i="8"/>
  <c r="G288" i="8"/>
  <c r="G1213" i="8"/>
  <c r="G1005" i="8"/>
  <c r="F581" i="8"/>
  <c r="F837" i="8"/>
  <c r="F86" i="8"/>
  <c r="F342" i="8"/>
  <c r="F566" i="8"/>
  <c r="F630" i="8"/>
  <c r="F694" i="8"/>
  <c r="F758" i="8"/>
  <c r="F822" i="8"/>
  <c r="F886" i="8"/>
  <c r="F950" i="8"/>
  <c r="F1014" i="8"/>
  <c r="F63" i="8"/>
  <c r="F127" i="8"/>
  <c r="F191" i="8"/>
  <c r="F255" i="8"/>
  <c r="F319" i="8"/>
  <c r="F383" i="8"/>
  <c r="F447" i="8"/>
  <c r="F511" i="8"/>
  <c r="F575" i="8"/>
  <c r="F639" i="8"/>
  <c r="F703" i="8"/>
  <c r="F767" i="8"/>
  <c r="F831" i="8"/>
  <c r="F895" i="8"/>
  <c r="F959" i="8"/>
  <c r="F8" i="8"/>
  <c r="F72" i="8"/>
  <c r="F136" i="8"/>
  <c r="F200" i="8"/>
  <c r="F264" i="8"/>
  <c r="F328" i="8"/>
  <c r="F392" i="8"/>
  <c r="F456" i="8"/>
  <c r="F520" i="8"/>
  <c r="F584" i="8"/>
  <c r="F648" i="8"/>
  <c r="F9" i="8"/>
  <c r="F73" i="8"/>
  <c r="F137" i="8"/>
  <c r="F201" i="8"/>
  <c r="F265" i="8"/>
  <c r="F329" i="8"/>
  <c r="F393" i="8"/>
  <c r="F457" i="8"/>
  <c r="F521" i="8"/>
  <c r="F585" i="8"/>
  <c r="F649" i="8"/>
  <c r="F713" i="8"/>
  <c r="F777" i="8"/>
  <c r="F841" i="8"/>
  <c r="F905" i="8"/>
  <c r="F969" i="8"/>
  <c r="F18" i="8"/>
  <c r="F82" i="8"/>
  <c r="F146" i="8"/>
  <c r="F210" i="8"/>
  <c r="F274" i="8"/>
  <c r="F338" i="8"/>
  <c r="F402" i="8"/>
  <c r="F466" i="8"/>
  <c r="F530" i="8"/>
  <c r="F594" i="8"/>
  <c r="F658" i="8"/>
  <c r="F722" i="8"/>
  <c r="F786" i="8"/>
  <c r="F850" i="8"/>
  <c r="F914" i="8"/>
  <c r="F331" i="8"/>
  <c r="F776" i="8"/>
  <c r="F1000" i="8"/>
  <c r="F1074" i="8"/>
  <c r="F1138" i="8"/>
  <c r="F1202" i="8"/>
  <c r="F1266" i="8"/>
  <c r="F1330" i="8"/>
  <c r="F747" i="8"/>
  <c r="F1267" i="8"/>
  <c r="F411" i="8"/>
  <c r="F816" i="8"/>
  <c r="F1020" i="8"/>
  <c r="F1084" i="8"/>
  <c r="F1148" i="8"/>
  <c r="F1212" i="8"/>
  <c r="F1276" i="8"/>
  <c r="F1189" i="8"/>
  <c r="F1317" i="8"/>
  <c r="F1233" i="8"/>
  <c r="F1211" i="8"/>
  <c r="F355" i="8"/>
  <c r="F787" i="8"/>
  <c r="F1008" i="8"/>
  <c r="F1077" i="8"/>
  <c r="F1141" i="8"/>
  <c r="F1221" i="8"/>
  <c r="F1198" i="8"/>
  <c r="F1305" i="8"/>
  <c r="F1275" i="8"/>
  <c r="F427" i="8"/>
  <c r="F824" i="8"/>
  <c r="F1022" i="8"/>
  <c r="F1086" i="8"/>
  <c r="F1150" i="8"/>
  <c r="F1318" i="8"/>
  <c r="F1171" i="8"/>
  <c r="F371" i="8"/>
  <c r="F795" i="8"/>
  <c r="F1011" i="8"/>
  <c r="F1079" i="8"/>
  <c r="F1143" i="8"/>
  <c r="F1207" i="8"/>
  <c r="F1271" i="8"/>
  <c r="F131" i="8"/>
  <c r="F899" i="8"/>
  <c r="F1105" i="8"/>
  <c r="F1257" i="8"/>
  <c r="F1155" i="8"/>
  <c r="F251" i="8"/>
  <c r="F736" i="8"/>
  <c r="F971" i="8"/>
  <c r="F1064" i="8"/>
  <c r="F1128" i="8"/>
  <c r="F1192" i="8"/>
  <c r="F1256" i="8"/>
  <c r="F1320" i="8"/>
  <c r="F803" i="8"/>
  <c r="F1081" i="8"/>
  <c r="F1217" i="8"/>
  <c r="F1067" i="8"/>
  <c r="F2" i="8"/>
  <c r="G1316" i="8"/>
  <c r="G1252" i="8"/>
  <c r="G1188" i="8"/>
  <c r="G1124" i="8"/>
  <c r="G1060" i="8"/>
  <c r="G996" i="8"/>
  <c r="G932" i="8"/>
  <c r="G868" i="8"/>
  <c r="G1275" i="8"/>
  <c r="G1211" i="8"/>
  <c r="G1147" i="8"/>
  <c r="G1083" i="8"/>
  <c r="G1019" i="8"/>
  <c r="G955" i="8"/>
  <c r="G891" i="8"/>
  <c r="G827" i="8"/>
  <c r="G763" i="8"/>
  <c r="G699" i="8"/>
  <c r="G1330" i="8"/>
  <c r="G1266" i="8"/>
  <c r="G1202" i="8"/>
  <c r="G1138" i="8"/>
  <c r="G1074" i="8"/>
  <c r="G1329" i="8"/>
  <c r="G1265" i="8"/>
  <c r="G1201" i="8"/>
  <c r="G1137" i="8"/>
  <c r="G1073" i="8"/>
  <c r="G1296" i="8"/>
  <c r="G1232" i="8"/>
  <c r="G1168" i="8"/>
  <c r="G1104" i="8"/>
  <c r="G1319" i="8"/>
  <c r="G1255" i="8"/>
  <c r="G1191" i="8"/>
  <c r="G1127" i="8"/>
  <c r="G1063" i="8"/>
  <c r="G999" i="8"/>
  <c r="G935" i="8"/>
  <c r="G871" i="8"/>
  <c r="G807" i="8"/>
  <c r="G743" i="8"/>
  <c r="G679" i="8"/>
  <c r="G914" i="8"/>
  <c r="G770" i="8"/>
  <c r="G651" i="8"/>
  <c r="G566" i="8"/>
  <c r="G395" i="8"/>
  <c r="G143" i="8"/>
  <c r="G954" i="8"/>
  <c r="G586" i="8"/>
  <c r="G501" i="8"/>
  <c r="G330" i="8"/>
  <c r="G263" i="8"/>
  <c r="G199" i="8"/>
  <c r="G103" i="8"/>
  <c r="G750" i="8"/>
  <c r="G638" i="8"/>
  <c r="G553" i="8"/>
  <c r="G382" i="8"/>
  <c r="G302" i="8"/>
  <c r="G238" i="8"/>
  <c r="G174" i="8"/>
  <c r="G110" i="8"/>
  <c r="G658" i="8"/>
  <c r="G573" i="8"/>
  <c r="G402" i="8"/>
  <c r="G317" i="8"/>
  <c r="G253" i="8"/>
  <c r="G189" i="8"/>
  <c r="G125" i="8"/>
  <c r="G61" i="8"/>
  <c r="G148" i="8"/>
  <c r="G304" i="8"/>
  <c r="G826" i="8"/>
  <c r="G698" i="8"/>
  <c r="G518" i="8"/>
  <c r="G433" i="8"/>
  <c r="G276" i="8"/>
  <c r="G212" i="8"/>
  <c r="G140" i="8"/>
  <c r="G28" i="8"/>
  <c r="G666" i="8"/>
  <c r="G581" i="8"/>
  <c r="G410" i="8"/>
  <c r="G325" i="8"/>
  <c r="G259" i="8"/>
  <c r="G195" i="8"/>
  <c r="G131" i="8"/>
  <c r="G67" i="8"/>
  <c r="G3" i="8"/>
  <c r="G774" i="8"/>
  <c r="G654" i="8"/>
  <c r="G569" i="8"/>
  <c r="G398" i="8"/>
  <c r="G314" i="8"/>
  <c r="G250" i="8"/>
  <c r="G186" i="8"/>
  <c r="G122" i="8"/>
  <c r="G58" i="8"/>
  <c r="G482" i="8"/>
  <c r="G1286" i="8"/>
  <c r="G1038" i="8"/>
  <c r="G902" i="8"/>
  <c r="F613" i="8"/>
  <c r="F869" i="8"/>
  <c r="F118" i="8"/>
  <c r="F374" i="8"/>
  <c r="F574" i="8"/>
  <c r="F638" i="8"/>
  <c r="F702" i="8"/>
  <c r="F766" i="8"/>
  <c r="F830" i="8"/>
  <c r="F894" i="8"/>
  <c r="F958" i="8"/>
  <c r="F7" i="8"/>
  <c r="F71" i="8"/>
  <c r="F135" i="8"/>
  <c r="F199" i="8"/>
  <c r="F263" i="8"/>
  <c r="F327" i="8"/>
  <c r="F391" i="8"/>
  <c r="F455" i="8"/>
  <c r="F519" i="8"/>
  <c r="F583" i="8"/>
  <c r="F647" i="8"/>
  <c r="F711" i="8"/>
  <c r="F775" i="8"/>
  <c r="F839" i="8"/>
  <c r="F903" i="8"/>
  <c r="F967" i="8"/>
  <c r="F16" i="8"/>
  <c r="F80" i="8"/>
  <c r="F144" i="8"/>
  <c r="F208" i="8"/>
  <c r="F272" i="8"/>
  <c r="F336" i="8"/>
  <c r="F400" i="8"/>
  <c r="F464" i="8"/>
  <c r="F528" i="8"/>
  <c r="F592" i="8"/>
  <c r="F656" i="8"/>
  <c r="F17" i="8"/>
  <c r="F81" i="8"/>
  <c r="F145" i="8"/>
  <c r="F209" i="8"/>
  <c r="F273" i="8"/>
  <c r="F337" i="8"/>
  <c r="F401" i="8"/>
  <c r="F465" i="8"/>
  <c r="F529" i="8"/>
  <c r="F593" i="8"/>
  <c r="F657" i="8"/>
  <c r="F721" i="8"/>
  <c r="F785" i="8"/>
  <c r="F849" i="8"/>
  <c r="F913" i="8"/>
  <c r="F977" i="8"/>
  <c r="F26" i="8"/>
  <c r="F90" i="8"/>
  <c r="F154" i="8"/>
  <c r="F218" i="8"/>
  <c r="F282" i="8"/>
  <c r="F346" i="8"/>
  <c r="F410" i="8"/>
  <c r="F474" i="8"/>
  <c r="F538" i="8"/>
  <c r="F602" i="8"/>
  <c r="F666" i="8"/>
  <c r="F730" i="8"/>
  <c r="F794" i="8"/>
  <c r="F858" i="8"/>
  <c r="F922" i="8"/>
  <c r="F395" i="8"/>
  <c r="F808" i="8"/>
  <c r="F1018" i="8"/>
  <c r="F1082" i="8"/>
  <c r="F1146" i="8"/>
  <c r="F1210" i="8"/>
  <c r="F1274" i="8"/>
  <c r="F19" i="8"/>
  <c r="F843" i="8"/>
  <c r="F1315" i="8"/>
  <c r="F475" i="8"/>
  <c r="F848" i="8"/>
  <c r="F1028" i="8"/>
  <c r="F1092" i="8"/>
  <c r="F1156" i="8"/>
  <c r="F1220" i="8"/>
  <c r="F1284" i="8"/>
  <c r="F1213" i="8"/>
  <c r="F1333" i="8"/>
  <c r="F1273" i="8"/>
  <c r="F1259" i="8"/>
  <c r="F419" i="8"/>
  <c r="F819" i="8"/>
  <c r="F1021" i="8"/>
  <c r="F1085" i="8"/>
  <c r="F1149" i="8"/>
  <c r="F1237" i="8"/>
  <c r="F1222" i="8"/>
  <c r="F339" i="8"/>
  <c r="F1323" i="8"/>
  <c r="F491" i="8"/>
  <c r="F856" i="8"/>
  <c r="F1030" i="8"/>
  <c r="F1094" i="8"/>
  <c r="F1158" i="8"/>
  <c r="F1265" i="8"/>
  <c r="F1235" i="8"/>
  <c r="F435" i="8"/>
  <c r="F827" i="8"/>
  <c r="F1023" i="8"/>
  <c r="F1087" i="8"/>
  <c r="F1151" i="8"/>
  <c r="F1215" i="8"/>
  <c r="F1279" i="8"/>
  <c r="F195" i="8"/>
  <c r="F954" i="8"/>
  <c r="F1121" i="8"/>
  <c r="F1289" i="8"/>
  <c r="F1203" i="8"/>
  <c r="F315" i="8"/>
  <c r="F768" i="8"/>
  <c r="F994" i="8"/>
  <c r="F1072" i="8"/>
  <c r="F1136" i="8"/>
  <c r="F1200" i="8"/>
  <c r="F1264" i="8"/>
  <c r="F1328" i="8"/>
  <c r="F867" i="8"/>
  <c r="F1097" i="8"/>
  <c r="F1241" i="8"/>
  <c r="F1107" i="8"/>
  <c r="G1333" i="8"/>
  <c r="G1308" i="8"/>
  <c r="G1244" i="8"/>
  <c r="G1180" i="8"/>
  <c r="G1116" i="8"/>
  <c r="G1052" i="8"/>
  <c r="G988" i="8"/>
  <c r="G924" i="8"/>
  <c r="G860" i="8"/>
  <c r="G1331" i="8"/>
  <c r="G1267" i="8"/>
  <c r="G1203" i="8"/>
  <c r="G1139" i="8"/>
  <c r="G1075" i="8"/>
  <c r="G1011" i="8"/>
  <c r="G947" i="8"/>
  <c r="G883" i="8"/>
  <c r="G819" i="8"/>
  <c r="G755" i="8"/>
  <c r="G691" i="8"/>
  <c r="G1322" i="8"/>
  <c r="G1258" i="8"/>
  <c r="G1194" i="8"/>
  <c r="G1130" i="8"/>
  <c r="G1066" i="8"/>
  <c r="G1321" i="8"/>
  <c r="G1257" i="8"/>
  <c r="G1193" i="8"/>
  <c r="G1129" i="8"/>
  <c r="G1065" i="8"/>
  <c r="G1288" i="8"/>
  <c r="G1224" i="8"/>
  <c r="G1160" i="8"/>
  <c r="G1096" i="8"/>
  <c r="G1311" i="8"/>
  <c r="G1247" i="8"/>
  <c r="G1183" i="8"/>
  <c r="G1119" i="8"/>
  <c r="G1055" i="8"/>
  <c r="G991" i="8"/>
  <c r="G927" i="8"/>
  <c r="G863" i="8"/>
  <c r="G799" i="8"/>
  <c r="G735" i="8"/>
  <c r="G671" i="8"/>
  <c r="G754" i="8"/>
  <c r="G555" i="8"/>
  <c r="G470" i="8"/>
  <c r="G127" i="8"/>
  <c r="G661" i="8"/>
  <c r="G490" i="8"/>
  <c r="G405" i="8"/>
  <c r="G255" i="8"/>
  <c r="G191" i="8"/>
  <c r="G87" i="8"/>
  <c r="G866" i="8"/>
  <c r="G734" i="8"/>
  <c r="G542" i="8"/>
  <c r="G457" i="8"/>
  <c r="G294" i="8"/>
  <c r="G230" i="8"/>
  <c r="G166" i="8"/>
  <c r="G102" i="8"/>
  <c r="G906" i="8"/>
  <c r="G562" i="8"/>
  <c r="G477" i="8"/>
  <c r="G309" i="8"/>
  <c r="G245" i="8"/>
  <c r="G181" i="8"/>
  <c r="G117" i="8"/>
  <c r="G124" i="8"/>
  <c r="G256" i="8"/>
  <c r="G810" i="8"/>
  <c r="G682" i="8"/>
  <c r="G593" i="8"/>
  <c r="G422" i="8"/>
  <c r="G337" i="8"/>
  <c r="G268" i="8"/>
  <c r="G204" i="8"/>
  <c r="G132" i="8"/>
  <c r="G20" i="8"/>
  <c r="G922" i="8"/>
  <c r="G570" i="8"/>
  <c r="G485" i="8"/>
  <c r="G315" i="8"/>
  <c r="G251" i="8"/>
  <c r="G187" i="8"/>
  <c r="G123" i="8"/>
  <c r="G59" i="8"/>
  <c r="G898" i="8"/>
  <c r="G758" i="8"/>
  <c r="G558" i="8"/>
  <c r="G473" i="8"/>
  <c r="G242" i="8"/>
  <c r="G178" i="8"/>
  <c r="G114" i="8"/>
  <c r="G50" i="8"/>
  <c r="G481" i="8"/>
  <c r="G1285" i="8"/>
  <c r="G1037" i="8"/>
  <c r="G901" i="8"/>
  <c r="G808" i="8"/>
  <c r="G744" i="8"/>
  <c r="G680" i="8"/>
  <c r="G559" i="8"/>
  <c r="G431" i="8"/>
  <c r="G1205" i="8"/>
  <c r="G917" i="8"/>
  <c r="G772" i="8"/>
  <c r="G652" i="8"/>
  <c r="G567" i="8"/>
  <c r="G449" i="8"/>
  <c r="G364" i="8"/>
  <c r="G272" i="8"/>
  <c r="G1149" i="8"/>
  <c r="G984" i="8"/>
  <c r="G856" i="8"/>
  <c r="G547" i="8"/>
  <c r="F645" i="8"/>
  <c r="F901" i="8"/>
  <c r="F150" i="8"/>
  <c r="F406" i="8"/>
  <c r="F582" i="8"/>
  <c r="F646" i="8"/>
  <c r="F710" i="8"/>
  <c r="F774" i="8"/>
  <c r="F838" i="8"/>
  <c r="F902" i="8"/>
  <c r="F966" i="8"/>
  <c r="F15" i="8"/>
  <c r="F79" i="8"/>
  <c r="F143" i="8"/>
  <c r="F207" i="8"/>
  <c r="F271" i="8"/>
  <c r="F335" i="8"/>
  <c r="F399" i="8"/>
  <c r="F463" i="8"/>
  <c r="F527" i="8"/>
  <c r="F591" i="8"/>
  <c r="F655" i="8"/>
  <c r="F719" i="8"/>
  <c r="F783" i="8"/>
  <c r="F847" i="8"/>
  <c r="F911" i="8"/>
  <c r="F975" i="8"/>
  <c r="F24" i="8"/>
  <c r="F88" i="8"/>
  <c r="F152" i="8"/>
  <c r="F216" i="8"/>
  <c r="F280" i="8"/>
  <c r="F344" i="8"/>
  <c r="F408" i="8"/>
  <c r="F472" i="8"/>
  <c r="F536" i="8"/>
  <c r="F600" i="8"/>
  <c r="F664" i="8"/>
  <c r="F25" i="8"/>
  <c r="F89" i="8"/>
  <c r="F153" i="8"/>
  <c r="F217" i="8"/>
  <c r="F281" i="8"/>
  <c r="F345" i="8"/>
  <c r="F409" i="8"/>
  <c r="F473" i="8"/>
  <c r="F537" i="8"/>
  <c r="F601" i="8"/>
  <c r="F665" i="8"/>
  <c r="F729" i="8"/>
  <c r="F793" i="8"/>
  <c r="F857" i="8"/>
  <c r="F921" i="8"/>
  <c r="F985" i="8"/>
  <c r="F34" i="8"/>
  <c r="F98" i="8"/>
  <c r="F162" i="8"/>
  <c r="F226" i="8"/>
  <c r="F290" i="8"/>
  <c r="F354" i="8"/>
  <c r="F418" i="8"/>
  <c r="F482" i="8"/>
  <c r="F546" i="8"/>
  <c r="F610" i="8"/>
  <c r="F674" i="8"/>
  <c r="F738" i="8"/>
  <c r="F802" i="8"/>
  <c r="F866" i="8"/>
  <c r="F930" i="8"/>
  <c r="F459" i="8"/>
  <c r="F840" i="8"/>
  <c r="F1026" i="8"/>
  <c r="F1090" i="8"/>
  <c r="F1154" i="8"/>
  <c r="F1218" i="8"/>
  <c r="F1282" i="8"/>
  <c r="F83" i="8"/>
  <c r="F979" i="8"/>
  <c r="F27" i="8"/>
  <c r="F539" i="8"/>
  <c r="F880" i="8"/>
  <c r="F1036" i="8"/>
  <c r="F1100" i="8"/>
  <c r="F1164" i="8"/>
  <c r="F1228" i="8"/>
  <c r="F1292" i="8"/>
  <c r="F1229" i="8"/>
  <c r="F1174" i="8"/>
  <c r="F1321" i="8"/>
  <c r="F1307" i="8"/>
  <c r="F483" i="8"/>
  <c r="F851" i="8"/>
  <c r="F1029" i="8"/>
  <c r="F1093" i="8"/>
  <c r="F1157" i="8"/>
  <c r="F1253" i="8"/>
  <c r="F1246" i="8"/>
  <c r="F938" i="8"/>
  <c r="F43" i="8"/>
  <c r="F555" i="8"/>
  <c r="F888" i="8"/>
  <c r="F1038" i="8"/>
  <c r="F1102" i="8"/>
  <c r="F1182" i="8"/>
  <c r="F1297" i="8"/>
  <c r="F1283" i="8"/>
  <c r="F499" i="8"/>
  <c r="F859" i="8"/>
  <c r="F1031" i="8"/>
  <c r="F1095" i="8"/>
  <c r="F1159" i="8"/>
  <c r="F1223" i="8"/>
  <c r="F1287" i="8"/>
  <c r="F323" i="8"/>
  <c r="F995" i="8"/>
  <c r="F1137" i="8"/>
  <c r="F275" i="8"/>
  <c r="F1251" i="8"/>
  <c r="F379" i="8"/>
  <c r="F800" i="8"/>
  <c r="F1013" i="8"/>
  <c r="F1080" i="8"/>
  <c r="F1144" i="8"/>
  <c r="F1208" i="8"/>
  <c r="F1272" i="8"/>
  <c r="F67" i="8"/>
  <c r="F931" i="8"/>
  <c r="F1113" i="8"/>
  <c r="F1281" i="8"/>
  <c r="F1147" i="8"/>
  <c r="G1300" i="8"/>
  <c r="G1236" i="8"/>
  <c r="G1172" i="8"/>
  <c r="G1108" i="8"/>
  <c r="G1044" i="8"/>
  <c r="G980" i="8"/>
  <c r="G916" i="8"/>
  <c r="G852" i="8"/>
  <c r="G1323" i="8"/>
  <c r="G1259" i="8"/>
  <c r="G1195" i="8"/>
  <c r="G1131" i="8"/>
  <c r="G1067" i="8"/>
  <c r="G1003" i="8"/>
  <c r="G939" i="8"/>
  <c r="G875" i="8"/>
  <c r="G811" i="8"/>
  <c r="G747" i="8"/>
  <c r="G683" i="8"/>
  <c r="G1314" i="8"/>
  <c r="G1250" i="8"/>
  <c r="G1186" i="8"/>
  <c r="G1122" i="8"/>
  <c r="G1058" i="8"/>
  <c r="G1313" i="8"/>
  <c r="G1249" i="8"/>
  <c r="G1185" i="8"/>
  <c r="G1121" i="8"/>
  <c r="G1057" i="8"/>
  <c r="G1280" i="8"/>
  <c r="G1216" i="8"/>
  <c r="G1152" i="8"/>
  <c r="G1088" i="8"/>
  <c r="G1303" i="8"/>
  <c r="G1239" i="8"/>
  <c r="G1175" i="8"/>
  <c r="G1111" i="8"/>
  <c r="G1047" i="8"/>
  <c r="G983" i="8"/>
  <c r="G919" i="8"/>
  <c r="G855" i="8"/>
  <c r="G791" i="8"/>
  <c r="G727" i="8"/>
  <c r="G872" i="8"/>
  <c r="G738" i="8"/>
  <c r="G630" i="8"/>
  <c r="G374" i="8"/>
  <c r="G111" i="8"/>
  <c r="G650" i="8"/>
  <c r="G565" i="8"/>
  <c r="G394" i="8"/>
  <c r="G311" i="8"/>
  <c r="G247" i="8"/>
  <c r="G183" i="8"/>
  <c r="G71" i="8"/>
  <c r="G846" i="8"/>
  <c r="G718" i="8"/>
  <c r="G617" i="8"/>
  <c r="G446" i="8"/>
  <c r="G361" i="8"/>
  <c r="G286" i="8"/>
  <c r="G222" i="8"/>
  <c r="G158" i="8"/>
  <c r="G94" i="8"/>
  <c r="G637" i="8"/>
  <c r="G466" i="8"/>
  <c r="G381" i="8"/>
  <c r="G301" i="8"/>
  <c r="G237" i="8"/>
  <c r="G173" i="8"/>
  <c r="G109" i="8"/>
  <c r="G108" i="8"/>
  <c r="G946" i="8"/>
  <c r="G794" i="8"/>
  <c r="G582" i="8"/>
  <c r="G497" i="8"/>
  <c r="G326" i="8"/>
  <c r="G260" i="8"/>
  <c r="G196" i="8"/>
  <c r="G116" i="8"/>
  <c r="G12" i="8"/>
  <c r="G645" i="8"/>
  <c r="G474" i="8"/>
  <c r="G389" i="8"/>
  <c r="G307" i="8"/>
  <c r="G243" i="8"/>
  <c r="G179" i="8"/>
  <c r="G115" i="8"/>
  <c r="G51" i="8"/>
  <c r="G742" i="8"/>
  <c r="G633" i="8"/>
  <c r="G377" i="8"/>
  <c r="G298" i="8"/>
  <c r="G234" i="8"/>
  <c r="G170" i="8"/>
  <c r="G106" i="8"/>
  <c r="G42" i="8"/>
  <c r="G322" i="8"/>
  <c r="G1222" i="8"/>
  <c r="G1009" i="8"/>
  <c r="G881" i="8"/>
  <c r="G793" i="8"/>
  <c r="G729" i="8"/>
  <c r="G656" i="8"/>
  <c r="G528" i="8"/>
  <c r="G400" i="8"/>
  <c r="G1142" i="8"/>
  <c r="G874" i="8"/>
  <c r="G741" i="8"/>
  <c r="G632" i="8"/>
  <c r="G536" i="8"/>
  <c r="G429" i="8"/>
  <c r="G344" i="8"/>
  <c r="G241" i="8"/>
  <c r="G1086" i="8"/>
  <c r="G942" i="8"/>
  <c r="G644" i="8"/>
  <c r="G516" i="8"/>
  <c r="G420" i="8"/>
  <c r="G306" i="8"/>
  <c r="G1002" i="8"/>
  <c r="G854" i="8"/>
  <c r="G725" i="8"/>
  <c r="G621" i="8"/>
  <c r="G546" i="8"/>
  <c r="F677" i="8"/>
  <c r="F933" i="8"/>
  <c r="F182" i="8"/>
  <c r="F438" i="8"/>
  <c r="F590" i="8"/>
  <c r="F654" i="8"/>
  <c r="F718" i="8"/>
  <c r="F782" i="8"/>
  <c r="F846" i="8"/>
  <c r="F910" i="8"/>
  <c r="F974" i="8"/>
  <c r="F23" i="8"/>
  <c r="F87" i="8"/>
  <c r="F151" i="8"/>
  <c r="F215" i="8"/>
  <c r="F279" i="8"/>
  <c r="F343" i="8"/>
  <c r="F407" i="8"/>
  <c r="F471" i="8"/>
  <c r="F535" i="8"/>
  <c r="F599" i="8"/>
  <c r="F663" i="8"/>
  <c r="F727" i="8"/>
  <c r="F791" i="8"/>
  <c r="F855" i="8"/>
  <c r="F919" i="8"/>
  <c r="F983" i="8"/>
  <c r="F32" i="8"/>
  <c r="F96" i="8"/>
  <c r="F160" i="8"/>
  <c r="F224" i="8"/>
  <c r="F288" i="8"/>
  <c r="F352" i="8"/>
  <c r="F416" i="8"/>
  <c r="F480" i="8"/>
  <c r="F544" i="8"/>
  <c r="F608" i="8"/>
  <c r="F672" i="8"/>
  <c r="F33" i="8"/>
  <c r="F97" i="8"/>
  <c r="F161" i="8"/>
  <c r="F225" i="8"/>
  <c r="F289" i="8"/>
  <c r="F353" i="8"/>
  <c r="F417" i="8"/>
  <c r="F481" i="8"/>
  <c r="F545" i="8"/>
  <c r="F609" i="8"/>
  <c r="F673" i="8"/>
  <c r="F737" i="8"/>
  <c r="F801" i="8"/>
  <c r="F865" i="8"/>
  <c r="F929" i="8"/>
  <c r="F993" i="8"/>
  <c r="F42" i="8"/>
  <c r="F106" i="8"/>
  <c r="F170" i="8"/>
  <c r="F234" i="8"/>
  <c r="F298" i="8"/>
  <c r="F362" i="8"/>
  <c r="F426" i="8"/>
  <c r="F490" i="8"/>
  <c r="F554" i="8"/>
  <c r="F618" i="8"/>
  <c r="F682" i="8"/>
  <c r="F746" i="8"/>
  <c r="F810" i="8"/>
  <c r="F874" i="8"/>
  <c r="F11" i="8"/>
  <c r="F523" i="8"/>
  <c r="F872" i="8"/>
  <c r="F1034" i="8"/>
  <c r="F1098" i="8"/>
  <c r="F1162" i="8"/>
  <c r="F1226" i="8"/>
  <c r="F1290" i="8"/>
  <c r="F147" i="8"/>
  <c r="F1043" i="8"/>
  <c r="F91" i="8"/>
  <c r="F603" i="8"/>
  <c r="F912" i="8"/>
  <c r="F1044" i="8"/>
  <c r="F1108" i="8"/>
  <c r="F1172" i="8"/>
  <c r="F1236" i="8"/>
  <c r="F1300" i="8"/>
  <c r="F1245" i="8"/>
  <c r="F1206" i="8"/>
  <c r="F595" i="8"/>
  <c r="F35" i="8"/>
  <c r="F547" i="8"/>
  <c r="F883" i="8"/>
  <c r="F1037" i="8"/>
  <c r="F1101" i="8"/>
  <c r="F1165" i="8"/>
  <c r="F1277" i="8"/>
  <c r="F1270" i="8"/>
  <c r="F1035" i="8"/>
  <c r="F107" i="8"/>
  <c r="F619" i="8"/>
  <c r="F920" i="8"/>
  <c r="F1046" i="8"/>
  <c r="F1110" i="8"/>
  <c r="F1190" i="8"/>
  <c r="F1329" i="8"/>
  <c r="F51" i="8"/>
  <c r="F563" i="8"/>
  <c r="F891" i="8"/>
  <c r="F1039" i="8"/>
  <c r="F1103" i="8"/>
  <c r="F1167" i="8"/>
  <c r="F1231" i="8"/>
  <c r="F1295" i="8"/>
  <c r="F451" i="8"/>
  <c r="F1025" i="8"/>
  <c r="F1161" i="8"/>
  <c r="F811" i="8"/>
  <c r="F1291" i="8"/>
  <c r="F443" i="8"/>
  <c r="F832" i="8"/>
  <c r="F1024" i="8"/>
  <c r="F1088" i="8"/>
  <c r="F1152" i="8"/>
  <c r="F1216" i="8"/>
  <c r="F1280" i="8"/>
  <c r="F259" i="8"/>
  <c r="F976" i="8"/>
  <c r="F1129" i="8"/>
  <c r="F1313" i="8"/>
  <c r="F1195" i="8"/>
  <c r="G1292" i="8"/>
  <c r="G1228" i="8"/>
  <c r="G1164" i="8"/>
  <c r="G1100" i="8"/>
  <c r="G1036" i="8"/>
  <c r="G972" i="8"/>
  <c r="G908" i="8"/>
  <c r="G1315" i="8"/>
  <c r="G1251" i="8"/>
  <c r="G1187" i="8"/>
  <c r="G1123" i="8"/>
  <c r="G1059" i="8"/>
  <c r="G995" i="8"/>
  <c r="G931" i="8"/>
  <c r="G867" i="8"/>
  <c r="G803" i="8"/>
  <c r="G739" i="8"/>
  <c r="G675" i="8"/>
  <c r="G1306" i="8"/>
  <c r="G1242" i="8"/>
  <c r="G1178" i="8"/>
  <c r="G1114" i="8"/>
  <c r="G1050" i="8"/>
  <c r="G1305" i="8"/>
  <c r="G1241" i="8"/>
  <c r="G1177" i="8"/>
  <c r="G1113" i="8"/>
  <c r="G1049" i="8"/>
  <c r="G1272" i="8"/>
  <c r="G1208" i="8"/>
  <c r="G1144" i="8"/>
  <c r="G1080" i="8"/>
  <c r="G1295" i="8"/>
  <c r="G1231" i="8"/>
  <c r="G1167" i="8"/>
  <c r="G1103" i="8"/>
  <c r="G1039" i="8"/>
  <c r="G975" i="8"/>
  <c r="G911" i="8"/>
  <c r="G847" i="8"/>
  <c r="G783" i="8"/>
  <c r="G719" i="8"/>
  <c r="G850" i="8"/>
  <c r="G722" i="8"/>
  <c r="G619" i="8"/>
  <c r="G534" i="8"/>
  <c r="G363" i="8"/>
  <c r="G95" i="8"/>
  <c r="G890" i="8"/>
  <c r="G554" i="8"/>
  <c r="G469" i="8"/>
  <c r="G303" i="8"/>
  <c r="G239" i="8"/>
  <c r="G175" i="8"/>
  <c r="G55" i="8"/>
  <c r="G994" i="8"/>
  <c r="G830" i="8"/>
  <c r="G702" i="8"/>
  <c r="G606" i="8"/>
  <c r="G521" i="8"/>
  <c r="G350" i="8"/>
  <c r="G278" i="8"/>
  <c r="G214" i="8"/>
  <c r="G150" i="8"/>
  <c r="G86" i="8"/>
  <c r="G626" i="8"/>
  <c r="G541" i="8"/>
  <c r="G370" i="8"/>
  <c r="G293" i="8"/>
  <c r="G229" i="8"/>
  <c r="G165" i="8"/>
  <c r="G101" i="8"/>
  <c r="G92" i="8"/>
  <c r="G778" i="8"/>
  <c r="G657" i="8"/>
  <c r="G486" i="8"/>
  <c r="G401" i="8"/>
  <c r="G316" i="8"/>
  <c r="G252" i="8"/>
  <c r="G188" i="8"/>
  <c r="G100" i="8"/>
  <c r="G4" i="8"/>
  <c r="G634" i="8"/>
  <c r="G549" i="8"/>
  <c r="G378" i="8"/>
  <c r="G299" i="8"/>
  <c r="G235" i="8"/>
  <c r="G171" i="8"/>
  <c r="G107" i="8"/>
  <c r="G43" i="8"/>
  <c r="G726" i="8"/>
  <c r="G622" i="8"/>
  <c r="G537" i="8"/>
  <c r="G366" i="8"/>
  <c r="G290" i="8"/>
  <c r="G226" i="8"/>
  <c r="G162" i="8"/>
  <c r="G98" i="8"/>
  <c r="G34" i="8"/>
  <c r="G7" i="8"/>
  <c r="G321" i="8"/>
  <c r="G1221" i="8"/>
  <c r="G1008" i="8"/>
  <c r="G880" i="8"/>
  <c r="G792" i="8"/>
  <c r="G728" i="8"/>
  <c r="G655" i="8"/>
  <c r="G527" i="8"/>
  <c r="G399" i="8"/>
  <c r="G1141" i="8"/>
  <c r="G873" i="8"/>
  <c r="G740" i="8"/>
  <c r="G631" i="8"/>
  <c r="G535" i="8"/>
  <c r="G428" i="8"/>
  <c r="G343" i="8"/>
  <c r="G240" i="8"/>
  <c r="G1085" i="8"/>
  <c r="F709" i="8"/>
  <c r="F965" i="8"/>
  <c r="F214" i="8"/>
  <c r="F470" i="8"/>
  <c r="F598" i="8"/>
  <c r="F662" i="8"/>
  <c r="F726" i="8"/>
  <c r="F790" i="8"/>
  <c r="F854" i="8"/>
  <c r="F918" i="8"/>
  <c r="F982" i="8"/>
  <c r="F31" i="8"/>
  <c r="F95" i="8"/>
  <c r="F159" i="8"/>
  <c r="F223" i="8"/>
  <c r="F287" i="8"/>
  <c r="F351" i="8"/>
  <c r="F415" i="8"/>
  <c r="F479" i="8"/>
  <c r="F543" i="8"/>
  <c r="F607" i="8"/>
  <c r="F671" i="8"/>
  <c r="F735" i="8"/>
  <c r="F799" i="8"/>
  <c r="F863" i="8"/>
  <c r="F927" i="8"/>
  <c r="F991" i="8"/>
  <c r="F40" i="8"/>
  <c r="F104" i="8"/>
  <c r="F168" i="8"/>
  <c r="F232" i="8"/>
  <c r="F296" i="8"/>
  <c r="F360" i="8"/>
  <c r="F424" i="8"/>
  <c r="F488" i="8"/>
  <c r="F552" i="8"/>
  <c r="F616" i="8"/>
  <c r="F680" i="8"/>
  <c r="F41" i="8"/>
  <c r="F105" i="8"/>
  <c r="F169" i="8"/>
  <c r="F233" i="8"/>
  <c r="F297" i="8"/>
  <c r="F361" i="8"/>
  <c r="F425" i="8"/>
  <c r="F489" i="8"/>
  <c r="F553" i="8"/>
  <c r="F617" i="8"/>
  <c r="F681" i="8"/>
  <c r="F745" i="8"/>
  <c r="F809" i="8"/>
  <c r="F873" i="8"/>
  <c r="F937" i="8"/>
  <c r="F1001" i="8"/>
  <c r="F50" i="8"/>
  <c r="F114" i="8"/>
  <c r="F178" i="8"/>
  <c r="F242" i="8"/>
  <c r="F306" i="8"/>
  <c r="F370" i="8"/>
  <c r="F434" i="8"/>
  <c r="F498" i="8"/>
  <c r="F562" i="8"/>
  <c r="F626" i="8"/>
  <c r="F690" i="8"/>
  <c r="F754" i="8"/>
  <c r="F818" i="8"/>
  <c r="F882" i="8"/>
  <c r="F75" i="8"/>
  <c r="F587" i="8"/>
  <c r="F904" i="8"/>
  <c r="F1042" i="8"/>
  <c r="F1106" i="8"/>
  <c r="F1170" i="8"/>
  <c r="F1234" i="8"/>
  <c r="F1298" i="8"/>
  <c r="F211" i="8"/>
  <c r="F1083" i="8"/>
  <c r="F155" i="8"/>
  <c r="F667" i="8"/>
  <c r="F939" i="8"/>
  <c r="F1052" i="8"/>
  <c r="F1116" i="8"/>
  <c r="F1180" i="8"/>
  <c r="F1244" i="8"/>
  <c r="F1308" i="8"/>
  <c r="F1261" i="8"/>
  <c r="F1230" i="8"/>
  <c r="F960" i="8"/>
  <c r="F99" i="8"/>
  <c r="F611" i="8"/>
  <c r="F915" i="8"/>
  <c r="F1045" i="8"/>
  <c r="F1109" i="8"/>
  <c r="F1173" i="8"/>
  <c r="F1293" i="8"/>
  <c r="F1286" i="8"/>
  <c r="F1091" i="8"/>
  <c r="F171" i="8"/>
  <c r="F683" i="8"/>
  <c r="F946" i="8"/>
  <c r="F1054" i="8"/>
  <c r="F1118" i="8"/>
  <c r="F1214" i="8"/>
  <c r="F467" i="8"/>
  <c r="F115" i="8"/>
  <c r="F627" i="8"/>
  <c r="F923" i="8"/>
  <c r="F1047" i="8"/>
  <c r="F1111" i="8"/>
  <c r="F1175" i="8"/>
  <c r="F1239" i="8"/>
  <c r="F1303" i="8"/>
  <c r="F579" i="8"/>
  <c r="F1041" i="8"/>
  <c r="F1177" i="8"/>
  <c r="F907" i="8"/>
  <c r="F1331" i="8"/>
  <c r="F507" i="8"/>
  <c r="F864" i="8"/>
  <c r="F1032" i="8"/>
  <c r="F1096" i="8"/>
  <c r="F1160" i="8"/>
  <c r="F1224" i="8"/>
  <c r="F1288" i="8"/>
  <c r="F387" i="8"/>
  <c r="F1016" i="8"/>
  <c r="F1153" i="8"/>
  <c r="F531" i="8"/>
  <c r="F1243" i="8"/>
  <c r="G1284" i="8"/>
  <c r="G1220" i="8"/>
  <c r="G1156" i="8"/>
  <c r="G1092" i="8"/>
  <c r="G1028" i="8"/>
  <c r="G964" i="8"/>
  <c r="G900" i="8"/>
  <c r="G1307" i="8"/>
  <c r="G1243" i="8"/>
  <c r="G1179" i="8"/>
  <c r="G1115" i="8"/>
  <c r="G1051" i="8"/>
  <c r="G987" i="8"/>
  <c r="G923" i="8"/>
  <c r="G859" i="8"/>
  <c r="G795" i="8"/>
  <c r="G731" i="8"/>
  <c r="G1298" i="8"/>
  <c r="G1234" i="8"/>
  <c r="G1170" i="8"/>
  <c r="G1106" i="8"/>
  <c r="G1042" i="8"/>
  <c r="G1297" i="8"/>
  <c r="G1233" i="8"/>
  <c r="G1169" i="8"/>
  <c r="G1105" i="8"/>
  <c r="G1328" i="8"/>
  <c r="G1264" i="8"/>
  <c r="G1200" i="8"/>
  <c r="G1136" i="8"/>
  <c r="G1072" i="8"/>
  <c r="G1287" i="8"/>
  <c r="G1223" i="8"/>
  <c r="G1159" i="8"/>
  <c r="G1095" i="8"/>
  <c r="G1031" i="8"/>
  <c r="G967" i="8"/>
  <c r="G903" i="8"/>
  <c r="G839" i="8"/>
  <c r="G775" i="8"/>
  <c r="G711" i="8"/>
  <c r="G1000" i="8"/>
  <c r="G834" i="8"/>
  <c r="G706" i="8"/>
  <c r="G523" i="8"/>
  <c r="G438" i="8"/>
  <c r="G79" i="8"/>
  <c r="G629" i="8"/>
  <c r="G458" i="8"/>
  <c r="G373" i="8"/>
  <c r="G295" i="8"/>
  <c r="G231" i="8"/>
  <c r="G159" i="8"/>
  <c r="G39" i="8"/>
  <c r="G814" i="8"/>
  <c r="G686" i="8"/>
  <c r="G510" i="8"/>
  <c r="G425" i="8"/>
  <c r="G270" i="8"/>
  <c r="G206" i="8"/>
  <c r="G142" i="8"/>
  <c r="G78" i="8"/>
  <c r="G530" i="8"/>
  <c r="G445" i="8"/>
  <c r="G285" i="8"/>
  <c r="G221" i="8"/>
  <c r="G157" i="8"/>
  <c r="G93" i="8"/>
  <c r="G76" i="8"/>
  <c r="G762" i="8"/>
  <c r="G646" i="8"/>
  <c r="G561" i="8"/>
  <c r="G390" i="8"/>
  <c r="G308" i="8"/>
  <c r="G244" i="8"/>
  <c r="G180" i="8"/>
  <c r="G84" i="8"/>
  <c r="G858" i="8"/>
  <c r="G538" i="8"/>
  <c r="G453" i="8"/>
  <c r="G291" i="8"/>
  <c r="G227" i="8"/>
  <c r="G163" i="8"/>
  <c r="G99" i="8"/>
  <c r="G35" i="8"/>
  <c r="G838" i="8"/>
  <c r="G710" i="8"/>
  <c r="G526" i="8"/>
  <c r="G441" i="8"/>
  <c r="G282" i="8"/>
  <c r="G218" i="8"/>
  <c r="G154" i="8"/>
  <c r="G90" i="8"/>
  <c r="G26" i="8"/>
  <c r="G265" i="8"/>
  <c r="G1158" i="8"/>
  <c r="G966" i="8"/>
  <c r="G841" i="8"/>
  <c r="F741" i="8"/>
  <c r="F997" i="8"/>
  <c r="F246" i="8"/>
  <c r="F502" i="8"/>
  <c r="F606" i="8"/>
  <c r="F670" i="8"/>
  <c r="F734" i="8"/>
  <c r="F798" i="8"/>
  <c r="F862" i="8"/>
  <c r="F926" i="8"/>
  <c r="F990" i="8"/>
  <c r="F39" i="8"/>
  <c r="F103" i="8"/>
  <c r="F167" i="8"/>
  <c r="F231" i="8"/>
  <c r="F295" i="8"/>
  <c r="F359" i="8"/>
  <c r="F423" i="8"/>
  <c r="F487" i="8"/>
  <c r="F551" i="8"/>
  <c r="F615" i="8"/>
  <c r="F679" i="8"/>
  <c r="F743" i="8"/>
  <c r="F807" i="8"/>
  <c r="F871" i="8"/>
  <c r="F935" i="8"/>
  <c r="F999" i="8"/>
  <c r="F48" i="8"/>
  <c r="F112" i="8"/>
  <c r="F176" i="8"/>
  <c r="F240" i="8"/>
  <c r="F304" i="8"/>
  <c r="F368" i="8"/>
  <c r="F432" i="8"/>
  <c r="F496" i="8"/>
  <c r="F560" i="8"/>
  <c r="F624" i="8"/>
  <c r="F688" i="8"/>
  <c r="F49" i="8"/>
  <c r="F113" i="8"/>
  <c r="F177" i="8"/>
  <c r="F241" i="8"/>
  <c r="F305" i="8"/>
  <c r="F369" i="8"/>
  <c r="F433" i="8"/>
  <c r="F497" i="8"/>
  <c r="F561" i="8"/>
  <c r="F625" i="8"/>
  <c r="F689" i="8"/>
  <c r="F753" i="8"/>
  <c r="F817" i="8"/>
  <c r="F881" i="8"/>
  <c r="F945" i="8"/>
  <c r="F1009" i="8"/>
  <c r="F58" i="8"/>
  <c r="F122" i="8"/>
  <c r="F186" i="8"/>
  <c r="F250" i="8"/>
  <c r="F314" i="8"/>
  <c r="F378" i="8"/>
  <c r="F442" i="8"/>
  <c r="F506" i="8"/>
  <c r="F570" i="8"/>
  <c r="F634" i="8"/>
  <c r="F698" i="8"/>
  <c r="F762" i="8"/>
  <c r="F826" i="8"/>
  <c r="F890" i="8"/>
  <c r="F139" i="8"/>
  <c r="F651" i="8"/>
  <c r="F936" i="8"/>
  <c r="F1050" i="8"/>
  <c r="F1114" i="8"/>
  <c r="F1178" i="8"/>
  <c r="F1242" i="8"/>
  <c r="F1306" i="8"/>
  <c r="F403" i="8"/>
  <c r="F1139" i="8"/>
  <c r="F219" i="8"/>
  <c r="F720" i="8"/>
  <c r="F962" i="8"/>
  <c r="F1060" i="8"/>
  <c r="F1124" i="8"/>
  <c r="F1188" i="8"/>
  <c r="F1252" i="8"/>
  <c r="F1316" i="8"/>
  <c r="F1269" i="8"/>
  <c r="F1254" i="8"/>
  <c r="F1051" i="8"/>
  <c r="F163" i="8"/>
  <c r="F675" i="8"/>
  <c r="F944" i="8"/>
  <c r="F1053" i="8"/>
  <c r="F1117" i="8"/>
  <c r="F1181" i="8"/>
  <c r="F1309" i="8"/>
  <c r="F1310" i="8"/>
  <c r="F1131" i="8"/>
  <c r="F235" i="8"/>
  <c r="F728" i="8"/>
  <c r="F968" i="8"/>
  <c r="F1062" i="8"/>
  <c r="F1126" i="8"/>
  <c r="F1238" i="8"/>
  <c r="F1002" i="8"/>
  <c r="F179" i="8"/>
  <c r="F691" i="8"/>
  <c r="F947" i="8"/>
  <c r="F1055" i="8"/>
  <c r="F1119" i="8"/>
  <c r="F1183" i="8"/>
  <c r="F1247" i="8"/>
  <c r="F1311" i="8"/>
  <c r="F707" i="8"/>
  <c r="F1057" i="8"/>
  <c r="F1193" i="8"/>
  <c r="F1027" i="8"/>
  <c r="F59" i="8"/>
  <c r="F571" i="8"/>
  <c r="F896" i="8"/>
  <c r="F1040" i="8"/>
  <c r="F1104" i="8"/>
  <c r="F1168" i="8"/>
  <c r="F1232" i="8"/>
  <c r="F1296" i="8"/>
  <c r="F515" i="8"/>
  <c r="F1033" i="8"/>
  <c r="F1169" i="8"/>
  <c r="F779" i="8"/>
  <c r="F1299" i="8"/>
  <c r="G1276" i="8"/>
  <c r="G1212" i="8"/>
  <c r="G1148" i="8"/>
  <c r="G1084" i="8"/>
  <c r="G1020" i="8"/>
  <c r="G956" i="8"/>
  <c r="G892" i="8"/>
  <c r="G1299" i="8"/>
  <c r="G1235" i="8"/>
  <c r="G1171" i="8"/>
  <c r="G1107" i="8"/>
  <c r="G1043" i="8"/>
  <c r="G979" i="8"/>
  <c r="G915" i="8"/>
  <c r="G851" i="8"/>
  <c r="G787" i="8"/>
  <c r="G723" i="8"/>
  <c r="G1290" i="8"/>
  <c r="G1226" i="8"/>
  <c r="G1162" i="8"/>
  <c r="G1098" i="8"/>
  <c r="G1034" i="8"/>
  <c r="G1289" i="8"/>
  <c r="G1225" i="8"/>
  <c r="G1161" i="8"/>
  <c r="G1097" i="8"/>
  <c r="G1320" i="8"/>
  <c r="G1256" i="8"/>
  <c r="G1192" i="8"/>
  <c r="G1128" i="8"/>
  <c r="G1064" i="8"/>
  <c r="G1279" i="8"/>
  <c r="G1215" i="8"/>
  <c r="G1151" i="8"/>
  <c r="G1087" i="8"/>
  <c r="G1023" i="8"/>
  <c r="G959" i="8"/>
  <c r="G895" i="8"/>
  <c r="G831" i="8"/>
  <c r="G767" i="8"/>
  <c r="G703" i="8"/>
  <c r="G978" i="8"/>
  <c r="G818" i="8"/>
  <c r="G690" i="8"/>
  <c r="G598" i="8"/>
  <c r="G427" i="8"/>
  <c r="G342" i="8"/>
  <c r="G63" i="8"/>
  <c r="G618" i="8"/>
  <c r="G533" i="8"/>
  <c r="G362" i="8"/>
  <c r="G287" i="8"/>
  <c r="G223" i="8"/>
  <c r="G151" i="8"/>
  <c r="G798" i="8"/>
  <c r="G670" i="8"/>
  <c r="G585" i="8"/>
  <c r="G414" i="8"/>
  <c r="G329" i="8"/>
  <c r="G262" i="8"/>
  <c r="G198" i="8"/>
  <c r="G134" i="8"/>
  <c r="G70" i="8"/>
  <c r="G605" i="8"/>
  <c r="G434" i="8"/>
  <c r="G349" i="8"/>
  <c r="G277" i="8"/>
  <c r="G213" i="8"/>
  <c r="G149" i="8"/>
  <c r="G85" i="8"/>
  <c r="G60" i="8"/>
  <c r="G882" i="8"/>
  <c r="G746" i="8"/>
  <c r="G550" i="8"/>
  <c r="G465" i="8"/>
  <c r="G300" i="8"/>
  <c r="G236" i="8"/>
  <c r="G172" i="8"/>
  <c r="G68" i="8"/>
  <c r="G613" i="8"/>
  <c r="G442" i="8"/>
  <c r="G357" i="8"/>
  <c r="G283" i="8"/>
  <c r="G219" i="8"/>
  <c r="G155" i="8"/>
  <c r="G91" i="8"/>
  <c r="G27" i="8"/>
  <c r="G822" i="8"/>
  <c r="G694" i="8"/>
  <c r="G601" i="8"/>
  <c r="G430" i="8"/>
  <c r="G345" i="8"/>
  <c r="G274" i="8"/>
  <c r="G210" i="8"/>
  <c r="G146" i="8"/>
  <c r="G82" i="8"/>
  <c r="G18" i="8"/>
  <c r="G264" i="8"/>
  <c r="G1157" i="8"/>
  <c r="G965" i="8"/>
  <c r="G840" i="8"/>
  <c r="G776" i="8"/>
  <c r="G712" i="8"/>
  <c r="G623" i="8"/>
  <c r="G495" i="8"/>
  <c r="G367" i="8"/>
  <c r="G1029" i="8"/>
  <c r="G836" i="8"/>
  <c r="G708" i="8"/>
  <c r="G609" i="8"/>
  <c r="G513" i="8"/>
  <c r="G407" i="8"/>
  <c r="G312" i="8"/>
  <c r="G1277" i="8"/>
  <c r="G1032" i="8"/>
  <c r="F773" i="8"/>
  <c r="F22" i="8"/>
  <c r="F278" i="8"/>
  <c r="F534" i="8"/>
  <c r="F614" i="8"/>
  <c r="F678" i="8"/>
  <c r="F742" i="8"/>
  <c r="F806" i="8"/>
  <c r="F870" i="8"/>
  <c r="F934" i="8"/>
  <c r="F998" i="8"/>
  <c r="F47" i="8"/>
  <c r="F111" i="8"/>
  <c r="F175" i="8"/>
  <c r="F239" i="8"/>
  <c r="F303" i="8"/>
  <c r="F367" i="8"/>
  <c r="F431" i="8"/>
  <c r="F495" i="8"/>
  <c r="F559" i="8"/>
  <c r="F623" i="8"/>
  <c r="F687" i="8"/>
  <c r="F751" i="8"/>
  <c r="F815" i="8"/>
  <c r="F879" i="8"/>
  <c r="F943" i="8"/>
  <c r="F1007" i="8"/>
  <c r="F56" i="8"/>
  <c r="F120" i="8"/>
  <c r="F184" i="8"/>
  <c r="F248" i="8"/>
  <c r="F312" i="8"/>
  <c r="F376" i="8"/>
  <c r="F440" i="8"/>
  <c r="F504" i="8"/>
  <c r="F568" i="8"/>
  <c r="F632" i="8"/>
  <c r="F696" i="8"/>
  <c r="F57" i="8"/>
  <c r="F121" i="8"/>
  <c r="F185" i="8"/>
  <c r="F249" i="8"/>
  <c r="F313" i="8"/>
  <c r="F377" i="8"/>
  <c r="F441" i="8"/>
  <c r="F505" i="8"/>
  <c r="F569" i="8"/>
  <c r="F633" i="8"/>
  <c r="F697" i="8"/>
  <c r="F761" i="8"/>
  <c r="F825" i="8"/>
  <c r="F889" i="8"/>
  <c r="F953" i="8"/>
  <c r="F1017" i="8"/>
  <c r="F66" i="8"/>
  <c r="F130" i="8"/>
  <c r="F194" i="8"/>
  <c r="F258" i="8"/>
  <c r="F322" i="8"/>
  <c r="F386" i="8"/>
  <c r="F450" i="8"/>
  <c r="F514" i="8"/>
  <c r="F578" i="8"/>
  <c r="F642" i="8"/>
  <c r="F706" i="8"/>
  <c r="F770" i="8"/>
  <c r="F834" i="8"/>
  <c r="F898" i="8"/>
  <c r="F203" i="8"/>
  <c r="F712" i="8"/>
  <c r="F955" i="8"/>
  <c r="F1058" i="8"/>
  <c r="F1122" i="8"/>
  <c r="F1186" i="8"/>
  <c r="F1250" i="8"/>
  <c r="F1314" i="8"/>
  <c r="F659" i="8"/>
  <c r="F1179" i="8"/>
  <c r="F283" i="8"/>
  <c r="F752" i="8"/>
  <c r="F984" i="8"/>
  <c r="F1068" i="8"/>
  <c r="F1132" i="8"/>
  <c r="F1196" i="8"/>
  <c r="F1260" i="8"/>
  <c r="F1324" i="8"/>
  <c r="F1285" i="8"/>
  <c r="F1278" i="8"/>
  <c r="F1099" i="8"/>
  <c r="F227" i="8"/>
  <c r="F723" i="8"/>
  <c r="F963" i="8"/>
  <c r="F1061" i="8"/>
  <c r="F1125" i="8"/>
  <c r="F1197" i="8"/>
  <c r="F1325" i="8"/>
  <c r="F1326" i="8"/>
  <c r="F1187" i="8"/>
  <c r="F299" i="8"/>
  <c r="F760" i="8"/>
  <c r="F987" i="8"/>
  <c r="F1070" i="8"/>
  <c r="F1134" i="8"/>
  <c r="F1262" i="8"/>
  <c r="F1059" i="8"/>
  <c r="F243" i="8"/>
  <c r="F731" i="8"/>
  <c r="F970" i="8"/>
  <c r="F1063" i="8"/>
  <c r="F1127" i="8"/>
  <c r="F1191" i="8"/>
  <c r="F1255" i="8"/>
  <c r="F1319" i="8"/>
  <c r="F771" i="8"/>
  <c r="F1073" i="8"/>
  <c r="F1209" i="8"/>
  <c r="F1075" i="8"/>
  <c r="F123" i="8"/>
  <c r="F635" i="8"/>
  <c r="F928" i="8"/>
  <c r="F1048" i="8"/>
  <c r="F1112" i="8"/>
  <c r="F1176" i="8"/>
  <c r="F1240" i="8"/>
  <c r="F1304" i="8"/>
  <c r="F643" i="8"/>
  <c r="F1049" i="8"/>
  <c r="F1185" i="8"/>
  <c r="F875" i="8"/>
  <c r="F1145" i="8"/>
  <c r="G1332" i="8"/>
  <c r="G1268" i="8"/>
  <c r="G1204" i="8"/>
  <c r="G1140" i="8"/>
  <c r="G1076" i="8"/>
  <c r="G1012" i="8"/>
  <c r="G948" i="8"/>
  <c r="G884" i="8"/>
  <c r="G1291" i="8"/>
  <c r="G1227" i="8"/>
  <c r="G1163" i="8"/>
  <c r="G1099" i="8"/>
  <c r="G1035" i="8"/>
  <c r="G971" i="8"/>
  <c r="G907" i="8"/>
  <c r="G843" i="8"/>
  <c r="G779" i="8"/>
  <c r="G715" i="8"/>
  <c r="G1282" i="8"/>
  <c r="G1218" i="8"/>
  <c r="G1154" i="8"/>
  <c r="G1090" i="8"/>
  <c r="G1026" i="8"/>
  <c r="G1281" i="8"/>
  <c r="G1217" i="8"/>
  <c r="G1153" i="8"/>
  <c r="G1089" i="8"/>
  <c r="G1312" i="8"/>
  <c r="G1248" i="8"/>
  <c r="G1184" i="8"/>
  <c r="G1120" i="8"/>
  <c r="G1056" i="8"/>
  <c r="G1271" i="8"/>
  <c r="G1207" i="8"/>
  <c r="G1143" i="8"/>
  <c r="G1079" i="8"/>
  <c r="G1015" i="8"/>
  <c r="G951" i="8"/>
  <c r="G887" i="8"/>
  <c r="G823" i="8"/>
  <c r="G759" i="8"/>
  <c r="G695" i="8"/>
  <c r="G802" i="8"/>
  <c r="G674" i="8"/>
  <c r="G587" i="8"/>
  <c r="G502" i="8"/>
  <c r="G331" i="8"/>
  <c r="G47" i="8"/>
  <c r="G522" i="8"/>
  <c r="G437" i="8"/>
  <c r="G279" i="8"/>
  <c r="G215" i="8"/>
  <c r="G135" i="8"/>
  <c r="G930" i="8"/>
  <c r="G782" i="8"/>
  <c r="G574" i="8"/>
  <c r="G489" i="8"/>
  <c r="G318" i="8"/>
  <c r="G254" i="8"/>
  <c r="G190" i="8"/>
  <c r="G126" i="8"/>
  <c r="G62" i="8"/>
  <c r="G970" i="8"/>
  <c r="G594" i="8"/>
  <c r="G509" i="8"/>
  <c r="G338" i="8"/>
  <c r="G269" i="8"/>
  <c r="G205" i="8"/>
  <c r="G141" i="8"/>
  <c r="G77" i="8"/>
  <c r="G44" i="8"/>
  <c r="G730" i="8"/>
  <c r="G625" i="8"/>
  <c r="G454" i="8"/>
  <c r="G369" i="8"/>
  <c r="G292" i="8"/>
  <c r="G228" i="8"/>
  <c r="G164" i="8"/>
  <c r="G52" i="8"/>
  <c r="G986" i="8"/>
  <c r="G602" i="8"/>
  <c r="G517" i="8"/>
  <c r="G346" i="8"/>
  <c r="G275" i="8"/>
  <c r="G211" i="8"/>
  <c r="G147" i="8"/>
  <c r="G83" i="8"/>
  <c r="G19" i="8"/>
  <c r="G962" i="8"/>
  <c r="G806" i="8"/>
  <c r="G678" i="8"/>
  <c r="G590" i="8"/>
  <c r="G505" i="8"/>
  <c r="G334" i="8"/>
  <c r="G266" i="8"/>
  <c r="G202" i="8"/>
  <c r="G138" i="8"/>
  <c r="G74" i="8"/>
  <c r="G10" i="8"/>
  <c r="G348" i="8"/>
  <c r="G233" i="8"/>
  <c r="G1094" i="8"/>
  <c r="G945" i="8"/>
  <c r="G825" i="8"/>
  <c r="G761" i="8"/>
  <c r="G697" i="8"/>
  <c r="G592" i="8"/>
  <c r="G464" i="8"/>
  <c r="G336" i="8"/>
  <c r="G961" i="8"/>
  <c r="G809" i="8"/>
  <c r="G432" i="8"/>
  <c r="G709" i="8"/>
  <c r="G450" i="8"/>
  <c r="G1214" i="8"/>
  <c r="G878" i="8"/>
  <c r="G548" i="8"/>
  <c r="G419" i="8"/>
  <c r="G258" i="8"/>
  <c r="G981" i="8"/>
  <c r="G789" i="8"/>
  <c r="G663" i="8"/>
  <c r="G557" i="8"/>
  <c r="G471" i="8"/>
  <c r="G375" i="8"/>
  <c r="G280" i="8"/>
  <c r="G144" i="8"/>
  <c r="G136" i="8"/>
  <c r="G128" i="8"/>
  <c r="G5" i="8"/>
  <c r="G24" i="8"/>
  <c r="G168" i="8"/>
  <c r="G160" i="8"/>
  <c r="G216" i="8"/>
  <c r="G13" i="8"/>
  <c r="G1134" i="8"/>
  <c r="G460" i="8"/>
  <c r="G1126" i="8"/>
  <c r="G934" i="8"/>
  <c r="G1182" i="8"/>
  <c r="G910" i="8"/>
  <c r="G564" i="8"/>
  <c r="G436" i="8"/>
  <c r="G1302" i="8"/>
  <c r="G1046" i="8"/>
  <c r="G845" i="8"/>
  <c r="G781" i="8"/>
  <c r="G717" i="8"/>
  <c r="G1230" i="8"/>
  <c r="G926" i="8"/>
  <c r="G604" i="8"/>
  <c r="G476" i="8"/>
  <c r="G1025" i="8"/>
  <c r="G833" i="8"/>
  <c r="G769" i="8"/>
  <c r="G705" i="8"/>
  <c r="G608" i="8"/>
  <c r="G480" i="8"/>
  <c r="G352" i="8"/>
  <c r="G889" i="8"/>
  <c r="G648" i="8"/>
  <c r="G520" i="8"/>
  <c r="G392" i="8"/>
  <c r="G969" i="8"/>
  <c r="G73" i="8"/>
  <c r="G1325" i="8"/>
  <c r="G869" i="8"/>
  <c r="G403" i="8"/>
  <c r="G764" i="8"/>
  <c r="G861" i="8"/>
  <c r="G816" i="8"/>
  <c r="G575" i="8"/>
  <c r="G992" i="8"/>
  <c r="G904" i="8"/>
  <c r="G777" i="8"/>
  <c r="G368" i="8"/>
  <c r="G677" i="8"/>
  <c r="G408" i="8"/>
  <c r="G1150" i="8"/>
  <c r="G877" i="8"/>
  <c r="G515" i="8"/>
  <c r="G388" i="8"/>
  <c r="G257" i="8"/>
  <c r="G938" i="8"/>
  <c r="G788" i="8"/>
  <c r="G642" i="8"/>
  <c r="G556" i="8"/>
  <c r="G440" i="8"/>
  <c r="G354" i="8"/>
  <c r="G249" i="8"/>
  <c r="G81" i="8"/>
  <c r="G30" i="8"/>
  <c r="G54" i="8"/>
  <c r="G105" i="8"/>
  <c r="G97" i="8"/>
  <c r="G1317" i="8"/>
  <c r="G1117" i="8"/>
  <c r="G1237" i="8"/>
  <c r="G700" i="8"/>
  <c r="G976" i="8"/>
  <c r="G319" i="8"/>
  <c r="G359" i="8"/>
  <c r="G745" i="8"/>
  <c r="G1206" i="8"/>
  <c r="G653" i="8"/>
  <c r="G386" i="8"/>
  <c r="G1033" i="8"/>
  <c r="G857" i="8"/>
  <c r="G484" i="8"/>
  <c r="G387" i="8"/>
  <c r="G1270" i="8"/>
  <c r="G937" i="8"/>
  <c r="G757" i="8"/>
  <c r="G641" i="8"/>
  <c r="G545" i="8"/>
  <c r="G439" i="8"/>
  <c r="G353" i="8"/>
  <c r="G248" i="8"/>
  <c r="G80" i="8"/>
  <c r="G72" i="8"/>
  <c r="G29" i="8"/>
  <c r="G192" i="8"/>
  <c r="G53" i="8"/>
  <c r="G104" i="8"/>
  <c r="G96" i="8"/>
  <c r="G152" i="8"/>
  <c r="G1326" i="8"/>
  <c r="G1070" i="8"/>
  <c r="G1318" i="8"/>
  <c r="G1062" i="8"/>
  <c r="G870" i="8"/>
  <c r="G1118" i="8"/>
  <c r="G660" i="8"/>
  <c r="G532" i="8"/>
  <c r="G404" i="8"/>
  <c r="G1238" i="8"/>
  <c r="G1014" i="8"/>
  <c r="G829" i="8"/>
  <c r="G765" i="8"/>
  <c r="G701" i="8"/>
  <c r="G1166" i="8"/>
  <c r="G862" i="8"/>
  <c r="G572" i="8"/>
  <c r="G444" i="8"/>
  <c r="G977" i="8"/>
  <c r="G817" i="8"/>
  <c r="G753" i="8"/>
  <c r="G689" i="8"/>
  <c r="G576" i="8"/>
  <c r="G448" i="8"/>
  <c r="G320" i="8"/>
  <c r="G993" i="8"/>
  <c r="G616" i="8"/>
  <c r="G488" i="8"/>
  <c r="G360" i="8"/>
  <c r="G905" i="8"/>
  <c r="G113" i="8"/>
  <c r="G41" i="8"/>
  <c r="G997" i="8"/>
  <c r="G467" i="8"/>
  <c r="G796" i="8"/>
  <c r="G989" i="8"/>
  <c r="G379" i="8"/>
  <c r="G720" i="8"/>
  <c r="G952" i="8"/>
  <c r="G1040" i="8"/>
  <c r="G713" i="8"/>
  <c r="G1030" i="8"/>
  <c r="G610" i="8"/>
  <c r="G365" i="8"/>
  <c r="G1006" i="8"/>
  <c r="G643" i="8"/>
  <c r="G483" i="8"/>
  <c r="G356" i="8"/>
  <c r="G1269" i="8"/>
  <c r="G897" i="8"/>
  <c r="G756" i="8"/>
  <c r="G620" i="8"/>
  <c r="G525" i="8"/>
  <c r="G418" i="8"/>
  <c r="G333" i="8"/>
  <c r="G225" i="8"/>
  <c r="G38" i="8"/>
  <c r="G33" i="8"/>
  <c r="G185" i="8"/>
  <c r="G65" i="8"/>
  <c r="G177" i="8"/>
  <c r="G49" i="8"/>
  <c r="G46" i="8"/>
  <c r="G89" i="8"/>
  <c r="G1261" i="8"/>
  <c r="G957" i="8"/>
  <c r="G1253" i="8"/>
  <c r="G1021" i="8"/>
  <c r="G1309" i="8"/>
  <c r="G1053" i="8"/>
  <c r="G627" i="8"/>
  <c r="G499" i="8"/>
  <c r="G371" i="8"/>
  <c r="G1173" i="8"/>
  <c r="G949" i="8"/>
  <c r="G812" i="8"/>
  <c r="G748" i="8"/>
  <c r="G684" i="8"/>
  <c r="G1101" i="8"/>
  <c r="G667" i="8"/>
  <c r="G539" i="8"/>
  <c r="G411" i="8"/>
  <c r="G912" i="8"/>
  <c r="G800" i="8"/>
  <c r="G736" i="8"/>
  <c r="G672" i="8"/>
  <c r="G543" i="8"/>
  <c r="G415" i="8"/>
  <c r="G1016" i="8"/>
  <c r="G928" i="8"/>
  <c r="G583" i="8"/>
  <c r="G455" i="8"/>
  <c r="G327" i="8"/>
  <c r="G57" i="8"/>
  <c r="G1197" i="8"/>
  <c r="G1245" i="8"/>
  <c r="G339" i="8"/>
  <c r="G732" i="8"/>
  <c r="G507" i="8"/>
  <c r="G784" i="8"/>
  <c r="G383" i="8"/>
  <c r="G423" i="8"/>
  <c r="G681" i="8"/>
  <c r="G918" i="8"/>
  <c r="G589" i="8"/>
  <c r="G313" i="8"/>
  <c r="G985" i="8"/>
  <c r="G612" i="8"/>
  <c r="G462" i="8"/>
  <c r="G355" i="8"/>
  <c r="G1078" i="8"/>
  <c r="G896" i="8"/>
  <c r="G724" i="8"/>
  <c r="G600" i="8"/>
  <c r="G524" i="8"/>
  <c r="G417" i="8"/>
  <c r="G332" i="8"/>
  <c r="G224" i="8"/>
  <c r="G37" i="8"/>
  <c r="G32" i="8"/>
  <c r="G184" i="8"/>
  <c r="G64" i="8"/>
  <c r="G176" i="8"/>
  <c r="G48" i="8"/>
  <c r="G45" i="8"/>
  <c r="G88" i="8"/>
  <c r="G1262" i="8"/>
  <c r="G958" i="8"/>
  <c r="G1254" i="8"/>
  <c r="G1022" i="8"/>
  <c r="G1310" i="8"/>
  <c r="G1054" i="8"/>
  <c r="G628" i="8"/>
  <c r="G500" i="8"/>
  <c r="G372" i="8"/>
  <c r="G1174" i="8"/>
  <c r="G950" i="8"/>
  <c r="G813" i="8"/>
  <c r="G749" i="8"/>
  <c r="G685" i="8"/>
  <c r="G1102" i="8"/>
  <c r="G668" i="8"/>
  <c r="G540" i="8"/>
  <c r="G412" i="8"/>
  <c r="G913" i="8"/>
  <c r="G801" i="8"/>
  <c r="G737" i="8"/>
  <c r="G673" i="8"/>
  <c r="G544" i="8"/>
  <c r="G416" i="8"/>
  <c r="G1017" i="8"/>
  <c r="G929" i="8"/>
  <c r="G584" i="8"/>
  <c r="G456" i="8"/>
  <c r="G328" i="8"/>
  <c r="G9" i="8"/>
  <c r="G1189" i="8"/>
  <c r="G595" i="8"/>
  <c r="G1109" i="8"/>
  <c r="G1293" i="8"/>
  <c r="G848" i="8"/>
  <c r="G511" i="8"/>
  <c r="G864" i="8"/>
  <c r="G624" i="8"/>
  <c r="G837" i="8"/>
  <c r="G568" i="8"/>
  <c r="G289" i="8"/>
  <c r="G941" i="8"/>
  <c r="G611" i="8"/>
  <c r="G461" i="8"/>
  <c r="G324" i="8"/>
  <c r="G1077" i="8"/>
  <c r="G853" i="8"/>
  <c r="G693" i="8"/>
  <c r="G599" i="8"/>
  <c r="G504" i="8"/>
  <c r="G397" i="8"/>
  <c r="G297" i="8"/>
  <c r="G209" i="8"/>
  <c r="G201" i="8"/>
  <c r="G121" i="8"/>
  <c r="G22" i="8"/>
  <c r="G17" i="8"/>
  <c r="G893" i="8"/>
  <c r="G973" i="8"/>
  <c r="G885" i="8"/>
  <c r="G635" i="8"/>
  <c r="G639" i="8"/>
  <c r="G551" i="8"/>
  <c r="G560" i="8"/>
  <c r="G805" i="8"/>
  <c r="G514" i="8"/>
  <c r="G273" i="8"/>
  <c r="G921" i="8"/>
  <c r="G580" i="8"/>
  <c r="G452" i="8"/>
  <c r="G323" i="8"/>
  <c r="G1001" i="8"/>
  <c r="G821" i="8"/>
  <c r="G692" i="8"/>
  <c r="G578" i="8"/>
  <c r="G503" i="8"/>
  <c r="G396" i="8"/>
  <c r="G296" i="8"/>
  <c r="G208" i="8"/>
  <c r="G200" i="8"/>
  <c r="G8" i="8"/>
  <c r="G56" i="8"/>
  <c r="G120" i="8"/>
  <c r="G112" i="8"/>
  <c r="G21" i="8"/>
  <c r="G16" i="8"/>
  <c r="G40" i="8"/>
  <c r="G1198" i="8"/>
  <c r="G894" i="8"/>
  <c r="G1190" i="8"/>
  <c r="G998" i="8"/>
  <c r="G1246" i="8"/>
  <c r="G974" i="8"/>
  <c r="G596" i="8"/>
  <c r="G468" i="8"/>
  <c r="G340" i="8"/>
  <c r="G1110" i="8"/>
  <c r="G886" i="8"/>
  <c r="G797" i="8"/>
  <c r="G733" i="8"/>
  <c r="G1294" i="8"/>
  <c r="G990" i="8"/>
  <c r="G636" i="8"/>
  <c r="G508" i="8"/>
  <c r="G380" i="8"/>
  <c r="G849" i="8"/>
  <c r="G785" i="8"/>
  <c r="G721" i="8"/>
  <c r="G640" i="8"/>
  <c r="G512" i="8"/>
  <c r="G384" i="8"/>
  <c r="G953" i="8"/>
  <c r="G865" i="8"/>
  <c r="G552" i="8"/>
  <c r="G424" i="8"/>
  <c r="G1041" i="8"/>
  <c r="G1069" i="8"/>
  <c r="G531" i="8"/>
  <c r="G828" i="8"/>
  <c r="G571" i="8"/>
  <c r="G752" i="8"/>
  <c r="G447" i="8"/>
  <c r="G487" i="8"/>
  <c r="G496" i="8"/>
  <c r="G773" i="8"/>
  <c r="G493" i="8"/>
  <c r="G1278" i="8"/>
  <c r="G920" i="8"/>
  <c r="G579" i="8"/>
  <c r="G451" i="8"/>
  <c r="G305" i="8"/>
  <c r="G982" i="8"/>
  <c r="G820" i="8"/>
  <c r="G664" i="8"/>
  <c r="G577" i="8"/>
  <c r="G472" i="8"/>
  <c r="G376" i="8"/>
  <c r="G281" i="8"/>
  <c r="G145" i="8"/>
  <c r="G137" i="8"/>
  <c r="G129" i="8"/>
  <c r="G6" i="8"/>
  <c r="G25" i="8"/>
  <c r="G169" i="8"/>
  <c r="G161" i="8"/>
  <c r="G217" i="8"/>
  <c r="G14" i="8"/>
  <c r="G1133" i="8"/>
  <c r="G459" i="8"/>
  <c r="G1125" i="8"/>
  <c r="G933" i="8"/>
  <c r="G1181" i="8"/>
  <c r="G909" i="8"/>
  <c r="G563" i="8"/>
  <c r="G435" i="8"/>
  <c r="G1301" i="8"/>
  <c r="G1045" i="8"/>
  <c r="G844" i="8"/>
  <c r="G780" i="8"/>
  <c r="G716" i="8"/>
  <c r="G1229" i="8"/>
  <c r="G925" i="8"/>
  <c r="G603" i="8"/>
  <c r="G475" i="8"/>
  <c r="G1024" i="8"/>
  <c r="G832" i="8"/>
  <c r="G768" i="8"/>
  <c r="G704" i="8"/>
  <c r="G607" i="8"/>
  <c r="G479" i="8"/>
  <c r="G351" i="8"/>
  <c r="G888" i="8"/>
  <c r="G647" i="8"/>
  <c r="G519" i="8"/>
  <c r="G391" i="8"/>
  <c r="G968" i="8"/>
  <c r="G193" i="8"/>
  <c r="G153" i="8"/>
  <c r="G1061" i="8"/>
  <c r="G659" i="8"/>
  <c r="G1013" i="8"/>
  <c r="G1165" i="8"/>
  <c r="G443" i="8"/>
  <c r="G688" i="8"/>
  <c r="G615" i="8"/>
  <c r="K1028" i="17"/>
  <c r="K282" i="17"/>
  <c r="K1068" i="17"/>
  <c r="K170" i="17"/>
  <c r="K317" i="17"/>
  <c r="K669" i="17"/>
  <c r="K193" i="17"/>
  <c r="K908" i="17"/>
  <c r="K134" i="17"/>
  <c r="K730" i="17"/>
  <c r="K222" i="17"/>
  <c r="K923" i="17"/>
  <c r="K1324" i="17"/>
  <c r="K156" i="17"/>
  <c r="K159" i="17"/>
  <c r="K370" i="17"/>
  <c r="K821" i="17"/>
  <c r="K380" i="17"/>
  <c r="K289" i="17"/>
  <c r="K498" i="17"/>
  <c r="K206" i="17"/>
  <c r="K242" i="17"/>
  <c r="K447" i="17"/>
  <c r="K141" i="17"/>
  <c r="K551" i="17"/>
  <c r="K13" i="17"/>
  <c r="K1116" i="17"/>
  <c r="K348" i="17"/>
  <c r="K369" i="17"/>
  <c r="K215" i="17"/>
  <c r="K286" i="17"/>
  <c r="K782" i="17"/>
  <c r="K374" i="17"/>
  <c r="K213" i="17"/>
  <c r="K822" i="17"/>
  <c r="K318" i="17"/>
  <c r="K844" i="17"/>
  <c r="K30" i="17"/>
  <c r="K191" i="17"/>
  <c r="K333" i="17"/>
  <c r="K449" i="17"/>
  <c r="K484" i="17"/>
  <c r="K366" i="17"/>
  <c r="K454" i="17"/>
  <c r="K688" i="17"/>
  <c r="K599" i="17"/>
  <c r="K72" i="17"/>
  <c r="K611" i="17"/>
  <c r="K494" i="17"/>
  <c r="K564" i="17"/>
  <c r="K831" i="17"/>
  <c r="K545" i="17"/>
  <c r="K247" i="17"/>
  <c r="K446" i="17"/>
  <c r="K550" i="17"/>
  <c r="K479" i="17"/>
  <c r="K567" i="17"/>
  <c r="K584" i="17"/>
  <c r="K167" i="17"/>
  <c r="K248" i="17"/>
  <c r="K67" i="17"/>
  <c r="K1140" i="17"/>
  <c r="K625" i="17"/>
  <c r="K413" i="17"/>
  <c r="K861" i="17"/>
  <c r="K463" i="17"/>
  <c r="K1316" i="17"/>
  <c r="K1227" i="17"/>
  <c r="K363" i="17"/>
  <c r="K738" i="17"/>
  <c r="K712" i="17"/>
  <c r="K912" i="17"/>
  <c r="K25" i="17"/>
  <c r="K481" i="17"/>
  <c r="K786" i="17"/>
  <c r="K528" i="17"/>
  <c r="K1043" i="17"/>
  <c r="K600" i="17"/>
  <c r="K654" i="17"/>
  <c r="K1254" i="17"/>
  <c r="K1325" i="17"/>
  <c r="K641" i="17"/>
  <c r="K810" i="17"/>
  <c r="K592" i="17"/>
  <c r="K614" i="17"/>
  <c r="K664" i="17"/>
  <c r="K905" i="17"/>
  <c r="K487" i="17"/>
  <c r="K329" i="17"/>
  <c r="K1147" i="17"/>
  <c r="K401" i="17"/>
  <c r="K1203" i="17"/>
  <c r="K1329" i="17"/>
  <c r="K748" i="17"/>
  <c r="K393" i="17"/>
  <c r="K943" i="17"/>
  <c r="K465" i="17"/>
  <c r="K676" i="17"/>
  <c r="K1073" i="17"/>
  <c r="K739" i="17"/>
  <c r="K457" i="17"/>
  <c r="K646" i="17"/>
  <c r="K529" i="17"/>
  <c r="K1059" i="17"/>
  <c r="K531" i="17"/>
  <c r="K39" i="17"/>
  <c r="K521" i="17"/>
  <c r="K1019" i="17"/>
  <c r="K593" i="17"/>
  <c r="K668" i="17"/>
  <c r="K50" i="17"/>
  <c r="K1075" i="17"/>
  <c r="K277" i="17"/>
  <c r="K692" i="17"/>
  <c r="K257" i="17"/>
  <c r="K998" i="17"/>
  <c r="K99" i="17"/>
  <c r="K43" i="17"/>
  <c r="K1044" i="17"/>
  <c r="K200" i="17"/>
  <c r="K304" i="17"/>
  <c r="K434" i="17"/>
  <c r="K1243" i="17"/>
  <c r="K19" i="17"/>
  <c r="K359" i="17"/>
  <c r="K769" i="17"/>
  <c r="K686" i="17"/>
  <c r="K781" i="17"/>
  <c r="K309" i="17"/>
  <c r="K1164" i="17"/>
  <c r="K422" i="17"/>
  <c r="K871" i="17"/>
  <c r="K635" i="17"/>
  <c r="K937" i="17"/>
  <c r="K276" i="17"/>
  <c r="K492" i="17"/>
  <c r="K63" i="17"/>
  <c r="K376" i="17"/>
  <c r="K480" i="17"/>
  <c r="K241" i="17"/>
  <c r="K362" i="17"/>
  <c r="K91" i="17"/>
  <c r="K508" i="17"/>
  <c r="K868" i="17"/>
  <c r="K1219" i="17"/>
  <c r="K667" i="17"/>
  <c r="K319" i="17"/>
  <c r="K456" i="17"/>
  <c r="K560" i="17"/>
  <c r="K347" i="17"/>
  <c r="K64" i="17"/>
  <c r="K983" i="17"/>
  <c r="K55" i="17"/>
  <c r="K1235" i="17"/>
  <c r="K847" i="17"/>
  <c r="K475" i="17"/>
  <c r="K552" i="17"/>
  <c r="K640" i="17"/>
  <c r="K662" i="17"/>
  <c r="K425" i="17"/>
  <c r="K431" i="17"/>
  <c r="K538" i="17"/>
  <c r="K987" i="17"/>
  <c r="K147" i="17"/>
  <c r="K630" i="17"/>
  <c r="K397" i="17"/>
  <c r="K644" i="17"/>
  <c r="K130" i="17"/>
  <c r="K561" i="17"/>
  <c r="K665" i="17"/>
  <c r="K154" i="17"/>
  <c r="K232" i="17"/>
  <c r="K256" i="17"/>
  <c r="K392" i="17"/>
  <c r="K149" i="17"/>
  <c r="K133" i="17"/>
  <c r="K671" i="17"/>
  <c r="K201" i="17"/>
  <c r="K1139" i="17"/>
  <c r="K273" i="17"/>
  <c r="K750" i="17"/>
  <c r="K1258" i="17"/>
  <c r="K95" i="17"/>
  <c r="K265" i="17"/>
  <c r="K722" i="17"/>
  <c r="K337" i="17"/>
  <c r="K1187" i="17"/>
  <c r="K841" i="17"/>
  <c r="K171" i="17"/>
  <c r="K990" i="17"/>
  <c r="K139" i="17"/>
  <c r="K341" i="17"/>
  <c r="K888" i="17"/>
  <c r="K1218" i="17"/>
  <c r="K325" i="17"/>
  <c r="K467" i="17"/>
  <c r="K15" i="17"/>
  <c r="K1244" i="17"/>
  <c r="K453" i="17"/>
  <c r="K603" i="17"/>
  <c r="K1275" i="17"/>
  <c r="K452" i="17"/>
  <c r="K733" i="17"/>
  <c r="K275" i="17"/>
  <c r="K49" i="17"/>
  <c r="K153" i="17"/>
  <c r="K711" i="17"/>
  <c r="K927" i="17"/>
  <c r="K899" i="17"/>
  <c r="K490" i="17"/>
  <c r="K110" i="17"/>
  <c r="K996" i="17"/>
  <c r="K428" i="17"/>
  <c r="K727" i="17"/>
  <c r="K250" i="17"/>
  <c r="K225" i="17"/>
  <c r="K313" i="17"/>
  <c r="K1148" i="17"/>
  <c r="K183" i="17"/>
  <c r="K913" i="17"/>
  <c r="K378" i="17"/>
  <c r="K305" i="17"/>
  <c r="K409" i="17"/>
  <c r="K185" i="17"/>
  <c r="K412" i="17"/>
  <c r="K634" i="17"/>
  <c r="K44" i="17"/>
  <c r="K385" i="17"/>
  <c r="K489" i="17"/>
  <c r="K239" i="17"/>
  <c r="K155" i="17"/>
  <c r="K356" i="17"/>
  <c r="K165" i="17"/>
  <c r="K766" i="17"/>
  <c r="K302" i="17"/>
  <c r="K502" i="17"/>
  <c r="K462" i="17"/>
  <c r="K164" i="17"/>
  <c r="K274" i="17"/>
  <c r="K598" i="17"/>
  <c r="K788" i="17"/>
  <c r="K54" i="17"/>
  <c r="K924" i="17"/>
  <c r="K243" i="17"/>
  <c r="K815" i="17"/>
  <c r="K415" i="17"/>
  <c r="K885" i="17"/>
  <c r="K204" i="17"/>
  <c r="K339" i="17"/>
  <c r="K418" i="17"/>
  <c r="K122" i="17"/>
  <c r="K876" i="17"/>
  <c r="K172" i="17"/>
  <c r="K628" i="17"/>
  <c r="K713" i="17"/>
  <c r="K670" i="17"/>
  <c r="K785" i="17"/>
  <c r="K1125" i="17"/>
  <c r="K873" i="17"/>
  <c r="K777" i="17"/>
  <c r="K849" i="17"/>
  <c r="K113" i="17"/>
  <c r="K283" i="17"/>
  <c r="K458" i="17"/>
  <c r="K1240" i="17"/>
  <c r="K801" i="17"/>
  <c r="K411" i="17"/>
  <c r="K572" i="17"/>
  <c r="K1176" i="17"/>
  <c r="K547" i="17"/>
  <c r="K559" i="17"/>
  <c r="K701" i="17"/>
  <c r="K1112" i="17"/>
  <c r="K607" i="17"/>
  <c r="K679" i="17"/>
  <c r="K839" i="17"/>
  <c r="K895" i="17"/>
  <c r="K140" i="17"/>
  <c r="K874" i="17"/>
  <c r="K532" i="17"/>
  <c r="K322" i="17"/>
  <c r="K737" i="17"/>
  <c r="K825" i="17"/>
  <c r="K254" i="17"/>
  <c r="K14" i="17"/>
  <c r="K1036" i="17"/>
  <c r="K1195" i="17"/>
  <c r="K450" i="17"/>
  <c r="K56" i="17"/>
  <c r="K18" i="17"/>
  <c r="K1156" i="17"/>
  <c r="K980" i="17"/>
  <c r="K116" i="17"/>
  <c r="K107" i="17"/>
  <c r="K389" i="17"/>
  <c r="K12" i="17"/>
  <c r="K744" i="17"/>
  <c r="K290" i="17"/>
  <c r="K948" i="17"/>
  <c r="K959" i="17"/>
  <c r="K180" i="17"/>
  <c r="K373" i="17"/>
  <c r="K556" i="17"/>
  <c r="K100" i="17"/>
  <c r="K753" i="17"/>
  <c r="K21" i="17"/>
  <c r="K268" i="17"/>
  <c r="K98" i="17"/>
  <c r="K303" i="17"/>
  <c r="K571" i="17"/>
  <c r="K37" i="17"/>
  <c r="K543" i="17"/>
  <c r="K751" i="17"/>
  <c r="K537" i="17"/>
  <c r="K596" i="17"/>
  <c r="K125" i="17"/>
  <c r="K38" i="17"/>
  <c r="K158" i="17"/>
  <c r="K402" i="17"/>
  <c r="K461" i="17"/>
  <c r="K638" i="17"/>
  <c r="K544" i="17"/>
  <c r="K524" i="17"/>
  <c r="K674" i="17"/>
  <c r="K76" i="17"/>
  <c r="K367" i="17"/>
  <c r="K306" i="17"/>
  <c r="K42" i="17"/>
  <c r="K631" i="17"/>
  <c r="K442" i="17"/>
  <c r="K308" i="17"/>
  <c r="K66" i="17"/>
  <c r="K704" i="17"/>
  <c r="K509" i="17"/>
  <c r="K285" i="17"/>
  <c r="K835" i="17"/>
  <c r="K178" i="17"/>
  <c r="K312" i="17"/>
  <c r="K566" i="17"/>
  <c r="K102" i="17"/>
  <c r="K660" i="17"/>
  <c r="K190" i="17"/>
  <c r="K859" i="17"/>
  <c r="K83" i="17"/>
  <c r="K916" i="17"/>
  <c r="K778" i="17"/>
  <c r="K264" i="17"/>
  <c r="K51" i="17"/>
  <c r="K299" i="17"/>
  <c r="K300" i="17"/>
  <c r="K573" i="17"/>
  <c r="K419" i="17"/>
  <c r="K1098" i="17"/>
  <c r="K1202" i="17"/>
  <c r="K535" i="17"/>
  <c r="K219" i="17"/>
  <c r="K579" i="17"/>
  <c r="K693" i="17"/>
  <c r="K533" i="17"/>
  <c r="K4" i="17"/>
  <c r="K187" i="17"/>
  <c r="K365" i="17"/>
  <c r="K707" i="17"/>
  <c r="K1105" i="17"/>
  <c r="K1065" i="17"/>
  <c r="K132" i="17"/>
  <c r="K349" i="17"/>
  <c r="K511" i="17"/>
  <c r="K228" i="17"/>
  <c r="K162" i="17"/>
  <c r="K568" i="17"/>
  <c r="K105" i="17"/>
  <c r="K65" i="17"/>
  <c r="K326" i="17"/>
  <c r="K486" i="17"/>
  <c r="K884" i="17"/>
  <c r="K1017" i="17"/>
  <c r="K358" i="17"/>
  <c r="K395" i="17"/>
  <c r="K615" i="17"/>
  <c r="K352" i="17"/>
  <c r="K5" i="17"/>
  <c r="K417" i="17"/>
  <c r="K26" i="17"/>
  <c r="K577" i="17"/>
  <c r="K432" i="17"/>
  <c r="K752" i="17"/>
  <c r="K578" i="17"/>
  <c r="K195" i="17"/>
  <c r="K518" i="17"/>
  <c r="K697" i="17"/>
  <c r="K310" i="17"/>
  <c r="K570" i="17"/>
  <c r="K106" i="17"/>
  <c r="K235" i="17"/>
  <c r="K768" i="17"/>
  <c r="K761" i="17"/>
  <c r="K684" i="17"/>
  <c r="K476" i="17"/>
  <c r="K112" i="17"/>
  <c r="K765" i="17"/>
  <c r="K972" i="17"/>
  <c r="K364" i="17"/>
  <c r="K576" i="17"/>
  <c r="K797" i="17"/>
  <c r="K210" i="17"/>
  <c r="K483" i="17"/>
  <c r="K34" i="17"/>
  <c r="K495" i="17"/>
  <c r="K834" i="17"/>
  <c r="K695" i="17"/>
  <c r="K186" i="17"/>
  <c r="K192" i="17"/>
  <c r="K935" i="17"/>
  <c r="K562" i="17"/>
  <c r="K420" i="17"/>
  <c r="K601" i="17"/>
  <c r="K460" i="17"/>
  <c r="K298" i="17"/>
  <c r="K27" i="17"/>
  <c r="K114" i="17"/>
  <c r="K716" i="17"/>
  <c r="K131" i="17"/>
  <c r="K903" i="17"/>
  <c r="K314" i="17"/>
  <c r="K368" i="17"/>
  <c r="K548" i="17"/>
  <c r="K267" i="17"/>
  <c r="K988" i="17"/>
  <c r="K1260" i="17"/>
  <c r="K410" i="17"/>
  <c r="K956" i="17"/>
  <c r="K218" i="17"/>
  <c r="K174" i="17"/>
  <c r="K403" i="17"/>
  <c r="K612" i="17"/>
  <c r="K108" i="17"/>
  <c r="K506" i="17"/>
  <c r="K396" i="17"/>
  <c r="K136" i="17"/>
  <c r="K390" i="17"/>
  <c r="K205" i="17"/>
  <c r="K658" i="17"/>
  <c r="K118" i="17"/>
  <c r="K1010" i="17"/>
  <c r="K270" i="17"/>
  <c r="K583" i="17"/>
  <c r="K335" i="17"/>
  <c r="K539" i="17"/>
  <c r="K793" i="17"/>
  <c r="K23" i="17"/>
  <c r="K833" i="17"/>
  <c r="K623" i="17"/>
  <c r="K505" i="17"/>
  <c r="K1008" i="17"/>
  <c r="K604" i="17"/>
  <c r="K444" i="17"/>
  <c r="K119" i="17"/>
  <c r="K1162" i="17"/>
  <c r="K749" i="17"/>
  <c r="K87" i="17"/>
  <c r="K316" i="17"/>
  <c r="K743" i="17"/>
  <c r="K48" i="17"/>
  <c r="K1076" i="17"/>
  <c r="K1220" i="17"/>
  <c r="K580" i="17"/>
  <c r="K1040" i="17"/>
  <c r="K1039" i="17"/>
  <c r="K919" i="17"/>
  <c r="K224" i="17"/>
  <c r="K1188" i="17"/>
  <c r="K31" i="17"/>
  <c r="K407" i="17"/>
  <c r="K957" i="17"/>
  <c r="K955" i="17"/>
  <c r="K911" i="17"/>
  <c r="K384" i="17"/>
  <c r="K985" i="17"/>
  <c r="K271" i="17"/>
  <c r="K820" i="17"/>
  <c r="K854" i="17"/>
  <c r="K853" i="17"/>
  <c r="K900" i="17"/>
  <c r="K736" i="17"/>
  <c r="K251" i="17"/>
  <c r="K399" i="17"/>
  <c r="K602" i="17"/>
  <c r="K690" i="17"/>
  <c r="K61" i="17"/>
  <c r="K436" i="17"/>
  <c r="K84" i="17"/>
  <c r="K226" i="17"/>
  <c r="K477" i="17"/>
  <c r="K236" i="17"/>
  <c r="K764" i="17"/>
  <c r="K386" i="17"/>
  <c r="K217" i="17"/>
  <c r="K429" i="17"/>
  <c r="K767" i="17"/>
  <c r="K354" i="17"/>
  <c r="K507" i="17"/>
  <c r="K189" i="17"/>
  <c r="K261" i="17"/>
  <c r="K212" i="17"/>
  <c r="K338" i="17"/>
  <c r="K255" i="17"/>
  <c r="K29" i="17"/>
  <c r="K423" i="17"/>
  <c r="K52" i="17"/>
  <c r="K377" i="17"/>
  <c r="K287" i="17"/>
  <c r="K78" i="17"/>
  <c r="K69" i="17"/>
  <c r="K426" i="17"/>
  <c r="K541" i="17"/>
  <c r="K93" i="17"/>
  <c r="K1001" i="17"/>
  <c r="K244" i="17"/>
  <c r="K553" i="17"/>
  <c r="K929" i="17"/>
  <c r="K1060" i="17"/>
  <c r="K230" i="17"/>
  <c r="K197" i="17"/>
  <c r="K92" i="17"/>
  <c r="K650" i="17"/>
  <c r="K157" i="17"/>
  <c r="K714" i="17"/>
  <c r="K101" i="17"/>
  <c r="K633" i="17"/>
  <c r="K1052" i="17"/>
  <c r="K1236" i="17"/>
  <c r="K146" i="17"/>
  <c r="K28" i="17"/>
  <c r="K382" i="17"/>
  <c r="K94" i="17"/>
  <c r="K220" i="17"/>
  <c r="K79" i="17"/>
  <c r="K221" i="17"/>
  <c r="K718" i="17"/>
  <c r="K229" i="17"/>
  <c r="K809" i="17"/>
  <c r="K1172" i="17"/>
  <c r="K127" i="17"/>
  <c r="K176" i="17"/>
  <c r="K609" i="17"/>
  <c r="K558" i="17"/>
  <c r="K238" i="17"/>
  <c r="K77" i="17"/>
  <c r="K852" i="17"/>
  <c r="K46" i="17"/>
  <c r="K1107" i="17"/>
  <c r="K126" i="17"/>
  <c r="K394" i="17"/>
  <c r="K617" i="17"/>
  <c r="K259" i="17"/>
  <c r="K673" i="17"/>
  <c r="K89" i="17"/>
  <c r="K345" i="17"/>
  <c r="K680" i="17"/>
  <c r="K184" i="17"/>
  <c r="K297" i="17"/>
  <c r="K3" i="17"/>
  <c r="K967" i="17"/>
  <c r="K68" i="17"/>
  <c r="K71" i="17"/>
  <c r="K163" i="17"/>
  <c r="K575" i="17"/>
  <c r="K90" i="17"/>
  <c r="K799" i="17"/>
  <c r="K332" i="17"/>
  <c r="K331" i="17"/>
  <c r="K438" i="17"/>
  <c r="K142" i="17"/>
  <c r="K892" i="17"/>
  <c r="K1020" i="17"/>
  <c r="K199" i="17"/>
  <c r="K1168" i="17"/>
  <c r="K1167" i="17"/>
  <c r="K473" i="17"/>
  <c r="K294" i="17"/>
  <c r="K993" i="17"/>
  <c r="K1092" i="17"/>
  <c r="K203" i="17"/>
  <c r="K214" i="17"/>
  <c r="K780" i="17"/>
  <c r="K1012" i="17"/>
  <c r="K828" i="17"/>
  <c r="K455" i="17"/>
  <c r="K627" i="17"/>
  <c r="K869" i="17"/>
  <c r="K951" i="17"/>
  <c r="K278" i="17"/>
  <c r="K975" i="17"/>
  <c r="K350" i="17"/>
  <c r="K253" i="17"/>
  <c r="K327" i="17"/>
  <c r="K886" i="17"/>
  <c r="K1287" i="17"/>
  <c r="K1262" i="17"/>
  <c r="K469" i="17"/>
  <c r="K342" i="17"/>
  <c r="K227" i="17"/>
  <c r="K414" i="17"/>
  <c r="K387" i="17"/>
  <c r="K860" i="17"/>
  <c r="K1211" i="17"/>
  <c r="K1223" i="17"/>
  <c r="K1190" i="17"/>
  <c r="K194" i="17"/>
  <c r="K775" i="17"/>
  <c r="K406" i="17"/>
  <c r="K371" i="17"/>
  <c r="K478" i="17"/>
  <c r="K234" i="17"/>
  <c r="K36" i="17"/>
  <c r="K488" i="17"/>
  <c r="K160" i="17"/>
  <c r="K246" i="17"/>
  <c r="K898" i="17"/>
  <c r="K262" i="17"/>
  <c r="K482" i="17"/>
  <c r="K32" i="17"/>
  <c r="K74" i="17"/>
  <c r="K642" i="17"/>
  <c r="K758" i="17"/>
  <c r="K85" i="17"/>
  <c r="K182" i="17"/>
  <c r="K648" i="17"/>
  <c r="K320" i="17"/>
  <c r="K398" i="17"/>
  <c r="K962" i="17"/>
  <c r="K334" i="17"/>
  <c r="K594" i="17"/>
  <c r="K288" i="17"/>
  <c r="K138" i="17"/>
  <c r="K512" i="17"/>
  <c r="K96" i="17"/>
  <c r="K20" i="17"/>
  <c r="K936" i="17"/>
  <c r="K82" i="17"/>
  <c r="K496" i="17"/>
  <c r="K574" i="17"/>
  <c r="K391" i="17"/>
  <c r="K430" i="17"/>
  <c r="K448" i="17"/>
  <c r="K202" i="17"/>
  <c r="K921" i="17"/>
  <c r="K323" i="17"/>
  <c r="K11" i="17"/>
  <c r="K608" i="17"/>
  <c r="K166" i="17"/>
  <c r="K161" i="17"/>
  <c r="K148" i="17"/>
  <c r="K672" i="17"/>
  <c r="K168" i="17"/>
  <c r="K207" i="17"/>
  <c r="K510" i="17"/>
  <c r="K624" i="17"/>
  <c r="K266" i="17"/>
  <c r="K307" i="17"/>
  <c r="K554" i="17"/>
  <c r="K381" i="17"/>
  <c r="K281" i="17"/>
  <c r="K416" i="17"/>
  <c r="K321" i="17"/>
  <c r="K22" i="17"/>
  <c r="K976" i="17"/>
  <c r="K328" i="17"/>
  <c r="K1291" i="17"/>
  <c r="K8" i="17"/>
  <c r="K848" i="17"/>
  <c r="K330" i="17"/>
  <c r="K515" i="17"/>
  <c r="K759" i="17"/>
  <c r="K295" i="17"/>
  <c r="K441" i="17"/>
  <c r="K249" i="17"/>
  <c r="K497" i="17"/>
  <c r="K240" i="17"/>
  <c r="K169" i="17"/>
  <c r="K504" i="17"/>
  <c r="K104" i="17"/>
  <c r="K121" i="17"/>
  <c r="K173" i="17"/>
  <c r="K361" i="17"/>
  <c r="K123" i="17"/>
  <c r="K301" i="17"/>
  <c r="K1009" i="17"/>
  <c r="K795" i="17"/>
  <c r="K33" i="17"/>
  <c r="K379" i="17"/>
  <c r="K237" i="17"/>
  <c r="K1051" i="17"/>
  <c r="K70" i="17"/>
  <c r="K666" i="17"/>
  <c r="K626" i="17"/>
  <c r="K439" i="17"/>
  <c r="K433" i="17"/>
  <c r="K618" i="17"/>
  <c r="K760" i="17"/>
  <c r="K231" i="17"/>
  <c r="K588" i="17"/>
  <c r="K569" i="17"/>
  <c r="K86" i="17"/>
  <c r="K610" i="17"/>
  <c r="K706" i="17"/>
  <c r="K546" i="17"/>
  <c r="K1321" i="17"/>
  <c r="K845" i="17"/>
  <c r="K745" i="17"/>
  <c r="K150" i="17"/>
  <c r="K694" i="17"/>
  <c r="K812" i="17"/>
  <c r="K62" i="17"/>
  <c r="K652" i="17"/>
  <c r="K144" i="17"/>
  <c r="K503" i="17"/>
  <c r="K346" i="17"/>
  <c r="K293" i="17"/>
  <c r="K1268" i="17"/>
  <c r="K405" i="17"/>
  <c r="K59" i="17"/>
  <c r="K681" i="17"/>
  <c r="K177" i="17"/>
  <c r="K360" i="17"/>
  <c r="K729" i="17"/>
  <c r="K124" i="17"/>
  <c r="K388" i="17"/>
  <c r="K196" i="17"/>
  <c r="K279" i="17"/>
  <c r="K655" i="17"/>
  <c r="K292" i="17"/>
  <c r="K763" i="17"/>
  <c r="K974" i="17"/>
  <c r="K857" i="17"/>
  <c r="K353" i="17"/>
  <c r="K440" i="17"/>
  <c r="K75" i="17"/>
  <c r="K188" i="17"/>
  <c r="K961" i="17"/>
  <c r="K115" i="17"/>
  <c r="K1083" i="17"/>
  <c r="K263" i="17"/>
  <c r="K796" i="17"/>
  <c r="K421" i="17"/>
  <c r="K513" i="17"/>
  <c r="K520" i="17"/>
  <c r="K357" i="17"/>
  <c r="K252" i="17"/>
  <c r="K925" i="17"/>
  <c r="K53" i="17"/>
  <c r="K740" i="17"/>
  <c r="K522" i="17"/>
  <c r="K637" i="17"/>
  <c r="K783" i="17"/>
  <c r="K689" i="17"/>
  <c r="K616" i="17"/>
  <c r="K687" i="17"/>
  <c r="K45" i="17"/>
  <c r="K682" i="17"/>
  <c r="K117" i="17"/>
  <c r="K1323" i="17"/>
  <c r="K58" i="17"/>
  <c r="K881" i="17"/>
  <c r="K999" i="17"/>
  <c r="K315" i="17"/>
  <c r="K865" i="17"/>
  <c r="K696" i="17"/>
  <c r="K897" i="17"/>
  <c r="K109" i="17"/>
  <c r="K1259" i="17"/>
  <c r="K181" i="17"/>
  <c r="K1171" i="17"/>
  <c r="K7" i="17"/>
  <c r="K151" i="17"/>
  <c r="K284" i="17"/>
  <c r="K647" i="17"/>
  <c r="K437" i="17"/>
  <c r="K776" i="17"/>
  <c r="K179" i="17"/>
  <c r="K526" i="17"/>
  <c r="K863" i="17"/>
  <c r="K606" i="17"/>
  <c r="K97" i="17"/>
  <c r="K678" i="17"/>
  <c r="K424" i="17"/>
  <c r="K643" i="17"/>
  <c r="K223" i="17"/>
  <c r="K705" i="17"/>
  <c r="K639" i="17"/>
  <c r="K40" i="17"/>
  <c r="K128" i="17"/>
  <c r="K355" i="17"/>
  <c r="K519" i="17"/>
  <c r="K770" i="17"/>
  <c r="K10" i="17"/>
  <c r="K938" i="17"/>
  <c r="K16" i="17"/>
  <c r="K791" i="17"/>
  <c r="K88" i="17"/>
  <c r="K949" i="17"/>
  <c r="K1251" i="17"/>
  <c r="K1331" i="17"/>
  <c r="K942" i="17"/>
  <c r="K890" i="17"/>
  <c r="K60" i="17"/>
  <c r="K351" i="17"/>
  <c r="K80" i="17"/>
  <c r="K940" i="17"/>
  <c r="K152" i="17"/>
  <c r="K530" i="17"/>
  <c r="K1267" i="17"/>
  <c r="K817" i="17"/>
  <c r="K656" i="17"/>
  <c r="K879" i="17"/>
  <c r="K728" i="17"/>
  <c r="K311" i="17"/>
  <c r="K1118" i="17"/>
  <c r="K1197" i="17"/>
  <c r="K699" i="17"/>
  <c r="K720" i="17"/>
  <c r="K111" i="17"/>
  <c r="K808" i="17"/>
  <c r="K772" i="17"/>
  <c r="K1054" i="17"/>
  <c r="K1133" i="17"/>
  <c r="K211" i="17"/>
  <c r="K784" i="17"/>
  <c r="K742" i="17"/>
  <c r="K17" i="17"/>
  <c r="K143" i="17"/>
  <c r="K979" i="17"/>
  <c r="K1069" i="17"/>
  <c r="K605" i="17"/>
  <c r="K9" i="17"/>
  <c r="K1299" i="17"/>
  <c r="K81" i="17"/>
  <c r="K804" i="17"/>
  <c r="K216" i="17"/>
  <c r="K683" i="17"/>
  <c r="K340" i="17"/>
  <c r="K632" i="17"/>
  <c r="K408" i="17"/>
  <c r="K1035" i="17"/>
  <c r="K846" i="17"/>
  <c r="K585" i="17"/>
  <c r="K582" i="17"/>
  <c r="K657" i="17"/>
  <c r="K989" i="17"/>
  <c r="K1253" i="17"/>
  <c r="K1027" i="17"/>
  <c r="K649" i="17"/>
  <c r="K964" i="17"/>
  <c r="K721" i="17"/>
  <c r="K700" i="17"/>
  <c r="K1189" i="17"/>
  <c r="K1186" i="17"/>
  <c r="K1049" i="17"/>
  <c r="K1294" i="17"/>
  <c r="K1093" i="17"/>
  <c r="K1021" i="17"/>
  <c r="K914" i="17"/>
  <c r="K1061" i="17"/>
  <c r="K1166" i="17"/>
  <c r="K966" i="17"/>
  <c r="K838" i="17"/>
  <c r="K794" i="17"/>
  <c r="K1169" i="17"/>
  <c r="K856" i="17"/>
  <c r="K732" i="17"/>
  <c r="K1102" i="17"/>
  <c r="K864" i="17"/>
  <c r="K677" i="17"/>
  <c r="K1201" i="17"/>
  <c r="K907" i="17"/>
  <c r="K1333" i="17"/>
  <c r="K1016" i="17"/>
  <c r="K1245" i="17"/>
  <c r="K1165" i="17"/>
  <c r="K837" i="17"/>
  <c r="K1114" i="17"/>
  <c r="K1266" i="17"/>
  <c r="K1328" i="17"/>
  <c r="K1256" i="17"/>
  <c r="K1184" i="17"/>
  <c r="K691" i="17"/>
  <c r="K1280" i="17"/>
  <c r="K1096" i="17"/>
  <c r="K1015" i="17"/>
  <c r="K1100" i="17"/>
  <c r="K858" i="17"/>
  <c r="K1113" i="17"/>
  <c r="K1103" i="17"/>
  <c r="K1216" i="17"/>
  <c r="K1032" i="17"/>
  <c r="K918" i="17"/>
  <c r="K909" i="17"/>
  <c r="K1153" i="17"/>
  <c r="K755" i="17"/>
  <c r="K135" i="17"/>
  <c r="K549" i="17"/>
  <c r="K208" i="17"/>
  <c r="K540" i="17"/>
  <c r="K591" i="17"/>
  <c r="K731" i="17"/>
  <c r="K1091" i="17"/>
  <c r="K806" i="17"/>
  <c r="K719" i="17"/>
  <c r="K887" i="17"/>
  <c r="K636" i="17"/>
  <c r="K1145" i="17"/>
  <c r="K1109" i="17"/>
  <c r="K875" i="17"/>
  <c r="K870" i="17"/>
  <c r="K1326" i="17"/>
  <c r="K1293" i="17"/>
  <c r="K1029" i="17"/>
  <c r="K926" i="17"/>
  <c r="K811" i="17"/>
  <c r="K1289" i="17"/>
  <c r="K1309" i="17"/>
  <c r="K1229" i="17"/>
  <c r="K939" i="17"/>
  <c r="K824" i="17"/>
  <c r="K862" i="17"/>
  <c r="K969" i="17"/>
  <c r="K1292" i="17"/>
  <c r="K973" i="17"/>
  <c r="K946" i="17"/>
  <c r="K1320" i="17"/>
  <c r="K1248" i="17"/>
  <c r="K493" i="17"/>
  <c r="K595" i="17"/>
  <c r="K1160" i="17"/>
  <c r="K1080" i="17"/>
  <c r="K589" i="17"/>
  <c r="K1298" i="17"/>
  <c r="K725" i="17"/>
  <c r="K1000" i="17"/>
  <c r="K1276" i="17"/>
  <c r="K995" i="17"/>
  <c r="K1327" i="17"/>
  <c r="K1063" i="17"/>
  <c r="K981" i="17"/>
  <c r="K866" i="17"/>
  <c r="K1034" i="17"/>
  <c r="K499" i="17"/>
  <c r="K1263" i="17"/>
  <c r="K992" i="17"/>
  <c r="K878" i="17"/>
  <c r="K747" i="17"/>
  <c r="K35" i="17"/>
  <c r="K103" i="17"/>
  <c r="K724" i="17"/>
  <c r="K698" i="17"/>
  <c r="K336" i="17"/>
  <c r="K47" i="17"/>
  <c r="K726" i="17"/>
  <c r="K807" i="17"/>
  <c r="K963" i="17"/>
  <c r="K970" i="17"/>
  <c r="K622" i="17"/>
  <c r="K471" i="17"/>
  <c r="K867" i="17"/>
  <c r="K1283" i="17"/>
  <c r="K779" i="17"/>
  <c r="K1194" i="17"/>
  <c r="K832" i="17"/>
  <c r="K1045" i="17"/>
  <c r="K965" i="17"/>
  <c r="K762" i="17"/>
  <c r="K1212" i="17"/>
  <c r="K1257" i="17"/>
  <c r="K894" i="17"/>
  <c r="K1312" i="17"/>
  <c r="K1048" i="17"/>
  <c r="K1041" i="17"/>
  <c r="K1224" i="17"/>
  <c r="K1144" i="17"/>
  <c r="K803" i="17"/>
  <c r="K557" i="17"/>
  <c r="K1250" i="17"/>
  <c r="K1261" i="17"/>
  <c r="K653" i="17"/>
  <c r="K1281" i="17"/>
  <c r="K882" i="17"/>
  <c r="K1127" i="17"/>
  <c r="K1055" i="17"/>
  <c r="K968" i="17"/>
  <c r="K723" i="17"/>
  <c r="K1079" i="17"/>
  <c r="K827" i="17"/>
  <c r="K587" i="17"/>
  <c r="K1025" i="17"/>
  <c r="K1286" i="17"/>
  <c r="K1198" i="17"/>
  <c r="K1104" i="17"/>
  <c r="K1014" i="17"/>
  <c r="K651" i="17"/>
  <c r="K1322" i="17"/>
  <c r="K1302" i="17"/>
  <c r="K1206" i="17"/>
  <c r="K1134" i="17"/>
  <c r="K1179" i="17"/>
  <c r="K404" i="17"/>
  <c r="K466" i="17"/>
  <c r="K260" i="17"/>
  <c r="K474" i="17"/>
  <c r="K735" i="17"/>
  <c r="K977" i="17"/>
  <c r="K1296" i="17"/>
  <c r="K1295" i="17"/>
  <c r="K258" i="17"/>
  <c r="K6" i="17"/>
  <c r="K703" i="17"/>
  <c r="K910" i="17"/>
  <c r="K590" i="17"/>
  <c r="K1232" i="17"/>
  <c r="K1231" i="17"/>
  <c r="K1050" i="17"/>
  <c r="K629" i="17"/>
  <c r="K1006" i="17"/>
  <c r="K1136" i="17"/>
  <c r="K1064" i="17"/>
  <c r="K982" i="17"/>
  <c r="K932" i="17"/>
  <c r="K1234" i="17"/>
  <c r="K883" i="17"/>
  <c r="K1185" i="17"/>
  <c r="K468" i="17"/>
  <c r="K934" i="17"/>
  <c r="K1225" i="17"/>
  <c r="K830" i="17"/>
  <c r="K1304" i="17"/>
  <c r="K459" i="17"/>
  <c r="K1288" i="17"/>
  <c r="K1208" i="17"/>
  <c r="K906" i="17"/>
  <c r="K790" i="17"/>
  <c r="K525" i="17"/>
  <c r="K565" i="17"/>
  <c r="K829" i="17"/>
  <c r="K1082" i="17"/>
  <c r="K1217" i="17"/>
  <c r="K1191" i="17"/>
  <c r="K1119" i="17"/>
  <c r="K1047" i="17"/>
  <c r="K1180" i="17"/>
  <c r="K1143" i="17"/>
  <c r="K930" i="17"/>
  <c r="K802" i="17"/>
  <c r="K1233" i="17"/>
  <c r="K984" i="17"/>
  <c r="K1278" i="17"/>
  <c r="K877" i="17"/>
  <c r="K1089" i="17"/>
  <c r="K1174" i="17"/>
  <c r="K1094" i="17"/>
  <c r="K645" i="17"/>
  <c r="K1108" i="17"/>
  <c r="K1058" i="17"/>
  <c r="K960" i="17"/>
  <c r="K1334" i="17"/>
  <c r="K1110" i="17"/>
  <c r="K1030" i="17"/>
  <c r="K1204" i="17"/>
  <c r="K1090" i="17"/>
  <c r="K597" i="17"/>
  <c r="K296" i="17"/>
  <c r="K344" i="17"/>
  <c r="K1138" i="17"/>
  <c r="K1018" i="17"/>
  <c r="K754" i="17"/>
  <c r="K57" i="17"/>
  <c r="K383" i="17"/>
  <c r="K514" i="17"/>
  <c r="K710" i="17"/>
  <c r="K443" i="17"/>
  <c r="K435" i="17"/>
  <c r="K233" i="17"/>
  <c r="K500" i="17"/>
  <c r="K620" i="17"/>
  <c r="K953" i="17"/>
  <c r="K1146" i="17"/>
  <c r="K1178" i="17"/>
  <c r="K715" i="17"/>
  <c r="K1152" i="17"/>
  <c r="K944" i="17"/>
  <c r="K816" i="17"/>
  <c r="K1193" i="17"/>
  <c r="K805" i="17"/>
  <c r="K1303" i="17"/>
  <c r="K1306" i="17"/>
  <c r="K1081" i="17"/>
  <c r="K451" i="17"/>
  <c r="K1072" i="17"/>
  <c r="K994" i="17"/>
  <c r="K880" i="17"/>
  <c r="K1130" i="17"/>
  <c r="K1026" i="17"/>
  <c r="K659" i="17"/>
  <c r="K1272" i="17"/>
  <c r="K1005" i="17"/>
  <c r="K893" i="17"/>
  <c r="K774" i="17"/>
  <c r="K787" i="17"/>
  <c r="K931" i="17"/>
  <c r="K1332" i="17"/>
  <c r="K986" i="17"/>
  <c r="K1255" i="17"/>
  <c r="K1183" i="17"/>
  <c r="K1111" i="17"/>
  <c r="K1207" i="17"/>
  <c r="K1023" i="17"/>
  <c r="K904" i="17"/>
  <c r="K1007" i="17"/>
  <c r="K1209" i="17"/>
  <c r="K920" i="17"/>
  <c r="K1182" i="17"/>
  <c r="K1305" i="17"/>
  <c r="K1238" i="17"/>
  <c r="K1158" i="17"/>
  <c r="K826" i="17"/>
  <c r="K613" i="17"/>
  <c r="K1330" i="17"/>
  <c r="K709" i="17"/>
  <c r="K922" i="17"/>
  <c r="K1241" i="17"/>
  <c r="K1221" i="17"/>
  <c r="K1149" i="17"/>
  <c r="K1077" i="17"/>
  <c r="K427" i="17"/>
  <c r="K1313" i="17"/>
  <c r="K971" i="17"/>
  <c r="K1157" i="17"/>
  <c r="K1085" i="17"/>
  <c r="K1011" i="17"/>
  <c r="K1123" i="17"/>
  <c r="K516" i="17"/>
  <c r="K198" i="17"/>
  <c r="K586" i="17"/>
  <c r="K470" i="17"/>
  <c r="K527" i="17"/>
  <c r="K542" i="17"/>
  <c r="K675" i="17"/>
  <c r="K343" i="17"/>
  <c r="K889" i="17"/>
  <c r="K1095" i="17"/>
  <c r="K1062" i="17"/>
  <c r="K41" i="17"/>
  <c r="K445" i="17"/>
  <c r="K534" i="17"/>
  <c r="K663" i="17"/>
  <c r="K24" i="17"/>
  <c r="K823" i="17"/>
  <c r="K836" i="17"/>
  <c r="K1315" i="17"/>
  <c r="K1031" i="17"/>
  <c r="K991" i="17"/>
  <c r="K1249" i="17"/>
  <c r="K1279" i="17"/>
  <c r="K1199" i="17"/>
  <c r="K891" i="17"/>
  <c r="K773" i="17"/>
  <c r="K491" i="17"/>
  <c r="K1161" i="17"/>
  <c r="K1088" i="17"/>
  <c r="K842" i="17"/>
  <c r="K621" i="17"/>
  <c r="K843" i="17"/>
  <c r="K1311" i="17"/>
  <c r="K1239" i="17"/>
  <c r="K1126" i="17"/>
  <c r="K1024" i="17"/>
  <c r="K685" i="17"/>
  <c r="K1196" i="17"/>
  <c r="K1319" i="17"/>
  <c r="K1247" i="17"/>
  <c r="K1175" i="17"/>
  <c r="K1271" i="17"/>
  <c r="K1087" i="17"/>
  <c r="K1003" i="17"/>
  <c r="K1282" i="17"/>
  <c r="K947" i="17"/>
  <c r="K1177" i="17"/>
  <c r="K757" i="17"/>
  <c r="K1074" i="17"/>
  <c r="K563" i="17"/>
  <c r="K1222" i="17"/>
  <c r="K928" i="17"/>
  <c r="K813" i="17"/>
  <c r="K581" i="17"/>
  <c r="K851" i="17"/>
  <c r="K1226" i="17"/>
  <c r="K819" i="17"/>
  <c r="K1285" i="17"/>
  <c r="K1213" i="17"/>
  <c r="K1141" i="17"/>
  <c r="K1237" i="17"/>
  <c r="K1053" i="17"/>
  <c r="K952" i="17"/>
  <c r="K1173" i="17"/>
  <c r="K978" i="17"/>
  <c r="K850" i="17"/>
  <c r="K702" i="17"/>
  <c r="K120" i="17"/>
  <c r="K272" i="17"/>
  <c r="K872" i="17"/>
  <c r="K950" i="17"/>
  <c r="K400" i="17"/>
  <c r="K1307" i="17"/>
  <c r="K472" i="17"/>
  <c r="K734" i="17"/>
  <c r="K756" i="17"/>
  <c r="K1129" i="17"/>
  <c r="K1097" i="17"/>
  <c r="K129" i="17"/>
  <c r="K1067" i="17"/>
  <c r="K464" i="17"/>
  <c r="K708" i="17"/>
  <c r="K536" i="17"/>
  <c r="K1155" i="17"/>
  <c r="K818" i="17"/>
  <c r="K792" i="17"/>
  <c r="K717" i="17"/>
  <c r="K917" i="17"/>
  <c r="K1228" i="17"/>
  <c r="K1042" i="17"/>
  <c r="K1214" i="17"/>
  <c r="K1142" i="17"/>
  <c r="K1070" i="17"/>
  <c r="K933" i="17"/>
  <c r="K1215" i="17"/>
  <c r="K1135" i="17"/>
  <c r="K789" i="17"/>
  <c r="K523" i="17"/>
  <c r="K1210" i="17"/>
  <c r="K1335" i="17"/>
  <c r="K1151" i="17"/>
  <c r="K1071" i="17"/>
  <c r="K555" i="17"/>
  <c r="K1242" i="17"/>
  <c r="K896" i="17"/>
  <c r="K840" i="17"/>
  <c r="K1132" i="17"/>
  <c r="K1121" i="17"/>
  <c r="K1318" i="17"/>
  <c r="K1022" i="17"/>
  <c r="K915" i="17"/>
  <c r="K800" i="17"/>
  <c r="K954" i="17"/>
  <c r="K485" i="17"/>
  <c r="K1154" i="17"/>
  <c r="K1270" i="17"/>
  <c r="K1277" i="17"/>
  <c r="K1205" i="17"/>
  <c r="K1301" i="17"/>
  <c r="K1117" i="17"/>
  <c r="K1037" i="17"/>
  <c r="K855" i="17"/>
  <c r="K1314" i="17"/>
  <c r="K1308" i="17"/>
  <c r="K372" i="17"/>
  <c r="K1124" i="17"/>
  <c r="K1273" i="17"/>
  <c r="K1170" i="17"/>
  <c r="K280" i="17"/>
  <c r="K1300" i="17"/>
  <c r="K1290" i="17"/>
  <c r="K1004" i="17"/>
  <c r="K324" i="17"/>
  <c r="K1163" i="17"/>
  <c r="K1131" i="17"/>
  <c r="K245" i="17"/>
  <c r="K73" i="17"/>
  <c r="K746" i="17"/>
  <c r="K145" i="17"/>
  <c r="K1115" i="17"/>
  <c r="K771" i="17"/>
  <c r="K901" i="17"/>
  <c r="K269" i="17"/>
  <c r="K137" i="17"/>
  <c r="K1099" i="17"/>
  <c r="K209" i="17"/>
  <c r="K175" i="17"/>
  <c r="K517" i="17"/>
  <c r="K798" i="17"/>
  <c r="K1317" i="17"/>
  <c r="K1230" i="17"/>
  <c r="K1046" i="17"/>
  <c r="K941" i="17"/>
  <c r="K1122" i="17"/>
  <c r="K661" i="17"/>
  <c r="K1137" i="17"/>
  <c r="K1033" i="17"/>
  <c r="K814" i="17"/>
  <c r="K1106" i="17"/>
  <c r="K1265" i="17"/>
  <c r="K1150" i="17"/>
  <c r="K1078" i="17"/>
  <c r="K1002" i="17"/>
  <c r="K1159" i="17"/>
  <c r="K619" i="17"/>
  <c r="K501" i="17"/>
  <c r="K1057" i="17"/>
  <c r="K1086" i="17"/>
  <c r="K1013" i="17"/>
  <c r="K902" i="17"/>
  <c r="K375" i="17"/>
  <c r="K1038" i="17"/>
  <c r="K741" i="17"/>
  <c r="K1284" i="17"/>
  <c r="K958" i="17"/>
  <c r="K1246" i="17"/>
  <c r="K1269" i="17"/>
  <c r="K1310" i="17"/>
  <c r="K1181" i="17"/>
  <c r="K1101" i="17"/>
  <c r="K291" i="17"/>
  <c r="K1274" i="17"/>
  <c r="K1084" i="17"/>
  <c r="K997" i="17"/>
  <c r="K1264" i="17"/>
  <c r="K1192" i="17"/>
  <c r="K1120" i="17"/>
  <c r="K1252" i="17"/>
  <c r="K1066" i="17"/>
  <c r="K1297" i="17"/>
  <c r="K1200" i="17"/>
  <c r="K1128" i="17"/>
  <c r="K1056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B6AED-4120-4FF5-9892-48658669D7A8}" keepAlive="1" name="Consulta - supplementary_offering_legacyid" description="Conexión a la consulta 'supplementary_offering_legacyid' en el libro." type="5" refreshedVersion="6" background="1" saveData="1">
    <dbPr connection="Provider=Microsoft.Mashup.OleDb.1;Data Source=$Workbook$;Location=supplementary_offering_legacyid;Extended Properties=&quot;&quot;" command="SELECT * FROM [supplementary_offering_legacyid]"/>
  </connection>
  <connection id="2" xr16:uid="{9E9BA620-7AF0-4A9B-AB2E-399192A0B5F2}" keepAlive="1" name="Consulta - supplementary_offering_legacyid (2)" description="Conexión a la consulta 'supplementary_offering_legacyid (2)' en el libro." type="5" refreshedVersion="6" background="1">
    <dbPr connection="Provider=Microsoft.Mashup.OleDb.1;Data Source=$Workbook$;Location=supplementary_offering_legacyid (2);Extended Properties=&quot;&quot;" command="SELECT * FROM [supplementary_offering_legacyid (2)]"/>
  </connection>
  <connection id="3" xr16:uid="{B0B9F778-154C-4FFE-89BA-C1081E5306A8}" keepAlive="1" name="Consulta - supplementary_offering_legacyid (3)" description="Conexión a la consulta 'supplementary_offering_legacyid (3)' en el libro." type="5" refreshedVersion="6" background="1">
    <dbPr connection="Provider=Microsoft.Mashup.OleDb.1;Data Source=$Workbook$;Location=supplementary_offering_legacyid (3);Extended Properties=&quot;&quot;" command="SELECT * FROM [supplementary_offering_legacyid (3)]"/>
  </connection>
  <connection id="4" xr16:uid="{1838F136-F4CB-4A89-B229-F5D7345C6E56}" keepAlive="1" name="Consulta - supplementary_offering_legacyid (4)" description="Conexión a la consulta 'supplementary_offering_legacyid (4)' en el libro." type="5" refreshedVersion="6" background="1" saveData="1">
    <dbPr connection="Provider=Microsoft.Mashup.OleDb.1;Data Source=$Workbook$;Location=supplementary_offering_legacyid (4);Extended Properties=&quot;&quot;" command="SELECT * FROM [supplementary_offering_legacyid (4)]"/>
  </connection>
  <connection id="5" xr16:uid="{B754A346-BF80-4854-93AB-299802043E54}" keepAlive="1" name="Consulta - supplementary_offering_offeringid" description="Conexión a la consulta 'supplementary_offering_offeringid' en el libro." type="5" refreshedVersion="6" background="1">
    <dbPr connection="Provider=Microsoft.Mashup.OleDb.1;Data Source=$Workbook$;Location=supplementary_offering_offeringid;Extended Properties=&quot;&quot;" command="SELECT * FROM [supplementary_offering_offeringid]"/>
  </connection>
  <connection id="6" xr16:uid="{541F414B-DD95-43B5-9399-5D0DC6E46605}" keepAlive="1" name="Consulta - supplementary_offering_offeringid (2)" description="Conexión a la consulta 'supplementary_offering_offeringid (2)' en el libro." type="5" refreshedVersion="6" background="1">
    <dbPr connection="Provider=Microsoft.Mashup.OleDb.1;Data Source=$Workbook$;Location=supplementary_offering_offeringid (2);Extended Properties=&quot;&quot;" command="SELECT * FROM [supplementary_offering_offeringid (2)]"/>
  </connection>
  <connection id="7" xr16:uid="{113EECF6-9711-4EB8-841B-4F2BC731898D}" keepAlive="1" name="Consulta - supplementary_offering_offeringid (3)" description="Conexión a la consulta 'supplementary_offering_offeringid (3)' en el libro." type="5" refreshedVersion="6" background="1">
    <dbPr connection="Provider=Microsoft.Mashup.OleDb.1;Data Source=$Workbook$;Location=supplementary_offering_offeringid (3);Extended Properties=&quot;&quot;" command="SELECT * FROM [supplementary_offering_offeringid (3)]"/>
  </connection>
  <connection id="8" xr16:uid="{C4AD7BA0-40F3-42E4-B5E6-A00C8FD19F5E}" keepAlive="1" name="Consulta - supplementary_offering_offeringid (4)" description="Conexión a la consulta 'supplementary_offering_offeringid (4)' en el libro." type="5" refreshedVersion="6" background="1" saveData="1">
    <dbPr connection="Provider=Microsoft.Mashup.OleDb.1;Data Source=$Workbook$;Location=supplementary_offering_offeringid (4);Extended Properties=&quot;&quot;" command="SELECT * FROM [supplementary_offering_offeringid (4)]"/>
  </connection>
  <connection id="9" xr16:uid="{6A32348D-2B6C-482A-8BE7-BA34B4DD8A85}" keepAlive="1" name="Consulta - Value resources" description="Conexión a la consulta 'Value resources' en el libro." type="5" refreshedVersion="6" background="1">
    <dbPr connection="Provider=Microsoft.Mashup.OleDb.1;Data Source=$Workbook$;Location=Value resources;Extended Properties=&quot;&quot;" command="SELECT * FROM [Value resources]"/>
  </connection>
  <connection id="10" xr16:uid="{B9AC0E81-5672-49AA-944E-EAE80F46D61B}" keepAlive="1" name="Consulta - Value resources (2)" description="Conexión a la consulta 'Value resources (2)' en el libro." type="5" refreshedVersion="6" background="1">
    <dbPr connection="Provider=Microsoft.Mashup.OleDb.1;Data Source=$Workbook$;Location=Value resources (2);Extended Properties=&quot;&quot;" command="SELECT * FROM [Value resources (2)]"/>
  </connection>
</connections>
</file>

<file path=xl/sharedStrings.xml><?xml version="1.0" encoding="utf-8"?>
<sst xmlns="http://schemas.openxmlformats.org/spreadsheetml/2006/main" count="33921" uniqueCount="6433">
  <si>
    <t>Tipo Prueba</t>
  </si>
  <si>
    <t>Valida</t>
  </si>
  <si>
    <t>Invalida</t>
  </si>
  <si>
    <t>Criterio</t>
  </si>
  <si>
    <t>Tipo Dato</t>
  </si>
  <si>
    <t>Date-Time</t>
  </si>
  <si>
    <t>String</t>
  </si>
  <si>
    <t>Integer</t>
  </si>
  <si>
    <t>Number</t>
  </si>
  <si>
    <t>Array</t>
  </si>
  <si>
    <t>Valores Validos</t>
  </si>
  <si>
    <t>Accion</t>
  </si>
  <si>
    <t>Aplica</t>
  </si>
  <si>
    <t>No Aplica</t>
  </si>
  <si>
    <t>Condiciones</t>
  </si>
  <si>
    <t>Nombre</t>
  </si>
  <si>
    <t>Valor</t>
  </si>
  <si>
    <t>Longitud</t>
  </si>
  <si>
    <t>Obligatoriedad</t>
  </si>
  <si>
    <t>Tipo De Dato</t>
  </si>
  <si>
    <t>#</t>
  </si>
  <si>
    <t>X</t>
  </si>
  <si>
    <t>Generar</t>
  </si>
  <si>
    <t>Opcional</t>
  </si>
  <si>
    <t>Boolean</t>
  </si>
  <si>
    <t>Tipo de propiedad</t>
  </si>
  <si>
    <t>Tipo Propiedad</t>
  </si>
  <si>
    <t>Header</t>
  </si>
  <si>
    <t>Path</t>
  </si>
  <si>
    <t>Query</t>
  </si>
  <si>
    <t>Body</t>
  </si>
  <si>
    <t>Agrupacion</t>
  </si>
  <si>
    <t>General</t>
  </si>
  <si>
    <t>Especifico</t>
  </si>
  <si>
    <t>Categoria</t>
  </si>
  <si>
    <t>Codigo</t>
  </si>
  <si>
    <t>Message</t>
  </si>
  <si>
    <t>Ok</t>
  </si>
  <si>
    <t>Valor Invalido</t>
  </si>
  <si>
    <t>Propiedades</t>
  </si>
  <si>
    <t>X-RqUID</t>
  </si>
  <si>
    <t>X-Name</t>
  </si>
  <si>
    <t>X-Version</t>
  </si>
  <si>
    <t>X-Channel</t>
  </si>
  <si>
    <t>X-CompanyId</t>
  </si>
  <si>
    <t>X-IPAddr</t>
  </si>
  <si>
    <t>X-Sesskey</t>
  </si>
  <si>
    <t>X-CustLoginId</t>
  </si>
  <si>
    <t>X-GovIssueIdentType</t>
  </si>
  <si>
    <t>CC</t>
  </si>
  <si>
    <t>CC,CE,LC,NI,OT,PA,RC,TI</t>
  </si>
  <si>
    <t>X-IdentSerialNum</t>
  </si>
  <si>
    <t>X-LastName</t>
  </si>
  <si>
    <t>X-FirstName</t>
  </si>
  <si>
    <t>X-KeyAcctId</t>
  </si>
  <si>
    <t>X-Language</t>
  </si>
  <si>
    <t>es_CO</t>
  </si>
  <si>
    <t>X-NextDt</t>
  </si>
  <si>
    <t>X-CustIdentType</t>
  </si>
  <si>
    <t>X-CustIdentNum</t>
  </si>
  <si>
    <t>X-LegalName</t>
  </si>
  <si>
    <t>SPPNiO2.0.2</t>
  </si>
  <si>
    <t>0023,0001,0002,0052</t>
  </si>
  <si>
    <t>10.159.211.59</t>
  </si>
  <si>
    <t>Jose Ruiz</t>
  </si>
  <si>
    <t>OrgIdNum</t>
  </si>
  <si>
    <t>Nickname</t>
  </si>
  <si>
    <t>NIE</t>
  </si>
  <si>
    <t>PayeeType</t>
  </si>
  <si>
    <t>Org</t>
  </si>
  <si>
    <t>Name</t>
  </si>
  <si>
    <t>Version</t>
  </si>
  <si>
    <t>GovIssueIdentType</t>
  </si>
  <si>
    <t>IdentSerialNum</t>
  </si>
  <si>
    <t>GovOrg</t>
  </si>
  <si>
    <t>CustPermId</t>
  </si>
  <si>
    <t>CustLoginId</t>
  </si>
  <si>
    <t>LegalName</t>
  </si>
  <si>
    <t>CC CE,LC,NI,OT,PA,RC,TI,NITE,NIT,NITN</t>
  </si>
  <si>
    <t>ICBS</t>
  </si>
  <si>
    <t>BBS</t>
  </si>
  <si>
    <t>BBS,ICBS,MB</t>
  </si>
  <si>
    <t>0001</t>
  </si>
  <si>
    <t>uV69pLZplLtS2M-kggaMsylkYOK-f3UXNz5PDZnCml6TDc1nw2nD</t>
  </si>
  <si>
    <t>Suarez</t>
  </si>
  <si>
    <t>Lucia</t>
  </si>
  <si>
    <t>2018-12-17T14:47:42</t>
  </si>
  <si>
    <t>EXCELSYS</t>
  </si>
  <si>
    <t>8.89.0</t>
  </si>
  <si>
    <t>NIT</t>
  </si>
  <si>
    <t>COUNTRY</t>
  </si>
  <si>
    <t>asuarezg</t>
  </si>
  <si>
    <t>ENERGIA</t>
  </si>
  <si>
    <t>Jeysson Cert</t>
  </si>
  <si>
    <t>Peticion Valida</t>
  </si>
  <si>
    <t>PRODUCCION BRM</t>
  </si>
  <si>
    <t>OFERTA CBS</t>
  </si>
  <si>
    <t>PIN03</t>
  </si>
  <si>
    <t>PIN13 (PRUEBAS QA)</t>
  </si>
  <si>
    <t xml:space="preserve">PIN04 </t>
  </si>
  <si>
    <t>NAME</t>
  </si>
  <si>
    <t>Prueba Sophos Account</t>
  </si>
  <si>
    <t>Prueba Sophos</t>
  </si>
  <si>
    <t>POID_DEAL</t>
  </si>
  <si>
    <t>POID_PRODUCT</t>
  </si>
  <si>
    <t>PERMITTED</t>
  </si>
  <si>
    <t>IS_PRIMARY_OFFERING</t>
  </si>
  <si>
    <t>IS_ATP_CORPORATIVE</t>
  </si>
  <si>
    <t>TYPE</t>
  </si>
  <si>
    <t>Offering Name*</t>
  </si>
  <si>
    <t>Legacy ID* (join field)</t>
  </si>
  <si>
    <t>Offering ID*</t>
  </si>
  <si>
    <t>TARIFF</t>
  </si>
  <si>
    <t>ITEM_PRICE</t>
  </si>
  <si>
    <t>ITEM_PRICE_IVA</t>
  </si>
  <si>
    <t>FALSO</t>
  </si>
  <si>
    <t>Tigo Beeper Empleados 3</t>
  </si>
  <si>
    <t>/service/telco/gsm/sms</t>
  </si>
  <si>
    <t>Ilimitado blackberry BIS pospago 3</t>
  </si>
  <si>
    <t>/service/telco/gsm/gprs</t>
  </si>
  <si>
    <t>OLA Web 50 MB</t>
  </si>
  <si>
    <t>OLA Web 10 MB</t>
  </si>
  <si>
    <t>OLA Hablas más. pagas menos (minutos)</t>
  </si>
  <si>
    <t>/service/telco/gsm/telephony</t>
  </si>
  <si>
    <t>Tigo Control 1000 minutos</t>
  </si>
  <si>
    <t>/service/cuentacontrol/telephony</t>
  </si>
  <si>
    <t>b2c</t>
  </si>
  <si>
    <t>Paquete SMS ilimitado 7 días</t>
  </si>
  <si>
    <t>Súper Plan OLA Control 2</t>
  </si>
  <si>
    <t>Paquete SMS Movistar a 1 Favorito</t>
  </si>
  <si>
    <t>OLA Web 20 MB</t>
  </si>
  <si>
    <t>Paquete Tigo Control Blackberry Mail</t>
  </si>
  <si>
    <t>/service/cuentacontrol/gprs</t>
  </si>
  <si>
    <t>Tigo Corporativo 1340 Mas</t>
  </si>
  <si>
    <t>b2b</t>
  </si>
  <si>
    <t>Paquete Datos DPI Mes 500 MB Control</t>
  </si>
  <si>
    <t>OLA Compañía tarifa única 1</t>
  </si>
  <si>
    <t>OLA A la Carta 35.000 Pioneros</t>
  </si>
  <si>
    <t>SMS Integradores CLX</t>
  </si>
  <si>
    <t>OLA A la Carta 49.000 Pioneros</t>
  </si>
  <si>
    <t>Súper Plan OLA Control 3</t>
  </si>
  <si>
    <t>Multimedia Control ilimitado MMS</t>
  </si>
  <si>
    <t>/service/cuentacontrol/mms</t>
  </si>
  <si>
    <t>Plan Tigo Empleados Control DR</t>
  </si>
  <si>
    <t>Paquete Internet Movil Tigo ilimitado FUP 5 GB</t>
  </si>
  <si>
    <t>GPRS ilimitado Blackberry BIS Pospago 1</t>
  </si>
  <si>
    <t>GPRS ilimitado Blackberry BES control 1</t>
  </si>
  <si>
    <t>Ilimitado blackberry BIS pospago 4</t>
  </si>
  <si>
    <t>Plan Datos Blackberry BB Plus Control</t>
  </si>
  <si>
    <t>Tigo Control Corporativo Simple 2 CUG</t>
  </si>
  <si>
    <t>Tigo Control PYME Simple 1</t>
  </si>
  <si>
    <t>GPRS ilimitado Blackberry BIS control 1</t>
  </si>
  <si>
    <t>OLA Compañía A la medida Cuenta Dependiente</t>
  </si>
  <si>
    <t>Paquete Tigo Bolsa Datos 5 GB Control</t>
  </si>
  <si>
    <t>Paquete Tigo Bolsa Datos 5GB Control</t>
  </si>
  <si>
    <t>Paquete Blackberry BIS 250 MB Control</t>
  </si>
  <si>
    <t>Paquete Internet Movil Tigo ilimitado FUP 3 GB</t>
  </si>
  <si>
    <t>Tigo Control Corporativo Simple 1 CUG</t>
  </si>
  <si>
    <t>OLA Compañía tarifa única 2</t>
  </si>
  <si>
    <t>Tigo Control Corporativo 10</t>
  </si>
  <si>
    <t>Tigo directo 4 a 9 líneas</t>
  </si>
  <si>
    <t>Tigo directo 1 a 3 líneas</t>
  </si>
  <si>
    <t>Paquete Internet Movil Tigo ilimitado FUP 1 GB</t>
  </si>
  <si>
    <t>OLA Datos 5 MB</t>
  </si>
  <si>
    <t>GPRS ilimitado Blackberry BES Pospago 1</t>
  </si>
  <si>
    <t>Tigo Control Estudiante Bacano</t>
  </si>
  <si>
    <t>Paquete de Datos Corporativo 1</t>
  </si>
  <si>
    <t>OLA Datos 1 MB</t>
  </si>
  <si>
    <t>Paquete SMS Multidestino 1 mes</t>
  </si>
  <si>
    <t>OLA Web 100 MB</t>
  </si>
  <si>
    <t>Plan Tigo Empleados Pospago 2</t>
  </si>
  <si>
    <t>Tigo Control Corporativo 1</t>
  </si>
  <si>
    <t>SMS Interactivo 1</t>
  </si>
  <si>
    <t>/account</t>
  </si>
  <si>
    <t>SMS Interactivo 2</t>
  </si>
  <si>
    <t>SMS Interactivo 3</t>
  </si>
  <si>
    <t>SMS Interactivo 4</t>
  </si>
  <si>
    <t>Plan Pyme Servicios Especiales Control Corporativo</t>
  </si>
  <si>
    <t>PBX Virtual Extension</t>
  </si>
  <si>
    <t>PBX Virtual Numero Cabecera</t>
  </si>
  <si>
    <t>Plan A Coassist</t>
  </si>
  <si>
    <t>Plan B Coassist</t>
  </si>
  <si>
    <t>Plan C Coassist</t>
  </si>
  <si>
    <t>Plan D Coassist</t>
  </si>
  <si>
    <t>Plan E Coassist</t>
  </si>
  <si>
    <t>PQTCorp TD Voz y SMS Infinitos P2</t>
  </si>
  <si>
    <t>/service/cuentacontrol/sms</t>
  </si>
  <si>
    <t>account_ATPC_SMS</t>
  </si>
  <si>
    <t>Prom 550MIN TD,SMS TD y Voz a Tigo infinito,2 GB WA+Mail+FB P1</t>
  </si>
  <si>
    <t>account_ATPC_TEL</t>
  </si>
  <si>
    <t>Prom 550MIN TD,SMS TD y Voz a Tigo infinito,2 GB WA+Mail+FB P2</t>
  </si>
  <si>
    <t>Prom 550MIN TD,SMS TD y Voz a Tigo infinito,2 GB WA+Mail+FB P3</t>
  </si>
  <si>
    <t>account_ATPC_GPRS</t>
  </si>
  <si>
    <t>Prom Voz y SMS TD infinitos, 12 GB WA + Mail + FB P1</t>
  </si>
  <si>
    <t>Prom Voz y SMS TD infinitos, 12 GB WA + Mail + FB P3</t>
  </si>
  <si>
    <t>Prom Voz y SMS TD infinitos, 12 GB WA + Mail + FB P2</t>
  </si>
  <si>
    <t>Prom Voz y SMS TD infinitos, 3,5 GB WA + Mail + FB P1</t>
  </si>
  <si>
    <t>Prom Voz y SMS TD infinitos, 3,5 GB WA + Mail + FB P2</t>
  </si>
  <si>
    <t>Prom Voz y SMS TD infinitos, 3,5 GB WA + Mail + FB P3</t>
  </si>
  <si>
    <t>Prom Voz y SMS TD infinitos, 8 GB WA + Mail FB P1</t>
  </si>
  <si>
    <t>Prom Voz y SMS TD infinitos, 8 GB WA + Mail FB P2</t>
  </si>
  <si>
    <t>Prom Voz y SMS TD infinitos, 8 GB WA + Mail FB P3</t>
  </si>
  <si>
    <t>Voz y SMS TD infinitos, 4 GB WA + Mail + FB P1</t>
  </si>
  <si>
    <t>Voz y SMS TD infinitos, 4 GB WA + Mail + FB P2</t>
  </si>
  <si>
    <t>Voz y SMS TD infinitos, 4 GB WA + Mail + FB P3</t>
  </si>
  <si>
    <t>Voz y SMS TD infinitos, 5 GB WA + Mail + FB P1</t>
  </si>
  <si>
    <t>Voz y SMS TD infinitos, 5 GB WA + Mail + FB P2</t>
  </si>
  <si>
    <t>Voz y SMS TD infinitos, 5 GB WA + Mail + FB P3</t>
  </si>
  <si>
    <t>Voz y SMS TD infinitos, 6 GB WA + Mail + FB P1</t>
  </si>
  <si>
    <t>Voz y SMS TD infinitos, 6 GB WA + Mail + FB P2</t>
  </si>
  <si>
    <t>Voz y SMS TD infinitos, 6 GB WA + Mail + FB P3</t>
  </si>
  <si>
    <t>Voz y SMS TD infinitos, 7 GB WA + Mail + FB P1</t>
  </si>
  <si>
    <t>Voz y SMS TD infinitos, 7 GB WA + Mail + FB P2</t>
  </si>
  <si>
    <t>Voz y SMS TD infinitos, 7 GB WA + Mail + FB P3</t>
  </si>
  <si>
    <t>Voz y SMS TD infinitos, 8 GB WA + Mail + FB P1</t>
  </si>
  <si>
    <t>Voz y SMS TD infinitos, 8 GB WA + Mail + FB P3</t>
  </si>
  <si>
    <t>Voz y SMS TD infinitos, 8 GB WA + Mail + FB P2</t>
  </si>
  <si>
    <t>Plan TRK SIP CUG 400.000MIN</t>
  </si>
  <si>
    <t>3 Accesos Incluidos - simultaneidad</t>
  </si>
  <si>
    <t>/service/troncales/telephony</t>
  </si>
  <si>
    <t>Combo Smart P1</t>
  </si>
  <si>
    <t>Combo  Smart P1</t>
  </si>
  <si>
    <t>Voz y SMS Todo Destino infinitos + 20GB WA+Mail+Smart P4</t>
  </si>
  <si>
    <t>account_ATPC</t>
  </si>
  <si>
    <t>10012,66</t>
  </si>
  <si>
    <t>PQT Corp Navegacion  1 Smart -1</t>
  </si>
  <si>
    <t>PQT Corp Navegacion 1 Smart -1</t>
  </si>
  <si>
    <t>PQT Corp Navegacion  3GB WA + Mail + 1 Smart P2</t>
  </si>
  <si>
    <t>6882,96</t>
  </si>
  <si>
    <t>PQT Corp Navegacion  1 Smart -2</t>
  </si>
  <si>
    <t>PQT Corp Navegacion  10.5GB WA + Mail + 1 Smart P2</t>
  </si>
  <si>
    <t>PQT Corp Navegacion  12.5GB WA + Mail + 1 Smart P2</t>
  </si>
  <si>
    <t>Paquete SMS 5.1</t>
  </si>
  <si>
    <t>Paquete SMS 5.2</t>
  </si>
  <si>
    <t>Paquete SMS 5.3</t>
  </si>
  <si>
    <t>Paquete Datos 5.1</t>
  </si>
  <si>
    <t>Paquete Datos 5.2</t>
  </si>
  <si>
    <t>Paquete Datos 5.3</t>
  </si>
  <si>
    <t>Pospago 5.1</t>
  </si>
  <si>
    <t>Paquete Voz 5.1</t>
  </si>
  <si>
    <t>Pospago 5.2</t>
  </si>
  <si>
    <t>Paquete Voz 5.2</t>
  </si>
  <si>
    <t>Pospago 5.3</t>
  </si>
  <si>
    <t>Paquete Voz 5.3</t>
  </si>
  <si>
    <t>Plan Control 1 MB Corporativo vol Mayor a 1000</t>
  </si>
  <si>
    <t>GPRS Ilimitado Blackberry empleados BES_PLUS control 1</t>
  </si>
  <si>
    <t>Paquete Datos DPI Mes 500 MB con Corte 1400K Control</t>
  </si>
  <si>
    <t>Opción Ilimitado</t>
  </si>
  <si>
    <t>VERDADERO</t>
  </si>
  <si>
    <t>SEGURO MOVIL M</t>
  </si>
  <si>
    <t>Paquete Datos Control 4 MB Corporativo vol 500</t>
  </si>
  <si>
    <t>Paquete Internet Movil Tigo ilimitado Corporativo</t>
  </si>
  <si>
    <t>OLA Imagen 10 Cuenta Controlada</t>
  </si>
  <si>
    <t>Paquete Datos Control 5 MB Corporativo vol 500</t>
  </si>
  <si>
    <t>GPRS Ilimitado Blackberry empleados BES_PLUS pospago 1</t>
  </si>
  <si>
    <t>Plan Control 5 MB Corporativo vol Mayor a 1000</t>
  </si>
  <si>
    <t>OLA Web 1 MB (Titular)</t>
  </si>
  <si>
    <t>OLA Beeper 100 Cuenta Controlada</t>
  </si>
  <si>
    <t>Plan Datos Internet Movil Tigo 3 GB Control 2</t>
  </si>
  <si>
    <t>Paquete Datos Control 4 MB Corporativo vol 1000</t>
  </si>
  <si>
    <t>Paquete Datos Control 3 MB Corporativo vol 1000</t>
  </si>
  <si>
    <t>Paquete Datos Control 20 MB Corporativo vol 500</t>
  </si>
  <si>
    <t>Paquete Datos DPI Mes Mail-HTTP-Redes Sociales</t>
  </si>
  <si>
    <t>Servicio ilimitado de Voz Control Favoritos</t>
  </si>
  <si>
    <t>Paquete Datos Control 5 MB Corporativo vol 1000</t>
  </si>
  <si>
    <t>Plan Control 15 MB Corporativo vol Mayor a 1000</t>
  </si>
  <si>
    <t>OLA Web 50 MB(Titular)</t>
  </si>
  <si>
    <t>OLA Hablas Más. Pagas Menos (minutos) Pioneros</t>
  </si>
  <si>
    <t>Paquete Modulo Consulta Cartera</t>
  </si>
  <si>
    <t>Paquete Datos 4 MB Corporativo vol Mayor a 1000</t>
  </si>
  <si>
    <t>Paquete Datos Control 1 MB Corporativo vol 1000</t>
  </si>
  <si>
    <t>Plan Control 20 MB Corporativo vol Mayor a 1000</t>
  </si>
  <si>
    <t>Modulo Tigo Bacanos 3 Control CBA</t>
  </si>
  <si>
    <t>OLA Unidos 2 (Titular)</t>
  </si>
  <si>
    <t>Plan Internet Movil Tigo Control Direct TV</t>
  </si>
  <si>
    <t>Empty Telephony Product</t>
  </si>
  <si>
    <t>Paquete Datos 5 MB Corporativo vol Mayor a 1000</t>
  </si>
  <si>
    <t>Modulo Tigo Bacanos 2 Control CBA</t>
  </si>
  <si>
    <t>OLA Web 20 MB(Titular)</t>
  </si>
  <si>
    <t>Paquete Internet Movil Tigo ilimitado Familia Control</t>
  </si>
  <si>
    <t>Servicio ilimitado de Voz Pospago Favoritos</t>
  </si>
  <si>
    <t>Plan Familia Tigo</t>
  </si>
  <si>
    <t>Paquete Datos Control 30 MB Corporativo vol 500</t>
  </si>
  <si>
    <t>Paquete Datos 1 MB Corporativo vol Mayor a 1000</t>
  </si>
  <si>
    <t>OLA Hablas más. pagas menos (minutos) pioneros</t>
  </si>
  <si>
    <t>Tigo Control Estudiante</t>
  </si>
  <si>
    <t>Promocion 20 SMS OnNet Control</t>
  </si>
  <si>
    <t>Plan Tigo LL</t>
  </si>
  <si>
    <t>Plan Tigo MM</t>
  </si>
  <si>
    <t>Seguridad Movil McAfee</t>
  </si>
  <si>
    <t>Seguridad Movil McAfee - Promo mes gratis</t>
  </si>
  <si>
    <t>Seguridad Movil McAfee Anual</t>
  </si>
  <si>
    <t>Seguridad Movil McAfee Anual - Promo mes gratis</t>
  </si>
  <si>
    <t>Seguridad Movil McAfee Mensual Super Promo - mes gratis</t>
  </si>
  <si>
    <t>Seguridad Movil McAfee Semestral</t>
  </si>
  <si>
    <t>Seguridad Movil McAfee Semestral - Promo mes gratis</t>
  </si>
  <si>
    <t>Seguridad Movil McAfee Super Promo</t>
  </si>
  <si>
    <t>Seguridad Movil McAfee Super Promo Anual</t>
  </si>
  <si>
    <t>Seguridad Movil McAfee Super Promo Anual - mes gratis</t>
  </si>
  <si>
    <t>Seguridad Movil McAfee Super Promo Semestral - mes gratis</t>
  </si>
  <si>
    <t>Plan SMS Multioperador 1</t>
  </si>
  <si>
    <t>Plan SMS Multioperador 2</t>
  </si>
  <si>
    <t>Plan SMS Multioperador 3</t>
  </si>
  <si>
    <t>Plan SMS Multioperador 4</t>
  </si>
  <si>
    <t>Plan SMS Multioperador 5</t>
  </si>
  <si>
    <t>Plan SMS Multioperador pago adelantado 1</t>
  </si>
  <si>
    <t>Plan SMS Multioperador pago adelantado 2</t>
  </si>
  <si>
    <t>Plan SMS Multioperador pago adelantado 3</t>
  </si>
  <si>
    <t>Paquete Datos DPI Mes 2 GB con Corte Control A</t>
  </si>
  <si>
    <t>Plan Datos Internet Movil Tigo ilimitado FUP 1 GB Control A</t>
  </si>
  <si>
    <t>Plan Datos DPI Mes 3 GB Control A</t>
  </si>
  <si>
    <t>Plan Datos Internet Movil Tigo 3 GB Control A</t>
  </si>
  <si>
    <t>Paquete Datos DPI Mes 1 GB con Corte Control A</t>
  </si>
  <si>
    <t>Plan Datos Internet Movil Tigo ilimitado FUP 3 GB Control A</t>
  </si>
  <si>
    <t>Plan Datos DPI Mes 5 GB Control A</t>
  </si>
  <si>
    <t>Plan Datos Internet Movil Tigo ilimitado FUP 5 GB Control A</t>
  </si>
  <si>
    <t>Plan Ilimitado Corporativo 500MB</t>
  </si>
  <si>
    <t>Plan Ilimitado Corporativo 3GB</t>
  </si>
  <si>
    <t>Paquete Control Ilimitado Corporativo 500MB</t>
  </si>
  <si>
    <t>Paquete Control Ilimitado Corporativo 3GB</t>
  </si>
  <si>
    <t>Plan Control Ilimitado Corporativo 3GB</t>
  </si>
  <si>
    <t>Plan Control Ilimitado Corporativo 500MB</t>
  </si>
  <si>
    <t>Plan Tigo Cuenta Sponsor</t>
  </si>
  <si>
    <t>Plan Tigo Cuenta Padre</t>
  </si>
  <si>
    <t>PQT Corp LDI 50</t>
  </si>
  <si>
    <t>account_ATPC_LD</t>
  </si>
  <si>
    <t>PQT Corp LDI 100</t>
  </si>
  <si>
    <t>PQT Corp LDI 180</t>
  </si>
  <si>
    <t>PQT Corp LDI 330</t>
  </si>
  <si>
    <t>PQT Corp SMS Todo Destino 30</t>
  </si>
  <si>
    <t>PQT Corp SMS Todo Destino 100</t>
  </si>
  <si>
    <t>Plan Datos Mes Anticipado 500 MB Control Econo</t>
  </si>
  <si>
    <t>Plan Datos Mes  Anticipado 1 GB Corte Control Econo</t>
  </si>
  <si>
    <t>Plan Datos Mes Anticipado 2 GB Corte Control Econo</t>
  </si>
  <si>
    <t>Plan Datos Mes Anticipado 500 MB con Corte Control</t>
  </si>
  <si>
    <t>Plan Datos Mes  Anticipado 1 GB con Corte Control</t>
  </si>
  <si>
    <t>Plan Datos Mes Anticipado 2 GB con Corte Control</t>
  </si>
  <si>
    <t>Plan Datos Mes  Anticipado 3 GB con Corte Control</t>
  </si>
  <si>
    <t>Plan Datos Mes Anticipado 5 GB con Corte Control</t>
  </si>
  <si>
    <t>Plan Datos  Mes Anticipado Tigo Ilimitado</t>
  </si>
  <si>
    <t>Plan Internet limitado control Mes Anticipado 10GB</t>
  </si>
  <si>
    <t>Plan Internet limitado control Mes Anticipado 15GB</t>
  </si>
  <si>
    <t>Plan Internet limitado control Mes Anticipado 20GB</t>
  </si>
  <si>
    <t>Plan Datos Mes Corriente 500 MB Control Econo</t>
  </si>
  <si>
    <t>Plan Datos Mes  Corriente 1 GB Corte Control Econo</t>
  </si>
  <si>
    <t>Plan Datos Mes Corriente 2 GB Corte Control Econo</t>
  </si>
  <si>
    <t>Plan Datos Mes Corriente 500 MB con Corte Control</t>
  </si>
  <si>
    <t>Plan Datos Mes  Corriente 1 GB con Corte Control</t>
  </si>
  <si>
    <t>Plan Datos Mes Corriente 2 GB con Corte Control</t>
  </si>
  <si>
    <t>Plan Datos Mes  Corriente 3 GB con Corte Control</t>
  </si>
  <si>
    <t>Plan Datos Mes Corriente 5 GB con Corte Control</t>
  </si>
  <si>
    <t>Plan Datos  Mes Corriente Tigo Ilimitado</t>
  </si>
  <si>
    <t>Plan Internet limitado control Mes Corriente 10GB</t>
  </si>
  <si>
    <t>Plan Internet limitado control Mes Corriente 15GB</t>
  </si>
  <si>
    <t>Plan Internet limitado control Mes Corriente 20GB</t>
  </si>
  <si>
    <t>Plan Datos Mes Vencido 500 MB Control Econo</t>
  </si>
  <si>
    <t>Plan Datos Mes  Vencido 1 GB Corte Control Econo</t>
  </si>
  <si>
    <t>Plan Datos Mes Vencido 2 GB Corte Control Econo</t>
  </si>
  <si>
    <t>Plan Datos Mes Vencido 500 MB con Corte Control</t>
  </si>
  <si>
    <t>Plan Datos Mes  Vencido 1 GB con Corte Control</t>
  </si>
  <si>
    <t>Plan Datos Mes Vencido 2 GB con Corte Control</t>
  </si>
  <si>
    <t>Plan Datos Mes  Vencido 3 GB con Corte Control</t>
  </si>
  <si>
    <t>Plan Datos Mes Vencido 5 GB con Corte Control</t>
  </si>
  <si>
    <t>Plan Datos  Mes Vencido Tigo Ilimitado</t>
  </si>
  <si>
    <t>Plan Internet limitado control Mes Vencido 10GB</t>
  </si>
  <si>
    <t>Plan Internet limitado control Mes Vencido 15GB</t>
  </si>
  <si>
    <t>Plan Internet limitado control Mes Vencido 20GB</t>
  </si>
  <si>
    <t>Paquete Datos Mes Anticipado 500 MB Control Econo</t>
  </si>
  <si>
    <t>Plan Control 30 MB Corporativo vol Mayor a 1000</t>
  </si>
  <si>
    <t>Paquete Datos Control 15 MB Corporativo vol 500</t>
  </si>
  <si>
    <t>Paquete Datos 3 MB Corporativo vol Mayor a 1000</t>
  </si>
  <si>
    <t>Paquete Datos Control 10 MB Corporativo vol 500</t>
  </si>
  <si>
    <t>Plan Control 10 MB Corporativo vol Mayor a 1000</t>
  </si>
  <si>
    <t>Plan Control  Corporativo 100 Mensajes ONNET</t>
  </si>
  <si>
    <t>Paquete Internet Movil Tigo ilimitado FUP 3 GB Control</t>
  </si>
  <si>
    <t>OLA Beeper 2.000</t>
  </si>
  <si>
    <t>OLA Beeper 4.000</t>
  </si>
  <si>
    <t>Aplicacion SMS Empresarial 2 Control</t>
  </si>
  <si>
    <t>Paquete Datos 15 MB Corporativo vol Mayor a 1000</t>
  </si>
  <si>
    <t>Paquete Internet Movil Tigo ilimitado Empleados</t>
  </si>
  <si>
    <t>Paquete Internet Movil Tigo ilimitado FUP 5 GB Control</t>
  </si>
  <si>
    <t>OLA Mío 1 Plus</t>
  </si>
  <si>
    <t>Multimedia 2 MMS</t>
  </si>
  <si>
    <t>/service/telco/gsm/mms</t>
  </si>
  <si>
    <t>Paquete Datos 20 MB Corporativo vol Mayor a 1000</t>
  </si>
  <si>
    <t>Aplicacion SMS Empresarial 1 Control</t>
  </si>
  <si>
    <t>Paquete Datos 30 MB Corporativo vol Mayor a 1000</t>
  </si>
  <si>
    <t>Paquete Datos Control 30 MB Corporativo vol 1000</t>
  </si>
  <si>
    <t>Aplicacion SMS Empresarial 2</t>
  </si>
  <si>
    <t>Paquete Tigo Blackberry Lite</t>
  </si>
  <si>
    <t>Aplicacion SMS Empresarial 3 Control</t>
  </si>
  <si>
    <t>Multimedia 1 SMS</t>
  </si>
  <si>
    <t>Paquete Datos 10 MB Corporativo vol Mayor a 1000</t>
  </si>
  <si>
    <t>Paquete Datos Control 15 MB Corporativo vol 1000</t>
  </si>
  <si>
    <t>Plan Datos Control ilimitado Corporativo vol 500</t>
  </si>
  <si>
    <t>Plan Internet Movil Tigo NE</t>
  </si>
  <si>
    <t>OLA Web 100 MB(Titular)</t>
  </si>
  <si>
    <t>GPRS Tigo Corporativo 1</t>
  </si>
  <si>
    <t>OLA Compañía Hablas más. pagas menos pioneros</t>
  </si>
  <si>
    <t>Numeros Bacanos Control</t>
  </si>
  <si>
    <t>Plan Internet Movil Tigo Familia</t>
  </si>
  <si>
    <t>Paquete Datos Control 20 MB Corporativo vol 1000</t>
  </si>
  <si>
    <t>Multimedia 2 SMS</t>
  </si>
  <si>
    <t>Paquete Tigo PC Security Paid</t>
  </si>
  <si>
    <t>Tigo Control Familia Empresa</t>
  </si>
  <si>
    <t>Aplicacion SMS Empresarial 4 Control</t>
  </si>
  <si>
    <t>Multimedia 1 MMS</t>
  </si>
  <si>
    <t>Paquete Datos DPI Mes Mail-HTTP-Redes Sociales Control</t>
  </si>
  <si>
    <t>Paquete Internet Movil Tigo ilimitado FUP 1 GB Control</t>
  </si>
  <si>
    <t>OLA Beeper 1.000</t>
  </si>
  <si>
    <t>OLA Referidos 1</t>
  </si>
  <si>
    <t>OLA Empresarial 70 mil</t>
  </si>
  <si>
    <t>Plan Datos 13</t>
  </si>
  <si>
    <t>PQT Corp SMS Todo Destino 1000</t>
  </si>
  <si>
    <t>PQT Corp SMS Tigo 50</t>
  </si>
  <si>
    <t>PQT Corp SMS Tigo 150</t>
  </si>
  <si>
    <t>PQT Corp SMS Tigo 10000</t>
  </si>
  <si>
    <t>PQT Corp Voz Roaming USA 20</t>
  </si>
  <si>
    <t>PQT Corp Voz Roaming USA 50</t>
  </si>
  <si>
    <t>PQT Corp Voz Roaming USA 100</t>
  </si>
  <si>
    <t>PQT Corp Voz Roaming America Top Europa 20</t>
  </si>
  <si>
    <t>PQT Corp Voz Roaming America Top Europa 50</t>
  </si>
  <si>
    <t>PQT Corp Voz Roaming America Top Europa 100</t>
  </si>
  <si>
    <t>PQT Corp Roaming Datos America Top Europa 3M</t>
  </si>
  <si>
    <t>PQT Corp Roaming Datos America Top Europa 5M</t>
  </si>
  <si>
    <t>PQT Corp Roaming Datos America Top Europa 10M</t>
  </si>
  <si>
    <t>PQT Corp Full Roaming America Top Europa 20 - 3M</t>
  </si>
  <si>
    <t>PQT Corp Full Roaming America Top Europa 50 - 5M</t>
  </si>
  <si>
    <t>PQT Corp Full Roaming America Top Europa 100 - 10M</t>
  </si>
  <si>
    <t>PQT Corp Full Roaming USA 20 - 3M</t>
  </si>
  <si>
    <t>PQT Corp Full Roaming USA 50 - 5M</t>
  </si>
  <si>
    <t>PQT Corp Full Roaming USA 100 - 10M</t>
  </si>
  <si>
    <t>PQT Corp Roaming Diario 15</t>
  </si>
  <si>
    <t>PQT Corp 3M GPRS para PQT Roaming</t>
  </si>
  <si>
    <t>PQT Corp 5M GPRS para PQT Roaming</t>
  </si>
  <si>
    <t>PQT Corp 10M GPRS para PQT Roaming</t>
  </si>
  <si>
    <t>PQT Corp Tigo 1100</t>
  </si>
  <si>
    <t>PQT Corp Tigo 1300</t>
  </si>
  <si>
    <t>PQT Corp Tigo 1500</t>
  </si>
  <si>
    <t>PQT Corp Tigo 1700</t>
  </si>
  <si>
    <t>PQT Corp Tigo 2000</t>
  </si>
  <si>
    <t>PQT Corp Tigo 2200</t>
  </si>
  <si>
    <t>PQT Corp Tigo 2450</t>
  </si>
  <si>
    <t>PQT Corp Tigo 2650</t>
  </si>
  <si>
    <t>PQT Corp Tigo 2850</t>
  </si>
  <si>
    <t>PQT Corp Tigo 3050</t>
  </si>
  <si>
    <t>PQT Corp Tigo 3300</t>
  </si>
  <si>
    <t>PQT Corp Tigo 3600</t>
  </si>
  <si>
    <t>PQT Corp Tigo 3800</t>
  </si>
  <si>
    <t>PQT Corp Tigo 4100</t>
  </si>
  <si>
    <t>PQT Corp CUG 500</t>
  </si>
  <si>
    <t>PQT Corp CUG 1000</t>
  </si>
  <si>
    <t>PQT Corp CUG 5000</t>
  </si>
  <si>
    <t>PQT Corp CUG 10000</t>
  </si>
  <si>
    <t>PQT Corp CUG 20000</t>
  </si>
  <si>
    <t>PQT Corp Tigo 150</t>
  </si>
  <si>
    <t>PQT Corp Tigo 320</t>
  </si>
  <si>
    <t>PQT Corp Tigo 500</t>
  </si>
  <si>
    <t>PQT Corp Tigo 700</t>
  </si>
  <si>
    <t>PQT Corp Tigo 900</t>
  </si>
  <si>
    <t>Pospago Abierto 1</t>
  </si>
  <si>
    <t>Pospago Abierto 2</t>
  </si>
  <si>
    <t>Pospago Abierto 3</t>
  </si>
  <si>
    <t>Plan de Asistencia Platino</t>
  </si>
  <si>
    <t>Plan de Asistencia VIP</t>
  </si>
  <si>
    <t>Plan Tigo Family Protection</t>
  </si>
  <si>
    <t>Plan Tigo Family Protection Paid</t>
  </si>
  <si>
    <t>Plan Tigo PC Security Paid</t>
  </si>
  <si>
    <t>Plan Tigo PC Security Plus Suite</t>
  </si>
  <si>
    <t>Plan Tigo VirusScan</t>
  </si>
  <si>
    <t>Plan Tigo VirusScan Paid</t>
  </si>
  <si>
    <t>Plan Tigo VirusScan Plus</t>
  </si>
  <si>
    <t>Plan Tigo VirusScan Plus Paid</t>
  </si>
  <si>
    <t>Paquete Bolsa LBS-70</t>
  </si>
  <si>
    <t>Paquete Datos Mes  Anticipado 1 GB Corte Control Econo</t>
  </si>
  <si>
    <t>Paquete Datos Mes Anticipado 2 GB Corte Control Econo</t>
  </si>
  <si>
    <t>Paquete Datos Mes Anticipado 500 MB con Corte Control</t>
  </si>
  <si>
    <t>Paquete Datos Mes  Anticipado 1 GB con Corte Control</t>
  </si>
  <si>
    <t>Paquete Datos Mes Anticipado 2 GB con Corte Control</t>
  </si>
  <si>
    <t>Paquete Datos Mes  Anticipado 3 GB con Corte Control</t>
  </si>
  <si>
    <t>Paquete Datos Mes Anticipado 5 GB con Corte Control</t>
  </si>
  <si>
    <t>Paquete Datos  Mes Anticipado Tigo Ilimitado</t>
  </si>
  <si>
    <t>Paquete Internet limitado control Mes Anticipado 10GB</t>
  </si>
  <si>
    <t>Paquete Internet limitado control Mes Anticipado 15GB</t>
  </si>
  <si>
    <t>Paquete Internet limitado control Mes Anticipado 20GB</t>
  </si>
  <si>
    <t>Paquete Datos Mes Corriente 500 MB Control Econo</t>
  </si>
  <si>
    <t>Paquete Datos Mes  Corriente 1 GB Corte Control Econo</t>
  </si>
  <si>
    <t>Paquete Datos Mes Corriente 2 GB Corte Control Econo</t>
  </si>
  <si>
    <t>Paquete Datos Mes Corriente 500 MB con Corte Control</t>
  </si>
  <si>
    <t>Paquete Datos Mes  Corriente 1 GB con Corte Control</t>
  </si>
  <si>
    <t>Paquete Datos Mes Corriente 2 GB con Corte Control</t>
  </si>
  <si>
    <t>Paquete Datos Mes  Corriente 3 GB con Corte Control</t>
  </si>
  <si>
    <t>Paquete Datos Mes Corriente 5 GB con Corte Control</t>
  </si>
  <si>
    <t>Paquete Datos  Mes Corriente Tigo Ilimitado</t>
  </si>
  <si>
    <t>Paquete Internet limitado control Mes Corriente 10GB</t>
  </si>
  <si>
    <t>Paquete Internet limitado control Mes Corriente 15GB</t>
  </si>
  <si>
    <t>Paquete Internet limitado control Mes Corriente 20GB</t>
  </si>
  <si>
    <t>Paquete Datos Mes Vencido 500 MB Control Econo</t>
  </si>
  <si>
    <t>Paquete Datos Mes  Vencido 1 GB Corte Control Econo</t>
  </si>
  <si>
    <t>Paquete Datos Mes Vencido 2 GB Corte Control Econo</t>
  </si>
  <si>
    <t>Paquete Datos Mes Vencido 500 MB con Corte Control</t>
  </si>
  <si>
    <t>Paquete Datos Control 10 MB Corporativo vol 1000</t>
  </si>
  <si>
    <t>Ilimitado blackberry BIS control 3 CBA</t>
  </si>
  <si>
    <t>Plan Datos Control ilimitado Corporativo vol 1000</t>
  </si>
  <si>
    <t>Plan Datos Internet Movil Tigo ilimitado Corporativo</t>
  </si>
  <si>
    <t>Paquete Datos DPI Mes FUP 500 MB Baja Velocidad Control</t>
  </si>
  <si>
    <t>Blackberry BIS 4 MB control 1</t>
  </si>
  <si>
    <t>Plan Datos Control 5 MB PYME</t>
  </si>
  <si>
    <t>Paquete Internet Movil Tigo ilimitado Control 2</t>
  </si>
  <si>
    <t>Blackberry BIS 1 MB control 1</t>
  </si>
  <si>
    <t>Blackberry BIS 1 Mb control 1</t>
  </si>
  <si>
    <t>Aplicacion SMS Empresarial 3</t>
  </si>
  <si>
    <t>GPRS Tigo Corporativo 2</t>
  </si>
  <si>
    <t>OLA Beeper 10.000</t>
  </si>
  <si>
    <t>OLA Referidos 2</t>
  </si>
  <si>
    <t>Paquete Internet Movil Tigo 3 GB Control Corporativo</t>
  </si>
  <si>
    <t>Paquete Internet Movil Tigo ilimitado Empleados Control</t>
  </si>
  <si>
    <t>Blackberry BIS 4 MB pospago 1</t>
  </si>
  <si>
    <t>Tigo PYME 1</t>
  </si>
  <si>
    <t>Blackberry BIS 1 MB pospago 1</t>
  </si>
  <si>
    <t>Paquete Internet Movil Tigo 1 GB Control Corporativo</t>
  </si>
  <si>
    <t>Shared Number</t>
  </si>
  <si>
    <t>OLA Empresarial 110 mil</t>
  </si>
  <si>
    <t>Multimedia 1 GPRS</t>
  </si>
  <si>
    <t>Plan Datos Control 1 GB PYME</t>
  </si>
  <si>
    <t>OLA Web Datos 500KB TL</t>
  </si>
  <si>
    <t>OLA Compañía Compartido 2400 (Titular) pioneros</t>
  </si>
  <si>
    <t>OLA Imagen 50 Masivo</t>
  </si>
  <si>
    <t>Multimedia 2 GPRS</t>
  </si>
  <si>
    <t>OLA Compañía Compartido 1200 (Titular) pioneros</t>
  </si>
  <si>
    <t>OLA Empresarial 175 mil</t>
  </si>
  <si>
    <t>Tigo Aliado Control</t>
  </si>
  <si>
    <t>Paquete Internet Movil Tigo 1 GB</t>
  </si>
  <si>
    <t>Paquete Internet Movil Tigo 3 GB</t>
  </si>
  <si>
    <t>OLA A la carta 140</t>
  </si>
  <si>
    <t>Tigo PYME 2</t>
  </si>
  <si>
    <t>Paquete Tigo VirusScanPII</t>
  </si>
  <si>
    <t>OLA A la carta 360</t>
  </si>
  <si>
    <t>OLA Beeper 2.000(Titular)</t>
  </si>
  <si>
    <t>Blackberry BIS 1 MB pospago 2</t>
  </si>
  <si>
    <t>OLA Beeper 4.000(Titular)</t>
  </si>
  <si>
    <t>Paquete Localizacion Renting</t>
  </si>
  <si>
    <t>Plan Internet Movil Tigo Ilimitado Control Financiado</t>
  </si>
  <si>
    <t>Blackberry BIS 4 MB pospago 2</t>
  </si>
  <si>
    <t>OLA Web Unidos 2</t>
  </si>
  <si>
    <t>Plan Datos 10 2</t>
  </si>
  <si>
    <t>Ola Combinado Pospago</t>
  </si>
  <si>
    <t>OLA A la carta 550</t>
  </si>
  <si>
    <t>Plan Datos Control 15 MB PYME</t>
  </si>
  <si>
    <t>PQT Corp Todo destino 100 SMS</t>
  </si>
  <si>
    <t>PQT Corp Todo destino 1000</t>
  </si>
  <si>
    <t>PQT Corp Todo destino 1300</t>
  </si>
  <si>
    <t>PQT Corp Todo destino 1300 SMS</t>
  </si>
  <si>
    <t>PQT Corp Todo destino 150</t>
  </si>
  <si>
    <t>PQT Corp Todo destino 1500</t>
  </si>
  <si>
    <t>PQT Corp Todo destino 1500 SMS</t>
  </si>
  <si>
    <t>PQT Corp Todo destino 1800 SMS</t>
  </si>
  <si>
    <t>PQT Corp Todo destino 200</t>
  </si>
  <si>
    <t>PQT Corp Todo destino 200 SMS</t>
  </si>
  <si>
    <t>PQT Corp Todo destino 2000</t>
  </si>
  <si>
    <t>PQT Corp Todo destino 2000 SMS</t>
  </si>
  <si>
    <t>PQT Corp Todo destino 2500</t>
  </si>
  <si>
    <t>PQT Corp Todo destino 2500 SMS</t>
  </si>
  <si>
    <t>PQT Corp Todo destino 300</t>
  </si>
  <si>
    <t>PQT Corp Todo destino 300 SMS</t>
  </si>
  <si>
    <t>PQT Corp Todo destino 3000</t>
  </si>
  <si>
    <t>PQT Corp Todo destino 3000 SMS</t>
  </si>
  <si>
    <t>PQT Corp Todo destino 3500</t>
  </si>
  <si>
    <t>PQT Corp Todo destino 3500 SMS</t>
  </si>
  <si>
    <t>PQT Corp Todo destino 400</t>
  </si>
  <si>
    <t>PQT Corp Todo destino 400 SMS</t>
  </si>
  <si>
    <t>PQT Corp Todo destino 4000</t>
  </si>
  <si>
    <t>PQT Corp Todo destino 4000 SMS</t>
  </si>
  <si>
    <t>PQT Corp Todo destino 500 SMS</t>
  </si>
  <si>
    <t>PQT Corp Todo destino 800</t>
  </si>
  <si>
    <t>PQT Corp Todo destino 800 SMS</t>
  </si>
  <si>
    <t>PAQUETE CORPORATIVO LDI 180 MIN</t>
  </si>
  <si>
    <t>PAQUETE CORPORATIVO LDI 180 MIN CONTROL</t>
  </si>
  <si>
    <t>PAQUETE CORPORATIVO LDI 330 MIN</t>
  </si>
  <si>
    <t>PAQUETE CORPORATIVO LDI 330 MIN CONTROL</t>
  </si>
  <si>
    <t>PAQUETE CORPORATIVOS LDI 100 MIN</t>
  </si>
  <si>
    <t>PAQUETE CORPORATIVOS LDI 100 MIN CONTROL</t>
  </si>
  <si>
    <t>PAQUETE CORPORATIVOS LDI 50 MIN</t>
  </si>
  <si>
    <t>PAQUETE CORPORATIVOS LDI 50 MIN CONTROL</t>
  </si>
  <si>
    <t>Plan SMS Multioperador Especial APP 1</t>
  </si>
  <si>
    <t>Plan SMS Multioperador Especial APP 2</t>
  </si>
  <si>
    <t>Plan SMS Multioperador Especial APP 3</t>
  </si>
  <si>
    <t>Plan SMS Multioperador Especial 1</t>
  </si>
  <si>
    <t>Plan SMS Multioperador Especial 2</t>
  </si>
  <si>
    <t>Plan SMS Multioperador Especial 3</t>
  </si>
  <si>
    <t>Plan Bolsa USSD Especial 1</t>
  </si>
  <si>
    <t>Paquete Internet 200 MB Pospago RTB</t>
  </si>
  <si>
    <t>Paquete GPRS ilimitado 1 día</t>
  </si>
  <si>
    <t>Paquete Suscripcion SMS ilimitado 1 día Gratis</t>
  </si>
  <si>
    <t>Paquete Suscripcion SMS ilimitado 1 mes</t>
  </si>
  <si>
    <t>Paquete Suscripcion SMS ilimitado 7 días</t>
  </si>
  <si>
    <t>Paquete SMS ilimitado 1 mes</t>
  </si>
  <si>
    <t>Paquete SMS ilimitado Movistar 1 día</t>
  </si>
  <si>
    <t>Paquete SMS ilimitado Movistar 1 mes</t>
  </si>
  <si>
    <t>Paquete SMS ilimitado Movistar 7 días</t>
  </si>
  <si>
    <t>Arma tu plan Abierto RTB Corporativo</t>
  </si>
  <si>
    <t>Paquete Datos Mes  Vencido 1 GB con Corte Control</t>
  </si>
  <si>
    <t>Paquete Datos Mes Vencido 2 GB con Corte Control</t>
  </si>
  <si>
    <t>Paquete Datos Mes  Vencido 3 GB con Corte Control</t>
  </si>
  <si>
    <t>Paquete Datos Mes Vencido 5 GB con Corte Control</t>
  </si>
  <si>
    <t>Paquete Datos  Mes Vencido Tigo Ilimitado</t>
  </si>
  <si>
    <t>Paquete Internet limitado control Mes Vencido 10GB</t>
  </si>
  <si>
    <t>Paquete Internet limitado control Mes Vencido 15GB</t>
  </si>
  <si>
    <t>Paquete Internet limitado control Mes Vencido 20GB</t>
  </si>
  <si>
    <t>Paquete Datos DPI Mes Anticipado 500 MB Control</t>
  </si>
  <si>
    <t>Paquete Datos DPI Mes Anticipado 1 GB con Corte Control</t>
  </si>
  <si>
    <t>Paquete Datos DPI Mes Anticipado 2 GB Control</t>
  </si>
  <si>
    <t>Paquete Datos DPI Mes Anticipado 3 GB Control</t>
  </si>
  <si>
    <t>Paquete Datos DPI Mes Anticipado 5 GB Control</t>
  </si>
  <si>
    <t>Paquete Anticipado 1.5GB Música Ilimitada control</t>
  </si>
  <si>
    <t>Paquete Anticipado 2.5GB Música Ilimitada control</t>
  </si>
  <si>
    <t>Paquete Anticipado 4GB Música Ilimitada control</t>
  </si>
  <si>
    <t>Paquete Anticipado 5GB Música Ilimitada control</t>
  </si>
  <si>
    <t>Paquete Internet Movil Tigo Anticipado MW FUP 1 GB Control</t>
  </si>
  <si>
    <t>Paquete Internet Movil Tigo Anticipado MW FUP 2 GB Control</t>
  </si>
  <si>
    <t>Paquete Internet Movil Tigo Anticipado MW FUP 3 GB Control</t>
  </si>
  <si>
    <t>Paquete Internet Movil Tigo Anticipado MW FUP 5 GB Control</t>
  </si>
  <si>
    <t>Paquete Datos DPI Mes Corriente 500 MB Control</t>
  </si>
  <si>
    <t>Paquete Datos DPI Mes Corriente 1 GB con Corte Control</t>
  </si>
  <si>
    <t>Paquete Datos DPI Mes Corriente 2 GB Control</t>
  </si>
  <si>
    <t>Paquete Datos DPI Mes Corriente 3 GB Control</t>
  </si>
  <si>
    <t>Paquete Datos DPI Mes Corriente 5 GB Control</t>
  </si>
  <si>
    <t>Paquete Corriente 1.5GB Música Ilimitada control</t>
  </si>
  <si>
    <t>Paquete Corriente 2.5GB Música Ilimitada control</t>
  </si>
  <si>
    <t>Paquete Corriente 4GB Música Ilimitada control</t>
  </si>
  <si>
    <t>Numeral 1XY 1</t>
  </si>
  <si>
    <t>Numeral 1XY 2</t>
  </si>
  <si>
    <t>Numeral 1XY 3</t>
  </si>
  <si>
    <t>Numeral 1XY Onnet 2</t>
  </si>
  <si>
    <t>Numeral 1XY Onnet 1</t>
  </si>
  <si>
    <t>PQT Corp TodoDestino 10SMS F2</t>
  </si>
  <si>
    <t>PQTCorp TodoDestino 100MIN 10SMS P2</t>
  </si>
  <si>
    <t>PQT Corp TodoDestino 100MIN F2</t>
  </si>
  <si>
    <t>PQTCorp TodoDestino 100MIN 10SMS P1</t>
  </si>
  <si>
    <t>PQT Corp TodoDestino 100SMS  F2</t>
  </si>
  <si>
    <t>PQTCorp TodoDestino 500MIN 100 SMS y Voz a NIT Infinito P2</t>
  </si>
  <si>
    <t>573,58</t>
  </si>
  <si>
    <t>PQT Corp TodoDestino SMS Infinito F2</t>
  </si>
  <si>
    <t>PQTCorp TodoDestino Voz y Mensajes Infinitos P2</t>
  </si>
  <si>
    <t>1719,55</t>
  </si>
  <si>
    <t>PQT Corp TodoDestino 200MIN y Voz a NIT Infinito F2</t>
  </si>
  <si>
    <t>PQTCorp TodoDestino 200MIN 100SMS y Voz a NIT Infinito P1</t>
  </si>
  <si>
    <t>PQT Corp TodoDestino 400MIN y Voz a NIT Infinito F2</t>
  </si>
  <si>
    <t>PQTCorp TodoDestino 400MIN 100SMS y Voz a NIT Infinito P1</t>
  </si>
  <si>
    <t>PQT Corp TodoDestino 500MIN y Voz a NIT Infinito F2</t>
  </si>
  <si>
    <t>PQTCorp TodoDestino 500MIN 100SMS y Voz a NIT Infinito P1</t>
  </si>
  <si>
    <t>PQT Corp TodoDestino 800MIN y Voz a NIT Infinito F2</t>
  </si>
  <si>
    <t>PQTCorp TodoDestino 800MIN 100SMS y Voz a NIT Infinito P1</t>
  </si>
  <si>
    <t>PQT Corp TodoDestino 1000MIN y Voz a NIT Infinito F2</t>
  </si>
  <si>
    <t>PQTCorp TodoDestino 1000MIN 100SMS y Voz a NIT Infinito P1</t>
  </si>
  <si>
    <t>PQT Corp TodoDestino 1200MIN y Voz a NIT Infinito F2</t>
  </si>
  <si>
    <t>PQTCorp TodoDestino 1200MIN Mensajes y Voz a NIT Infinito P1</t>
  </si>
  <si>
    <t>PQT Corp TodoDestino 1500MIN y Voz a Tigo Infinito F2</t>
  </si>
  <si>
    <t>PQTCorp TodoDestino 1500MIN SMS TD y Voz a Tigo Infinita P1</t>
  </si>
  <si>
    <t>PQT Corp TodoDestino 1800MIN y Voz a Tigo Infinito F2</t>
  </si>
  <si>
    <t>PQTCorp TodoDestino 1800MIN SMS TD y Voz a Tigo Infinita P1</t>
  </si>
  <si>
    <t>PQT Corp TodoDestino 2000MIN y Voz a Tigo Infinito F2</t>
  </si>
  <si>
    <t>PQTCorp TodoDestino 2000MIN SMS TD y Voz a Tigo Infinita P1</t>
  </si>
  <si>
    <t>PQT Corp TodoDestino 2500MIN y Voz a Tigo Infinito F2</t>
  </si>
  <si>
    <t>PQTCorp TodoDestino 2500MIN SMS TD y Voz a Tigo Infinita P1</t>
  </si>
  <si>
    <t>PQT Corp TodoDestino Voz Infinitos F2</t>
  </si>
  <si>
    <t>PQTCorp TodoDestino Voz y Mensajes Infinitos P1</t>
  </si>
  <si>
    <t>PQT Corp Tigo 100 MIN</t>
  </si>
  <si>
    <t>PQT Corp Navegacion 500MB WA + Mail</t>
  </si>
  <si>
    <t>PQT Corp Navegacion  500MB WA + Mail</t>
  </si>
  <si>
    <t>PQT Corp Navegacion 1Gb F2</t>
  </si>
  <si>
    <t>PQT Corp Navegacion  1Gb</t>
  </si>
  <si>
    <t>PQT Corp Navegacion 1GB WA + Mail</t>
  </si>
  <si>
    <t>PQT Corp Navegacion  1GB WA + Mail</t>
  </si>
  <si>
    <t>PQT Corp Navegacion 2,5 GB WA + Mail</t>
  </si>
  <si>
    <t>PQT Corp Navegacion  2.5 GB WA + Mail</t>
  </si>
  <si>
    <t>PQT Corp Navegacion 2GB WA + Mail</t>
  </si>
  <si>
    <t>PQT Corp Navegacion  2GB WA + Mail + 1 Smart P1</t>
  </si>
  <si>
    <t>PQT Corp Navegacion 3,5 GB WA + Mail</t>
  </si>
  <si>
    <t>PQT Corp Navegacion  3.5 GB WA + Mail</t>
  </si>
  <si>
    <t>PQT Corp Navegacion 3GB WA + Mail</t>
  </si>
  <si>
    <t>PQT Corp Navegacion  3GB WA + Mail + 1 Smart P1</t>
  </si>
  <si>
    <t>PQT Corp Navegacion 5GB WA + Mail</t>
  </si>
  <si>
    <t>PQT Corp Navegacion  5GB WA + Mail</t>
  </si>
  <si>
    <t>PQT Corp Navegacion 4,5GB WA + Mail</t>
  </si>
  <si>
    <t>PQT Corp Navegacion  4.5GB WA + Mail + 1 Smart P1</t>
  </si>
  <si>
    <t>PQT Corp Navegacion 7GB WA + Mail</t>
  </si>
  <si>
    <t>PQT Corp Navegacion  7GB WA + Mail</t>
  </si>
  <si>
    <t>PQT Corp Navegacion 6,5GB WA + Mail</t>
  </si>
  <si>
    <t>PQT Corp Navegacion  6.5GB WA + Mail + 1 Smart P1</t>
  </si>
  <si>
    <t>PQT Corp Navegacion 9GB WA + Mail</t>
  </si>
  <si>
    <t>PQT Corp Navegacion  9GB WA + Mail</t>
  </si>
  <si>
    <t>PQT Corp Navegacion 8,5GB WA + Mail</t>
  </si>
  <si>
    <t>PQT Corp Navegacion  8.5GB WA + Mail + 1 Smart P1</t>
  </si>
  <si>
    <t>PQT Corp Navegacion 11GB WA + Mail</t>
  </si>
  <si>
    <t>PQT Corp Navegacion  11GB WA + Mail</t>
  </si>
  <si>
    <t>PQT Corp Navegacion 10,5GB WA + Mail</t>
  </si>
  <si>
    <t>PQT Corp Navegacion  10.5GB WA + Mail + 1 Smart P1</t>
  </si>
  <si>
    <t>PQT Corp Navegacion 13GB WA + Mail</t>
  </si>
  <si>
    <t>PQT Corp Navegacion  13GB WA + Mail</t>
  </si>
  <si>
    <t>PQT Corp Navegacion 12,5GB WA + Mail</t>
  </si>
  <si>
    <t>PQT Corp Navegacion  12.5GB WA + Mail + 1 Smart P1</t>
  </si>
  <si>
    <t>PQT Corp Navegacion 25GB WA + Mail</t>
  </si>
  <si>
    <t>PQT Corp Navegacion  25GB WA + Mail</t>
  </si>
  <si>
    <t>PQT Corp Navegacion Infinita WA + Mail</t>
  </si>
  <si>
    <t>MAIL</t>
  </si>
  <si>
    <t>WHATSAPP</t>
  </si>
  <si>
    <t>WHATSAPP + Mail</t>
  </si>
  <si>
    <t>Tigo Directo 1 a 3 lineas CBA</t>
  </si>
  <si>
    <t>OLA En Familia 240</t>
  </si>
  <si>
    <t>OLA En familia 600</t>
  </si>
  <si>
    <t>OLA Referidos 3</t>
  </si>
  <si>
    <t>Paquete Internet Movil Tigo ilimitado FUP 500 MB Control</t>
  </si>
  <si>
    <t>GPRS Tigo Corporativo 3</t>
  </si>
  <si>
    <t>OLA Beeper 100.000</t>
  </si>
  <si>
    <t>Plan Datos 11 2</t>
  </si>
  <si>
    <t>Aplicacion SMS Empresarial 4</t>
  </si>
  <si>
    <t>Blackberry BIS 1MB control 3</t>
  </si>
  <si>
    <t>Multimedia MMS ilimitado</t>
  </si>
  <si>
    <t>OLA Compañía Individual</t>
  </si>
  <si>
    <t>Paquete Tigo VirusScan</t>
  </si>
  <si>
    <t>GPRS ilimitado blackberry BIS control 3 CBA</t>
  </si>
  <si>
    <t>Paquete Internet Movil Tigo ilimitado Empleados 2</t>
  </si>
  <si>
    <t>OLA Beeper 1.000 (Titular)</t>
  </si>
  <si>
    <t>Blackberry BIS 4 MB control 3</t>
  </si>
  <si>
    <t>OLA Control 55</t>
  </si>
  <si>
    <t>Blackberry BIS 1 MB pospago 3</t>
  </si>
  <si>
    <t>GPRS ilimitado blackberry BES control 3 CBA</t>
  </si>
  <si>
    <t>Blackberry BIS 4 MB pospago 3</t>
  </si>
  <si>
    <t>Plan Bolsa USSD 1</t>
  </si>
  <si>
    <t>OLA Beeper 400 más 100 SMS Gratis Corporativo Plus</t>
  </si>
  <si>
    <t>Plan Datos Internet Movil Tigo ilimitado FUP 1 GB Control</t>
  </si>
  <si>
    <t>OLA Imagen 200  Masivo</t>
  </si>
  <si>
    <t>Tigo 500 SMS Control</t>
  </si>
  <si>
    <t>OLA Unidos 2 a 4 (Titular)</t>
  </si>
  <si>
    <t>Plan Datos Internet Movil Tigo ilimitado FUP 5 GB Control</t>
  </si>
  <si>
    <t>Plan Datos Tigo Blackberry Lite</t>
  </si>
  <si>
    <t>Tigo Parceros</t>
  </si>
  <si>
    <t>Tigo Directo 4 a 10 lineas CBA</t>
  </si>
  <si>
    <t>Tigo PYME 3</t>
  </si>
  <si>
    <t>OLA Control $49.000</t>
  </si>
  <si>
    <t>OLA Imagen 100  Masivo</t>
  </si>
  <si>
    <t>OLA Unidos 2 (Dependiente)</t>
  </si>
  <si>
    <t>OLA Control $35.000</t>
  </si>
  <si>
    <t>Plan Datos Internet Movil Tigo ilimitado FUP 3 GB Control</t>
  </si>
  <si>
    <t>OLA Beeper 200 más 100 SMS Gratis Corporativo Plus</t>
  </si>
  <si>
    <t>Multimedia SMS ilimitado</t>
  </si>
  <si>
    <t>Paquete Datos Control ilimitado Corporativo vol 500</t>
  </si>
  <si>
    <t>Plan Control ilimitado Corporativo vol Mayor a 1000</t>
  </si>
  <si>
    <t>GPRS Tigo Corporativo 4</t>
  </si>
  <si>
    <t>OLA Beeper 10.000(Titular)</t>
  </si>
  <si>
    <t>OLA Beeper 100 más 100 SMS Gratis Corporativo Plus</t>
  </si>
  <si>
    <t>Paquete Tigo VirusScan Plus Paid</t>
  </si>
  <si>
    <t>Tigo 200 SMS Control</t>
  </si>
  <si>
    <t>OLA Control $80.000</t>
  </si>
  <si>
    <t>Plan Bolsa USSD Especial 2</t>
  </si>
  <si>
    <t>Plan Bolsa USSD Especial 3</t>
  </si>
  <si>
    <t>Licencia Musica Ilimitada Deezer BB gratis</t>
  </si>
  <si>
    <t>Licencia Musica Ilimitada Deezer BB wifi</t>
  </si>
  <si>
    <t>Licencia Musica Ilimitada Deezer control gratis</t>
  </si>
  <si>
    <t>Licencia Musica Ilimitada Deezer control wifi</t>
  </si>
  <si>
    <t>Paquete 1.5GB Musica Ilimitada Deezer control</t>
  </si>
  <si>
    <t>Paquete 2.5GB Musica Ilimitada Deezer BB</t>
  </si>
  <si>
    <t>Paquete 2.5GB Musica Ilimitada Deezer control</t>
  </si>
  <si>
    <t>Paquete 4GB Musica Ilimitada Deezer control</t>
  </si>
  <si>
    <t>Paquete 500MB Musica Ilimitada Deezer BB</t>
  </si>
  <si>
    <t>Paquete 5GB Musica Ilimitada Deezer control</t>
  </si>
  <si>
    <t>Plan Datos Control 500 MB Corporativo vol 500</t>
  </si>
  <si>
    <t>Plan Control 500 MB Corporativo vol 500</t>
  </si>
  <si>
    <t>Paquete Tigo Bolsa Datos 30 GB Control</t>
  </si>
  <si>
    <t>Paquete Tigo Bolsa Datos 30GB Control</t>
  </si>
  <si>
    <t>Paquete Tigo Bolsa Datos 8 GB Control</t>
  </si>
  <si>
    <t>Paquete Tigo Bolsa Datos 8GB Control</t>
  </si>
  <si>
    <t>Proteccion Movil Gama Alta</t>
  </si>
  <si>
    <t>Proteccion Movil Gama Baja</t>
  </si>
  <si>
    <t>Proteccion Movil Gama Media</t>
  </si>
  <si>
    <t>Proteccion Movil Gama Premium</t>
  </si>
  <si>
    <t>Paquete Smart App BMA Pyme 1</t>
  </si>
  <si>
    <t>Paquete Smart App BMA Pyme 2</t>
  </si>
  <si>
    <t>Paquete Smart App BMA Pyme 3</t>
  </si>
  <si>
    <t>Paquete Smart App BMA Corporativo 3</t>
  </si>
  <si>
    <t>Paquete Smart App BMA Corporativo 2</t>
  </si>
  <si>
    <t>Paquete Smart App BMA Corporativo 1</t>
  </si>
  <si>
    <t>Paquete USSD App BMA Corporativo 1</t>
  </si>
  <si>
    <t>Paquete USSD App BMA Corporativo 2</t>
  </si>
  <si>
    <t>Paquete USSD App BMA Corporativo 3</t>
  </si>
  <si>
    <t>Paquete USSD App BMA Pyme 2</t>
  </si>
  <si>
    <t>Paquete USSD App BMA Pyme 3</t>
  </si>
  <si>
    <t>Paquete USSD App BMA Pyme 1</t>
  </si>
  <si>
    <t>Paquete Localizacion BMA Corporativo 1</t>
  </si>
  <si>
    <t>Paquete Localizacion BMA Pyme 1</t>
  </si>
  <si>
    <t>Paquete Localizacion BMA Pyme 2</t>
  </si>
  <si>
    <t>Paquete Localizacion BMA Pyme 3</t>
  </si>
  <si>
    <t>Paquete Localizacion BMA Corporativo 2</t>
  </si>
  <si>
    <t>Paquete Localizacion BMA Corporativo 3</t>
  </si>
  <si>
    <t>Paquete Encuestas BMA Corporativo</t>
  </si>
  <si>
    <t>Paquete Encuestas BMA Pyme</t>
  </si>
  <si>
    <t>Bolsa de datos empresarial 1</t>
  </si>
  <si>
    <t>Bolsa de datos empresarial 2</t>
  </si>
  <si>
    <t>Bolsa empresarial 1</t>
  </si>
  <si>
    <t>Bolsa empresarial 2</t>
  </si>
  <si>
    <t>Aplicacion SMS Empresarial 1</t>
  </si>
  <si>
    <t>PQT Corp Navegacion 250Mb</t>
  </si>
  <si>
    <t>PQT Corp Navegacion  250MB</t>
  </si>
  <si>
    <t>PQT Corp Navegacion 500Mb</t>
  </si>
  <si>
    <t>PQT Corp Navegacion 2Gb</t>
  </si>
  <si>
    <t>PQT Corp Navegacion 2Gb 1000 SMS Tigo</t>
  </si>
  <si>
    <t>PQT Corp Navegacion 3Gb</t>
  </si>
  <si>
    <t>PQT Corp Navegacion 3Gb 1000 SMS Tigo</t>
  </si>
  <si>
    <t>PQT Corp Navegacion 7Gb</t>
  </si>
  <si>
    <t>PQT Corp Navegacion 7Gb 1000 SMS Tigo</t>
  </si>
  <si>
    <t>PQT Corp Navegacion BB Total</t>
  </si>
  <si>
    <t>PQT Corp Navegacion BB Total 1000 SMS Tigo</t>
  </si>
  <si>
    <t>PQT Corp Navegacion BB 3Gb</t>
  </si>
  <si>
    <t>PQT Corp Navegacion BB 3Gb 1000 SMS Tigo</t>
  </si>
  <si>
    <t>PQT Corp Localizacion Movil LBS</t>
  </si>
  <si>
    <t>PQT Corp Localizacion Movil GPS</t>
  </si>
  <si>
    <t>PQT Corp Rastreo Vehicular</t>
  </si>
  <si>
    <t>PQT Corp Localizacion Movil LBS PR1</t>
  </si>
  <si>
    <t>PQT Corp Localizacion Movil LBS PR3</t>
  </si>
  <si>
    <t>PQT Corp Localizacion Movil LBS PR10</t>
  </si>
  <si>
    <t>PQT Corp Localizacion Movil LBS PR20</t>
  </si>
  <si>
    <t>PBX Virtual Desde 6 Extensiones</t>
  </si>
  <si>
    <t>PBX Virtual Desde 11 Extensiones</t>
  </si>
  <si>
    <t>PBX Virtual Desde 21 Extensiones</t>
  </si>
  <si>
    <t>PBX Virtual Numero de Cabecera</t>
  </si>
  <si>
    <t>Plan Datos 1M Corporativo menor 300 User</t>
  </si>
  <si>
    <t>Plan Datos 1M Corporativo mayor 500 User</t>
  </si>
  <si>
    <t>Plan Datos 1M Corporativo mayor 300 menor 500 User</t>
  </si>
  <si>
    <t>PQT Corp SMS para PQT Navegacion</t>
  </si>
  <si>
    <t>Paquete Redes Inteligentes Corporativo</t>
  </si>
  <si>
    <t>Paquete Conectividad Inteligente Corporativo</t>
  </si>
  <si>
    <t>Paquete Gestion Vehicular Corporativo</t>
  </si>
  <si>
    <t>Paquete Redes Inteligentes Pyme</t>
  </si>
  <si>
    <t>Paquete Conectividad Inteligente Pyme</t>
  </si>
  <si>
    <t>Paquete Gestion Vehicular Pyme</t>
  </si>
  <si>
    <t>Paquete Corriente 5GB Música Ilimitada control</t>
  </si>
  <si>
    <t>Paquete Internet Movil Tigo Corriente MW FUP 1 GB Control</t>
  </si>
  <si>
    <t>Paquete Internet Movil Tigo Corriente MW FUP 2 GB Control</t>
  </si>
  <si>
    <t>Paquete Internet Movil Tigo Corriente MW FUP 3 GB Control</t>
  </si>
  <si>
    <t>Paquete Internet Movil Tigo Corriente MW FUP 5 GB Control</t>
  </si>
  <si>
    <t>Paquete Datos DPI Mes Vencido 500 MB Control</t>
  </si>
  <si>
    <t>Paquete Datos DPI Mes Vencido 1 GB con Corte Control</t>
  </si>
  <si>
    <t>Paquete Datos DPI Mes Vencido 2 GB Control</t>
  </si>
  <si>
    <t>Paquete Datos DPI Mes Vencido 3 GB Control</t>
  </si>
  <si>
    <t>TIGO Blackberry Control</t>
  </si>
  <si>
    <t>Arriendo Equipo SBC</t>
  </si>
  <si>
    <t>Bolsa Minutos LDI Grupo 1 x 1000 Minutos</t>
  </si>
  <si>
    <t>Plan 1.000 Minutos LDI1</t>
  </si>
  <si>
    <t>Bolsa Minutos LDI Grupo 1 x 10000 Minutos</t>
  </si>
  <si>
    <t>Plan 10.000 Minutos LDI1</t>
  </si>
  <si>
    <t>Bolsa Minutos LDI Grupo 1 x 20000 Minutos</t>
  </si>
  <si>
    <t>Plan 20.000 Minutos LDI1</t>
  </si>
  <si>
    <t>Bolsa Minutos LDI Grupo 1 x 3000 Minutos</t>
  </si>
  <si>
    <t>Plan 3.000 Minutos LDI1</t>
  </si>
  <si>
    <t>Bolsa Minutos LDI Grupo 1 x 30000 Minutos</t>
  </si>
  <si>
    <t>Plan 30.000 Minutos LDI1</t>
  </si>
  <si>
    <t>Bolsa Minutos LDI Grupo 1 x 500 Minutos</t>
  </si>
  <si>
    <t>Plan 500 Minutos LDI1</t>
  </si>
  <si>
    <t>Bolsa Minutos LDI Grupo 1 x 50000 Minutos</t>
  </si>
  <si>
    <t>Plan 50.000 Minutos LDI1</t>
  </si>
  <si>
    <t>Bolsa Minutos LDI Grupo 1 x 6000 Minutos</t>
  </si>
  <si>
    <t>Plan 6.000 Minutos LDI1</t>
  </si>
  <si>
    <t>Bolsa Minutos LDI Grupo 1 y 2 x 1000 Minutos</t>
  </si>
  <si>
    <t>Plan 1.000 Minutos LDI1 y 2</t>
  </si>
  <si>
    <t>Bolsa Minutos LDI Grupo 1 y 2 x 10000 Minutos</t>
  </si>
  <si>
    <t>Plan 10.000 Minutos LDI1 y 2</t>
  </si>
  <si>
    <t>Bolsa Minutos LDI Grupo 1 y 2 x 20000 Minutos</t>
  </si>
  <si>
    <t>Plan 20.000 Minutos LDI1 y 2</t>
  </si>
  <si>
    <t>Bolsa Minutos LDI Grupo 1 y 2 x 3000 Minutos</t>
  </si>
  <si>
    <t>Plan 3.000 Minutos LDI1 y 2</t>
  </si>
  <si>
    <t>Bolsa Minutos LDI Grupo 1 y 2 x 30000 Minutos</t>
  </si>
  <si>
    <t>Plan 30.000 Minutos LDI1 y 2</t>
  </si>
  <si>
    <t>Bolsa Minutos LDI Grupo 1 y 2 x 50000 Minutos</t>
  </si>
  <si>
    <t>Plan 50.000 Minutos LDI1 y 2</t>
  </si>
  <si>
    <t>Bolsa Minutos LDI Grupo 1 y 2 x 500 Minutos</t>
  </si>
  <si>
    <t>Plan 500 Minutos LDI1 y 2</t>
  </si>
  <si>
    <t>Bolsa Minutos LDI Grupo 1 y 2 x 6000 Minutos</t>
  </si>
  <si>
    <t>Plan 6.000 Minutos LDI1 y 2</t>
  </si>
  <si>
    <t>Bolsa Minutos Todo Destino x 1000000 Minutos</t>
  </si>
  <si>
    <t>Plan 1.000.000 Minutos TD</t>
  </si>
  <si>
    <t>Bolsa Minutos Todo Destino x 2000000 Minutos</t>
  </si>
  <si>
    <t>Plan 2,000.000 Minutos TD</t>
  </si>
  <si>
    <t>Bolsa Minutos Todo Destino x 3000000 Minutos</t>
  </si>
  <si>
    <t>Plan 3,000.000 Minutos TD</t>
  </si>
  <si>
    <t>Bolsa Minutos Todo Destino x 500000 Minutos</t>
  </si>
  <si>
    <t>Plan 500.000 Minutos TD</t>
  </si>
  <si>
    <t>Bolsa Minutos Todo Destino x 6000 Minutos</t>
  </si>
  <si>
    <t>Plan 6.000 Minutos TD</t>
  </si>
  <si>
    <t>Bolsa Minutos Todo Destino x 10000 Minutos</t>
  </si>
  <si>
    <t>Plan 10.000 Minutos TD</t>
  </si>
  <si>
    <t>Bolsa Minutos Todo Destino x 100000 Minutos</t>
  </si>
  <si>
    <t>Plan 100.000 Minutos TD</t>
  </si>
  <si>
    <t>Bolsa Minutos Todo Destino x 150000 Minutos</t>
  </si>
  <si>
    <t>Plan 150.000 Minutos TD</t>
  </si>
  <si>
    <t>Bolsa Minutos Todo Destino x 20000 Minutos</t>
  </si>
  <si>
    <t>Plan 20.000 Minutos TD</t>
  </si>
  <si>
    <t>Bolsa Minutos Todo Destino x 200000 Minutos</t>
  </si>
  <si>
    <t>Plan 200.000 Minutos TD</t>
  </si>
  <si>
    <t>Bolsa Minutos Todo Destino x 400000 Minutos</t>
  </si>
  <si>
    <t>Plan 400.000 Minutos TD</t>
  </si>
  <si>
    <t>Bolsa Minutos Todo Destino x 300000 Minutos</t>
  </si>
  <si>
    <t>Plan 300.000 Minutos TD</t>
  </si>
  <si>
    <t>Bolsa Minutos Todo Destino x 30000 Minutos</t>
  </si>
  <si>
    <t>Plan 30.000 Minutos TD</t>
  </si>
  <si>
    <t>Bolsa Minutos Todo Destino x 50000 Minutos</t>
  </si>
  <si>
    <t>Plan 50.000 Minutos TD</t>
  </si>
  <si>
    <t>Bolsa Minutos Todo Destino x 80000 Minutos</t>
  </si>
  <si>
    <t>Plan 80.000 Minutos TD</t>
  </si>
  <si>
    <t>Bolsa Minutos CUG 10000</t>
  </si>
  <si>
    <t>Plan 10.000 Minutos CUG</t>
  </si>
  <si>
    <t>Bolsa Minutos CUG 100000</t>
  </si>
  <si>
    <t>Plan 100.000 Minutos CUG</t>
  </si>
  <si>
    <t>Bolsa Minutos CUG 20000</t>
  </si>
  <si>
    <t>Bolsa Minutos  CUG  20000</t>
  </si>
  <si>
    <t>Acceso adicional - simultaneidad</t>
  </si>
  <si>
    <t>Numeracion Movil Adicional</t>
  </si>
  <si>
    <t>Numero Movil Incluido</t>
  </si>
  <si>
    <t>TRONCAL DUMMY</t>
  </si>
  <si>
    <t>OLA Compañía 3</t>
  </si>
  <si>
    <t>Tigo Web 5 MB Control</t>
  </si>
  <si>
    <t>Paquete Datos ilimitado Corporativo vol Mayor a 1000</t>
  </si>
  <si>
    <t>Tigo Pospago 20</t>
  </si>
  <si>
    <t>OLA Control 495</t>
  </si>
  <si>
    <t>OLA Control $110.000</t>
  </si>
  <si>
    <t>OLA Beeper 1.000.000</t>
  </si>
  <si>
    <t>Plan Datos Internet Movil Tigo 1 GB Control Corporativo</t>
  </si>
  <si>
    <t>Plan Datos Internet Movil Tigo 3 GB Control Corporativo</t>
  </si>
  <si>
    <t>Multimedia GPRS ilimitado</t>
  </si>
  <si>
    <t>Tigo Parceros Control</t>
  </si>
  <si>
    <t>Paquete Datos Control ilimitado Corporativo vol 1000</t>
  </si>
  <si>
    <t>Blackberry BIS 4 MB pospago 4</t>
  </si>
  <si>
    <t>Plan Familia Tigo Control</t>
  </si>
  <si>
    <t>Tigo Directo 10 a 20 lineas CBA</t>
  </si>
  <si>
    <t>Tigo Control 500 N</t>
  </si>
  <si>
    <t>Tigo Empresa 1</t>
  </si>
  <si>
    <t>OLA Beeper 100.000(Titular)</t>
  </si>
  <si>
    <t>Plan Datos Control 3 MB Corporativo vol Mayor a 1000</t>
  </si>
  <si>
    <t>Plan Datos Internet Movil Tigo ilimitado Control 2</t>
  </si>
  <si>
    <t>Plan Bolsa USSD 2</t>
  </si>
  <si>
    <t>OLA Compañía 4</t>
  </si>
  <si>
    <t>Plan Datos Control 1 MB Corporativo vol Mayor a 1000</t>
  </si>
  <si>
    <t>OLA Control 325</t>
  </si>
  <si>
    <t>Plan Datos Control 5 MB Corporativo vol Mayor a 1000</t>
  </si>
  <si>
    <t>Blackberry BIS 1 MB pospago 4</t>
  </si>
  <si>
    <t>OLA Control 135</t>
  </si>
  <si>
    <t>Tigo Pospago 21</t>
  </si>
  <si>
    <t>OLA En familia 600 (Titular)</t>
  </si>
  <si>
    <t>Tigo Control Bacano</t>
  </si>
  <si>
    <t>Tigo Control 1000 N</t>
  </si>
  <si>
    <t>Números Abreviados 1</t>
  </si>
  <si>
    <t>Tigo Control 11</t>
  </si>
  <si>
    <t>OLA Imagen Unidos 2</t>
  </si>
  <si>
    <t>Plan Bolsa USSD 3</t>
  </si>
  <si>
    <t>Plan Tigo Control 1</t>
  </si>
  <si>
    <t>Plan Datos Internet Movil Tigo ilimitado FUP 500 MB Control</t>
  </si>
  <si>
    <t>Paquete Modulo Completo</t>
  </si>
  <si>
    <t>Tigo Directo Mayor 21 lineas CBA</t>
  </si>
  <si>
    <t>Paquete  Datos A2P 1GB Control</t>
  </si>
  <si>
    <t>Plan Datos A2P 1GB Control</t>
  </si>
  <si>
    <t>Plan Datos A2P 2GB Control</t>
  </si>
  <si>
    <t>Paquete Datos A2P 2GB Control</t>
  </si>
  <si>
    <t>Paquete  Datos A2P 3GB Control</t>
  </si>
  <si>
    <t>Plan Datos A2P 3GB Control</t>
  </si>
  <si>
    <t>Plan Datos A2P 5GB Control</t>
  </si>
  <si>
    <t>Paquete Datos A2P 5GB Control</t>
  </si>
  <si>
    <t>Plan SMS Multioperador Especial APP 4</t>
  </si>
  <si>
    <t>Plan SMS Multioperador Especial APP 5</t>
  </si>
  <si>
    <t>Plan SMS Multioperador Especial APP 6</t>
  </si>
  <si>
    <t>Plan SMS Multioperador Especial APP 7</t>
  </si>
  <si>
    <t>Plan SMS Multioperador Especial APP 8</t>
  </si>
  <si>
    <t>Plan SMS Multioperador Especial APP 9</t>
  </si>
  <si>
    <t>Plan SMS Multioperador Especial APP 10</t>
  </si>
  <si>
    <t>Plan SMS Multioperador Especial APP 11</t>
  </si>
  <si>
    <t>Plan SMS Multioperador Especial APP 12</t>
  </si>
  <si>
    <t>Plan SMS Multioperador Especial APP 13</t>
  </si>
  <si>
    <t>Plan SMS Multioperador Especial APP 14</t>
  </si>
  <si>
    <t>Plan SMS Multioperador Especial APP 15</t>
  </si>
  <si>
    <t>Plan SMS Multioperador Especial APP 17</t>
  </si>
  <si>
    <t>Plan SMS Multioperador Especial APP 16</t>
  </si>
  <si>
    <t>Plan SMS Multioperador Especial APP 18</t>
  </si>
  <si>
    <t>Plan SMS Multioperador Especial APP 19</t>
  </si>
  <si>
    <t>Plan SMS Multioperador Especial APP 20</t>
  </si>
  <si>
    <t>Plan SMS Multioperador Especial APP 21</t>
  </si>
  <si>
    <t>Plan SMS Multioperador Especial APP 22</t>
  </si>
  <si>
    <t>Plan SMS Multioperador Especial 4</t>
  </si>
  <si>
    <t>Plan SMS Multioperador Especial 5</t>
  </si>
  <si>
    <t>Plan SMS Multioperador Especial 6</t>
  </si>
  <si>
    <t>Plan SMS Multioperador Especial 7</t>
  </si>
  <si>
    <t>Plan SMS Multioperador Especial 8</t>
  </si>
  <si>
    <t>Plan SMS Multioperador Especial 9</t>
  </si>
  <si>
    <t>Combo SMS TD infinitos</t>
  </si>
  <si>
    <t>Voz y SMS Todo Destino infinitos + 11GB WA+Mail+Smart P2</t>
  </si>
  <si>
    <t>Combo 100MIN TD  y Voz a Tigo infinito</t>
  </si>
  <si>
    <t>100MIN TD + SMS TD y Voz a Tigo infinitos + 1.2GB WA+Mail P1</t>
  </si>
  <si>
    <t>Combo 250MIN TD  y Voz a Tigo infinito</t>
  </si>
  <si>
    <t>250MIN TD + SMS TD y Voz a Tigo infinitos + 1.2 GB WA+Mail P1</t>
  </si>
  <si>
    <t>Combo 480MIN TD  y Voz a Tigo infinito</t>
  </si>
  <si>
    <t>480MIN TD + SMS TD y Voz a Tigo infinitos + 1.2 GB WA+Mail P1</t>
  </si>
  <si>
    <t>Combo 600MIN TD  y Voz a Tigo infinito</t>
  </si>
  <si>
    <t>600MIN TD + SMS TD y Voz a Tigo infinitos + 2.5 GB WA+Mail P1</t>
  </si>
  <si>
    <t>Combo 700MIN TD  y Voz a Tigo infinito</t>
  </si>
  <si>
    <t>700MIN TD + SMS TD y Voz a Tigo infinitos + 3 GB WA+Mail P1</t>
  </si>
  <si>
    <t>Combo 1200MIN TD  y Voz a Tigo infinito</t>
  </si>
  <si>
    <t>1200 MIN TD + SMS TD y Voz a Tigo infinitos + 4 GB WA+Mail P1</t>
  </si>
  <si>
    <t>Combo 1400MIN TD  y Voz a Tigo infinito</t>
  </si>
  <si>
    <t>1400 MIN TD + SMS TD y Voz a Tigo infinitos + 4 GB WA+Mail P1</t>
  </si>
  <si>
    <t>Combo Voz Todo Destino infinito 1</t>
  </si>
  <si>
    <t>Voz y SMS Todo Destino infinitos + 4GB WA+Mail P1</t>
  </si>
  <si>
    <t>Combo Voz Todo Destino infinito 2</t>
  </si>
  <si>
    <t>Voz y SMS Todo Destino infinitos + 8GB  WA+Mail P1</t>
  </si>
  <si>
    <t>Combo Voz Todo Destino infinito 3</t>
  </si>
  <si>
    <t>Voz y SMS  Todo Destino infinitos + 10GB WA+Mail P1</t>
  </si>
  <si>
    <t>Combo Voz Todo Destino infinito 4</t>
  </si>
  <si>
    <t>Voz y SMS Todo Destino infinitos + 10GB  WA+Mail+Smart P1</t>
  </si>
  <si>
    <t>Combo Voz Todo Destino infinito 5</t>
  </si>
  <si>
    <t>Voz y SMS Todo Destino infinitos + 11GB WA+Mail+Smart P1</t>
  </si>
  <si>
    <t>Combo Voz Todo Destino infinito 6</t>
  </si>
  <si>
    <t>Voz y SMS Todo Destino infinitos + 12GB WA+Mail+Smart P1</t>
  </si>
  <si>
    <t>Combo Voz Todo Destino infinito 7</t>
  </si>
  <si>
    <t>Voz y SMS Todo Destino infinitos + 13GB WA+Mail+Smart P1</t>
  </si>
  <si>
    <t>Combo Voz Todo Destino infinito 8</t>
  </si>
  <si>
    <t>Voz y SMS Todo Destino infinitos + 15GB WA+Mail+Smart P1</t>
  </si>
  <si>
    <t>Combo Voz Todo Destino infinito 9</t>
  </si>
  <si>
    <t>Voz y SMS Todo Destino infinitos + 20GB WA+Mail+Smart P1</t>
  </si>
  <si>
    <t>Combo datos 2,5GB WA + Mail</t>
  </si>
  <si>
    <t>600MIN TD + SMS TD y Voz a Tigo infinitos + 2.5 GB WA+Mail P3</t>
  </si>
  <si>
    <t>Combo datos 3GB WA + Mail   1</t>
  </si>
  <si>
    <t>700MIN TD + SMS TD y Voz a Tigo infinitos + 3 GB WA+Mail P3</t>
  </si>
  <si>
    <t>Combo datos 3GB WA + Mail   2</t>
  </si>
  <si>
    <t>1000MIN TD + SMS TD y Voz a Tigo infinitos + 3 GB WA+Mail P3</t>
  </si>
  <si>
    <t>Combo datos 4GB WA + Mail   1</t>
  </si>
  <si>
    <t>1200 MIN TD + SMS TD y Voz a Tigo infinitos + 4 GB WA+Mail P3</t>
  </si>
  <si>
    <t>Combo datos 4GB WA + Mail   2</t>
  </si>
  <si>
    <t>1400 MIN TD + SMS TD y Voz a Tigo infinitos + 4 GB WA+Mail P3</t>
  </si>
  <si>
    <t>Combo datos 8GB WA + Mail</t>
  </si>
  <si>
    <t>Voz y SMS Todo Destino infinitos + 8GB  WA+Mail P3</t>
  </si>
  <si>
    <t>Combo datos 11GB WA + Mail</t>
  </si>
  <si>
    <t>Voz y SMS Todo Destino infinitos + 11GB WA+Mail+Smart P3</t>
  </si>
  <si>
    <t>Combo datos 12GB WA + Mail</t>
  </si>
  <si>
    <t>Voz y SMS Todo Destino infinitos + 12GB WA+Mail+Smart P3</t>
  </si>
  <si>
    <t>Combo datos 13GB WA + Mail</t>
  </si>
  <si>
    <t>Voz y SMS Todo Destino infinitos + 13GB WA+Mail+Smart P3</t>
  </si>
  <si>
    <t>Combo datos 15GB WA + Mail</t>
  </si>
  <si>
    <t>Voz y SMS Todo Destino infinitos + 15GB WA+Mail+Smart P3</t>
  </si>
  <si>
    <t>Combo datos 20GB WA + Mail</t>
  </si>
  <si>
    <t>Voz y SMS Todo Destino infinitos + 20GB WA+Mail+Smart P3</t>
  </si>
  <si>
    <t>Paquete Datos DPI Mes Vencido 5 GB Control</t>
  </si>
  <si>
    <t>Paquete Vencido 1.5GB Música Ilimitada control</t>
  </si>
  <si>
    <t>Paquete Vencido 2.5GB Música Ilimitada control</t>
  </si>
  <si>
    <t>Paquete Vencido 4GB Música Ilimitada control</t>
  </si>
  <si>
    <t>Paquete Vencido 5GB Música Ilimitada control</t>
  </si>
  <si>
    <t>Paquete Internet Movil Tigo Vencido MW FUP 1 GB Control</t>
  </si>
  <si>
    <t>Paquete Internet Movil Tigo Vencido MW FUP 2 GB Control</t>
  </si>
  <si>
    <t>Paquete Internet Movil Tigo Vencido MW FUP 3 GB Control</t>
  </si>
  <si>
    <t>Paquete Datos Mes 5 GB con Corte Control</t>
  </si>
  <si>
    <t>Plan Datos Mes 500 MB Control Econo</t>
  </si>
  <si>
    <t>Plan Datos Mes 1 GB con Corte Control Econo</t>
  </si>
  <si>
    <t>Plan Datos Mes 2 GB con Corte Control Econo</t>
  </si>
  <si>
    <t>Plan Datos Mes 500 MB con Corte Control</t>
  </si>
  <si>
    <t>Plan Datos Mes 1 GB con Corte Control</t>
  </si>
  <si>
    <t>Plan Datos Mes 2 GB con Corte Control</t>
  </si>
  <si>
    <t>Plan Datos Mes 3 GB con Corte Control</t>
  </si>
  <si>
    <t>Plan Datos Mes 5 GB con Corte Control</t>
  </si>
  <si>
    <t>Paquete Datos Mes 500 MB Control Econo</t>
  </si>
  <si>
    <t>Paquete Datos Mes 1 GB con Corte Control Econo</t>
  </si>
  <si>
    <t>Paquete Datos Mes 2 GB con Corte Control Econo</t>
  </si>
  <si>
    <t>Paquete Datos Mes 500 MB con Corte Control</t>
  </si>
  <si>
    <t>Paquete Datos Mes 1 GB con Corte Control</t>
  </si>
  <si>
    <t>Paquete Datos Mes 2 GB con Corte Control</t>
  </si>
  <si>
    <t>Paquete Datos Mes 3 GB con Corte Control</t>
  </si>
  <si>
    <t>Paquete Educatigo 1</t>
  </si>
  <si>
    <t>Paquete Educatigo Fee Inicial</t>
  </si>
  <si>
    <t>Asistencia Hogar</t>
  </si>
  <si>
    <t>Asistencia Medica</t>
  </si>
  <si>
    <t>SMS INTEGRADOR AX</t>
  </si>
  <si>
    <t>SMS INTEGRADOR TL</t>
  </si>
  <si>
    <t>SMS INTEGRADOR PCA</t>
  </si>
  <si>
    <t>SMS MULTIOPERADOR SF</t>
  </si>
  <si>
    <t>SMS MULTIOPERADOR ETC</t>
  </si>
  <si>
    <t>Numeral ABB BD</t>
  </si>
  <si>
    <t>Numeral ABB SB</t>
  </si>
  <si>
    <t>Numeral  1XY PRE</t>
  </si>
  <si>
    <t>Plan Datos Internet Movil Tigo 3 GB</t>
  </si>
  <si>
    <t>Tigo Empresa 2</t>
  </si>
  <si>
    <t>Plan Tigo Pospago 1</t>
  </si>
  <si>
    <t>Plan Datos Control 15 MB Corporativo vol Mayor a 1000</t>
  </si>
  <si>
    <t>Plan Datos Internet Movil Tigo 1 GB</t>
  </si>
  <si>
    <t>Modulo Tigo Bacanos 2 Control</t>
  </si>
  <si>
    <t>Ilimitado blackberry BES_PLUS control 3 CBA</t>
  </si>
  <si>
    <t>Plan Datos Control 10 MB Corporativo vol Mayor a 1000</t>
  </si>
  <si>
    <t>Paquete Datos DPI Mes HTTP-Chat-Redes Sociales-Mail Control</t>
  </si>
  <si>
    <t>Modulo Tigo Bacanos 3 Control</t>
  </si>
  <si>
    <t>Plan Datos Control 20 MB Corporativo vol Mayor a 1000</t>
  </si>
  <si>
    <t>Plan Datos Control 30 MB Corporativo vol Mayor a 1000</t>
  </si>
  <si>
    <t>OLA Beeper 10.000.000</t>
  </si>
  <si>
    <t>OLA Beeper Unidos 2</t>
  </si>
  <si>
    <t>OLA En Familia 240 (Titular)</t>
  </si>
  <si>
    <t>Plan Bolsa USSD 4</t>
  </si>
  <si>
    <t>Tigo Empresa 3</t>
  </si>
  <si>
    <t>Plan Internet Movil Tigo</t>
  </si>
  <si>
    <t>OLA A la carta $35.000</t>
  </si>
  <si>
    <t>OLA Compañía A la medida Cuenta Dependiente Pioneros</t>
  </si>
  <si>
    <t>Paquete Tigo Family Protection Paid</t>
  </si>
  <si>
    <t>Paquete DPI Chat Mes</t>
  </si>
  <si>
    <t>OLA Beeper Básico Masivo</t>
  </si>
  <si>
    <t>Ola Beeper Basico masivo</t>
  </si>
  <si>
    <t>Súper Plan OLA 1</t>
  </si>
  <si>
    <t>OLA Beeper 1.000.000(Titular)</t>
  </si>
  <si>
    <t>Plan Tigo Control 2</t>
  </si>
  <si>
    <t>OLA Imagen 50 Corporativo</t>
  </si>
  <si>
    <t>Plan Tigo Empleados Control</t>
  </si>
  <si>
    <t>Plan SMS Multioperador Especial 10</t>
  </si>
  <si>
    <t>Billing Group Voz Pospago</t>
  </si>
  <si>
    <t>Billing Group Voz Control</t>
  </si>
  <si>
    <t>Billing Group Datos Pospago</t>
  </si>
  <si>
    <t>Billing Group Datos Control</t>
  </si>
  <si>
    <t>Billing Group SMS Pospago</t>
  </si>
  <si>
    <t>Billing Group SMS Control</t>
  </si>
  <si>
    <t>Billing Group Voz ATP</t>
  </si>
  <si>
    <t>/service/atp/telephony</t>
  </si>
  <si>
    <t>Billing Group Datos ATP</t>
  </si>
  <si>
    <t>/service/atp/gprs</t>
  </si>
  <si>
    <t>Billing Group SMS ATP</t>
  </si>
  <si>
    <t>/service/atp/sms</t>
  </si>
  <si>
    <t>Plan SMS Multioperador Especial 11</t>
  </si>
  <si>
    <t>Plan SMS Multioperador Especial 12</t>
  </si>
  <si>
    <t>Plan SMS Multioperador Especial 13</t>
  </si>
  <si>
    <t>Plan SMS Multioperador Especial 14</t>
  </si>
  <si>
    <t>Plan SMS Multioperador Especial 15</t>
  </si>
  <si>
    <t>Plan SMS Multioperador Especial 16</t>
  </si>
  <si>
    <t>Plan SMS Multioperador Especial 17</t>
  </si>
  <si>
    <t>Plan SMS Multioperador Especial 18</t>
  </si>
  <si>
    <t>Plan SMS Multioperador Especial 19</t>
  </si>
  <si>
    <t>Plan SMS Multioperador Especial 20</t>
  </si>
  <si>
    <t>Plan SMS Multioperador Especial 21</t>
  </si>
  <si>
    <t>Plan SMS Multioperador Especial 22</t>
  </si>
  <si>
    <t>PQT Reventa TodoDestino 900MIN</t>
  </si>
  <si>
    <t>PQT Reventa TodoDestino 1000MIN</t>
  </si>
  <si>
    <t>PQT Reventa TodoDestino 1200MIN</t>
  </si>
  <si>
    <t>ENLACE VOZ E1 PRI TIGO BASICO</t>
  </si>
  <si>
    <t>ENLACE VOZ E1 PRI TIGO SUPER</t>
  </si>
  <si>
    <t>ENLACE VOZ E1 PRI TIGO MAS</t>
  </si>
  <si>
    <t>ENLACE VOZ E1 PRI TIGO EXTRA</t>
  </si>
  <si>
    <t>ENLACE VOZ E1 PRI TIGO IDEAL</t>
  </si>
  <si>
    <t>ENLACE VOZ E1 PRI TIGO PLUS</t>
  </si>
  <si>
    <t>ENLACE VOZ E1 PRI TIGO PREMIUM</t>
  </si>
  <si>
    <t>ENLACE VOZ E1 SIP TIGO BASICO</t>
  </si>
  <si>
    <t>ENLACE VOZ E1 SIP TIGO SUPER</t>
  </si>
  <si>
    <t>ENLACE VOZ E1 SIP TIGO MAS</t>
  </si>
  <si>
    <t>ENLACE VOZ E1 SIP TIGO EXTRA</t>
  </si>
  <si>
    <t>ENLACE VOZ E1 SIP TIGO PLUS</t>
  </si>
  <si>
    <t>PLAN VOZ GATEWAY BASICO</t>
  </si>
  <si>
    <t>PLAN VOZ GATEWAY PLUS</t>
  </si>
  <si>
    <t>PLAN VOZ GATEWAY SUPER</t>
  </si>
  <si>
    <t>Plan para Financiacion</t>
  </si>
  <si>
    <t>Plan Tigo M2M</t>
  </si>
  <si>
    <t>Paquete SMS M2M</t>
  </si>
  <si>
    <t>Paquete Datos M2M</t>
  </si>
  <si>
    <t>Proteccion Movil Gama Baja – Cero Pesos</t>
  </si>
  <si>
    <t>Proteccion Movil Gama Baja - Cero Pesos</t>
  </si>
  <si>
    <t>Proteccion Movil Gama Media – Cero Pesos</t>
  </si>
  <si>
    <t>Proteccion Movil Gama Media - Cero Pesos</t>
  </si>
  <si>
    <t>Proteccion Movil Gama Premium – Cero Pesos</t>
  </si>
  <si>
    <t>Proteccion Movil Gama Premium - Cero Pesos</t>
  </si>
  <si>
    <t>Paquete Internet Movil Tigo Vencido MW FUP 5 GB Control</t>
  </si>
  <si>
    <t>Plan Escalonado E1 por Minutos</t>
  </si>
  <si>
    <t>Plan Escalonado E1 por Segundos</t>
  </si>
  <si>
    <t>Paquete 0.5GB  3 meses</t>
  </si>
  <si>
    <t>Paquete 0.5GB 12 meses</t>
  </si>
  <si>
    <t>Paquete 0.5GB 6 meses</t>
  </si>
  <si>
    <t>Paquete 100 minutos 12 Meses</t>
  </si>
  <si>
    <t>Paquete 100 minutos 6 Meses</t>
  </si>
  <si>
    <t>Paquete 1000 minutos 12 Meses</t>
  </si>
  <si>
    <t>Paquete 1000 minutos 6 Meses</t>
  </si>
  <si>
    <t>Paquete 1GB 3 meses</t>
  </si>
  <si>
    <t>Paquete 1GB 6 meses</t>
  </si>
  <si>
    <t>Paquete 1GB 12 meses</t>
  </si>
  <si>
    <t>Paquete 2GB 12 meses</t>
  </si>
  <si>
    <t>Paquete 2GB 3 meses</t>
  </si>
  <si>
    <t>Paquete 2GB 6 meses</t>
  </si>
  <si>
    <t>Paquete 3GB 12 meses</t>
  </si>
  <si>
    <t>Paquete 3GB 3 meses</t>
  </si>
  <si>
    <t>Paquete 3GB 6 meses</t>
  </si>
  <si>
    <t>Paquete 300 minutos 12 Meses</t>
  </si>
  <si>
    <t>Paquete 300 minutos 6 Meses</t>
  </si>
  <si>
    <t>Paquete 500 minutos 6 Meses</t>
  </si>
  <si>
    <t>Paquete 500 minutos 12 Meses</t>
  </si>
  <si>
    <t>Combo 500 Min TD; Min Tigo Infinitos; Min CUG Infinitos P1</t>
  </si>
  <si>
    <t>Combo 2.5 GB;WA, Mail y facebook Infinito P2</t>
  </si>
  <si>
    <t>Combo 2.5 GB WA, Mail y facebook Infinito P2</t>
  </si>
  <si>
    <t>Combo SMS Todo destino Infinito P3</t>
  </si>
  <si>
    <t>Plan E1 PRI GS3</t>
  </si>
  <si>
    <t>Plan E1 PRI ML</t>
  </si>
  <si>
    <t>Plan E1 PRI DV IDEAL</t>
  </si>
  <si>
    <t>Plan E1 PRI CB IDEAL</t>
  </si>
  <si>
    <t>Plan E1 PRI SR</t>
  </si>
  <si>
    <t>Plan E1 PRI EM</t>
  </si>
  <si>
    <t>Plan E1 PRI AE</t>
  </si>
  <si>
    <t>Plan E1 PRI DV PRE</t>
  </si>
  <si>
    <t>Plan E1 PRI TY</t>
  </si>
  <si>
    <t>Plan E1 PRI GC1</t>
  </si>
  <si>
    <t>Plan E1 PRI GC2</t>
  </si>
  <si>
    <t>Plan E1 PRI GS1</t>
  </si>
  <si>
    <t>Plan E1 PRI GS2</t>
  </si>
  <si>
    <t>Plan E1 PRI MP</t>
  </si>
  <si>
    <t>Plan E1 PRI RF</t>
  </si>
  <si>
    <t>Plan E1 PRI GS4</t>
  </si>
  <si>
    <t>Plan E1 Escalonado TP</t>
  </si>
  <si>
    <t>Plan E1 PRI CBD IDEAL</t>
  </si>
  <si>
    <t>Arma tu plan A</t>
  </si>
  <si>
    <t>Arma tu plan B</t>
  </si>
  <si>
    <t>Arma tu plan C</t>
  </si>
  <si>
    <t>Arma tu plan D</t>
  </si>
  <si>
    <t>Arma tu plan F</t>
  </si>
  <si>
    <t>Arma tu plan G</t>
  </si>
  <si>
    <t>Arma tu plan H</t>
  </si>
  <si>
    <t>Plan Tigo M2M migracion</t>
  </si>
  <si>
    <t>Arma tu plan Digital</t>
  </si>
  <si>
    <t>Arma tu plan L</t>
  </si>
  <si>
    <t>Arma tu plan S</t>
  </si>
  <si>
    <t>Arma tu plan M</t>
  </si>
  <si>
    <t>Arma tu plan X</t>
  </si>
  <si>
    <t>Arma tu plan Y</t>
  </si>
  <si>
    <t>Arma tu plan Z</t>
  </si>
  <si>
    <t>Plan Tigo Pospago 2</t>
  </si>
  <si>
    <t>OLA Afortunados 35.000</t>
  </si>
  <si>
    <t>OLA Beeper 50 Masivo Control</t>
  </si>
  <si>
    <t>Paquete Internet Movil Tigo ilimitado Control Corporativo</t>
  </si>
  <si>
    <t>Paquete Minutos Promocional</t>
  </si>
  <si>
    <t>OLA Afortunados 49.000</t>
  </si>
  <si>
    <t>Tigo Control 12</t>
  </si>
  <si>
    <t>Números Abreviados 2</t>
  </si>
  <si>
    <t>Short Dialing - Corp</t>
  </si>
  <si>
    <t>OLA Afortunados 80.000</t>
  </si>
  <si>
    <t>Paquete Bolsa LBS-720</t>
  </si>
  <si>
    <t>OLA A la carta $49.000</t>
  </si>
  <si>
    <t>Tigo Pospago 22</t>
  </si>
  <si>
    <t>OLA Beeper 20 Masivo Control</t>
  </si>
  <si>
    <t>Voice Mail Básico</t>
  </si>
  <si>
    <t>Voice Mail Basico</t>
  </si>
  <si>
    <t>OLA A la carta $80.000</t>
  </si>
  <si>
    <t>OLA A la carta 65</t>
  </si>
  <si>
    <t>OLA A la carta $110.000</t>
  </si>
  <si>
    <t>Plan Tigo Pospago 3</t>
  </si>
  <si>
    <t>OLA Compañía Bolsa (Titular)</t>
  </si>
  <si>
    <t>OLA Afortunados 2 Plus</t>
  </si>
  <si>
    <t>Tigo Control Deportivo Cali</t>
  </si>
  <si>
    <t>Paquete Datos Control 4 MB Corporativo vol Mayor a 1000</t>
  </si>
  <si>
    <t>Paquete Suscripcion 10 SMS Onnet 1 día</t>
  </si>
  <si>
    <t>Plan Bolsa USSD 5</t>
  </si>
  <si>
    <t>Paquete Bolsa LBS-1440</t>
  </si>
  <si>
    <t>Paquete DPI Chat Mes Control</t>
  </si>
  <si>
    <t>Paquete Tigo PC Security Plus Suite</t>
  </si>
  <si>
    <t>Paquete Datos Control 1 MB Corporativo vol Mayor a 1000</t>
  </si>
  <si>
    <t>Paquete Tigo VirusScan PlusPII</t>
  </si>
  <si>
    <t>Paquete Bolsa LBS-7200</t>
  </si>
  <si>
    <t>OLA Unidos 2 a 4 (Dependiente)</t>
  </si>
  <si>
    <t>Tigo Control 13</t>
  </si>
  <si>
    <t>Paquete Datos Control 5 MB Corporativo vol Mayor a 1000</t>
  </si>
  <si>
    <t>Seguro Telefono Movil Rango Elite</t>
  </si>
  <si>
    <t>Seguro Telefono Movil Rango Alto</t>
  </si>
  <si>
    <t>Seguro Telefono Movil Rango Lujo</t>
  </si>
  <si>
    <t>Seguro Telefono Movil Rango Medio</t>
  </si>
  <si>
    <t>Seguro Telefono Movil Rango Basico</t>
  </si>
  <si>
    <t>Proteccion Movil Gama Alta – Cero Pesos</t>
  </si>
  <si>
    <t>Proteccion Movil Gama Alta - Cero Pesos</t>
  </si>
  <si>
    <t>Proteccion gama basica</t>
  </si>
  <si>
    <t>Proteccion gama basica plus</t>
  </si>
  <si>
    <t>Paquete SMS Allnet 10 SMS Control</t>
  </si>
  <si>
    <t>Paquete SMS Allnet 20 SMS Control</t>
  </si>
  <si>
    <t>Paquete SMS Allnet 50 SMS Control</t>
  </si>
  <si>
    <t>Paquete SMS Allnet 80 SMS Control</t>
  </si>
  <si>
    <t>Paquete SMS Allnet 100 SMS Control</t>
  </si>
  <si>
    <t>Paquete SMS Allnet 10 SMS</t>
  </si>
  <si>
    <t>Paquete SMS Allnet 20 SMS</t>
  </si>
  <si>
    <t>Paquete SMS Allnet 50 SMS</t>
  </si>
  <si>
    <t>Paquete SMS Allnet 80 SMS</t>
  </si>
  <si>
    <t>Paquete SMS Allnet 100 SMS</t>
  </si>
  <si>
    <t>Plan para Financiacion 2</t>
  </si>
  <si>
    <t>Arma tu plan Basico</t>
  </si>
  <si>
    <t>Arma tu plan Diamante</t>
  </si>
  <si>
    <t>Arma tu plan Elite</t>
  </si>
  <si>
    <t>Arma tu plan Extra</t>
  </si>
  <si>
    <t>Arma tu plan Flexible</t>
  </si>
  <si>
    <t>Arma tu plan Ideal</t>
  </si>
  <si>
    <t>Arma tu plan Mas</t>
  </si>
  <si>
    <t>Arma tu plan Movil</t>
  </si>
  <si>
    <t>Arma tu plan Optimo</t>
  </si>
  <si>
    <t>Arma tu plan Perla</t>
  </si>
  <si>
    <t>Arma tu plan Oro</t>
  </si>
  <si>
    <t>Arma tu plan Platino</t>
  </si>
  <si>
    <t>Arma tu plan Plus</t>
  </si>
  <si>
    <t>Arma tu plan Premium</t>
  </si>
  <si>
    <t>Arma tu plan Simple</t>
  </si>
  <si>
    <t>Arma tu plan Super</t>
  </si>
  <si>
    <t>Arma tu plan Titanio</t>
  </si>
  <si>
    <t>Arma tu plan Ultra</t>
  </si>
  <si>
    <t>Arma tu plan VIP</t>
  </si>
  <si>
    <t>Plan Internet Movil Tigo Convenios 1GB</t>
  </si>
  <si>
    <t>Plan Internet Movil Tigo Convenios 2GB</t>
  </si>
  <si>
    <t>Plan Internet Movil Tigo Convenios 3GB</t>
  </si>
  <si>
    <t>Plan Internet Movil Tigo Convenios 5GB</t>
  </si>
  <si>
    <t>Paquete Internet Movil Tigo Convenios 1GB</t>
  </si>
  <si>
    <t>Paquete Internet Movil Tigo Convenios 2GB</t>
  </si>
  <si>
    <t>Paquete Internet Movil Tigo Convenios 3GB</t>
  </si>
  <si>
    <t>Paquete Internet Movil Tigo Convenios 5GB</t>
  </si>
  <si>
    <t>Tigo Control PYME Simple 1 CUG Rec CBA</t>
  </si>
  <si>
    <t>Tigo Control PYME Simple 1 Rec CBA</t>
  </si>
  <si>
    <t>Tigo Control PYME Simple 2 CUG Rec CBA</t>
  </si>
  <si>
    <t>Arma tu plan I</t>
  </si>
  <si>
    <t>Arma tu plan J</t>
  </si>
  <si>
    <t>Combos B2B  Voz y SMS nacional ilimitado + 12 GB P1</t>
  </si>
  <si>
    <t>Combos B2B  Voz y SMS nacional ilimitado + 12 GB  P1</t>
  </si>
  <si>
    <t>Combos B2B Voz ilimitado + 8 GB P2</t>
  </si>
  <si>
    <t>Combos B2B Voz ilimitado + 8 GB P2</t>
  </si>
  <si>
    <t>Combos B2B Voz ilimitado + 8 GB P3</t>
  </si>
  <si>
    <t>Combos B2B Voz ilimitado + 8 GB P3</t>
  </si>
  <si>
    <t>Combos B2B Voz ilimitado + 8 GB P1</t>
  </si>
  <si>
    <t>Combos B2B Voz ilimitado + 8 GB P1</t>
  </si>
  <si>
    <t>Combo B2B ilimitado 12 GB P1</t>
  </si>
  <si>
    <t>Combo B2B ilimitado 12 GB P2</t>
  </si>
  <si>
    <t>Combo B2B ilimitado 12 GB P3</t>
  </si>
  <si>
    <t>Combo B2B ilimitado 20 GB P1</t>
  </si>
  <si>
    <t>Combo B2B ilimitado 20 GB P2</t>
  </si>
  <si>
    <t>Combo B2B ilimitado 20 GB P3</t>
  </si>
  <si>
    <t>Combo B2B ilimitado 35 GB P1</t>
  </si>
  <si>
    <t>Combo B2B ilimitado 35 GB P2</t>
  </si>
  <si>
    <t>Combo B2B ilimitado 35 GB P3</t>
  </si>
  <si>
    <t>Combo B2B ilimitado 50 GB P1</t>
  </si>
  <si>
    <t>Combo B2B ilimitado 50 GB P2</t>
  </si>
  <si>
    <t>Combo B2B ilimitado 50 GB P3</t>
  </si>
  <si>
    <t>Combos B2B  Voz y SMS nacional ilimitado + 12 GB P2</t>
  </si>
  <si>
    <t>Combos B2B  Voz y SMS nacional ilimitado + 12 GB  P2</t>
  </si>
  <si>
    <t>Combos B2B  Voz y SMS nacional ilimitado + 12 GB P3</t>
  </si>
  <si>
    <t>Combos B2B  Voz y SMS nacional ilimitado + 12 GB  P3</t>
  </si>
  <si>
    <t>Combos B2B  Voz y SMS nacional ilimitado + 20 GB P1</t>
  </si>
  <si>
    <t>Combos B2B  Voz y SMS nacional ilimitado + 20 GB P2</t>
  </si>
  <si>
    <t>Combos B2B  Voz y SMS nacional ilimitado + 20 GB P3</t>
  </si>
  <si>
    <t>Combos B2B  Voz y SMS nacional ilimitado + 35 GB P1</t>
  </si>
  <si>
    <t>Combos B2B  Voz y SMS nacional ilimitado + 35 GB P2</t>
  </si>
  <si>
    <t>Combos B2B  Voz y SMS nacional ilimitado + 35 GB P3</t>
  </si>
  <si>
    <t>Combos B2B  Voz y SMS nacional ilimitado + 50 GB P1</t>
  </si>
  <si>
    <t>Combos B2B  Voz y SMS nacional ilimitado + 50 GB P2</t>
  </si>
  <si>
    <t>Combos B2B  Voz y SMS nacional ilimitado + 50 GB P3</t>
  </si>
  <si>
    <t>Combos B2B  Voz y SMS nacional ilimitado + 8 GB P1</t>
  </si>
  <si>
    <t>Combos B2B  Voz y SMS nacional ilimitado + 8 GB P2</t>
  </si>
  <si>
    <t>Combos B2B  Voz y SMS nacional ilimitado + 8 GB P3</t>
  </si>
  <si>
    <t>Deezer tarifa plena</t>
  </si>
  <si>
    <t>Addon Deezer</t>
  </si>
  <si>
    <t>Deezer incluido sin costo</t>
  </si>
  <si>
    <t>Addon Deezer (incluido)</t>
  </si>
  <si>
    <t>Amazon Prime Music incluido sin costo</t>
  </si>
  <si>
    <t>Addon Amazon Music (Incluido)</t>
  </si>
  <si>
    <t>Amazon Prime Music tarifa plena</t>
  </si>
  <si>
    <t>Addon Amazon Music</t>
  </si>
  <si>
    <t>Amazon Prime Video incluido sin costo</t>
  </si>
  <si>
    <t>Addon Amazon Video (Incluido)</t>
  </si>
  <si>
    <t>Amazon Prime Video promocion</t>
  </si>
  <si>
    <t>Addon Amazon Video (Promocion)</t>
  </si>
  <si>
    <t>Amazon Prime Video tarifa plena</t>
  </si>
  <si>
    <t>Addon Amazon Video</t>
  </si>
  <si>
    <t>Paquete Datos 5.11</t>
  </si>
  <si>
    <t>Paquete SMS 5.11</t>
  </si>
  <si>
    <t>Pospago 5.11</t>
  </si>
  <si>
    <t>Pospago 5.1 Empresarial</t>
  </si>
  <si>
    <t>Pospago 5.2 Empresarial</t>
  </si>
  <si>
    <t>OLA Hablas Más. Pagas Menos Pioneros</t>
  </si>
  <si>
    <t>OLA Hablas más. pagas menos pioneros</t>
  </si>
  <si>
    <t>Paquete Datos DPI Mes Redes Sociales</t>
  </si>
  <si>
    <t>Paquete DPI Chat-Redes Sociales Mes Control</t>
  </si>
  <si>
    <t>GPRS Ilimitado Blackberry empleados BES_PLUS control</t>
  </si>
  <si>
    <t>Plan Control 5 MB Corporativo vol 500</t>
  </si>
  <si>
    <t>OLA Web Datos 100 MB</t>
  </si>
  <si>
    <t>Plan Heroes de la patria control 3</t>
  </si>
  <si>
    <t>OLA En familia 600 (Titular) pioneros</t>
  </si>
  <si>
    <t>Paquete 5 SMS Movistar 1 día Gratis</t>
  </si>
  <si>
    <t>OLA Mío</t>
  </si>
  <si>
    <t>Paquete Localizacion Movil LBS PR3</t>
  </si>
  <si>
    <t>Tigo Control Corporativo 7</t>
  </si>
  <si>
    <t>Plan Control 1 MB Corporativo vol 500</t>
  </si>
  <si>
    <t>OLA Web Datos 300 MB</t>
  </si>
  <si>
    <t>Plan Datos 10 MB Corporativo vol 1000</t>
  </si>
  <si>
    <t>OLA En Familia 240 (Titular) pioneros</t>
  </si>
  <si>
    <t>Plan Datos Internet Movil Tigo 3 GB Control</t>
  </si>
  <si>
    <t>Plan Datos Internet Movil Tigo ilimitado</t>
  </si>
  <si>
    <t>Tigo Control Corporativo 550 Mas</t>
  </si>
  <si>
    <t>Plan Datos 30 MB Corporativo vol 1000</t>
  </si>
  <si>
    <t>Plan Datos Internet Movil Tigo 1 GB Control</t>
  </si>
  <si>
    <t>GPRS ilimitado Blackberry BES_PLUS Pospago 2</t>
  </si>
  <si>
    <t>Tigo control tarifa simple 5</t>
  </si>
  <si>
    <t>OLA Web Datos 500 KB</t>
  </si>
  <si>
    <t>Tigo Control Corporativo 900 Mas</t>
  </si>
  <si>
    <t>Plan Datos 15 MB Corporativo vol 1000</t>
  </si>
  <si>
    <t>Plan Datos 20 MB Corporativo vol 1000</t>
  </si>
  <si>
    <t>Paquete Localizacion Movil LBS PR1000</t>
  </si>
  <si>
    <t>Plan Control 3 MB Corporativo vol 500</t>
  </si>
  <si>
    <t>Tigo Beeper Empleados Control 2</t>
  </si>
  <si>
    <t>Paquete Datos DPI Mes Redes Sociales Control</t>
  </si>
  <si>
    <t>Paquete Datos DPI Mes 500 MB con Corte 1400K</t>
  </si>
  <si>
    <t>Plan Control 5 MB Corporativo vol 1000</t>
  </si>
  <si>
    <t>Ilimitado Blackberry empleados BIS control 1</t>
  </si>
  <si>
    <t>Tigo Control Tarifa Simple 4 Plus</t>
  </si>
  <si>
    <t>500 SMS Onnet y 500 SMS Offnet</t>
  </si>
  <si>
    <t>Plan Control 3 MB Corporativo vol 1000</t>
  </si>
  <si>
    <t>Plan Control 10 MB Corporativo vol 500</t>
  </si>
  <si>
    <t>GPRS ilimitado Blackberry BES_PLUS Pospago 3</t>
  </si>
  <si>
    <t>Paquete Datos 3 MB Corporativo vol 500</t>
  </si>
  <si>
    <t>Tigo Control Corporativo Simple 1</t>
  </si>
  <si>
    <t>OLA Imagen Cuenta Controlada Ola Combinado</t>
  </si>
  <si>
    <t>OLA Afortunados 1 Plus</t>
  </si>
  <si>
    <t>OLA Imagen  Básico Masivo</t>
  </si>
  <si>
    <t>Paquete Datos Control 3 MB Corporativo vol Mayor a 1000</t>
  </si>
  <si>
    <t>Paquete Bolsa LBS-4320</t>
  </si>
  <si>
    <t>PLANES ABIERTOS OLA 1</t>
  </si>
  <si>
    <t>Súper Plan OLA 2</t>
  </si>
  <si>
    <t>Números Abreviados 3</t>
  </si>
  <si>
    <t>OLA Beeper 10.000.000(Titular)</t>
  </si>
  <si>
    <t>OLA Imagen 200 Corporativo</t>
  </si>
  <si>
    <t>100 SMS y 50 Gratis</t>
  </si>
  <si>
    <t>Plan Tigo Control 3</t>
  </si>
  <si>
    <t>Tigo Pospago 23</t>
  </si>
  <si>
    <t>Voice Mail Profesional</t>
  </si>
  <si>
    <t>OLA Imagen 100 Corporativo</t>
  </si>
  <si>
    <t>Plan Tigo Pospago 4</t>
  </si>
  <si>
    <t>Plan Tigo Corporativo 4P</t>
  </si>
  <si>
    <t>Paquete Datos Control 20 MB Corporativo vol Mayor a 1000</t>
  </si>
  <si>
    <t>Súper Plan OLA 3</t>
  </si>
  <si>
    <t>Tigo 20 SMS Onnet Control</t>
  </si>
  <si>
    <t>OLA Beeper 20 Gratis Masivo</t>
  </si>
  <si>
    <t>Servicio ilimitado de VOZ control Corporativo GCU</t>
  </si>
  <si>
    <t>100 SMS y 50 Gratis control</t>
  </si>
  <si>
    <t>Multimedia Control 2 SMS</t>
  </si>
  <si>
    <t>Multimedia Control 2 MMS</t>
  </si>
  <si>
    <t>200 SMS y 50 Gratis</t>
  </si>
  <si>
    <t>OLA Web Unidos 2 a 4</t>
  </si>
  <si>
    <t>Plan Bolsa USSD 6</t>
  </si>
  <si>
    <t>OLA Imagen 25 Gratis Masivo</t>
  </si>
  <si>
    <t>Paquete Datos Control 15 MB Corporativo vol Mayor a 1000</t>
  </si>
  <si>
    <t>Paquete Datos DPI Mes 1 GB con Corte</t>
  </si>
  <si>
    <t>Paquete Suscripcion SMS ilimitado 1 día</t>
  </si>
  <si>
    <t>Servicio ilimitado de VOZ pospago Corporativo GCU</t>
  </si>
  <si>
    <t>100 SMS y 500 Gratis</t>
  </si>
  <si>
    <t>Paquete Datos Control 10 MB Corporativo vol Mayor a 1000</t>
  </si>
  <si>
    <t>Multimedia Control 1 MMS</t>
  </si>
  <si>
    <t>Paquete Datos DPI Mes HTTP-Chat-Redes Sociales-Mail HS Control</t>
  </si>
  <si>
    <t>OLA Beeper 50 Gratis Masivo</t>
  </si>
  <si>
    <t>Paquete Datos DPI Mes 2 GB con Corte</t>
  </si>
  <si>
    <t>100 SMS y 100 Gratis</t>
  </si>
  <si>
    <t>Paquete Datos Control 30 MB Corporativo vol Mayor a 1000</t>
  </si>
  <si>
    <t>GPRS ilimitado blackberry BES_PLUS control 3 CBA</t>
  </si>
  <si>
    <t>OLA Imagen 10 Gratis Masivo</t>
  </si>
  <si>
    <t>Tigo Control Familia CUG 1</t>
  </si>
  <si>
    <t>OLA Compañía Ilimitado Titular</t>
  </si>
  <si>
    <t>Plan Datos Internet Movil Tigo ilimitado Familia</t>
  </si>
  <si>
    <t>Multimedia Control ilimitado SMS</t>
  </si>
  <si>
    <t>Multimedia SMS ilimitado Empleados</t>
  </si>
  <si>
    <t>Tigo Control Masivo Corporativo</t>
  </si>
  <si>
    <t>Plan Tigo Control Bolsa Datos 1</t>
  </si>
  <si>
    <t>OLA Compañía tarifa única 3</t>
  </si>
  <si>
    <t>Tigo Control Corporativo 290</t>
  </si>
  <si>
    <t>Paquete GPRS ilimitado para TV Tigo</t>
  </si>
  <si>
    <t>Paquete Localizacion Movil LBS</t>
  </si>
  <si>
    <t>OLA Datos 10 MB</t>
  </si>
  <si>
    <t>Tigo Control Corporativo 2</t>
  </si>
  <si>
    <t>OLA Datos 20 MB</t>
  </si>
  <si>
    <t>OLA Datos 50 MB</t>
  </si>
  <si>
    <t>Multimedia MMS ilimitado Empleados</t>
  </si>
  <si>
    <t>Paquete Tigo Bolsa Datos 20 GB Control</t>
  </si>
  <si>
    <t>Paquete Tigo Bolsa Datos 20GB Control</t>
  </si>
  <si>
    <t>GPRS ilimitado Blackberry BIS Pospago 2</t>
  </si>
  <si>
    <t>OLA Compañía Compartido 1200 (Titular)</t>
  </si>
  <si>
    <t>Paquete de Datos Corporativo 2</t>
  </si>
  <si>
    <t>Plan Datos Tigo Control Corporativo</t>
  </si>
  <si>
    <t>OLA Compañía Compartido 2400 (Titular)</t>
  </si>
  <si>
    <t>Plan Datos Blackberry BIS 2 GB Control</t>
  </si>
  <si>
    <t>Paquete 100 SMS Control Corporativo</t>
  </si>
  <si>
    <t>Paquete Localizacion Movil GPS</t>
  </si>
  <si>
    <t>Plan Tigo Empleados Pospago 3</t>
  </si>
  <si>
    <t>Tigo Control Todo Destino 1</t>
  </si>
  <si>
    <t>Tigo directo 4 a 10 líneas</t>
  </si>
  <si>
    <t>GPRS Ilimitado Blackberry empleados BIS control</t>
  </si>
  <si>
    <t>APNs IP Fijas</t>
  </si>
  <si>
    <t>Tigo Control Corporativo 11</t>
  </si>
  <si>
    <t>OLA Compañía Compartido Test (Titular)</t>
  </si>
  <si>
    <t>Súper Plan OLA Control 4</t>
  </si>
  <si>
    <t>Tigo Control PYME Simple 2</t>
  </si>
  <si>
    <t>Multimedia Control ilimitado GPRS</t>
  </si>
  <si>
    <t>Paquete Tigo Control Blackberry Social</t>
  </si>
  <si>
    <t>Plan Datos Control Especial Puntos Naranja 3 MB</t>
  </si>
  <si>
    <t>GPRS ilimitado Blackberry BES Pospago 2</t>
  </si>
  <si>
    <t>Tigo Beeper 100 Empleados Masivo</t>
  </si>
  <si>
    <t>Paquete Datos DPI Mes FUP 500 MB Baja Velocidad</t>
  </si>
  <si>
    <t>OLA Datos 300 MB</t>
  </si>
  <si>
    <t>Paquete Datos DPI Mes Mail-HTTP Control</t>
  </si>
  <si>
    <t>GPRS ilimitado Blackberry BES Pospago 3</t>
  </si>
  <si>
    <t>Multimedia GPRS ilimitado Empleados</t>
  </si>
  <si>
    <t>Ilimitado blackberry BES_PLUS control 1</t>
  </si>
  <si>
    <t>Numeral ABB BC</t>
  </si>
  <si>
    <t>Pospago 5.3 Empresarial</t>
  </si>
  <si>
    <t>Paquete Datos 5.1 Empresarial</t>
  </si>
  <si>
    <t>Conectado Siempre x $55MIL - Paquete Data</t>
  </si>
  <si>
    <t>Paquete Datos 5.2 Empresarial</t>
  </si>
  <si>
    <t>Conectado Siempre x $75MIL - Paquete Data</t>
  </si>
  <si>
    <t>Paquete Datos 5.3 Empresarial</t>
  </si>
  <si>
    <t>Conectado Siempre x $100MIL - Paquete Data</t>
  </si>
  <si>
    <t>Paquete SMS 5.1 Empresarial</t>
  </si>
  <si>
    <t>Conectado Siempre x $55MIL - Paquete SMS</t>
  </si>
  <si>
    <t>Paquete SMS 5.2 Empresarial</t>
  </si>
  <si>
    <t>Conectado Siempre x $75MIL - Paquete SMS</t>
  </si>
  <si>
    <t>Paquete SMS 5.3 Empresarial</t>
  </si>
  <si>
    <t>Conectado Siempre x $100MIL - Paquete SMS</t>
  </si>
  <si>
    <t>Amazon Prime Music promocion</t>
  </si>
  <si>
    <t>Paquete Datos DPI Mes 2 GB con Corte Control</t>
  </si>
  <si>
    <t>OLA Compañía A la carta 950 pioneros</t>
  </si>
  <si>
    <t>Tigo Control Corporativo 1340 Mas</t>
  </si>
  <si>
    <t>OLA Beeper Cuenta Controlada Ola Combinado</t>
  </si>
  <si>
    <t>OLA Compañía A la carta 450 pioneros</t>
  </si>
  <si>
    <t>Paquete Datos 4 MB Corporativo vol 500</t>
  </si>
  <si>
    <t>Plan Blackberry Pospago Corporativo 1</t>
  </si>
  <si>
    <t>Plan Control 30 MB Corporativo vol 500</t>
  </si>
  <si>
    <t>Paquete Datos 1 MB Corporativo vol 500</t>
  </si>
  <si>
    <t>Paquete Datos DPI Mes 1 GB con Corte Control</t>
  </si>
  <si>
    <t>Paquete Datos 5 MB Corporativo vol 500</t>
  </si>
  <si>
    <t>Plan Control 1 MB Corporativo vol 1000</t>
  </si>
  <si>
    <t>Paquete Datos 512 KB</t>
  </si>
  <si>
    <t>Ilimitado Blackberry empleados BIS pospago 1</t>
  </si>
  <si>
    <t>Plan Blackberry Control Corporativo 1</t>
  </si>
  <si>
    <t>Plan Control 15 MB Corporativo vol 500</t>
  </si>
  <si>
    <t>Tigo Control Tarifa Simple 6</t>
  </si>
  <si>
    <t>500 SMS Onnet y 500 SMS Offnet Control</t>
  </si>
  <si>
    <t>Plan Control 20 MB Corporativo vol 500</t>
  </si>
  <si>
    <t>GPRS ilimitado Blackberry BES_PLUS control 3</t>
  </si>
  <si>
    <t>Tigo Beeper Empleados Control 3</t>
  </si>
  <si>
    <t>Servicio Grupo Cerrado de Usuarios Tigo</t>
  </si>
  <si>
    <t>Paquete Datos 1 MB Corporativo vol 1000</t>
  </si>
  <si>
    <t>Tigo Beeper Empleados Control 4</t>
  </si>
  <si>
    <t>Paquete de Datos Corporativo Control 1</t>
  </si>
  <si>
    <t>Plan Control 10 MB Corporativo vol 1000</t>
  </si>
  <si>
    <t>Plan Tigo Control ETB</t>
  </si>
  <si>
    <t>Paquete Datos 4 MB Corporativo vol 1000</t>
  </si>
  <si>
    <t>Paquete Internet Movil Tigo ilimitado Control</t>
  </si>
  <si>
    <t>OLA Compañía Hablas más. pagas menos</t>
  </si>
  <si>
    <t>OLA Compañía Hablas Más. Pagas Menos</t>
  </si>
  <si>
    <t>Plan Blackberry Control Corporativo 2</t>
  </si>
  <si>
    <t>Plan Control 15 MB Corporativo vol 1000</t>
  </si>
  <si>
    <t>Paquete Datos 20 MB Corporativo vol 500</t>
  </si>
  <si>
    <t>Paquete Modulo Encuesta</t>
  </si>
  <si>
    <t>Plan Control 30 MB Corporativo vol 1000</t>
  </si>
  <si>
    <t>OLA Compañía Compartido 2400 pioneros</t>
  </si>
  <si>
    <t>Paquete Datos 15 MB Corporativo vol 500</t>
  </si>
  <si>
    <t>Paquete Datos 3 MB Corporativo vol 1000</t>
  </si>
  <si>
    <t>Tigo directo Control 4 a 9 líneas</t>
  </si>
  <si>
    <t>OLA Compañía A la carta 1500 pioneros</t>
  </si>
  <si>
    <t>OLA Compañía Compartido 1200 pioneros</t>
  </si>
  <si>
    <t>Plan Tigo Corporativo 3P</t>
  </si>
  <si>
    <t>Tigo Corporativo 1</t>
  </si>
  <si>
    <t>Paquete Tigo Control Blackberry Lite</t>
  </si>
  <si>
    <t>PLANES ABIERTOS OLA 2</t>
  </si>
  <si>
    <t>Tigo Control 14</t>
  </si>
  <si>
    <t>Números Abreviados 4</t>
  </si>
  <si>
    <t>GPRS Tigo Control Corporativo 1</t>
  </si>
  <si>
    <t>AVS</t>
  </si>
  <si>
    <t>OLA Control 55 pioneros</t>
  </si>
  <si>
    <t>OLA Beeper 10 Gratis Masivo</t>
  </si>
  <si>
    <t>Multimedia Control 1 SMS</t>
  </si>
  <si>
    <t>Plan Multimedia Tigo Masivo</t>
  </si>
  <si>
    <t>Tigo 500 SMS Onnet Control</t>
  </si>
  <si>
    <t>Paquete GPRS ilimitado Estudiantes 1 día</t>
  </si>
  <si>
    <t>100 SMS y 100 Gratis control</t>
  </si>
  <si>
    <t>100 SMS y 500 Gratis control</t>
  </si>
  <si>
    <t>200 SMS y 100 Gratis</t>
  </si>
  <si>
    <t>OLA Pyme Tarifa Única 1</t>
  </si>
  <si>
    <t>OLA Control 135 pioneros</t>
  </si>
  <si>
    <t>OLA Beeper Básico Datos</t>
  </si>
  <si>
    <t>200 SMS y 50 Gratis control</t>
  </si>
  <si>
    <t>PLANES ABIERTOS OLA 3</t>
  </si>
  <si>
    <t>Paquete Suscripcion GPRS ilimitado 1 día</t>
  </si>
  <si>
    <t>Ola Web Basico Ola Combinado</t>
  </si>
  <si>
    <t>Tigo Control PYME Simple 2 CUG</t>
  </si>
  <si>
    <t>Plan Tigo Empleados Pospago</t>
  </si>
  <si>
    <t>Multimedia Control 2 GPRS</t>
  </si>
  <si>
    <t>Plan Bolsa USSD 7</t>
  </si>
  <si>
    <t>Plan Datos Tigo Corporativo</t>
  </si>
  <si>
    <t>Plan Datos Control ilimitado Corporativo vol Mayor a 1000</t>
  </si>
  <si>
    <t>Tigo Control PYME 1</t>
  </si>
  <si>
    <t>200 SMS y 500 Gratis</t>
  </si>
  <si>
    <t>Tigo Control PYME Simple 1 CUG</t>
  </si>
  <si>
    <t>Plan Datos Internet Movil Tigo ilimitado Control Corporativo</t>
  </si>
  <si>
    <t>OLA Control 495 pioneros</t>
  </si>
  <si>
    <t>OLA Control 325 pioneros</t>
  </si>
  <si>
    <t>Tigo Corporativo 2</t>
  </si>
  <si>
    <t>Tigo Control Corporativo 500i</t>
  </si>
  <si>
    <t>Paquete SMS Multidestino ilimitado 1 día</t>
  </si>
  <si>
    <t>Paquete Tigo Blackberry Social</t>
  </si>
  <si>
    <t>Multimedia Control 1 GPRS</t>
  </si>
  <si>
    <t>Paquete Tigo Control Blackberry Lite CBA</t>
  </si>
  <si>
    <t>Paquete Internet Total 1 GB Pospago RTB</t>
  </si>
  <si>
    <t>Plan Datos Especial Puntos Naranja 3 MB</t>
  </si>
  <si>
    <t>Plan Tigo Pospago 5</t>
  </si>
  <si>
    <t>Plan Datos DPI Mes 3 GB Control</t>
  </si>
  <si>
    <t>200 SMS y 100 Gratis control</t>
  </si>
  <si>
    <t>OLA A la carta $80.000 - NP</t>
  </si>
  <si>
    <t>Tigo Corporativo Ilimitado 1</t>
  </si>
  <si>
    <t>Tigo Control Corporativo 3</t>
  </si>
  <si>
    <t>OLA Datos 500 KB</t>
  </si>
  <si>
    <t>Tigo Beeper 400 Empleados Masivo</t>
  </si>
  <si>
    <t>Plan Datos Internet Movil Tigo Especial</t>
  </si>
  <si>
    <t>Tigo Control PYME Simple 3</t>
  </si>
  <si>
    <t>GPRS ilimitado Blackberry BIS Pospago 3</t>
  </si>
  <si>
    <t>OLA Compañía tarifa única 4</t>
  </si>
  <si>
    <t>GPRS ilimitado Blackberry BES control 3</t>
  </si>
  <si>
    <t>Plan Tigo Control Bolsa Datos 2</t>
  </si>
  <si>
    <t>Tigo directo 10 a 20 líneas</t>
  </si>
  <si>
    <t>Plan Datos Tigo Control Blackberry Mail</t>
  </si>
  <si>
    <t>OLA Datos 100 MB</t>
  </si>
  <si>
    <t>GPRS ilimitado Blackberry BIS control 3</t>
  </si>
  <si>
    <t>E1 Tigo 2</t>
  </si>
  <si>
    <t>Plan Internet Movil Tigo Corporativo</t>
  </si>
  <si>
    <t>Paquete Internet Movil Tigo ilimitado FUP 500 MB</t>
  </si>
  <si>
    <t>Ilimitado blackberry BES_PLUS pospago 1</t>
  </si>
  <si>
    <t>Paquete Internet Movil Tigo 1 GB Control</t>
  </si>
  <si>
    <t>GPRS ilimitado Blackberry BIS Pospago 4</t>
  </si>
  <si>
    <t>Tigo Control BlackBerry</t>
  </si>
  <si>
    <t>Plan Datos Blackberry BIS 250 MB Control</t>
  </si>
  <si>
    <t>Paquete Internet Movil Tigo 3 GB Control</t>
  </si>
  <si>
    <t>Tigo Pospago BlackBerry</t>
  </si>
  <si>
    <t>Plan Tigo Control Bolsa Datos 3</t>
  </si>
  <si>
    <t>TIGO CONTROL CORPORATIVO 4</t>
  </si>
  <si>
    <t>GPRS ilimitado Blackberry BES Pospago 4</t>
  </si>
  <si>
    <t>Plan Servicios Especiales Corporativo</t>
  </si>
  <si>
    <t>Blackberry Pospago</t>
  </si>
  <si>
    <t>Ilimitado blackberry BES_PLUS pospago 2</t>
  </si>
  <si>
    <t>OLA Compañía Web</t>
  </si>
  <si>
    <t>Plan Datos 15 MB</t>
  </si>
  <si>
    <t>SEGURO MOVIL A</t>
  </si>
  <si>
    <t>OLA Beeper 1.000 SMS OnNet Gratis Control</t>
  </si>
  <si>
    <t>Tigo Control PYME Simple 4</t>
  </si>
  <si>
    <t>OLA Compañía tarifa única 5</t>
  </si>
  <si>
    <t>Tigo 500 SMS Onnet Control 2</t>
  </si>
  <si>
    <t>Paquete Internet Movil Tigo ilimitado</t>
  </si>
  <si>
    <t>100 SMS Onnet y 100 SMS Offnet</t>
  </si>
  <si>
    <t>Tigo Corporativo Ilimitado 2</t>
  </si>
  <si>
    <t>E1 Tigo 3</t>
  </si>
  <si>
    <t>100 SMS Onnet y 100 SMS Offnet Control</t>
  </si>
  <si>
    <t>Plan Datos 512 KB</t>
  </si>
  <si>
    <t>Ilimitado blackberry BES_PLUS pospago 3</t>
  </si>
  <si>
    <t>Tigo Control Tarifa Simple 3</t>
  </si>
  <si>
    <t>Plan Control 20 MB Corporativo vol 1000</t>
  </si>
  <si>
    <t>Tigo Control Tarifa Simple 7</t>
  </si>
  <si>
    <t>Plan Especial Numeral Abreviado Onnet</t>
  </si>
  <si>
    <t>Paquete Datos 30 MB Corporativo vol 500</t>
  </si>
  <si>
    <t>Paquete Datos 5 MB Corporativo vol 1000</t>
  </si>
  <si>
    <t>Paquete Internet Movil Tigo ilimitado Joven Control CBA</t>
  </si>
  <si>
    <t>Tigo Control Corporativo 9</t>
  </si>
  <si>
    <t>Paquete Datos 10 MB Corporativo vol 500</t>
  </si>
  <si>
    <t>Tigo Control Corporativo Simple 2</t>
  </si>
  <si>
    <t>Tigo directo Control 1 a 3 líneas</t>
  </si>
  <si>
    <t>Plan Blackberry Pospago Corporativo 2</t>
  </si>
  <si>
    <t>Plan Tigo L</t>
  </si>
  <si>
    <t>GPRS ilimitado Blackberry BES_PLUS Pospago 4</t>
  </si>
  <si>
    <t>Paquete Datos 15 MB Corporativo vol 1000</t>
  </si>
  <si>
    <t>Plan Tigo M</t>
  </si>
  <si>
    <t>Tigo Control Corporativo Simple 3</t>
  </si>
  <si>
    <t>Paquete Tigo Control Blackberry Lite 2</t>
  </si>
  <si>
    <t>Multimedia GPRS ilimitado Masivo Empleados</t>
  </si>
  <si>
    <t>Paquete de Datos Corporativo Control 2</t>
  </si>
  <si>
    <t>OLA Textea Mil</t>
  </si>
  <si>
    <t>Tigo 100 SMS Gratis Control Corporativo</t>
  </si>
  <si>
    <t>Paquete Datos 10 MB Corporativo vol 1000</t>
  </si>
  <si>
    <t>Paquete Datos 30 MB Corporativo vol 1000</t>
  </si>
  <si>
    <t>Multimedia Control ilimitado MMS Empleados</t>
  </si>
  <si>
    <t>GPRS Ilimitado Blackberry empleados BES_PLUS pospago</t>
  </si>
  <si>
    <t>OLA Pospago</t>
  </si>
  <si>
    <t>Multimedia Control ilimitado SMS Empleados</t>
  </si>
  <si>
    <t>OLA Imagen 50 más 25 MMS Gratis Corporativo</t>
  </si>
  <si>
    <t>Plan Tigo XL</t>
  </si>
  <si>
    <t>Paquete Datos 20 MB Corporativo vol 1000</t>
  </si>
  <si>
    <t>Plan 10</t>
  </si>
  <si>
    <t>Tigo Beeper 400 Empleados Control Masivo</t>
  </si>
  <si>
    <t>Ola Beeper 100 más 10 SMS Gratis Corporativo</t>
  </si>
  <si>
    <t>Plan Especial Numeral Abreviado Onnet 2</t>
  </si>
  <si>
    <t>OLA Imagen 100 más 25 MMS Gratis Corporativo</t>
  </si>
  <si>
    <t>Empty MMS Product</t>
  </si>
  <si>
    <t>Plan 3 GPS-UBK</t>
  </si>
  <si>
    <t>GPRS Tigo Corporativo Ilimitado 1</t>
  </si>
  <si>
    <t>SMS para Integradores</t>
  </si>
  <si>
    <t>200 SMS y 500 Gratis control</t>
  </si>
  <si>
    <t>OLA Reactívate Control 1</t>
  </si>
  <si>
    <t>Paquete Bolsa LBS-144</t>
  </si>
  <si>
    <t>Plan Datos DPI Mes 5 GB Control</t>
  </si>
  <si>
    <t>SEGURO RANGO ALTO pospago</t>
  </si>
  <si>
    <t>CLIR</t>
  </si>
  <si>
    <t>OLA A la carta $49.000 - NP</t>
  </si>
  <si>
    <t>COLR</t>
  </si>
  <si>
    <t>Tigo Control PYME 190</t>
  </si>
  <si>
    <t>Tigo Control PYME 2</t>
  </si>
  <si>
    <t>SEGURO RANGO BAJO pospago</t>
  </si>
  <si>
    <t>Tigo Basico CBA SMS</t>
  </si>
  <si>
    <t>Plan Tigo Pospago 6</t>
  </si>
  <si>
    <t>PLANES ABIERTOS OLA 4</t>
  </si>
  <si>
    <t>OLA Pyme Tarifa Única 2</t>
  </si>
  <si>
    <t>Tigo Corporativo 3</t>
  </si>
  <si>
    <t>Paquete Rastreo Vehicular</t>
  </si>
  <si>
    <t>OLA A la carta $35.000 - NP</t>
  </si>
  <si>
    <t>Tigo Basico CBA MMS</t>
  </si>
  <si>
    <t>Plan Internet Movil Tigo Control</t>
  </si>
  <si>
    <t>SEGURO RANGO MEDIO pospago</t>
  </si>
  <si>
    <t>OLA A la carta $110.000 - NP</t>
  </si>
  <si>
    <t>500 SMS y 50 Gratis</t>
  </si>
  <si>
    <t>Tigo Corporativo 4</t>
  </si>
  <si>
    <t>Tigo Pospago 17</t>
  </si>
  <si>
    <t>Plan Blackberry Control 1</t>
  </si>
  <si>
    <t>OLA A la carta 65 pioneros</t>
  </si>
  <si>
    <t>Multimedia GPRS Ilimitado Masivo</t>
  </si>
  <si>
    <t>GPRS Tigo Corporativo Ilimitado 2</t>
  </si>
  <si>
    <t>PAQUETE SMS INTEGRADOR 2</t>
  </si>
  <si>
    <t>OLA Compañía Bolsa (Dependiente)</t>
  </si>
  <si>
    <t>Plan Datos Tigo Control Blackberry Lite</t>
  </si>
  <si>
    <t>Paquete Tigo Family Protection</t>
  </si>
  <si>
    <t>Plan Control Especial Puntos Naranja 3 MB</t>
  </si>
  <si>
    <t>OLA Compañía Ilimitado 1</t>
  </si>
  <si>
    <t>Plan Tigo Pospago 7</t>
  </si>
  <si>
    <t>SEGURO MOVIL B</t>
  </si>
  <si>
    <t>OLA Imagen 50 más 10 MMS Gratis Masivo</t>
  </si>
  <si>
    <t>Paquete Modulo Registro de Notificacion</t>
  </si>
  <si>
    <t>OLA Web Datos 1 MB</t>
  </si>
  <si>
    <t>Blackberry BIS 1Mb control 3 CBA</t>
  </si>
  <si>
    <t>Tigo Corporativo Ilimitado 3</t>
  </si>
  <si>
    <t>OLA Imagen 50 más 25 MMS Gratis Masivo</t>
  </si>
  <si>
    <t>250 SMS Onnet y 250 SMS Offnet</t>
  </si>
  <si>
    <t>Tigo Control Corporativo 5</t>
  </si>
  <si>
    <t>Ilimitado blackberry BES_PLUS control 3</t>
  </si>
  <si>
    <t>E1 Tigo 4</t>
  </si>
  <si>
    <t>Paquete Internet Movil Tigo FUP 1 GB Control NE CBA</t>
  </si>
  <si>
    <t>Paquete Captura de Datos Movil CT1</t>
  </si>
  <si>
    <t>Plan Datos 3 MB Corporativo vol 500</t>
  </si>
  <si>
    <t>Paquete Localizacion Movil LBS PR10</t>
  </si>
  <si>
    <t>Plan Datos Tigo Control Blackberry Social</t>
  </si>
  <si>
    <t>Plan Tigo Empleados Control DV</t>
  </si>
  <si>
    <t>Paquete Localizacion Movil LBS PR20</t>
  </si>
  <si>
    <t>Plan Datos 5 MB Corporativo vol 500</t>
  </si>
  <si>
    <t>Paquete Captura de Datos Movil CT70</t>
  </si>
  <si>
    <t>250 SMS Onnet y 250 SMS Offnet Control</t>
  </si>
  <si>
    <t>Plan Datos 1 MB Corporativo vol 500</t>
  </si>
  <si>
    <t>OLA Compañía tarifa única 6</t>
  </si>
  <si>
    <t>Plan Tigo Control Bolsa Datos 4</t>
  </si>
  <si>
    <t>Paquete Gana de dia</t>
  </si>
  <si>
    <t>Paquete Localizacion Movil LBS PR1</t>
  </si>
  <si>
    <t>OLA Web Datos 5 MB</t>
  </si>
  <si>
    <t>Paquete IMT 1 GB Pospago RTB</t>
  </si>
  <si>
    <t>Paquete Internet 200MB mas 1GB Pospago RTB</t>
  </si>
  <si>
    <t>Paquete Ubicacion AVL POLICIA NACIONAL</t>
  </si>
  <si>
    <t>Paquete Ubicacion GPS</t>
  </si>
  <si>
    <t>Paquete Ubicacion GPS POLICIA NACIONAL</t>
  </si>
  <si>
    <t>Paquete Ubicacion LBS</t>
  </si>
  <si>
    <t>Paquete Ubicacion LBS POLICIA NACIONAL</t>
  </si>
  <si>
    <t>Plan Datos Internet Movil Tigo ilimitado Total Control</t>
  </si>
  <si>
    <t>Promocion 100 SMS Gratis</t>
  </si>
  <si>
    <t>Promocion 100 SMS OnNet</t>
  </si>
  <si>
    <t>Promocion 100 SMS OnNet Control por Activacion</t>
  </si>
  <si>
    <t>Promocion 1000 SMS OnNet</t>
  </si>
  <si>
    <t>Promocion 50 SMS OnNet</t>
  </si>
  <si>
    <t>Promocion Voz Control Deportivo Cali</t>
  </si>
  <si>
    <t>Promocion Voz Control Navidad</t>
  </si>
  <si>
    <t>Paquete 100SMS_ON y 50SMS_TD</t>
  </si>
  <si>
    <t>Paquete 100SMS_ON y 50SMS_TD CONTROL</t>
  </si>
  <si>
    <t>Paquete 100SMS_ON y 50SMS_TD CONTROLV</t>
  </si>
  <si>
    <t>Paquete 30SMS_TD y 50SMS_ON CONTROLV</t>
  </si>
  <si>
    <t>Paquete 30SMS_ON y 50SMS_TD CONTROL</t>
  </si>
  <si>
    <t>Tigo Control Corporativo 1340 Mas Rec</t>
  </si>
  <si>
    <t>Tigo Control Corporativo 550 Mas Rec</t>
  </si>
  <si>
    <t>Tigo Control Corporativo 900 Mas Rec</t>
  </si>
  <si>
    <t>Tigo Control Corporativo Simple 1 CUG Rec</t>
  </si>
  <si>
    <t>Tigo Control Corporativo Simple 2 CUG Rec</t>
  </si>
  <si>
    <t>Tigo Control Corporativo Simple 2 Rec</t>
  </si>
  <si>
    <t>Tigo Control Corporativo Simple 1 Rec</t>
  </si>
  <si>
    <t>Tigo Control Corporativo Simple 3 Rec</t>
  </si>
  <si>
    <t>Tigo Control Corporativo Simple 4 Rec</t>
  </si>
  <si>
    <t>Tigo Control Empresa 3 Rec</t>
  </si>
  <si>
    <t>Tigo Control PYME Simple 1 CUG Rec</t>
  </si>
  <si>
    <t>Tigo Control PYME Simple 2 CUG Rec</t>
  </si>
  <si>
    <t>Tigo Control PYME Simple 3 Rec</t>
  </si>
  <si>
    <t>Tigo Control PYME Simple 4 Rec</t>
  </si>
  <si>
    <t>Tigo Corporativo 1340 Gateway Rec</t>
  </si>
  <si>
    <t>Tigo Corporativo 1340 Mas Rec</t>
  </si>
  <si>
    <t>Tigo Corporativo 500 Mas Rec</t>
  </si>
  <si>
    <t>Tigo Corporativo 900 Mas Rec</t>
  </si>
  <si>
    <t>Tigo Empresa 3 Rec</t>
  </si>
  <si>
    <t>Tigo Control PYME Simple 1 Rec</t>
  </si>
  <si>
    <t>Tigo Control PYME Simple 2 Rec</t>
  </si>
  <si>
    <t>Deezer promocion</t>
  </si>
  <si>
    <t>OLA Beeper 100 más 50 SMS Gratis Corporativo</t>
  </si>
  <si>
    <t>OLA Beeper 200 más 50 SMS Gratis Corporativo</t>
  </si>
  <si>
    <t>Paquete Internet Movil Tigo 3 GB Corporativo</t>
  </si>
  <si>
    <t>Tigo Beeper 100 Empleados Control Masivo</t>
  </si>
  <si>
    <t>Tigo Control Corporativo Simple 4</t>
  </si>
  <si>
    <t>Tigo Control Corporativo Ilimitado 1</t>
  </si>
  <si>
    <t>Ola Beeper 200 más 10 SMS Gratis Corporativo</t>
  </si>
  <si>
    <t>Paquete Internet Movil Tigo ilimitado 2</t>
  </si>
  <si>
    <t>OLA Compañía A la Carta 80.000 Pioneros</t>
  </si>
  <si>
    <t>OLA Compañía A la medida límite de consumo</t>
  </si>
  <si>
    <t>OLA Imagen 200 más 25 MMS Gratis Corporativo</t>
  </si>
  <si>
    <t>Multimedia Control ilimitado GPRS Empleados</t>
  </si>
  <si>
    <t>Plan 2 GPS-UBK</t>
  </si>
  <si>
    <t>Plan 1 GPS-UBK</t>
  </si>
  <si>
    <t>Ola Beeper 400 más 10 SMS Gratis Corporativo</t>
  </si>
  <si>
    <t>OLA Beeper 400 más 50 SMS Gratis Corporativo</t>
  </si>
  <si>
    <t>Plan Datos Internet Movil Tigo Control Especial</t>
  </si>
  <si>
    <t>Plan Internet Movil Tigo Control Corporativo</t>
  </si>
  <si>
    <t>Empty SMS Product</t>
  </si>
  <si>
    <t>Plan Datos ilimitado Corporativo vol 1000</t>
  </si>
  <si>
    <t>Paquete Internet Movil Tigo 1 GB Corporativo</t>
  </si>
  <si>
    <t>Tigo directo Control 10 a 20 líneas</t>
  </si>
  <si>
    <t>Paquete DPI Redes Sociales-Mail-Chat Mes</t>
  </si>
  <si>
    <t>Paquete Gana de noche</t>
  </si>
  <si>
    <t>Empty GPRS Product</t>
  </si>
  <si>
    <t>Plan Control ilimitado Corporativo vol 500</t>
  </si>
  <si>
    <t>OLA Beeper 200 más 100 SMS Gratis Corporativo</t>
  </si>
  <si>
    <t>OLA Beeper Básico Corporativo</t>
  </si>
  <si>
    <t>OLA Web Básico Control Masivo</t>
  </si>
  <si>
    <t>Plan Tigo Empleados Control OM</t>
  </si>
  <si>
    <t>OLA Imagen Unidos 2 a 4</t>
  </si>
  <si>
    <t>Plan Datos Internet Movil Tigo ilimitado Familia y Aliado Control</t>
  </si>
  <si>
    <t>Paquete DPI Chat-Mail Mes</t>
  </si>
  <si>
    <t>Súper Plan OLA 3 Plus</t>
  </si>
  <si>
    <t>Súper Plan OLA 2 Plus</t>
  </si>
  <si>
    <t>OLA Beeper Planes Abiertos</t>
  </si>
  <si>
    <t>Paquete Blackberry BIS Ilimitado FUP 2 GB</t>
  </si>
  <si>
    <t>Tigo Basico CBA GPRS</t>
  </si>
  <si>
    <t>OLA Reactívate Control 2</t>
  </si>
  <si>
    <t>E1 Tigo</t>
  </si>
  <si>
    <t>Tigo Control PYME 3</t>
  </si>
  <si>
    <t>OLA Beeper Unidos 2 a 4</t>
  </si>
  <si>
    <t>OLA Tarifa Plana Control 1</t>
  </si>
  <si>
    <t>TIGO Blackberry</t>
  </si>
  <si>
    <t>OLA Imagen Planes Abiertos</t>
  </si>
  <si>
    <t>OLA Pyme Tarifa Única 3</t>
  </si>
  <si>
    <t>Tigo Control Super Bacano</t>
  </si>
  <si>
    <t>Súper Plan OLA 1 Plus</t>
  </si>
  <si>
    <t>Paquete Internet Movil Tigo ilimitado Empleados Control 2</t>
  </si>
  <si>
    <t>Paquete Tigo Control Blackberry Social CBA</t>
  </si>
  <si>
    <t>Plan Blackberry Pospago 1</t>
  </si>
  <si>
    <t>Paquete SMS Empresarial 1</t>
  </si>
  <si>
    <t>Paquete SMS Onnet a 1 Favorito</t>
  </si>
  <si>
    <t>Paquete Datos Control ilimitado Corporativo vol Mayor a 1000</t>
  </si>
  <si>
    <t>OLA En familia 600 pioneros</t>
  </si>
  <si>
    <t>OLA En Familia 240 pioneros</t>
  </si>
  <si>
    <t>Paquete Internet Movil Tigo Control 3GB CBA</t>
  </si>
  <si>
    <t>500 SMS y 100 Gratis</t>
  </si>
  <si>
    <t>Ola Imagen Basico Ola Combinado</t>
  </si>
  <si>
    <t>Tigo Corporativo 5</t>
  </si>
  <si>
    <t>Tigo Control Parcero 1</t>
  </si>
  <si>
    <t>PAQUETE SMS INTEGRADOR 3</t>
  </si>
  <si>
    <t>Plan Blackberry Control 2</t>
  </si>
  <si>
    <t>Plan Datos Tigo Blackberry Social</t>
  </si>
  <si>
    <t>OLA A la carta 550 pioneros</t>
  </si>
  <si>
    <t>Paquete DPI Chat-Mail Mes Control</t>
  </si>
  <si>
    <t>Paquete Internet Movil Tigo ilimitado Empleados Control 3</t>
  </si>
  <si>
    <t>Paquete Internet Movil Tigo Control Ilimitado 2 CBA</t>
  </si>
  <si>
    <t>Plan Heroes de la patria control 1</t>
  </si>
  <si>
    <t>OLA Beeper 400 más 10 SMS Gratis Masivo</t>
  </si>
  <si>
    <t>Paquete DPI Chat-Redes Sociales Mes</t>
  </si>
  <si>
    <t>50 SMS Onnet y 50 SMS Offnet Control</t>
  </si>
  <si>
    <t>Plan Datos 15 MB Corporativo vol 500</t>
  </si>
  <si>
    <t>Paquete Localizacion Movil LBS PR100</t>
  </si>
  <si>
    <t>Tigo Beeper Empleados Control 1</t>
  </si>
  <si>
    <t>OLA Web Datos 10 MB</t>
  </si>
  <si>
    <t>OLA Imagen 100 más 25 MMS Gratis Masivo</t>
  </si>
  <si>
    <t>OLA Beeper 100 más 50 SMS Gratis Masivo</t>
  </si>
  <si>
    <t>Plan Datos 30 MB Corporativo vol 500</t>
  </si>
  <si>
    <t>GPRS ilimitado Blackberry BES_PLUS Pospago 1</t>
  </si>
  <si>
    <t>OLA Imagen 200 más 10 MMS Gratis Masivo</t>
  </si>
  <si>
    <t>OLA Beeper 400 más 20 SMS Gratis Masivo</t>
  </si>
  <si>
    <t>OLA Beeper 200 más 10 SMS Gratis Masivo</t>
  </si>
  <si>
    <t>Plan Datos 5 MB Corporativo vol 1000</t>
  </si>
  <si>
    <t>Tigo Basico CBA</t>
  </si>
  <si>
    <t>Plan Datos 3 MB Corporativo vol 1000</t>
  </si>
  <si>
    <t>OLA Beeper 200 más 20 SMS Gratis Masivo</t>
  </si>
  <si>
    <t>OLA Beeper 200 más 50 SMS Gratis Masivo</t>
  </si>
  <si>
    <t>Ilimitado blackberry BES_PLUS pospago 4</t>
  </si>
  <si>
    <t>Paquete Captura de Datos Movil CT150</t>
  </si>
  <si>
    <t>OLA Web Datos 20 MB</t>
  </si>
  <si>
    <t>OLA Cuenta Controlada</t>
  </si>
  <si>
    <t>PAQUETE CORPORATIVOS LDI BASICO CONTROL</t>
  </si>
  <si>
    <t>PAQUETE CORPORATIVOS LDI BASICO</t>
  </si>
  <si>
    <t>PAQUETE CORPORATIVOS LDI SIMPLE</t>
  </si>
  <si>
    <t>PAQUETE CORPORATIVOS LDI SIMPLE CONTROL</t>
  </si>
  <si>
    <t>Tigo Beeper Basico ATP Masivo</t>
  </si>
  <si>
    <t>Tigo Web Basico ATP Masivo</t>
  </si>
  <si>
    <t>Tigo Imagen Basico ATP Masivo</t>
  </si>
  <si>
    <t>/service/atp/mms</t>
  </si>
  <si>
    <t>Paquete Internet Movil Tigo ilimitado FUP 3 GB Control CBA</t>
  </si>
  <si>
    <t>Paquete Internet Movil Tigo ilimitado FUP 5 GB Control CBA</t>
  </si>
  <si>
    <t>Plan Datos Internet Movil Tigo ilimitado Control</t>
  </si>
  <si>
    <t>Paquete Internet Movil Tigo ilimitado FUP 2 GB Control CBA</t>
  </si>
  <si>
    <t>Plan Servicios Especiales Control Corporativo</t>
  </si>
  <si>
    <t>OLA Beeper 100 más 100 SMS Gratis Corporativo</t>
  </si>
  <si>
    <t>OLA Datos</t>
  </si>
  <si>
    <t>Plan de Asistencia Gold</t>
  </si>
  <si>
    <t>OLA Beeper 400 más 100 SMS Gratis Corporativo</t>
  </si>
  <si>
    <t>Paquete DPI Redes Sociales-Mail-Chat Mes Control</t>
  </si>
  <si>
    <t>OLA Web Básico A la medida</t>
  </si>
  <si>
    <t>Paquete Internet Movil Tigo ilimitado FUP 1 GB Control CBA</t>
  </si>
  <si>
    <t>Tigo Control Corporativo Ilimitado 2</t>
  </si>
  <si>
    <t>Plan Internet Movil Tigo Familia y Aliado Control</t>
  </si>
  <si>
    <t>Plan Control 1 GB PYME</t>
  </si>
  <si>
    <t>Paquete Datos ilimitado Corporativo vol 500</t>
  </si>
  <si>
    <t>NCUG Empresarial Control CBA</t>
  </si>
  <si>
    <t>PROMO Habla sin Parar RTB</t>
  </si>
  <si>
    <t>Plan Datos Control 1 MB Corporativo vol 500</t>
  </si>
  <si>
    <t>Plan 13</t>
  </si>
  <si>
    <t>Paquete Blackberry BIS Ilimitado FUP 2 GB Control</t>
  </si>
  <si>
    <t>Paquete 10 SMS Onnet 1 día</t>
  </si>
  <si>
    <t>Plan Datos Control 3 MB Corporativo vol 500</t>
  </si>
  <si>
    <t>Tigo Control Corporativo Ilimitado 3</t>
  </si>
  <si>
    <t>Plan Control 5 MB PYME</t>
  </si>
  <si>
    <t>Plan Control ilimitado Corporativo vol 1000</t>
  </si>
  <si>
    <t>Plan Datos Control 5 MB Corporativo vol 500</t>
  </si>
  <si>
    <t>Plan Datos Internet Movil Tigo 1 GB Corporativo</t>
  </si>
  <si>
    <t>Plan Datos 5 MB Corporativo vol Mayor a 1000</t>
  </si>
  <si>
    <t>OLA Web Básico</t>
  </si>
  <si>
    <t>Paquete SMS ilimitado 1 día</t>
  </si>
  <si>
    <t>Tigo directo Control mayor a 21 líneas</t>
  </si>
  <si>
    <t>Plan Control 15 MB PYME</t>
  </si>
  <si>
    <t>Plan 11 2</t>
  </si>
  <si>
    <t>Plan Datos Internet Movil Tigo 3 GB Corporativo</t>
  </si>
  <si>
    <t>Servicio Grupo Cerrado de Usuarios Tigo Control</t>
  </si>
  <si>
    <t>Plan Datos Internet Movil Tigo ilimitado 2</t>
  </si>
  <si>
    <t>Plan Datos Control 3 MB Corporativo vol 1000</t>
  </si>
  <si>
    <t>Paquete Datos ilimitado Corporativo vol 1000</t>
  </si>
  <si>
    <t>Plan 10 2</t>
  </si>
  <si>
    <t>Tigo Control Empresa 1</t>
  </si>
  <si>
    <t>Paquete SMS Empresarial 2</t>
  </si>
  <si>
    <t>Plan Tigo Pospago 8</t>
  </si>
  <si>
    <t>Paquete SMS Empresarial 2 Control</t>
  </si>
  <si>
    <t>Paquete SMS Empresarial 3 Control</t>
  </si>
  <si>
    <t>OLA Compañía Ilimitado 2</t>
  </si>
  <si>
    <t>Paquete SMS Empresarial 4 Control</t>
  </si>
  <si>
    <t>Ola Beeper Basico Ola Combinado</t>
  </si>
  <si>
    <t>500 SMS y 500 Gratis</t>
  </si>
  <si>
    <t>Paquete 300 SMS Onnet Promocional</t>
  </si>
  <si>
    <t>OLA Imagen  Básico Corporativo</t>
  </si>
  <si>
    <t>OLA A la carta 140 pioneros</t>
  </si>
  <si>
    <t>500 SMS y 50 Gratis control</t>
  </si>
  <si>
    <t>Plan Blackberry Pospago 2</t>
  </si>
  <si>
    <t>Tigo Control Bacano 2</t>
  </si>
  <si>
    <t>Paquete SMS Empresarial 1 Control</t>
  </si>
  <si>
    <t>OLA A la carta 360 pioneros</t>
  </si>
  <si>
    <t>Plan Tigo Empleados Control AN</t>
  </si>
  <si>
    <t>OLA Tarifa Plana Control 2</t>
  </si>
  <si>
    <t>Tigo Pospago 18</t>
  </si>
  <si>
    <t>OLA Control $80.000 pioneros</t>
  </si>
  <si>
    <t>Paquete Tigo VirusScan Plus</t>
  </si>
  <si>
    <t>Modulo Tigo Bacanos Retencion Control</t>
  </si>
  <si>
    <t>Ilimitado blackberry BIS pospago 1</t>
  </si>
  <si>
    <t>Ilimitado blackberry BES pospago 1</t>
  </si>
  <si>
    <t>Paquete Datos DPI Mes 5 GB Control</t>
  </si>
  <si>
    <t>OLA Beeper 10 Gratis Corporativo</t>
  </si>
  <si>
    <t>SEGURO RANGO DE LUJO pospago</t>
  </si>
  <si>
    <t>OLA Control $35.000 pioneros</t>
  </si>
  <si>
    <t>Plan Datos Internet Movil Tigo ilimitado FUP 2 GB Control 2</t>
  </si>
  <si>
    <t>Plan PruebaRTB Referidos 2</t>
  </si>
  <si>
    <t>OLA Compañía A la carta 950</t>
  </si>
  <si>
    <t>Paquete L de 150 MMS Onnet</t>
  </si>
  <si>
    <t>Paquete M de 125 MMS Onnet</t>
  </si>
  <si>
    <t>Paquete S de 100 MMS Onnet</t>
  </si>
  <si>
    <t>OLA Beeper Básico Referidos</t>
  </si>
  <si>
    <t>Paquete Internet Movil Tigo ilimitado Familia</t>
  </si>
  <si>
    <t>500 SMS y 500 Gratis control</t>
  </si>
  <si>
    <t>Paquete Datos DPI Mes 2 GB Control</t>
  </si>
  <si>
    <t>Paquete M de 125 SMS Onnet</t>
  </si>
  <si>
    <t>Paquete SMS Empresarial 3</t>
  </si>
  <si>
    <t>Tigo Control Parcero 2</t>
  </si>
  <si>
    <t>Paquete S de 100 SMS Onnet</t>
  </si>
  <si>
    <t>OLA Hablas Más. Pagas Menos</t>
  </si>
  <si>
    <t>OLA Hablas más. pagas menos</t>
  </si>
  <si>
    <t>Plan Pruebas Roaming Internacional</t>
  </si>
  <si>
    <t>Paquete Datos DPI Mes 1 GB Control</t>
  </si>
  <si>
    <t>OLA Imagen 25 Gratis Corporativo</t>
  </si>
  <si>
    <t>OLA Beeper 100 más 10 SMS Gratis Masivo</t>
  </si>
  <si>
    <t>50 SMS Onnet y 50 SMS Offnet</t>
  </si>
  <si>
    <t>GPRS ilimitado Blackberry BES_PLUS control 1</t>
  </si>
  <si>
    <t>Plan Datos 20 MB Corporativo vol 500</t>
  </si>
  <si>
    <t>OLA Beeper 400 más 50 SMS Gratis Masivo</t>
  </si>
  <si>
    <t>Tigo directo mayor a 21 líneas</t>
  </si>
  <si>
    <t>OLA Imagen 100 más 10 MMS Gratis Masivo</t>
  </si>
  <si>
    <t>Blackberry BIS 4 Mb control 3 CBA</t>
  </si>
  <si>
    <t>Tigo Control Corporativo 6</t>
  </si>
  <si>
    <t>Plan Heroes de la patria control 2</t>
  </si>
  <si>
    <t>Plan Datos 1 MB Corporativo vol 1000</t>
  </si>
  <si>
    <t>OLA Beeper 100 más 20 SMS Gratis Masivo</t>
  </si>
  <si>
    <t>OLA Imagen 200 más 25 MMS Gratis Masivo</t>
  </si>
  <si>
    <t>Tigo Control Tarifa Simple 4</t>
  </si>
  <si>
    <t>Plan Datos 10 MB Corporativo vol 500</t>
  </si>
  <si>
    <t>OLA Web Datos 50 MB</t>
  </si>
  <si>
    <t>Tigo Control PYME Simple 2 Rec CBA</t>
  </si>
  <si>
    <t>Tigo Control PYME Simple 3 Rec CBA</t>
  </si>
  <si>
    <t>Tigo Control PYME Simple 4 Rec CBA</t>
  </si>
  <si>
    <t>Paquete de datos Internet Total limitado control Mes 10GB</t>
  </si>
  <si>
    <t>Paquete de datos Internet Total limitado control Mes 15GB</t>
  </si>
  <si>
    <t>Paquete de datos Internet Total limitado control Mes 20GB</t>
  </si>
  <si>
    <t>Plan de datos Internet Total limitado control Mes 10GB</t>
  </si>
  <si>
    <t>Plan de datos Internet Total limitado control Mes 15GB</t>
  </si>
  <si>
    <t>Plan de datos Internet Total limitado control Mes 20GB</t>
  </si>
  <si>
    <t>Proteccion Movil Gama Black</t>
  </si>
  <si>
    <t>1000MIN TD, SMS TD y Voz a Tigo infinito, 3 GB WA+Mail+FB P1</t>
  </si>
  <si>
    <t>1000MIN TD, SMS TD y Voz a Tigo infinito, 3 GB WA+Mail+FB P2</t>
  </si>
  <si>
    <t>1000MIN TD, SMS TD y Voz a Tigo infinito, 3 GB WA+Mail+FB P3</t>
  </si>
  <si>
    <t>1500MIN TD,SMS TD y Voz a Tigo infinito, 3,5 GB WA+ Mail+FB P1</t>
  </si>
  <si>
    <t>1500MIN TD,SMS TD y Voz a Tigo infinito, 3,5 GB WA+ Mail+FB P2</t>
  </si>
  <si>
    <t>1000 MIN TD, SMS y Voz a Tigo inf, 6.5 GB, WA+Mail+FB, CUG P1</t>
  </si>
  <si>
    <t>1000 MIN TD, SMS y Voz a Tigo inf, 6.5 GB, WA+Mail+FB inf P2</t>
  </si>
  <si>
    <t>1000 MIN TD, SMS y Voz a Tigo inf, 6.5 GB, WA+Mail+FB inf P3</t>
  </si>
  <si>
    <t>500MIN TD , SMS TD y Voz a Tigo inf, 5.5 GB, WA+Mail+FB, CUG P1</t>
  </si>
  <si>
    <t>500MIN TD , SMS TD y Voz a Tigo inf, 5.5 GB, WA+Mail+FB inf P2</t>
  </si>
  <si>
    <t>500MIN TD, SMS TD y Voz a Tigo inf, 5.5 GB, WA+Mail+FB inf P3</t>
  </si>
  <si>
    <t>Voz y SMS TD infinitos, 7 GB, WA+Mail+FB CUG P1</t>
  </si>
  <si>
    <t>Voz y SMS TD infinitos, 7 GB, WA+Mail+FB P2</t>
  </si>
  <si>
    <t>Voz y SMS TD infinitos, 7 GB, WA+Mail+FB P3</t>
  </si>
  <si>
    <t>Plan Datos 3 MB Corporativo vol Mayor a 1000</t>
  </si>
  <si>
    <t>Plan Datos Control 10 MB Corporativo vol 500</t>
  </si>
  <si>
    <t>Plan Tigo Empleados VP RTB</t>
  </si>
  <si>
    <t>Plan Datos Control 15 MB Corporativo vol 500</t>
  </si>
  <si>
    <t>Plan Datos Control 30 MB Corporativo vol 500</t>
  </si>
  <si>
    <t>Plan Datos Control 20 MB Corporativo vol 500</t>
  </si>
  <si>
    <t>Plan Datos Control 1 MB Corporativo vol 1000</t>
  </si>
  <si>
    <t>Plan Datos 1 MB Corporativo vol Mayor a 1000</t>
  </si>
  <si>
    <t>OLA Web 1MB Cuenta Controlada</t>
  </si>
  <si>
    <t>Plan Datos Control 5 MB Corporativo vol 1000</t>
  </si>
  <si>
    <t>OLA Beeper 400 más 10 SMS Gratis Masivo Plus</t>
  </si>
  <si>
    <t>Plan Datos 10 MB Corporativo vol Mayor a 1000</t>
  </si>
  <si>
    <t>Plan Datos 30 MB Corporativo vol Mayor a 1000</t>
  </si>
  <si>
    <t>Paquete 5 SMS Movistar 1 día</t>
  </si>
  <si>
    <t>Plan Datos Control 10 MB Corporativo vol 1000</t>
  </si>
  <si>
    <t>Plan Datos Control 20 MB Corporativo vol 1000</t>
  </si>
  <si>
    <t>OLA Beeper Básico Súper OLA</t>
  </si>
  <si>
    <t>OLA Beeper 200 más 20 SMS Gratis Masivo Plus</t>
  </si>
  <si>
    <t>OLA Beeper Básico A la medida</t>
  </si>
  <si>
    <t>Plan Datos Control 15 MB Corporativo vol 1000</t>
  </si>
  <si>
    <t>OLA Datos 500KB TL</t>
  </si>
  <si>
    <t>OLA Imagen Básico A la medida</t>
  </si>
  <si>
    <t>Plan Datos 20 MB Corporativo vol Mayor a 1000</t>
  </si>
  <si>
    <t>Plan Datos Control 30 MB Corporativo vol 1000</t>
  </si>
  <si>
    <t>OLA Beeper 100 más 20 SMS Gratis Masivo Plus</t>
  </si>
  <si>
    <t>Paquete Internet Movil Tigo ilimitado Joven Control</t>
  </si>
  <si>
    <t>OLA Beeper 100 más 10 SMS Gratis Masivo Plus</t>
  </si>
  <si>
    <t>OLA Beeper 200 más 10 SMS Gratis Masivo Plus</t>
  </si>
  <si>
    <t>Paquete Datos DPI Mes HTTP-Chat-Redes Sociales-Mail</t>
  </si>
  <si>
    <t>Plan Datos 15 MB Corporativo vol Mayor a 1000</t>
  </si>
  <si>
    <t>OLA Beeper 400 más 20 SMS Gratis Masivo Plus</t>
  </si>
  <si>
    <t>OLA Mío Plus</t>
  </si>
  <si>
    <t>Paquete Datos Control 1 MB Corporativo vol 500</t>
  </si>
  <si>
    <t>Plan Tigo S</t>
  </si>
  <si>
    <t>Ola Combinado Cuenta Controlada</t>
  </si>
  <si>
    <t>Blackberry Pospago corporativo</t>
  </si>
  <si>
    <t>OLA Beeper 25 Cuenta Controlada</t>
  </si>
  <si>
    <t>Paquete Datos Control 3 MB Corporativo vol 500</t>
  </si>
  <si>
    <t>Plan Control 3 MB Corporativo vol Mayor a 1000</t>
  </si>
  <si>
    <t>OLA Web 2 MB(Titular)</t>
  </si>
  <si>
    <t>OLA Web 5 MB(Titular)</t>
  </si>
  <si>
    <t>Plan Datos 10</t>
  </si>
  <si>
    <t>Paquete Tigo VirusScan Paid</t>
  </si>
  <si>
    <t>Ilimitado blackberry BES control 1</t>
  </si>
  <si>
    <t>OLA Compañía A la carta 450</t>
  </si>
  <si>
    <t>Ilimitado blackberry BIS control 1</t>
  </si>
  <si>
    <t>Tigo Pospago 19</t>
  </si>
  <si>
    <t>OLA Control $49.000 pioneros</t>
  </si>
  <si>
    <t>OLA Beeper 50 Gratis Corporativo</t>
  </si>
  <si>
    <t>Tigo Control Empresa 2</t>
  </si>
  <si>
    <t>OLA Compañía Ilimitado 3</t>
  </si>
  <si>
    <t>Paquete Datos DPI Mes 3 GB Control</t>
  </si>
  <si>
    <t>Paquete L de 150 SMS Onnet</t>
  </si>
  <si>
    <t>Paquete Blackberry BB Plus Control</t>
  </si>
  <si>
    <t>500 SMS y 100 Gratis control</t>
  </si>
  <si>
    <t>PAQUETE SMS INTEGRADOR 4</t>
  </si>
  <si>
    <t>Tigo Corporativo 900 Mas</t>
  </si>
  <si>
    <t>Paquete XL de 200 SMS Onnet</t>
  </si>
  <si>
    <t>OLA Compañía A la carta 1500</t>
  </si>
  <si>
    <t>OLA Compañía Compartido 2400</t>
  </si>
  <si>
    <t>Paquete Navegacion 1 GB Promocional</t>
  </si>
  <si>
    <t>Handset Insurance</t>
  </si>
  <si>
    <t>Habla sin Parar RTB</t>
  </si>
  <si>
    <t>OLA Web 2 MB</t>
  </si>
  <si>
    <t>OLA Pyme Tarifa Única 1 Plus</t>
  </si>
  <si>
    <t>OLA Pyme Tarifa Única 2 Plus</t>
  </si>
  <si>
    <t>Ilimitado blackberry BES pospago 2</t>
  </si>
  <si>
    <t>OLA Beeper 100 Gratis Corporativo</t>
  </si>
  <si>
    <t>OLA Imagen Básico Control Masivo</t>
  </si>
  <si>
    <t>Tigo Control 500 minutos</t>
  </si>
  <si>
    <t>OLA Beeper Básico Control Masivo</t>
  </si>
  <si>
    <t>Paquete XL de 200 MMS Onnet</t>
  </si>
  <si>
    <t>Plan Tigo Empleados Control EP</t>
  </si>
  <si>
    <t>Tigo Web 5 MB Control 2</t>
  </si>
  <si>
    <t>Paquete Blackberry BIS 2 GB Control</t>
  </si>
  <si>
    <t>OLA Pyme Tarifa Única 3 Plus</t>
  </si>
  <si>
    <t>Plan Internet Movil Tigo NE Control</t>
  </si>
  <si>
    <t>Tigo Corporativo 550 Mas</t>
  </si>
  <si>
    <t>Ilimitado blackberry BIS pospago 2</t>
  </si>
  <si>
    <t>OLA Compañía Compartido 1200</t>
  </si>
  <si>
    <t>Paquete SMS Empresarial 4</t>
  </si>
  <si>
    <t>Tigo Control Empresa 3</t>
  </si>
  <si>
    <t>OLA Web 1 MB</t>
  </si>
  <si>
    <t>OLA Control $110.000 pioneros</t>
  </si>
  <si>
    <t>Plan Tigo Empleados Control VP</t>
  </si>
  <si>
    <t>Súper Plan OLA Control 1</t>
  </si>
  <si>
    <t>OLA Web 5 MB</t>
  </si>
  <si>
    <t>Paquete Datos DPI Mes Mail-HTTP</t>
  </si>
  <si>
    <t>OLA Hablas Más. Pagas Menos (minutos)</t>
  </si>
  <si>
    <t>OLA A la Carta 80.000 Pioneros</t>
  </si>
  <si>
    <t>Ilimitado blackberry BIS control 3</t>
  </si>
  <si>
    <t>Paquete 1000 Min LDI Grupo2</t>
  </si>
  <si>
    <t>Paquete 1000 Min LDI Grupo2 Control</t>
  </si>
  <si>
    <t>Paquete 10000 Min LDI Grupo 2 Control</t>
  </si>
  <si>
    <t>Paquete 10000 Min LDI Grupo 3 Control</t>
  </si>
  <si>
    <t>Paquete 2000 Min LDI Grupo 2</t>
  </si>
  <si>
    <t>Paquete 2000 Min LDI Grupo 2 Control</t>
  </si>
  <si>
    <t>Paquete 2000 Min LDI Grupo 3</t>
  </si>
  <si>
    <t>Paquete 2000 Min LDI Grupo 3 Control</t>
  </si>
  <si>
    <t>Paquete 5000 Min LDI Grupo 2</t>
  </si>
  <si>
    <t>Paquete 5000 Min LDI Grupo 2 Control</t>
  </si>
  <si>
    <t>Paquete 5000 Min LDI Grupo 3</t>
  </si>
  <si>
    <t>Paquete 5000 Min LDI Grupo 3 Control</t>
  </si>
  <si>
    <t>Paquete 50000 Min LDI Grupo 2</t>
  </si>
  <si>
    <t>Paquete 50000 Min LDI Grupo 2 Control</t>
  </si>
  <si>
    <t>Paquete 50000 Min LDI Grupo 3</t>
  </si>
  <si>
    <t>Paquete 50000 Min LDI Grupo 3 Control</t>
  </si>
  <si>
    <t>Paquete 1000 Min LDI Grupo3</t>
  </si>
  <si>
    <t>Paquete 1000 Min LDI Grupo3 Control</t>
  </si>
  <si>
    <t>Paquete 10000 Min LDI Grupo 3</t>
  </si>
  <si>
    <t>Paquete 10000 Min LDI Grupo 2</t>
  </si>
  <si>
    <t>1500MIN TD,SMS TD y Voz a Tigo infinito, 3,5 GB WA+ Mail+FB P3</t>
  </si>
  <si>
    <t>400MIN TD, SMS TD y Voz a Tigo infinito, 1 GB WA+Mail+FB P1</t>
  </si>
  <si>
    <t>400MIN TD, SMS TD y Voz a Tigo infinito, 1 GB WA+Mail+FB P2</t>
  </si>
  <si>
    <t>400MIN TD, SMS TD y Voz a Tigo infinito, 1 GB WA+Mail+FB P3</t>
  </si>
  <si>
    <t>500MIN TD, SMS TD y Voz a Tigo infinito, 1,5 GB WA+Mail+FB P1</t>
  </si>
  <si>
    <t>500MIN TD, SMS TD y Voz a Tigo infinito, 1,5 GB WA+Mail+FB P2</t>
  </si>
  <si>
    <t>500MIN TD, SMS TD y Voz a Tigo infinito, 1,5 GB WA+Mail+FB P3</t>
  </si>
  <si>
    <t>700MIN TD, SMS TD y Voz a Tigo infinito, 2,5 GB WA+Mail+FB P1</t>
  </si>
  <si>
    <t>700MIN TD, SMS TD y Voz a Tigo infinito, 2,5 GB WA+Mail+FB P2</t>
  </si>
  <si>
    <t>700MIN TD, SMS TD y Voz a Tigo infinito, 2,5 GB WA+Mail+FB P3</t>
  </si>
  <si>
    <t>PQTCorp TD 1300MIN Voz OnNet y SMS Infinitos P1</t>
  </si>
  <si>
    <t>PQTCorp TD 1300MIN Voz OnNet y SMS Infinitos P2</t>
  </si>
  <si>
    <t>PQTCorp TD 2000MIN Voz OnNet y SMS Infinitos P1</t>
  </si>
  <si>
    <t>PQTCorp TD 2000MIN Voz OnNet y SMS Infinitos P2</t>
  </si>
  <si>
    <t>PQTCorp TD 500MIN 100SMS y Voz a NIT Infinito CUG P1</t>
  </si>
  <si>
    <t>PQTCorp TD 600MIN 100SMS y Voz a NIT Infinito CUG P2</t>
  </si>
  <si>
    <t>PQTCorp TD 500MIN 100SMS y Voz a NIT Infinito CUG P2</t>
  </si>
  <si>
    <t>PQTCorp TD 600MIN 100SMS y Voz a NIT Infinito CUG P1</t>
  </si>
  <si>
    <t>PQTCorp TD Voz y SMS Infinitos P1</t>
  </si>
  <si>
    <t>Plan ABB Escalonado 2</t>
  </si>
  <si>
    <t>OLA Prepago Libre Pionero</t>
  </si>
  <si>
    <t>Plan Tigo Prepago Tarifa Plana 3</t>
  </si>
  <si>
    <t>Plan Tigo Prepago Troncal SIP Movil</t>
  </si>
  <si>
    <t>Pospago Fidelizacion 5.0</t>
  </si>
  <si>
    <t>Pospago 5.3 con Descuento</t>
  </si>
  <si>
    <t>Paquete Datos Pospago 5.3 con Descuento</t>
  </si>
  <si>
    <t>Paquete Datos 5.3 con Descuento</t>
  </si>
  <si>
    <t>Paquete Datos Fidelizacion Pospago 5.0</t>
  </si>
  <si>
    <t>Paquete Datos 5.0 Loyalidad</t>
  </si>
  <si>
    <t>Paquete SMS Pospago 5.3 con Descuento</t>
  </si>
  <si>
    <t>Paquete SMS 5.3 con Descuento</t>
  </si>
  <si>
    <t>Paquete SMS Fidelizacion Pospago 5.0</t>
  </si>
  <si>
    <t>Paquete SMS 5.0 Loyalidad</t>
  </si>
  <si>
    <t>Combo 1000MIN TD y  Voz a Tigo infinito</t>
  </si>
  <si>
    <t>1000MIN TD + SMS TD y Voz a Tigo infinitos + 3 GB WA+Mail P1</t>
  </si>
  <si>
    <t>Combo datos 1,2GB WA + Mail 1</t>
  </si>
  <si>
    <t>100MIN TD + SMS TD y Voz a Tigo infinitos + 1.2GB WA+Mail P3</t>
  </si>
  <si>
    <t>Combo datos 10GB WA + Mail 1</t>
  </si>
  <si>
    <t>Voz y SMS  Todo Destino infinitos + 10GB WA+Mail P3</t>
  </si>
  <si>
    <t>workarround-favorite0</t>
  </si>
  <si>
    <t>workarround-favorite1</t>
  </si>
  <si>
    <t>workarround-cug</t>
  </si>
  <si>
    <t>Pospago Fidelizacion 5.0 Plus+</t>
  </si>
  <si>
    <t>Pospago 5.1 Plus+</t>
  </si>
  <si>
    <t>Pospago 5.2 Plus+</t>
  </si>
  <si>
    <t>Pospago 5.3 Plus+</t>
  </si>
  <si>
    <t>Fidelizacion Negocios 5.0 Plus+</t>
  </si>
  <si>
    <t>Negocios 5.1 Plus+</t>
  </si>
  <si>
    <t>Negocios 5.2 Plus+</t>
  </si>
  <si>
    <t>Negocios 5.3 Plus+</t>
  </si>
  <si>
    <t>Fidelizacion Negocios 4.9 Plus+</t>
  </si>
  <si>
    <t>Fidelizacion Negocios 5.01 Plus+</t>
  </si>
  <si>
    <t>Cláusula de Permanencia 18 meses Control</t>
  </si>
  <si>
    <t>/service/gsm/vas</t>
  </si>
  <si>
    <t>Valor Agregado Tigo Básico Control Masivo</t>
  </si>
  <si>
    <t>/service/telco/gsm/vas</t>
  </si>
  <si>
    <t>1229815168</t>
  </si>
  <si>
    <t>Oferta generacion deuda</t>
  </si>
  <si>
    <t>I</t>
  </si>
  <si>
    <t>926943980</t>
  </si>
  <si>
    <t>FUP Pospago 30GB</t>
  </si>
  <si>
    <t>1626943775</t>
  </si>
  <si>
    <t>FUP Pospago 15GB</t>
  </si>
  <si>
    <t>326923016</t>
  </si>
  <si>
    <t>FUP RG301 Control</t>
  </si>
  <si>
    <t>302535</t>
  </si>
  <si>
    <t>990000719</t>
  </si>
  <si>
    <t>OLA Beeper BÃ¡sico Control Masivo</t>
  </si>
  <si>
    <t>300567</t>
  </si>
  <si>
    <t>990000718</t>
  </si>
  <si>
    <t>OLA Imagen BÃ¡sico Control Masivo</t>
  </si>
  <si>
    <t>300668</t>
  </si>
  <si>
    <t>990000720</t>
  </si>
  <si>
    <t>287039</t>
  </si>
  <si>
    <t>990000406</t>
  </si>
  <si>
    <t>287703</t>
  </si>
  <si>
    <t>990000568</t>
  </si>
  <si>
    <t>287943</t>
  </si>
  <si>
    <t>990000672</t>
  </si>
  <si>
    <t>287951</t>
  </si>
  <si>
    <t>990000673</t>
  </si>
  <si>
    <t>289151</t>
  </si>
  <si>
    <t>990000612</t>
  </si>
  <si>
    <t>289343</t>
  </si>
  <si>
    <t>990000402</t>
  </si>
  <si>
    <t>290111</t>
  </si>
  <si>
    <t>990000408</t>
  </si>
  <si>
    <t>290503</t>
  </si>
  <si>
    <t>990000674</t>
  </si>
  <si>
    <t>290511</t>
  </si>
  <si>
    <t>990000570</t>
  </si>
  <si>
    <t>291680</t>
  </si>
  <si>
    <t>990000614</t>
  </si>
  <si>
    <t>292256</t>
  </si>
  <si>
    <t>990000675</t>
  </si>
  <si>
    <t>292464</t>
  </si>
  <si>
    <t>990000410</t>
  </si>
  <si>
    <t>292576</t>
  </si>
  <si>
    <t>990000615</t>
  </si>
  <si>
    <t>293328</t>
  </si>
  <si>
    <t>990000676</t>
  </si>
  <si>
    <t>294000</t>
  </si>
  <si>
    <t>990000404</t>
  </si>
  <si>
    <t>294176</t>
  </si>
  <si>
    <t>990000409</t>
  </si>
  <si>
    <t>299093</t>
  </si>
  <si>
    <t>990000663</t>
  </si>
  <si>
    <t>299137</t>
  </si>
  <si>
    <t>990000415</t>
  </si>
  <si>
    <t>299180</t>
  </si>
  <si>
    <t>990000616</t>
  </si>
  <si>
    <t>299358</t>
  </si>
  <si>
    <t>990000677</t>
  </si>
  <si>
    <t>299611</t>
  </si>
  <si>
    <t>990000664</t>
  </si>
  <si>
    <t>299676</t>
  </si>
  <si>
    <t>990000678</t>
  </si>
  <si>
    <t>299900</t>
  </si>
  <si>
    <t>990000618</t>
  </si>
  <si>
    <t>299929</t>
  </si>
  <si>
    <t>990000418</t>
  </si>
  <si>
    <t>299965</t>
  </si>
  <si>
    <t>990000679</t>
  </si>
  <si>
    <t>299993</t>
  </si>
  <si>
    <t>990000662</t>
  </si>
  <si>
    <t>300029</t>
  </si>
  <si>
    <t>990000627</t>
  </si>
  <si>
    <t>300030</t>
  </si>
  <si>
    <t>990000617</t>
  </si>
  <si>
    <t>300124</t>
  </si>
  <si>
    <t>990000613</t>
  </si>
  <si>
    <t>300130</t>
  </si>
  <si>
    <t>990000628</t>
  </si>
  <si>
    <t>300259</t>
  </si>
  <si>
    <t>990000665</t>
  </si>
  <si>
    <t>OLA Beeper BÃ¡sico Corporativo</t>
  </si>
  <si>
    <t>300295</t>
  </si>
  <si>
    <t>990000670</t>
  </si>
  <si>
    <t>300315</t>
  </si>
  <si>
    <t>990000666</t>
  </si>
  <si>
    <t>300506</t>
  </si>
  <si>
    <t>990000629</t>
  </si>
  <si>
    <t>300837</t>
  </si>
  <si>
    <t>990000671</t>
  </si>
  <si>
    <t>OLA Imagen  BÃ¡sico Masivo</t>
  </si>
  <si>
    <t>300905</t>
  </si>
  <si>
    <t>990000667</t>
  </si>
  <si>
    <t>301101</t>
  </si>
  <si>
    <t>990000680</t>
  </si>
  <si>
    <t>301153</t>
  </si>
  <si>
    <t>990000416</t>
  </si>
  <si>
    <t>301211</t>
  </si>
  <si>
    <t>990000668</t>
  </si>
  <si>
    <t>OLA Beeper BÃ¡sico Referidos</t>
  </si>
  <si>
    <t>301365</t>
  </si>
  <si>
    <t>990000625</t>
  </si>
  <si>
    <t>301454</t>
  </si>
  <si>
    <t>990000413</t>
  </si>
  <si>
    <t>301468</t>
  </si>
  <si>
    <t>990000630</t>
  </si>
  <si>
    <t>301797</t>
  </si>
  <si>
    <t>990000626</t>
  </si>
  <si>
    <t>301820</t>
  </si>
  <si>
    <t>990000681</t>
  </si>
  <si>
    <t>OLA Web BÃ¡sico</t>
  </si>
  <si>
    <t>301826</t>
  </si>
  <si>
    <t>990000669</t>
  </si>
  <si>
    <t>OLA Beeper BÃ¡sico SÃºper OLA</t>
  </si>
  <si>
    <t>301862</t>
  </si>
  <si>
    <t>990000682</t>
  </si>
  <si>
    <t>301918</t>
  </si>
  <si>
    <t>990000414</t>
  </si>
  <si>
    <t>302182</t>
  </si>
  <si>
    <t>990000623</t>
  </si>
  <si>
    <t>302252</t>
  </si>
  <si>
    <t>990000619</t>
  </si>
  <si>
    <t>302783</t>
  </si>
  <si>
    <t>990000417</t>
  </si>
  <si>
    <t>302917</t>
  </si>
  <si>
    <t>990000419</t>
  </si>
  <si>
    <t>BAG15K</t>
  </si>
  <si>
    <t>990000101</t>
  </si>
  <si>
    <t>TIGO BAG15K</t>
  </si>
  <si>
    <t>BAG20K</t>
  </si>
  <si>
    <t>990000102</t>
  </si>
  <si>
    <t>TIGO BAG20K</t>
  </si>
  <si>
    <t>BAG30K</t>
  </si>
  <si>
    <t>990000103</t>
  </si>
  <si>
    <t>TIGO BAG30K</t>
  </si>
  <si>
    <t>BAG50K</t>
  </si>
  <si>
    <t>990000104</t>
  </si>
  <si>
    <t>TIGO BAG50K</t>
  </si>
  <si>
    <t>BAG100K</t>
  </si>
  <si>
    <t>990000105</t>
  </si>
  <si>
    <t>TIGO BAG100K</t>
  </si>
  <si>
    <t>100001-01</t>
  </si>
  <si>
    <t>910000101</t>
  </si>
  <si>
    <t>Voz - OnNet - Bajo 1_910000101</t>
  </si>
  <si>
    <t>N</t>
  </si>
  <si>
    <t>100001-26</t>
  </si>
  <si>
    <t>910000126</t>
  </si>
  <si>
    <t>Voz-OnNet-Ilimitado_910000126</t>
  </si>
  <si>
    <t>100001-28</t>
  </si>
  <si>
    <t>910000128</t>
  </si>
  <si>
    <t>Voz-OnNet-10800s_910000128</t>
  </si>
  <si>
    <t>100001-29</t>
  </si>
  <si>
    <t>910000129</t>
  </si>
  <si>
    <t>Voz-OnNet-18000s_910000129</t>
  </si>
  <si>
    <t>100001-37</t>
  </si>
  <si>
    <t>910000137</t>
  </si>
  <si>
    <t>Voz-OnNet-2678400s_910000137</t>
  </si>
  <si>
    <t>100001-38</t>
  </si>
  <si>
    <t>910000138</t>
  </si>
  <si>
    <t>Voz-OnNet-2678400s_910000138</t>
  </si>
  <si>
    <t>100001-39</t>
  </si>
  <si>
    <t>910000139</t>
  </si>
  <si>
    <t>Voz-OnNet-39000s_910000139</t>
  </si>
  <si>
    <t>100001-42</t>
  </si>
  <si>
    <t>910000142</t>
  </si>
  <si>
    <t>Voz-OnNet-72000s_910000142</t>
  </si>
  <si>
    <t>100001-45</t>
  </si>
  <si>
    <t>910000145</t>
  </si>
  <si>
    <t>Voz-OnNet-Ilimitado_910000145</t>
  </si>
  <si>
    <t>100001-46</t>
  </si>
  <si>
    <t>910000146</t>
  </si>
  <si>
    <t>Voz-OnNet-Ilimitado_910000146</t>
  </si>
  <si>
    <t>100001-47</t>
  </si>
  <si>
    <t>910000147</t>
  </si>
  <si>
    <t>Voz-OnNet-Ilimitado_910000147</t>
  </si>
  <si>
    <t>100001-48</t>
  </si>
  <si>
    <t>910000148</t>
  </si>
  <si>
    <t>Voz-OnNet-Ilimitado_910000148</t>
  </si>
  <si>
    <t>100001-49</t>
  </si>
  <si>
    <t>910000149</t>
  </si>
  <si>
    <t>Voz-OnNet-Ilimitado_910000149</t>
  </si>
  <si>
    <t>100001-50</t>
  </si>
  <si>
    <t>910000150</t>
  </si>
  <si>
    <t>Voz-OnNet-Ilimitado_910000150</t>
  </si>
  <si>
    <t>100002-01</t>
  </si>
  <si>
    <t>910000201</t>
  </si>
  <si>
    <t>Voz - Todo destino - Bajo 1_910000201</t>
  </si>
  <si>
    <t>100002-03</t>
  </si>
  <si>
    <t>910000203</t>
  </si>
  <si>
    <t>Voz - Todo destino - Medio 1_910000203</t>
  </si>
  <si>
    <t>100002-37</t>
  </si>
  <si>
    <t>910000237</t>
  </si>
  <si>
    <t>Voz-TD-600m_c_910000237</t>
  </si>
  <si>
    <t>100002-49</t>
  </si>
  <si>
    <t>910000249</t>
  </si>
  <si>
    <t>Voz-TD-700m_910000249</t>
  </si>
  <si>
    <t>100002-55</t>
  </si>
  <si>
    <t>910000255</t>
  </si>
  <si>
    <t>Voz-TD-200m_910000255</t>
  </si>
  <si>
    <t>100002-56</t>
  </si>
  <si>
    <t>910000256</t>
  </si>
  <si>
    <t>Voz-TD-300m_910000256</t>
  </si>
  <si>
    <t>100002-67</t>
  </si>
  <si>
    <t>910000267</t>
  </si>
  <si>
    <t>Voz-TD-12000s_910000267</t>
  </si>
  <si>
    <t>100002-80</t>
  </si>
  <si>
    <t>910000280</t>
  </si>
  <si>
    <t>Voz-TD-Ilimitado_910000280</t>
  </si>
  <si>
    <t>100002-86</t>
  </si>
  <si>
    <t>910000286</t>
  </si>
  <si>
    <t>Voz-TD-24000s_910000286</t>
  </si>
  <si>
    <t>100002-87</t>
  </si>
  <si>
    <t>910000287</t>
  </si>
  <si>
    <t>Voz-TD-54000s_910000287</t>
  </si>
  <si>
    <t>100002-88</t>
  </si>
  <si>
    <t>910000288</t>
  </si>
  <si>
    <t>Voz-TD-2678400s_910000288</t>
  </si>
  <si>
    <t>100002-89</t>
  </si>
  <si>
    <t>910000289</t>
  </si>
  <si>
    <t>Voz-TD-2678400s_910000289</t>
  </si>
  <si>
    <t>100002-90</t>
  </si>
  <si>
    <t>910000290</t>
  </si>
  <si>
    <t>Voz-TD-2678400s_910000290</t>
  </si>
  <si>
    <t>100002-91</t>
  </si>
  <si>
    <t>910000291</t>
  </si>
  <si>
    <t>Voz-TD-27000s_910000291</t>
  </si>
  <si>
    <t>100002-92</t>
  </si>
  <si>
    <t>910000292</t>
  </si>
  <si>
    <t>Voz-TD-36000s_910000292</t>
  </si>
  <si>
    <t>100002-93</t>
  </si>
  <si>
    <t>910000293</t>
  </si>
  <si>
    <t>Voz-TD-60000s_910000293</t>
  </si>
  <si>
    <t>100002-94</t>
  </si>
  <si>
    <t>910000294</t>
  </si>
  <si>
    <t>Voz-TD-78000s_910000294</t>
  </si>
  <si>
    <t>100002-95</t>
  </si>
  <si>
    <t>910000295</t>
  </si>
  <si>
    <t>Voz-TD-98000s_910000295</t>
  </si>
  <si>
    <t>100002-96</t>
  </si>
  <si>
    <t>910000296</t>
  </si>
  <si>
    <t>Voz-TD-114000s_910000296</t>
  </si>
  <si>
    <t>100002-97</t>
  </si>
  <si>
    <t>910000297</t>
  </si>
  <si>
    <t>Voz-TD-132000s_910000297</t>
  </si>
  <si>
    <t>100002-98</t>
  </si>
  <si>
    <t>910000298</t>
  </si>
  <si>
    <t>Voz-TD-150000s_910000298</t>
  </si>
  <si>
    <t>100002-99</t>
  </si>
  <si>
    <t>910000299</t>
  </si>
  <si>
    <t>Voz-TD-2678400s_910000299</t>
  </si>
  <si>
    <t>100012-01</t>
  </si>
  <si>
    <t>910001201</t>
  </si>
  <si>
    <t>Voz-TD-168000s_910001201</t>
  </si>
  <si>
    <t>100012-02</t>
  </si>
  <si>
    <t>910001202</t>
  </si>
  <si>
    <t>Voz-TD-186000s_910001202</t>
  </si>
  <si>
    <t>100012-07</t>
  </si>
  <si>
    <t>910001207</t>
  </si>
  <si>
    <t>Voz-TD-2678400s_910001207</t>
  </si>
  <si>
    <t>100012-08</t>
  </si>
  <si>
    <t>910001208</t>
  </si>
  <si>
    <t>Voz-TD-Ilimitado_910001208</t>
  </si>
  <si>
    <t>100012-10</t>
  </si>
  <si>
    <t>910001210</t>
  </si>
  <si>
    <t>Voz-TD-15000s_910001210</t>
  </si>
  <si>
    <t>100012-11</t>
  </si>
  <si>
    <t>910001211</t>
  </si>
  <si>
    <t>Voz-TD-24000s_910001211</t>
  </si>
  <si>
    <t>100012-12</t>
  </si>
  <si>
    <t>910001212</t>
  </si>
  <si>
    <t>Voz-TD-36000s_910001212</t>
  </si>
  <si>
    <t>100012-13</t>
  </si>
  <si>
    <t>910001213</t>
  </si>
  <si>
    <t>Voz-TD-54000s_910001213</t>
  </si>
  <si>
    <t>100012-14</t>
  </si>
  <si>
    <t>910001214</t>
  </si>
  <si>
    <t>Voz-TD-84000s_910001214</t>
  </si>
  <si>
    <t>100012-15</t>
  </si>
  <si>
    <t>910001215</t>
  </si>
  <si>
    <t>Voz-TD-2678400s_910001215</t>
  </si>
  <si>
    <t>100012-16</t>
  </si>
  <si>
    <t>910001216</t>
  </si>
  <si>
    <t>Voz-TD-21000s_910001216</t>
  </si>
  <si>
    <t>100012-17</t>
  </si>
  <si>
    <t>910001217</t>
  </si>
  <si>
    <t>Voz-TD-30000s_910001217</t>
  </si>
  <si>
    <t>100012-18</t>
  </si>
  <si>
    <t>910001218</t>
  </si>
  <si>
    <t>Voz-TD-42000s_910001218</t>
  </si>
  <si>
    <t>100012-19</t>
  </si>
  <si>
    <t>910001219</t>
  </si>
  <si>
    <t>Voz-TD-60000s_910001219</t>
  </si>
  <si>
    <t>100012-20</t>
  </si>
  <si>
    <t>910001220</t>
  </si>
  <si>
    <t>Voz-TD-9000s_910001220</t>
  </si>
  <si>
    <t>100012-21</t>
  </si>
  <si>
    <t>910001221</t>
  </si>
  <si>
    <t>Voz-TD-24000s_910001221</t>
  </si>
  <si>
    <t>100012-22</t>
  </si>
  <si>
    <t>910001222</t>
  </si>
  <si>
    <t>Voz-TD-36000s_910001222</t>
  </si>
  <si>
    <t>100012-23</t>
  </si>
  <si>
    <t>910001223</t>
  </si>
  <si>
    <t>Voz-TD-42000s_910001223</t>
  </si>
  <si>
    <t>100012-24</t>
  </si>
  <si>
    <t>910001224</t>
  </si>
  <si>
    <t>Voz-TD-6000s_910001224</t>
  </si>
  <si>
    <t>100012-25</t>
  </si>
  <si>
    <t>910001225</t>
  </si>
  <si>
    <t>Voz-TD-30000s_910001225</t>
  </si>
  <si>
    <t>100012-36</t>
  </si>
  <si>
    <t>910001236</t>
  </si>
  <si>
    <t>Voz-TD-12000s_910001236</t>
  </si>
  <si>
    <t>100012-37</t>
  </si>
  <si>
    <t>910001237</t>
  </si>
  <si>
    <t>Voz-TD-30000s_910001237</t>
  </si>
  <si>
    <t>100012-38</t>
  </si>
  <si>
    <t>910001238</t>
  </si>
  <si>
    <t>Voz-TD-48000s_910001238</t>
  </si>
  <si>
    <t>100012-39</t>
  </si>
  <si>
    <t>910001239</t>
  </si>
  <si>
    <t>Voz-TD-72000s_910001239</t>
  </si>
  <si>
    <t>100012-40</t>
  </si>
  <si>
    <t>910001240</t>
  </si>
  <si>
    <t>Voz-TD-2678400s_910001240</t>
  </si>
  <si>
    <t>100012-41</t>
  </si>
  <si>
    <t>910001241</t>
  </si>
  <si>
    <t>Voz-TD-2678400s_910001241</t>
  </si>
  <si>
    <t>100012-42</t>
  </si>
  <si>
    <t>910001242</t>
  </si>
  <si>
    <t>Voz-TD-15000s_910001242</t>
  </si>
  <si>
    <t>100012-43</t>
  </si>
  <si>
    <t>910001243</t>
  </si>
  <si>
    <t>Voz-TD-24000s_910001243</t>
  </si>
  <si>
    <t>100012-44</t>
  </si>
  <si>
    <t>910001244</t>
  </si>
  <si>
    <t>Voz-TD-45000s_910001244</t>
  </si>
  <si>
    <t>100012-45</t>
  </si>
  <si>
    <t>910001245</t>
  </si>
  <si>
    <t>Voz-TD-54000s_910001245</t>
  </si>
  <si>
    <t>100012-46</t>
  </si>
  <si>
    <t>910001246</t>
  </si>
  <si>
    <t>Voz-TD-84000s_910001246</t>
  </si>
  <si>
    <t>100012-47</t>
  </si>
  <si>
    <t>910001247</t>
  </si>
  <si>
    <t>Voz-TD-Ilimitado_910001247</t>
  </si>
  <si>
    <t>100012-48</t>
  </si>
  <si>
    <t>910001248</t>
  </si>
  <si>
    <t>Voz-TD-Ilimitado_910001248</t>
  </si>
  <si>
    <t>100012-49</t>
  </si>
  <si>
    <t>910001249</t>
  </si>
  <si>
    <t>Voz-TD-Ilimitado_910001249</t>
  </si>
  <si>
    <t>100012-50</t>
  </si>
  <si>
    <t>910001250</t>
  </si>
  <si>
    <t>Voz-TD-Ilimitado_910001250</t>
  </si>
  <si>
    <t>100012-51</t>
  </si>
  <si>
    <t>910001251</t>
  </si>
  <si>
    <t>Voz-TD-Ilimitado_910001251</t>
  </si>
  <si>
    <t>100012-52</t>
  </si>
  <si>
    <t>910001252</t>
  </si>
  <si>
    <t>Voz-TD-Ilimitado_910001252</t>
  </si>
  <si>
    <t>100012-53</t>
  </si>
  <si>
    <t>910001253</t>
  </si>
  <si>
    <t>Voz-TD-Ilimitado_910001253</t>
  </si>
  <si>
    <t>100012-54</t>
  </si>
  <si>
    <t>910001254</t>
  </si>
  <si>
    <t>Voz-TD-Ilimitado_910001254</t>
  </si>
  <si>
    <t>100012-55</t>
  </si>
  <si>
    <t>910001255</t>
  </si>
  <si>
    <t>Voz-TD-Ilimitado_910001255</t>
  </si>
  <si>
    <t>100012-56</t>
  </si>
  <si>
    <t>910001256</t>
  </si>
  <si>
    <t>Voz-TD-Ilimitado_910001256</t>
  </si>
  <si>
    <t>100012-57</t>
  </si>
  <si>
    <t>910001257</t>
  </si>
  <si>
    <t>Voz-TD-Ilimitado_910001257</t>
  </si>
  <si>
    <t>100012-58</t>
  </si>
  <si>
    <t>910001258</t>
  </si>
  <si>
    <t>Voz-TD-Ilimitado_910001258</t>
  </si>
  <si>
    <t>100012-59</t>
  </si>
  <si>
    <t>910001259</t>
  </si>
  <si>
    <t>Voz-TD-Ilimitado_910001259</t>
  </si>
  <si>
    <t>100012-60</t>
  </si>
  <si>
    <t>910001260</t>
  </si>
  <si>
    <t>Voz-TD-15000s_910001260</t>
  </si>
  <si>
    <t>100012-61</t>
  </si>
  <si>
    <t>910001261</t>
  </si>
  <si>
    <t>Voz-TD-24000s_910001261</t>
  </si>
  <si>
    <t>100012-62</t>
  </si>
  <si>
    <t>910001262</t>
  </si>
  <si>
    <t>Voz-TD-45000s_910001262</t>
  </si>
  <si>
    <t>100012-63</t>
  </si>
  <si>
    <t>910001263</t>
  </si>
  <si>
    <t>Voz-TD-54000s_910001263</t>
  </si>
  <si>
    <t>100012-64</t>
  </si>
  <si>
    <t>910001264</t>
  </si>
  <si>
    <t>Voz-TD-Ilimitado_910001264</t>
  </si>
  <si>
    <t>100012-71</t>
  </si>
  <si>
    <t>910001271</t>
  </si>
  <si>
    <t>Voz-TD-12000s_910001271</t>
  </si>
  <si>
    <t>100012-72</t>
  </si>
  <si>
    <t>910001272</t>
  </si>
  <si>
    <t>Voz-TD-12000s_910001272</t>
  </si>
  <si>
    <t>100012-73</t>
  </si>
  <si>
    <t>910001273</t>
  </si>
  <si>
    <t>Voz-TD-12000s_910001273</t>
  </si>
  <si>
    <t>100012-74</t>
  </si>
  <si>
    <t>910001274</t>
  </si>
  <si>
    <t>Voz-TD-12000s_910001274</t>
  </si>
  <si>
    <t>100012-75</t>
  </si>
  <si>
    <t>910001275</t>
  </si>
  <si>
    <t>Voz-TD-12000s_910001275</t>
  </si>
  <si>
    <t>100101-00</t>
  </si>
  <si>
    <t>910010100</t>
  </si>
  <si>
    <t>Voz - OnNet - Regalo 0_910010100</t>
  </si>
  <si>
    <t>100149-11</t>
  </si>
  <si>
    <t>910014911</t>
  </si>
  <si>
    <t>Voz-LDI G1y2-600s_910014911</t>
  </si>
  <si>
    <t>200001-14</t>
  </si>
  <si>
    <t>920000114</t>
  </si>
  <si>
    <t>Data 5Gb_920000114</t>
  </si>
  <si>
    <t>200001-20</t>
  </si>
  <si>
    <t>920000120</t>
  </si>
  <si>
    <t>Data 2.5Gb_920000120</t>
  </si>
  <si>
    <t>200001-22</t>
  </si>
  <si>
    <t>920000122</t>
  </si>
  <si>
    <t>Data 6Gb_920000122</t>
  </si>
  <si>
    <t>200001-23</t>
  </si>
  <si>
    <t>920000123</t>
  </si>
  <si>
    <t>Data 8Gb_920000123</t>
  </si>
  <si>
    <t>200001-28</t>
  </si>
  <si>
    <t>920000128</t>
  </si>
  <si>
    <t>Data 1GB_920000128</t>
  </si>
  <si>
    <t>200001-29</t>
  </si>
  <si>
    <t>920000129</t>
  </si>
  <si>
    <t>Data 1.5GB_920000129</t>
  </si>
  <si>
    <t>200001-30</t>
  </si>
  <si>
    <t>920000130</t>
  </si>
  <si>
    <t>Data 2.5GB_920000130</t>
  </si>
  <si>
    <t>200001-34</t>
  </si>
  <si>
    <t>920000134</t>
  </si>
  <si>
    <t>Data 4.2GB_920000134</t>
  </si>
  <si>
    <t>200001-35</t>
  </si>
  <si>
    <t>920000135</t>
  </si>
  <si>
    <t>Data 5.2GB_920000135</t>
  </si>
  <si>
    <t>200001-36</t>
  </si>
  <si>
    <t>920000136</t>
  </si>
  <si>
    <t>Data 3.5GB_920000136</t>
  </si>
  <si>
    <t>200001-37</t>
  </si>
  <si>
    <t>920000137</t>
  </si>
  <si>
    <t>Data 2 GB_920000137</t>
  </si>
  <si>
    <t>200001-48</t>
  </si>
  <si>
    <t>920000148</t>
  </si>
  <si>
    <t>Data Unlimited_920000148</t>
  </si>
  <si>
    <t>200001-52</t>
  </si>
  <si>
    <t>920000152</t>
  </si>
  <si>
    <t>Data 500 MB_920000152</t>
  </si>
  <si>
    <t>200001-54</t>
  </si>
  <si>
    <t>920000154</t>
  </si>
  <si>
    <t>Data 1 GB_920000154</t>
  </si>
  <si>
    <t>200001-55</t>
  </si>
  <si>
    <t>920000155</t>
  </si>
  <si>
    <t>Data 1 GB_920000155</t>
  </si>
  <si>
    <t>200001-56</t>
  </si>
  <si>
    <t>920000156</t>
  </si>
  <si>
    <t>Data 1.5GB_920000156</t>
  </si>
  <si>
    <t>200001-58</t>
  </si>
  <si>
    <t>920000158</t>
  </si>
  <si>
    <t>Data 2GB_920000158</t>
  </si>
  <si>
    <t>200001-60</t>
  </si>
  <si>
    <t>920000160</t>
  </si>
  <si>
    <t>Data 2GB_920000160</t>
  </si>
  <si>
    <t>200001-61</t>
  </si>
  <si>
    <t>920000161</t>
  </si>
  <si>
    <t>Data 3GB_920000161</t>
  </si>
  <si>
    <t>200001-62</t>
  </si>
  <si>
    <t>920000162</t>
  </si>
  <si>
    <t>Data 2.5GB_920000162</t>
  </si>
  <si>
    <t>200001-65</t>
  </si>
  <si>
    <t>920000165</t>
  </si>
  <si>
    <t>Data 3.5GB_920000165</t>
  </si>
  <si>
    <t>200001-66</t>
  </si>
  <si>
    <t>920000166</t>
  </si>
  <si>
    <t>Data 3GB_920000166</t>
  </si>
  <si>
    <t>200001-68</t>
  </si>
  <si>
    <t>920000168</t>
  </si>
  <si>
    <t>Data 4GB_920000168</t>
  </si>
  <si>
    <t>200001-69</t>
  </si>
  <si>
    <t>920000169</t>
  </si>
  <si>
    <t>Data 4GB_920000169</t>
  </si>
  <si>
    <t>200001-70</t>
  </si>
  <si>
    <t>920000170</t>
  </si>
  <si>
    <t>Data 5GB_920000170</t>
  </si>
  <si>
    <t>200001-71</t>
  </si>
  <si>
    <t>920000171</t>
  </si>
  <si>
    <t>Data 5.5GB_920000171</t>
  </si>
  <si>
    <t>200001-72</t>
  </si>
  <si>
    <t>920000172</t>
  </si>
  <si>
    <t>Data 6.5GB_920000172</t>
  </si>
  <si>
    <t>200001-74</t>
  </si>
  <si>
    <t>920000174</t>
  </si>
  <si>
    <t>Data 800MB_920000174</t>
  </si>
  <si>
    <t>200001-75</t>
  </si>
  <si>
    <t>920000175</t>
  </si>
  <si>
    <t>Data 1.5GB_920000175</t>
  </si>
  <si>
    <t>200001-76</t>
  </si>
  <si>
    <t>920000176</t>
  </si>
  <si>
    <t>Data 2GB_920000176</t>
  </si>
  <si>
    <t>200001-77</t>
  </si>
  <si>
    <t>920000177</t>
  </si>
  <si>
    <t>Data 2.5GB_920000177</t>
  </si>
  <si>
    <t>200001-78</t>
  </si>
  <si>
    <t>920000178</t>
  </si>
  <si>
    <t>Data 3GB_920000178</t>
  </si>
  <si>
    <t>200001-79</t>
  </si>
  <si>
    <t>920000179</t>
  </si>
  <si>
    <t>Data 3.5GB_920000179</t>
  </si>
  <si>
    <t>200001-80</t>
  </si>
  <si>
    <t>920000180</t>
  </si>
  <si>
    <t>Data 4GB_920000180</t>
  </si>
  <si>
    <t>200001-81</t>
  </si>
  <si>
    <t>920000181</t>
  </si>
  <si>
    <t>Data 4.5GB_920000181</t>
  </si>
  <si>
    <t>200001-82</t>
  </si>
  <si>
    <t>920000182</t>
  </si>
  <si>
    <t>Data 5GB_920000182</t>
  </si>
  <si>
    <t>200001-91</t>
  </si>
  <si>
    <t>920000191</t>
  </si>
  <si>
    <t>Data 3.5GB_920000191</t>
  </si>
  <si>
    <t>200001-92</t>
  </si>
  <si>
    <t>920000192</t>
  </si>
  <si>
    <t>Data 4.5GB_920000192</t>
  </si>
  <si>
    <t>200001-93</t>
  </si>
  <si>
    <t>920000193</t>
  </si>
  <si>
    <t>Data 7GB_920000193</t>
  </si>
  <si>
    <t>200001-95</t>
  </si>
  <si>
    <t>920000195</t>
  </si>
  <si>
    <t>Data 5.5GB_920000195</t>
  </si>
  <si>
    <t>200001-96</t>
  </si>
  <si>
    <t>920000196</t>
  </si>
  <si>
    <t>Data 1.5GB_920000196</t>
  </si>
  <si>
    <t>200001-97</t>
  </si>
  <si>
    <t>920000197</t>
  </si>
  <si>
    <t>Data 2.5GB_920000197</t>
  </si>
  <si>
    <t>200001-98</t>
  </si>
  <si>
    <t>920000198</t>
  </si>
  <si>
    <t>Data 3GB_920000198</t>
  </si>
  <si>
    <t>200001-99</t>
  </si>
  <si>
    <t>920000199</t>
  </si>
  <si>
    <t>Data 4GB_920000199</t>
  </si>
  <si>
    <t>200003-01</t>
  </si>
  <si>
    <t>920000301</t>
  </si>
  <si>
    <t>BlackBerry Total_920000301</t>
  </si>
  <si>
    <t>200003-06</t>
  </si>
  <si>
    <t>920000306</t>
  </si>
  <si>
    <t>BlackBerry Social_920000306</t>
  </si>
  <si>
    <t>200005-03</t>
  </si>
  <si>
    <t>920000503</t>
  </si>
  <si>
    <t>DPI Chat_920000503</t>
  </si>
  <si>
    <t>200005-07</t>
  </si>
  <si>
    <t>920000507</t>
  </si>
  <si>
    <t>DPI Chat + Redes sociales_920000507</t>
  </si>
  <si>
    <t>200005-09</t>
  </si>
  <si>
    <t>920000509</t>
  </si>
  <si>
    <t>DPI Chat + Mail_920000509</t>
  </si>
  <si>
    <t>200007-09</t>
  </si>
  <si>
    <t>920000709</t>
  </si>
  <si>
    <t>Deezer 5 Gb_920000709</t>
  </si>
  <si>
    <t>200008-08</t>
  </si>
  <si>
    <t>920000808</t>
  </si>
  <si>
    <t>Smart 5GB_920000808</t>
  </si>
  <si>
    <t>200008-11</t>
  </si>
  <si>
    <t>920000811</t>
  </si>
  <si>
    <t>Smart sin datos_920000811</t>
  </si>
  <si>
    <t>200008-15</t>
  </si>
  <si>
    <t>920000815</t>
  </si>
  <si>
    <t>Smart sin navegacion_920000815</t>
  </si>
  <si>
    <t>200008-16</t>
  </si>
  <si>
    <t>920000816</t>
  </si>
  <si>
    <t>Smart sin navegacion_920000816</t>
  </si>
  <si>
    <t>200008-17</t>
  </si>
  <si>
    <t>920000817</t>
  </si>
  <si>
    <t>Smart cero pesos_920000817</t>
  </si>
  <si>
    <t>200008-18</t>
  </si>
  <si>
    <t>920000818</t>
  </si>
  <si>
    <t>Smart 49_920000818</t>
  </si>
  <si>
    <t>200008-19</t>
  </si>
  <si>
    <t>920000819</t>
  </si>
  <si>
    <t>Smart 50_920000819</t>
  </si>
  <si>
    <t>200008-20</t>
  </si>
  <si>
    <t>920000820</t>
  </si>
  <si>
    <t>Smart 51_920000820</t>
  </si>
  <si>
    <t>200008-21</t>
  </si>
  <si>
    <t>920000821</t>
  </si>
  <si>
    <t>Smart sin navegacion_920000821</t>
  </si>
  <si>
    <t>200008-22</t>
  </si>
  <si>
    <t>920000822</t>
  </si>
  <si>
    <t>Smart sin navegacion_920000822</t>
  </si>
  <si>
    <t>200008-23</t>
  </si>
  <si>
    <t>920000823</t>
  </si>
  <si>
    <t>Smart sin navegacion_920000823</t>
  </si>
  <si>
    <t>200008-24</t>
  </si>
  <si>
    <t>920000824</t>
  </si>
  <si>
    <t>Smart sin navegacion_920000824</t>
  </si>
  <si>
    <t>200008-25</t>
  </si>
  <si>
    <t>920000825</t>
  </si>
  <si>
    <t>Smart sin navegacion_920000825</t>
  </si>
  <si>
    <t>200008-26</t>
  </si>
  <si>
    <t>920000826</t>
  </si>
  <si>
    <t>Smart sin navegacion_920000826</t>
  </si>
  <si>
    <t>200008-27</t>
  </si>
  <si>
    <t>920000827</t>
  </si>
  <si>
    <t>Smart sin navegacion_920000827</t>
  </si>
  <si>
    <t>200008-28</t>
  </si>
  <si>
    <t>920000828</t>
  </si>
  <si>
    <t>Smart sin navegacion_920000828</t>
  </si>
  <si>
    <t>200008-29</t>
  </si>
  <si>
    <t>920000829</t>
  </si>
  <si>
    <t>Smart sin navegacion_920000829</t>
  </si>
  <si>
    <t>200008-30</t>
  </si>
  <si>
    <t>920000830</t>
  </si>
  <si>
    <t>Smart sin navegacion_920000830</t>
  </si>
  <si>
    <t>200008-31</t>
  </si>
  <si>
    <t>920000831</t>
  </si>
  <si>
    <t>Smart sin navegacion_920000831</t>
  </si>
  <si>
    <t>200008-32</t>
  </si>
  <si>
    <t>920000832</t>
  </si>
  <si>
    <t>Smart sin navegacion_920000832</t>
  </si>
  <si>
    <t>200008-33</t>
  </si>
  <si>
    <t>920000833</t>
  </si>
  <si>
    <t>Smart sin navegacion_920000833</t>
  </si>
  <si>
    <t>200008-34</t>
  </si>
  <si>
    <t>920000834</t>
  </si>
  <si>
    <t>Smart sin navegacion_920000834</t>
  </si>
  <si>
    <t>200008-35</t>
  </si>
  <si>
    <t>920000835</t>
  </si>
  <si>
    <t>Smart sin navegacion_920000835</t>
  </si>
  <si>
    <t>200008-36</t>
  </si>
  <si>
    <t>920000836</t>
  </si>
  <si>
    <t>Smart sin navegacion_920000836</t>
  </si>
  <si>
    <t>200008-37</t>
  </si>
  <si>
    <t>920000837</t>
  </si>
  <si>
    <t>Smart sin navegacion_920000837</t>
  </si>
  <si>
    <t>200008-38</t>
  </si>
  <si>
    <t>920000838</t>
  </si>
  <si>
    <t>Smart sin navegacion_920000838</t>
  </si>
  <si>
    <t>200008-39</t>
  </si>
  <si>
    <t>920000839</t>
  </si>
  <si>
    <t>Smart sin navegacion_920000839</t>
  </si>
  <si>
    <t>200008-40</t>
  </si>
  <si>
    <t>920000840</t>
  </si>
  <si>
    <t>Smart sin navegacion_920000840</t>
  </si>
  <si>
    <t>200008-41</t>
  </si>
  <si>
    <t>920000841</t>
  </si>
  <si>
    <t>Smart sin navegacion_920000841</t>
  </si>
  <si>
    <t>200008-42</t>
  </si>
  <si>
    <t>920000842</t>
  </si>
  <si>
    <t>Smart sin navegacion_920000842</t>
  </si>
  <si>
    <t>200008-43</t>
  </si>
  <si>
    <t>920000843</t>
  </si>
  <si>
    <t>Smart sin navegacion_920000843</t>
  </si>
  <si>
    <t>200011-01</t>
  </si>
  <si>
    <t>920001101</t>
  </si>
  <si>
    <t>Data 5GB_920001101</t>
  </si>
  <si>
    <t>200011-02</t>
  </si>
  <si>
    <t>920001102</t>
  </si>
  <si>
    <t>Data 6GB_920001102</t>
  </si>
  <si>
    <t>200011-03</t>
  </si>
  <si>
    <t>920001103</t>
  </si>
  <si>
    <t>Data 8GB_920001103</t>
  </si>
  <si>
    <t>200011-06</t>
  </si>
  <si>
    <t>920001106</t>
  </si>
  <si>
    <t>Data WhatsFace_920001106</t>
  </si>
  <si>
    <t>200011-12</t>
  </si>
  <si>
    <t>920001112</t>
  </si>
  <si>
    <t>Data WhatsFace_920001112</t>
  </si>
  <si>
    <t>200011-13</t>
  </si>
  <si>
    <t>920001113</t>
  </si>
  <si>
    <t>Data 800MB_920001113</t>
  </si>
  <si>
    <t>200011-14</t>
  </si>
  <si>
    <t>920001114</t>
  </si>
  <si>
    <t>Data 1.5GB_920001114</t>
  </si>
  <si>
    <t>200011-15</t>
  </si>
  <si>
    <t>920001115</t>
  </si>
  <si>
    <t>Data 2.5GB_920001115</t>
  </si>
  <si>
    <t>200011-16</t>
  </si>
  <si>
    <t>920001116</t>
  </si>
  <si>
    <t>Data 3.5GB_920001116</t>
  </si>
  <si>
    <t>200011-17</t>
  </si>
  <si>
    <t>920001117</t>
  </si>
  <si>
    <t>Data 4GB_920001117</t>
  </si>
  <si>
    <t>200011-18</t>
  </si>
  <si>
    <t>920001118</t>
  </si>
  <si>
    <t>Data 6GB_920001118</t>
  </si>
  <si>
    <t>200011-19</t>
  </si>
  <si>
    <t>920001119</t>
  </si>
  <si>
    <t>Data 8GB_920001119</t>
  </si>
  <si>
    <t>200011-20</t>
  </si>
  <si>
    <t>920001120</t>
  </si>
  <si>
    <t>Data 10GB_920001120</t>
  </si>
  <si>
    <t>200011-21</t>
  </si>
  <si>
    <t>920001121</t>
  </si>
  <si>
    <t>Data 12GB_920001121</t>
  </si>
  <si>
    <t>200011-22</t>
  </si>
  <si>
    <t>920001122</t>
  </si>
  <si>
    <t>Data WhatsApp_920001122</t>
  </si>
  <si>
    <t>200011-23</t>
  </si>
  <si>
    <t>920001123</t>
  </si>
  <si>
    <t>Data WhatsFace_920001123</t>
  </si>
  <si>
    <t>200011-26</t>
  </si>
  <si>
    <t>920001126</t>
  </si>
  <si>
    <t>Data Unlimited_920001126</t>
  </si>
  <si>
    <t>200011-29</t>
  </si>
  <si>
    <t>920001129</t>
  </si>
  <si>
    <t>Data 2.5GB WhatsFace_920001129</t>
  </si>
  <si>
    <t>200011-30</t>
  </si>
  <si>
    <t>920001130</t>
  </si>
  <si>
    <t>Data 3.5GB WhatsFace_920001130</t>
  </si>
  <si>
    <t>200011-31</t>
  </si>
  <si>
    <t>920001131</t>
  </si>
  <si>
    <t>Data 7GB WhatsFace_920001131</t>
  </si>
  <si>
    <t>200011-48</t>
  </si>
  <si>
    <t>920001148</t>
  </si>
  <si>
    <t>Data 800MB_920001148</t>
  </si>
  <si>
    <t>200011-49</t>
  </si>
  <si>
    <t>920001149</t>
  </si>
  <si>
    <t>Data 1.5GB_920001149</t>
  </si>
  <si>
    <t>200011-50</t>
  </si>
  <si>
    <t>920001150</t>
  </si>
  <si>
    <t>Data 2.5GB_920001150</t>
  </si>
  <si>
    <t>200011-51</t>
  </si>
  <si>
    <t>920001151</t>
  </si>
  <si>
    <t>Data 3.5GB_920001151</t>
  </si>
  <si>
    <t>200011-52</t>
  </si>
  <si>
    <t>920001152</t>
  </si>
  <si>
    <t>Data 4GB_920001152</t>
  </si>
  <si>
    <t>200011-53</t>
  </si>
  <si>
    <t>920001153</t>
  </si>
  <si>
    <t>Data 7GB_920001153</t>
  </si>
  <si>
    <t>200011-54</t>
  </si>
  <si>
    <t>920001154</t>
  </si>
  <si>
    <t>Data 1GB_920001154</t>
  </si>
  <si>
    <t>200011-55</t>
  </si>
  <si>
    <t>920001155</t>
  </si>
  <si>
    <t>Data 1GB_920001155</t>
  </si>
  <si>
    <t>200011-56</t>
  </si>
  <si>
    <t>920001156</t>
  </si>
  <si>
    <t>Data 3GB_920001156</t>
  </si>
  <si>
    <t>200011-57</t>
  </si>
  <si>
    <t>920001157</t>
  </si>
  <si>
    <t>Data 3GB_920001157</t>
  </si>
  <si>
    <t>200011-58</t>
  </si>
  <si>
    <t>920001158</t>
  </si>
  <si>
    <t>Data 5GB_920001158</t>
  </si>
  <si>
    <t>200011-59</t>
  </si>
  <si>
    <t>920001159</t>
  </si>
  <si>
    <t>Data 5GB_920001159</t>
  </si>
  <si>
    <t>200011-60</t>
  </si>
  <si>
    <t>920001160</t>
  </si>
  <si>
    <t>Data 8GB_920001160</t>
  </si>
  <si>
    <t>200011-61</t>
  </si>
  <si>
    <t>920001161</t>
  </si>
  <si>
    <t>Data 10GB_920001161</t>
  </si>
  <si>
    <t>200011-62</t>
  </si>
  <si>
    <t>920001162</t>
  </si>
  <si>
    <t>Data 15GB_920001162</t>
  </si>
  <si>
    <t>200011-63</t>
  </si>
  <si>
    <t>920001163</t>
  </si>
  <si>
    <t>Data 20GB_920001163</t>
  </si>
  <si>
    <t>200011-65</t>
  </si>
  <si>
    <t>920001165</t>
  </si>
  <si>
    <t>Data 1TB_920001165</t>
  </si>
  <si>
    <t>200011-66</t>
  </si>
  <si>
    <t>920001166</t>
  </si>
  <si>
    <t>Data 0.8GB_920001166</t>
  </si>
  <si>
    <t>200011-67</t>
  </si>
  <si>
    <t>920001167</t>
  </si>
  <si>
    <t>Data 1.5GB_920001167</t>
  </si>
  <si>
    <t>200011-68</t>
  </si>
  <si>
    <t>920001168</t>
  </si>
  <si>
    <t>Data 2.5GB_920001168</t>
  </si>
  <si>
    <t>200011-69</t>
  </si>
  <si>
    <t>920001169</t>
  </si>
  <si>
    <t>Data 3GB_920001169</t>
  </si>
  <si>
    <t>200011-70</t>
  </si>
  <si>
    <t>920001170</t>
  </si>
  <si>
    <t>Data 3.5GB_920001170</t>
  </si>
  <si>
    <t>200011-71</t>
  </si>
  <si>
    <t>920001171</t>
  </si>
  <si>
    <t>Data 4GB_920001171</t>
  </si>
  <si>
    <t>200011-72</t>
  </si>
  <si>
    <t>920001172</t>
  </si>
  <si>
    <t>Data 5GB_920001172</t>
  </si>
  <si>
    <t>200011-73</t>
  </si>
  <si>
    <t>920001173</t>
  </si>
  <si>
    <t>Data 6.5GB_920001173</t>
  </si>
  <si>
    <t>200011-74</t>
  </si>
  <si>
    <t>920001174</t>
  </si>
  <si>
    <t>Data 7GB_920001174</t>
  </si>
  <si>
    <t>200011-75</t>
  </si>
  <si>
    <t>920001175</t>
  </si>
  <si>
    <t>Data 8GB_920001175</t>
  </si>
  <si>
    <t>200011-76</t>
  </si>
  <si>
    <t>920001176</t>
  </si>
  <si>
    <t>Data 9GB_920001176</t>
  </si>
  <si>
    <t>200011-77</t>
  </si>
  <si>
    <t>920001177</t>
  </si>
  <si>
    <t>Data 10GB_920001177</t>
  </si>
  <si>
    <t>200011-78</t>
  </si>
  <si>
    <t>920001178</t>
  </si>
  <si>
    <t>Data 11GB_920001178</t>
  </si>
  <si>
    <t>200011-79</t>
  </si>
  <si>
    <t>920001179</t>
  </si>
  <si>
    <t>Data 12GB_920001179</t>
  </si>
  <si>
    <t>200011-80</t>
  </si>
  <si>
    <t>920001180</t>
  </si>
  <si>
    <t>Data 15GB_920001180</t>
  </si>
  <si>
    <t>200011-83</t>
  </si>
  <si>
    <t>920001183</t>
  </si>
  <si>
    <t>Data 22GB_920001183</t>
  </si>
  <si>
    <t>200011-84</t>
  </si>
  <si>
    <t>920001184</t>
  </si>
  <si>
    <t>Data 1GB_920001184</t>
  </si>
  <si>
    <t>200011-85</t>
  </si>
  <si>
    <t>920001185</t>
  </si>
  <si>
    <t>Data 1.2GB_920001185</t>
  </si>
  <si>
    <t>200011-86</t>
  </si>
  <si>
    <t>920001186</t>
  </si>
  <si>
    <t>Data 2.5GB_920001186</t>
  </si>
  <si>
    <t>200011-87</t>
  </si>
  <si>
    <t>920001187</t>
  </si>
  <si>
    <t>Data 3.5GB_920001187</t>
  </si>
  <si>
    <t>200011-88</t>
  </si>
  <si>
    <t>920001188</t>
  </si>
  <si>
    <t>Data 4GB_920001188</t>
  </si>
  <si>
    <t>200011-89</t>
  </si>
  <si>
    <t>920001189</t>
  </si>
  <si>
    <t>Data 4.5GB_920001189</t>
  </si>
  <si>
    <t>200011-90</t>
  </si>
  <si>
    <t>920001190</t>
  </si>
  <si>
    <t>Data 5.5GB_920001190</t>
  </si>
  <si>
    <t>200011-91</t>
  </si>
  <si>
    <t>920001191</t>
  </si>
  <si>
    <t>Data 7GB_920001191</t>
  </si>
  <si>
    <t>200011-92</t>
  </si>
  <si>
    <t>920001192</t>
  </si>
  <si>
    <t>Data 7.5GB_920001192</t>
  </si>
  <si>
    <t>200011-93</t>
  </si>
  <si>
    <t>920001193</t>
  </si>
  <si>
    <t>Data 8.5GB_920001193</t>
  </si>
  <si>
    <t>200011-94</t>
  </si>
  <si>
    <t>920001194</t>
  </si>
  <si>
    <t>Data 9.5GB_920001194</t>
  </si>
  <si>
    <t>200011-95</t>
  </si>
  <si>
    <t>920001195</t>
  </si>
  <si>
    <t>Data 10.5GB_920001195</t>
  </si>
  <si>
    <t>200011-96</t>
  </si>
  <si>
    <t>920001196</t>
  </si>
  <si>
    <t>Data 11.5GB_920001196</t>
  </si>
  <si>
    <t>200011-97</t>
  </si>
  <si>
    <t>920001197</t>
  </si>
  <si>
    <t>Data 12.5GB_920001197</t>
  </si>
  <si>
    <t>200011-98</t>
  </si>
  <si>
    <t>920001198</t>
  </si>
  <si>
    <t>Data 15.5GB_920001198</t>
  </si>
  <si>
    <t>200021-03</t>
  </si>
  <si>
    <t>920002103</t>
  </si>
  <si>
    <t>Data 0.8GB_920002103</t>
  </si>
  <si>
    <t>200021-04</t>
  </si>
  <si>
    <t>920002104</t>
  </si>
  <si>
    <t>Data 1.2GB_920002104</t>
  </si>
  <si>
    <t>200021-05</t>
  </si>
  <si>
    <t>920002105</t>
  </si>
  <si>
    <t>Data 2.5GB_920002105</t>
  </si>
  <si>
    <t>200021-06</t>
  </si>
  <si>
    <t>920002106</t>
  </si>
  <si>
    <t>Data 3.5GB_920002106</t>
  </si>
  <si>
    <t>200021-07</t>
  </si>
  <si>
    <t>920002107</t>
  </si>
  <si>
    <t>Data 4GB_920002107</t>
  </si>
  <si>
    <t>200021-08</t>
  </si>
  <si>
    <t>920002108</t>
  </si>
  <si>
    <t>Data 4.5GB_920002108</t>
  </si>
  <si>
    <t>200021-09</t>
  </si>
  <si>
    <t>920002109</t>
  </si>
  <si>
    <t>Data 5.5GB_920002109</t>
  </si>
  <si>
    <t>200021-10</t>
  </si>
  <si>
    <t>920002110</t>
  </si>
  <si>
    <t>Data 6.5GB_920002110</t>
  </si>
  <si>
    <t>200021-11</t>
  </si>
  <si>
    <t>920002111</t>
  </si>
  <si>
    <t>Data 7.5GB_920002111</t>
  </si>
  <si>
    <t>200021-12</t>
  </si>
  <si>
    <t>920002112</t>
  </si>
  <si>
    <t>Data 8.5GB_920002112</t>
  </si>
  <si>
    <t>200021-13</t>
  </si>
  <si>
    <t>920002113</t>
  </si>
  <si>
    <t>Data 9GB_920002113</t>
  </si>
  <si>
    <t>200021-14</t>
  </si>
  <si>
    <t>920002114</t>
  </si>
  <si>
    <t>Data 10GB_920002114</t>
  </si>
  <si>
    <t>200021-15</t>
  </si>
  <si>
    <t>920002115</t>
  </si>
  <si>
    <t>Data 10.5GB_920002115</t>
  </si>
  <si>
    <t>200021-16</t>
  </si>
  <si>
    <t>920002116</t>
  </si>
  <si>
    <t>Data 11.5GB_920002116</t>
  </si>
  <si>
    <t>200021-17</t>
  </si>
  <si>
    <t>920002117</t>
  </si>
  <si>
    <t>Data 15GB_920002117</t>
  </si>
  <si>
    <t>200021-18</t>
  </si>
  <si>
    <t>920002118</t>
  </si>
  <si>
    <t>Data 16GB_920002118</t>
  </si>
  <si>
    <t>200021-19</t>
  </si>
  <si>
    <t>920002119</t>
  </si>
  <si>
    <t>Data 17GB_920002119</t>
  </si>
  <si>
    <t>200021-20</t>
  </si>
  <si>
    <t>920002120</t>
  </si>
  <si>
    <t>Data 22GB_920002120</t>
  </si>
  <si>
    <t>200021-21</t>
  </si>
  <si>
    <t>920002121</t>
  </si>
  <si>
    <t>Data 1GB_920002121</t>
  </si>
  <si>
    <t>200021-22</t>
  </si>
  <si>
    <t>920002122</t>
  </si>
  <si>
    <t>Data 1.7GB_920002122</t>
  </si>
  <si>
    <t>200021-23</t>
  </si>
  <si>
    <t>920002123</t>
  </si>
  <si>
    <t>Data 3.5GB_920002123</t>
  </si>
  <si>
    <t>200021-24</t>
  </si>
  <si>
    <t>920002124</t>
  </si>
  <si>
    <t>Data 4.5GB_920002124</t>
  </si>
  <si>
    <t>200021-25</t>
  </si>
  <si>
    <t>920002125</t>
  </si>
  <si>
    <t>Data 4.5GB_920002125</t>
  </si>
  <si>
    <t>200021-26</t>
  </si>
  <si>
    <t>920002126</t>
  </si>
  <si>
    <t>Data 5.5GB_920002126</t>
  </si>
  <si>
    <t>200021-27</t>
  </si>
  <si>
    <t>920002127</t>
  </si>
  <si>
    <t>Data 6.5GB_920002127</t>
  </si>
  <si>
    <t>200021-28</t>
  </si>
  <si>
    <t>920002128</t>
  </si>
  <si>
    <t>Data 7.5GB_920002128</t>
  </si>
  <si>
    <t>200021-29</t>
  </si>
  <si>
    <t>920002129</t>
  </si>
  <si>
    <t>Data 8.5GB_920002129</t>
  </si>
  <si>
    <t>200021-30</t>
  </si>
  <si>
    <t>920002130</t>
  </si>
  <si>
    <t>Data 9.5GB_920002130</t>
  </si>
  <si>
    <t>200021-31</t>
  </si>
  <si>
    <t>920002131</t>
  </si>
  <si>
    <t>Data 10GB_920002131</t>
  </si>
  <si>
    <t>200021-32</t>
  </si>
  <si>
    <t>920002132</t>
  </si>
  <si>
    <t>Data 11GB_920002132</t>
  </si>
  <si>
    <t>200021-33</t>
  </si>
  <si>
    <t>920002133</t>
  </si>
  <si>
    <t>Data 11.5GB_920002133</t>
  </si>
  <si>
    <t>200021-34</t>
  </si>
  <si>
    <t>920002134</t>
  </si>
  <si>
    <t>Data 12.5GB_920002134</t>
  </si>
  <si>
    <t>200021-46</t>
  </si>
  <si>
    <t>920002146</t>
  </si>
  <si>
    <t>Data 4.5GB_920002146</t>
  </si>
  <si>
    <t>200101-01</t>
  </si>
  <si>
    <t>920010101</t>
  </si>
  <si>
    <t>Data - Regalo_920010101</t>
  </si>
  <si>
    <t>200103-01</t>
  </si>
  <si>
    <t>920010301</t>
  </si>
  <si>
    <t>BlackBerry Regalo_920010301</t>
  </si>
  <si>
    <t>300301-15</t>
  </si>
  <si>
    <t>930030115</t>
  </si>
  <si>
    <t>Sms-OnNet-5000D_930030115</t>
  </si>
  <si>
    <t>300302-18</t>
  </si>
  <si>
    <t>930030218</t>
  </si>
  <si>
    <t>Sms-TD-100_930030218</t>
  </si>
  <si>
    <t>300302-21</t>
  </si>
  <si>
    <t>930030221</t>
  </si>
  <si>
    <t>Sms-TD-20_930030221</t>
  </si>
  <si>
    <t>300302-25</t>
  </si>
  <si>
    <t>930030225</t>
  </si>
  <si>
    <t>Sms-TD-Ilimitado_930030225</t>
  </si>
  <si>
    <t>300302-26</t>
  </si>
  <si>
    <t>930030226</t>
  </si>
  <si>
    <t>Sms-TD-Ilimitado_930030226</t>
  </si>
  <si>
    <t>300302-28</t>
  </si>
  <si>
    <t>930030228</t>
  </si>
  <si>
    <t>Sms - Todo destino - 100_930030228</t>
  </si>
  <si>
    <t>300302-29</t>
  </si>
  <si>
    <t>930030229</t>
  </si>
  <si>
    <t>Sms - Todo destino - 200_930030229</t>
  </si>
  <si>
    <t>300302-30</t>
  </si>
  <si>
    <t>930030230</t>
  </si>
  <si>
    <t>Sms-TD-Ilimitado_930030230</t>
  </si>
  <si>
    <t>300302-32</t>
  </si>
  <si>
    <t>930030232</t>
  </si>
  <si>
    <t>Sms-TD-100_930030232</t>
  </si>
  <si>
    <t>300302-33</t>
  </si>
  <si>
    <t>930030233</t>
  </si>
  <si>
    <t>Sms-TD-200_930030233</t>
  </si>
  <si>
    <t>300302-34</t>
  </si>
  <si>
    <t>930030234</t>
  </si>
  <si>
    <t>Sms-TD-Ilimitado_930030234</t>
  </si>
  <si>
    <t>300302-35</t>
  </si>
  <si>
    <t>930030235</t>
  </si>
  <si>
    <t>Sms-TD-Ilimitado_930030235</t>
  </si>
  <si>
    <t>300302-36</t>
  </si>
  <si>
    <t>930030236</t>
  </si>
  <si>
    <t>Sms-TD-Ilimitado_930030236</t>
  </si>
  <si>
    <t>300302-37</t>
  </si>
  <si>
    <t>930030237</t>
  </si>
  <si>
    <t>Sms-TD-Ilimitado_930030237</t>
  </si>
  <si>
    <t>300302-40</t>
  </si>
  <si>
    <t>930030240</t>
  </si>
  <si>
    <t>Sms-TD-200_930030240</t>
  </si>
  <si>
    <t>300302-41</t>
  </si>
  <si>
    <t>930030241</t>
  </si>
  <si>
    <t>Sms-TD-Ilimitado_930030241</t>
  </si>
  <si>
    <t>300302-42</t>
  </si>
  <si>
    <t>930030242</t>
  </si>
  <si>
    <t>Sms-TD-200_930030242</t>
  </si>
  <si>
    <t>300302-43</t>
  </si>
  <si>
    <t>930030243</t>
  </si>
  <si>
    <t>Sms-TD-Ilimitado_930030243</t>
  </si>
  <si>
    <t>300302-44</t>
  </si>
  <si>
    <t>930030244</t>
  </si>
  <si>
    <t>Sms-TD-Ilimitado_930030244</t>
  </si>
  <si>
    <t>300302-45</t>
  </si>
  <si>
    <t>930030245</t>
  </si>
  <si>
    <t>Sms-TD-Ilimitado_930030245</t>
  </si>
  <si>
    <t>300302-46</t>
  </si>
  <si>
    <t>930030246</t>
  </si>
  <si>
    <t>Sms-TD-Ilimitado_930030246</t>
  </si>
  <si>
    <t>300302-47</t>
  </si>
  <si>
    <t>930030247</t>
  </si>
  <si>
    <t>Sms-TD-Ilimitado_930030247</t>
  </si>
  <si>
    <t>300302-48</t>
  </si>
  <si>
    <t>930030248</t>
  </si>
  <si>
    <t>Sms-TD-Ilimitado_930030248</t>
  </si>
  <si>
    <t>300302-49</t>
  </si>
  <si>
    <t>930030249</t>
  </si>
  <si>
    <t>Sms-TD-Ilimitado_930030249</t>
  </si>
  <si>
    <t>300302-50</t>
  </si>
  <si>
    <t>930030250</t>
  </si>
  <si>
    <t>Sms-TD-Ilimitado_930030250</t>
  </si>
  <si>
    <t>300302-51</t>
  </si>
  <si>
    <t>930030251</t>
  </si>
  <si>
    <t>Sms-TD-Ilimitado_930030251</t>
  </si>
  <si>
    <t>300302-52</t>
  </si>
  <si>
    <t>930030252</t>
  </si>
  <si>
    <t>Sms-TD-Ilimitado_930030252</t>
  </si>
  <si>
    <t>300302-53</t>
  </si>
  <si>
    <t>930030253</t>
  </si>
  <si>
    <t>Sms-TD-Ilimitado_930030253</t>
  </si>
  <si>
    <t>300302-54</t>
  </si>
  <si>
    <t>930030254</t>
  </si>
  <si>
    <t>Sms-TD-Ilimitado_930030254</t>
  </si>
  <si>
    <t>300302-55</t>
  </si>
  <si>
    <t>930030255</t>
  </si>
  <si>
    <t>Sms-TD-Ilimitado_930030255</t>
  </si>
  <si>
    <t>300302-56</t>
  </si>
  <si>
    <t>930030256</t>
  </si>
  <si>
    <t>Sms-TD-Ilimitado_930030256</t>
  </si>
  <si>
    <t>300302-57</t>
  </si>
  <si>
    <t>930030257</t>
  </si>
  <si>
    <t>Sms-TD-Ilimitado_930030257</t>
  </si>
  <si>
    <t>300302-58</t>
  </si>
  <si>
    <t>930030258</t>
  </si>
  <si>
    <t>Sms-TD-Ilimitado_930030258</t>
  </si>
  <si>
    <t>300302-59</t>
  </si>
  <si>
    <t>930030259</t>
  </si>
  <si>
    <t>Sms-TD-200_930030259</t>
  </si>
  <si>
    <t>500000-23</t>
  </si>
  <si>
    <t>950000023</t>
  </si>
  <si>
    <t>Favorito 3b_950000023</t>
  </si>
  <si>
    <t>500000-33</t>
  </si>
  <si>
    <t>950000033</t>
  </si>
  <si>
    <t>Favorito 33_950000033</t>
  </si>
  <si>
    <t>500000-34</t>
  </si>
  <si>
    <t>950000034</t>
  </si>
  <si>
    <t>Favorito 34_950000034</t>
  </si>
  <si>
    <t>500000-36</t>
  </si>
  <si>
    <t>950000036</t>
  </si>
  <si>
    <t>Favorito 36_950000036</t>
  </si>
  <si>
    <t>500000-57</t>
  </si>
  <si>
    <t>950000057</t>
  </si>
  <si>
    <t>Favorito 57_950000057</t>
  </si>
  <si>
    <t>500000-58</t>
  </si>
  <si>
    <t>950000058</t>
  </si>
  <si>
    <t>Favorito 58_950000058</t>
  </si>
  <si>
    <t>500000-59</t>
  </si>
  <si>
    <t>950000059</t>
  </si>
  <si>
    <t>Favorito 59_950000059</t>
  </si>
  <si>
    <t>500000-60</t>
  </si>
  <si>
    <t>950000060</t>
  </si>
  <si>
    <t>Favorito 60_950000060</t>
  </si>
  <si>
    <t>500000-61</t>
  </si>
  <si>
    <t>950000061</t>
  </si>
  <si>
    <t>Favorito 61_950000061</t>
  </si>
  <si>
    <t>500000-62</t>
  </si>
  <si>
    <t>950000062</t>
  </si>
  <si>
    <t>Favorito 62_950000062</t>
  </si>
  <si>
    <t>500000-63</t>
  </si>
  <si>
    <t>950000063</t>
  </si>
  <si>
    <t>Favorito 63_950000063</t>
  </si>
  <si>
    <t>500000-64</t>
  </si>
  <si>
    <t>950000064</t>
  </si>
  <si>
    <t>Favorito 64_950000064</t>
  </si>
  <si>
    <t>500000-65</t>
  </si>
  <si>
    <t>950000065</t>
  </si>
  <si>
    <t>Favorito 65_950000065</t>
  </si>
  <si>
    <t>500000-67</t>
  </si>
  <si>
    <t>950000067</t>
  </si>
  <si>
    <t>Favorito 67_950000067</t>
  </si>
  <si>
    <t>500000-68</t>
  </si>
  <si>
    <t>950000068</t>
  </si>
  <si>
    <t>Favorito 68_950000068</t>
  </si>
  <si>
    <t>500000-69</t>
  </si>
  <si>
    <t>950000069</t>
  </si>
  <si>
    <t>Favorito 69_950000069</t>
  </si>
  <si>
    <t>500000-70</t>
  </si>
  <si>
    <t>950000070</t>
  </si>
  <si>
    <t>Favorito 70_950000070</t>
  </si>
  <si>
    <t>500000-71</t>
  </si>
  <si>
    <t>950000071</t>
  </si>
  <si>
    <t>Favorito 71_950000071</t>
  </si>
  <si>
    <t>500000-72</t>
  </si>
  <si>
    <t>950000072</t>
  </si>
  <si>
    <t>Favorito 72_950000072</t>
  </si>
  <si>
    <t>500000-73</t>
  </si>
  <si>
    <t>950000073</t>
  </si>
  <si>
    <t>Favorito 73_950000073</t>
  </si>
  <si>
    <t>500000-75</t>
  </si>
  <si>
    <t>950000075</t>
  </si>
  <si>
    <t>Favorito 75_950000075</t>
  </si>
  <si>
    <t>500000-77</t>
  </si>
  <si>
    <t>950000077</t>
  </si>
  <si>
    <t>Favorito 77_950000077</t>
  </si>
  <si>
    <t>500000-81</t>
  </si>
  <si>
    <t>950000081</t>
  </si>
  <si>
    <t>Favorito 81_950000081</t>
  </si>
  <si>
    <t>500000-82</t>
  </si>
  <si>
    <t>950000082</t>
  </si>
  <si>
    <t>Favorito 82_950000082</t>
  </si>
  <si>
    <t>500000-85</t>
  </si>
  <si>
    <t>950000085</t>
  </si>
  <si>
    <t>Favorito 85_950000085</t>
  </si>
  <si>
    <t>500000-86</t>
  </si>
  <si>
    <t>950000086</t>
  </si>
  <si>
    <t>Favorito 86_950000086</t>
  </si>
  <si>
    <t>500000-87</t>
  </si>
  <si>
    <t>950000087</t>
  </si>
  <si>
    <t>Favorito 87_950000087</t>
  </si>
  <si>
    <t>500000-89</t>
  </si>
  <si>
    <t>950000089</t>
  </si>
  <si>
    <t>Favorito 89_950000089</t>
  </si>
  <si>
    <t>500000-90</t>
  </si>
  <si>
    <t>950000090</t>
  </si>
  <si>
    <t>Favorito 90_950000090</t>
  </si>
  <si>
    <t>500000-91</t>
  </si>
  <si>
    <t>950000091</t>
  </si>
  <si>
    <t>Favorito 91_950000091</t>
  </si>
  <si>
    <t>500000-92</t>
  </si>
  <si>
    <t>950000092</t>
  </si>
  <si>
    <t>Favorito 92_950000092</t>
  </si>
  <si>
    <t>500001-01</t>
  </si>
  <si>
    <t>950000101</t>
  </si>
  <si>
    <t>Favorito Ilimitado 1_950000101</t>
  </si>
  <si>
    <t>500001-62</t>
  </si>
  <si>
    <t>950000162</t>
  </si>
  <si>
    <t>Favorito TD 2678400s_950000162</t>
  </si>
  <si>
    <t>500001-63</t>
  </si>
  <si>
    <t>950000163</t>
  </si>
  <si>
    <t>Favorito TD 2678400s_950000163</t>
  </si>
  <si>
    <t>500001-65</t>
  </si>
  <si>
    <t>950000165</t>
  </si>
  <si>
    <t>Voz-TD-9000s_950000165</t>
  </si>
  <si>
    <t>500001-66</t>
  </si>
  <si>
    <t>950000166</t>
  </si>
  <si>
    <t>Voz-TD-36000s_950000166</t>
  </si>
  <si>
    <t>500001-68</t>
  </si>
  <si>
    <t>950000168</t>
  </si>
  <si>
    <t>Voz-TD-6000s_950000168</t>
  </si>
  <si>
    <t>500001-70</t>
  </si>
  <si>
    <t>950000170</t>
  </si>
  <si>
    <t>Favorito Ilimitado 4_950000170</t>
  </si>
  <si>
    <t>500001-71</t>
  </si>
  <si>
    <t>950000171</t>
  </si>
  <si>
    <t>Favorito Ilimitado 4_950000171</t>
  </si>
  <si>
    <t>500001-72</t>
  </si>
  <si>
    <t>950000172</t>
  </si>
  <si>
    <t>Favorito Ilimitado 5_950000172</t>
  </si>
  <si>
    <t>500001-73</t>
  </si>
  <si>
    <t>950000173</t>
  </si>
  <si>
    <t>Favorito Ilimitado 5_950000173</t>
  </si>
  <si>
    <t>500003-01</t>
  </si>
  <si>
    <t>950000301</t>
  </si>
  <si>
    <t>Favorito Tigo 01_950000301</t>
  </si>
  <si>
    <t>500003-02</t>
  </si>
  <si>
    <t>950000302</t>
  </si>
  <si>
    <t>Favorito Tigo 02_950000302</t>
  </si>
  <si>
    <t>500003-03</t>
  </si>
  <si>
    <t>950000303</t>
  </si>
  <si>
    <t>Favorito Tigo 03_950000303</t>
  </si>
  <si>
    <t>500003-04</t>
  </si>
  <si>
    <t>950000304</t>
  </si>
  <si>
    <t>Favorito Tigo 04_950000304</t>
  </si>
  <si>
    <t>500003-05</t>
  </si>
  <si>
    <t>950000305</t>
  </si>
  <si>
    <t>Favorito Tigo 05_950000305</t>
  </si>
  <si>
    <t>500003-06</t>
  </si>
  <si>
    <t>950000306</t>
  </si>
  <si>
    <t>Favorito Tigo 06_950000306</t>
  </si>
  <si>
    <t>500003-08</t>
  </si>
  <si>
    <t>950000308</t>
  </si>
  <si>
    <t>Favorito Tigo 08_950000308</t>
  </si>
  <si>
    <t>610000-01</t>
  </si>
  <si>
    <t>961000001</t>
  </si>
  <si>
    <t>Extra-Charge-4000_961000001</t>
  </si>
  <si>
    <t>610000-02</t>
  </si>
  <si>
    <t>961000002</t>
  </si>
  <si>
    <t>Extra-Charge-6000_961000002</t>
  </si>
  <si>
    <t>610000-03</t>
  </si>
  <si>
    <t>961000003</t>
  </si>
  <si>
    <t>Extra-Charge-9000_961000003</t>
  </si>
  <si>
    <t>610000-04</t>
  </si>
  <si>
    <t>961000004</t>
  </si>
  <si>
    <t>Extra-Charge-7000_961000004</t>
  </si>
  <si>
    <t>610000-05</t>
  </si>
  <si>
    <t>961000005</t>
  </si>
  <si>
    <t>Extra-Charge-13000_961000005</t>
  </si>
  <si>
    <t>610000-06</t>
  </si>
  <si>
    <t>961000006</t>
  </si>
  <si>
    <t>Extra-Charge-10000_961000006</t>
  </si>
  <si>
    <t>610000-07</t>
  </si>
  <si>
    <t>961000007</t>
  </si>
  <si>
    <t>Extra-Charge-2000_961000007</t>
  </si>
  <si>
    <t>610000-08</t>
  </si>
  <si>
    <t>961000008</t>
  </si>
  <si>
    <t>Extra-Charge-3000_961000008</t>
  </si>
  <si>
    <t>610000-09</t>
  </si>
  <si>
    <t>961000009</t>
  </si>
  <si>
    <t>Extra-Charge-8000_961000009</t>
  </si>
  <si>
    <t>610000-10</t>
  </si>
  <si>
    <t>961000010</t>
  </si>
  <si>
    <t>Extra-Charge-12000_961000010</t>
  </si>
  <si>
    <t>610000-11</t>
  </si>
  <si>
    <t>961000011</t>
  </si>
  <si>
    <t>Extra-Charge-17000_961000011</t>
  </si>
  <si>
    <t>700000-08</t>
  </si>
  <si>
    <t>970000008</t>
  </si>
  <si>
    <t>Deezer 8.600_970000008</t>
  </si>
  <si>
    <t>700000-25</t>
  </si>
  <si>
    <t>970000025</t>
  </si>
  <si>
    <t>Deezer2 15.900_970000025</t>
  </si>
  <si>
    <t>700000-27</t>
  </si>
  <si>
    <t>970000027</t>
  </si>
  <si>
    <t>Deezer2 11650_970000027</t>
  </si>
  <si>
    <t>700000-28</t>
  </si>
  <si>
    <t>970000028</t>
  </si>
  <si>
    <t>Deezer2 11650_970000028</t>
  </si>
  <si>
    <t>700000-33</t>
  </si>
  <si>
    <t>970000033</t>
  </si>
  <si>
    <t>Deezer2 11949_970000033</t>
  </si>
  <si>
    <t>700000-34</t>
  </si>
  <si>
    <t>970000034</t>
  </si>
  <si>
    <t>Deezer2 11780_970000034</t>
  </si>
  <si>
    <t>800000-31</t>
  </si>
  <si>
    <t>980000031</t>
  </si>
  <si>
    <t>SDP 11GB-2D_980000031</t>
  </si>
  <si>
    <t>800000-32</t>
  </si>
  <si>
    <t>980000032</t>
  </si>
  <si>
    <t>SDP 11GB-2D_980000032</t>
  </si>
  <si>
    <t>800000-33</t>
  </si>
  <si>
    <t>980000033</t>
  </si>
  <si>
    <t>SDP 11GB-2D_980000033</t>
  </si>
  <si>
    <t>800000-34</t>
  </si>
  <si>
    <t>980000034</t>
  </si>
  <si>
    <t>SDP 11GB-2D_980000034</t>
  </si>
  <si>
    <t>800000-35</t>
  </si>
  <si>
    <t>980000035</t>
  </si>
  <si>
    <t>SDP 11GB-2D_980000035</t>
  </si>
  <si>
    <t>800000-36</t>
  </si>
  <si>
    <t>980000036</t>
  </si>
  <si>
    <t>SDP 11GB-2D_980000036</t>
  </si>
  <si>
    <t>800000-37</t>
  </si>
  <si>
    <t>980000037</t>
  </si>
  <si>
    <t>SDP 11GB-3D_980000037</t>
  </si>
  <si>
    <t>800000-38</t>
  </si>
  <si>
    <t>980000038</t>
  </si>
  <si>
    <t>SDP 11GB-2D_980000038</t>
  </si>
  <si>
    <t>800000-39</t>
  </si>
  <si>
    <t>980000039</t>
  </si>
  <si>
    <t>SDP 11GB-3D_980000039</t>
  </si>
  <si>
    <t>800000-40</t>
  </si>
  <si>
    <t>980000040</t>
  </si>
  <si>
    <t>SDP 11GB-2D_980000040</t>
  </si>
  <si>
    <t>800000-41</t>
  </si>
  <si>
    <t>980000041</t>
  </si>
  <si>
    <t>SDP 11GB-4D_980000041</t>
  </si>
  <si>
    <t>800000-44</t>
  </si>
  <si>
    <t>980000044</t>
  </si>
  <si>
    <t>SDP 6GB-2D_980000044</t>
  </si>
  <si>
    <t>800000-45</t>
  </si>
  <si>
    <t>980000045</t>
  </si>
  <si>
    <t>SDP 6.5GB-2D_980000045</t>
  </si>
  <si>
    <t>800000-46</t>
  </si>
  <si>
    <t>980000046</t>
  </si>
  <si>
    <t>SDP 10GB-3D_980000046</t>
  </si>
  <si>
    <t>800000-47</t>
  </si>
  <si>
    <t>980000047</t>
  </si>
  <si>
    <t>SDP 13GB-4D_980000047</t>
  </si>
  <si>
    <t>800000-48</t>
  </si>
  <si>
    <t>980000048</t>
  </si>
  <si>
    <t>SDP 14GB-4D_980000048</t>
  </si>
  <si>
    <t>800000-49</t>
  </si>
  <si>
    <t>980000049</t>
  </si>
  <si>
    <t>SDP 15GB-5D_980000049</t>
  </si>
  <si>
    <t>800000-50</t>
  </si>
  <si>
    <t>980000050</t>
  </si>
  <si>
    <t>SDP 8GB-2D_980000050</t>
  </si>
  <si>
    <t>800000-51</t>
  </si>
  <si>
    <t>980000051</t>
  </si>
  <si>
    <t>SDP 10GB-2D_980000051</t>
  </si>
  <si>
    <t>800000-52</t>
  </si>
  <si>
    <t>980000052</t>
  </si>
  <si>
    <t>SDP 7GB-2D_980000052</t>
  </si>
  <si>
    <t>800000-53</t>
  </si>
  <si>
    <t>980000053</t>
  </si>
  <si>
    <t>SDP 8GB-2D_980000053</t>
  </si>
  <si>
    <t>800000-71</t>
  </si>
  <si>
    <t>980000071</t>
  </si>
  <si>
    <t>SDP 15GB-3D_980000071</t>
  </si>
  <si>
    <t>800000-88</t>
  </si>
  <si>
    <t>980000088</t>
  </si>
  <si>
    <t>SDP 6GB-2D_980000088</t>
  </si>
  <si>
    <t>800000-89</t>
  </si>
  <si>
    <t>980000089</t>
  </si>
  <si>
    <t>SDP 8GB-2D_980000089</t>
  </si>
  <si>
    <t>800000-90</t>
  </si>
  <si>
    <t>980000090</t>
  </si>
  <si>
    <t>SDP 8GB-3D_980000090</t>
  </si>
  <si>
    <t>800000-91</t>
  </si>
  <si>
    <t>980000091</t>
  </si>
  <si>
    <t>SDP 10GB-3D_980000091</t>
  </si>
  <si>
    <t>800000-92</t>
  </si>
  <si>
    <t>980000092</t>
  </si>
  <si>
    <t>SDP 12GB-3D_980000092</t>
  </si>
  <si>
    <t>800000-93</t>
  </si>
  <si>
    <t>980000093</t>
  </si>
  <si>
    <t>SDP 20GB-5D_980000093</t>
  </si>
  <si>
    <t>800000-94</t>
  </si>
  <si>
    <t>980000094</t>
  </si>
  <si>
    <t>SDP 6GB-2D_980000094</t>
  </si>
  <si>
    <t>800000-95</t>
  </si>
  <si>
    <t>980000095</t>
  </si>
  <si>
    <t>SDP 8GB-2D_980000095</t>
  </si>
  <si>
    <t>800000-96</t>
  </si>
  <si>
    <t>980000096</t>
  </si>
  <si>
    <t>SDP 8GB-3D_980000096</t>
  </si>
  <si>
    <t>800000-97</t>
  </si>
  <si>
    <t>980000097</t>
  </si>
  <si>
    <t>SDP 10GB-3D_980000097</t>
  </si>
  <si>
    <t>800000-98</t>
  </si>
  <si>
    <t>980000098</t>
  </si>
  <si>
    <t>SDP 12GB-3D_980000098</t>
  </si>
  <si>
    <t>800000-99</t>
  </si>
  <si>
    <t>980000099</t>
  </si>
  <si>
    <t>SDP 20GB-5D_980000099</t>
  </si>
  <si>
    <t>800010-00</t>
  </si>
  <si>
    <t>980001000</t>
  </si>
  <si>
    <t>SDP 7.5GB-2D_980001000</t>
  </si>
  <si>
    <t>810001-05</t>
  </si>
  <si>
    <t>981000105</t>
  </si>
  <si>
    <t>SDP 90000TD-2D_981000105</t>
  </si>
  <si>
    <t>810001-06</t>
  </si>
  <si>
    <t>981000106</t>
  </si>
  <si>
    <t>SDP 120000TD-2D_981000106</t>
  </si>
  <si>
    <t>810001-07</t>
  </si>
  <si>
    <t>981000107</t>
  </si>
  <si>
    <t>SDP 180000TD-3D_981000107</t>
  </si>
  <si>
    <t>810001-08</t>
  </si>
  <si>
    <t>981000108</t>
  </si>
  <si>
    <t>SDP 240000TD-3D_981000108</t>
  </si>
  <si>
    <t>810001-09</t>
  </si>
  <si>
    <t>981000109</t>
  </si>
  <si>
    <t>SDP 300000TD-3D_981000109</t>
  </si>
  <si>
    <t>810001-10</t>
  </si>
  <si>
    <t>981000110</t>
  </si>
  <si>
    <t>SDP 600000TD-5D_981000110</t>
  </si>
  <si>
    <t>810001-11</t>
  </si>
  <si>
    <t>981000111</t>
  </si>
  <si>
    <t>SDP 10000TD-5D_981000111</t>
  </si>
  <si>
    <t>810001-12</t>
  </si>
  <si>
    <t>981000112</t>
  </si>
  <si>
    <t>SDP 5000TD-3D_981000112</t>
  </si>
  <si>
    <t>810001-13</t>
  </si>
  <si>
    <t>981000113</t>
  </si>
  <si>
    <t>SDP 4000TD-3D_981000113</t>
  </si>
  <si>
    <t>810001-14</t>
  </si>
  <si>
    <t>981000114</t>
  </si>
  <si>
    <t>SDP 3000TD-3D_981000114</t>
  </si>
  <si>
    <t>810001-15</t>
  </si>
  <si>
    <t>981000115</t>
  </si>
  <si>
    <t>SDP 1500TD-2D_981000115</t>
  </si>
  <si>
    <t>810001-16</t>
  </si>
  <si>
    <t>981000116</t>
  </si>
  <si>
    <t>SDP 2000TD-2D_981000116</t>
  </si>
  <si>
    <t>810003-03</t>
  </si>
  <si>
    <t>981000303</t>
  </si>
  <si>
    <t>SDP 100000SMS-2D_981000303</t>
  </si>
  <si>
    <t>810003-04</t>
  </si>
  <si>
    <t>981000304</t>
  </si>
  <si>
    <t>SDP 100000SMS-3D_981000304</t>
  </si>
  <si>
    <t>810003-05</t>
  </si>
  <si>
    <t>981000305</t>
  </si>
  <si>
    <t>SDP 100000SMS-5D_981000305</t>
  </si>
  <si>
    <t>810003-06</t>
  </si>
  <si>
    <t>981000306</t>
  </si>
  <si>
    <t>SDP UnlimitedSMS-3D_981000306</t>
  </si>
  <si>
    <t>810003-07</t>
  </si>
  <si>
    <t>981000307</t>
  </si>
  <si>
    <t>SDP UnlimitedSMS-2D_981000307</t>
  </si>
  <si>
    <t>810003-08</t>
  </si>
  <si>
    <t>981000308</t>
  </si>
  <si>
    <t>SDP UnlimitedSMS-5D_981000308</t>
  </si>
  <si>
    <t>810004-11</t>
  </si>
  <si>
    <t>981000411</t>
  </si>
  <si>
    <t>CUG-4D_981000411</t>
  </si>
  <si>
    <t>810004-13</t>
  </si>
  <si>
    <t>981000413</t>
  </si>
  <si>
    <t>CUG-4D_981000413</t>
  </si>
  <si>
    <t>810004-14</t>
  </si>
  <si>
    <t>981000414</t>
  </si>
  <si>
    <t>CUG-2D_981000414</t>
  </si>
  <si>
    <t>810004-15</t>
  </si>
  <si>
    <t>981000415</t>
  </si>
  <si>
    <t>CUG-2D_981000415</t>
  </si>
  <si>
    <t>810004-16</t>
  </si>
  <si>
    <t>981000416</t>
  </si>
  <si>
    <t>CUG-2D_981000416</t>
  </si>
  <si>
    <t>810004-17</t>
  </si>
  <si>
    <t>981000417</t>
  </si>
  <si>
    <t>CUG-2D_981000417</t>
  </si>
  <si>
    <t>810004-18</t>
  </si>
  <si>
    <t>981000418</t>
  </si>
  <si>
    <t>CUG-3D_981000418</t>
  </si>
  <si>
    <t>810004-19</t>
  </si>
  <si>
    <t>981000419</t>
  </si>
  <si>
    <t>CUG-4D_981000419</t>
  </si>
  <si>
    <t>810004-20</t>
  </si>
  <si>
    <t>981000420</t>
  </si>
  <si>
    <t>CUG-4D_981000420</t>
  </si>
  <si>
    <t>810004-21</t>
  </si>
  <si>
    <t>981000421</t>
  </si>
  <si>
    <t>CUG-5D_981000421</t>
  </si>
  <si>
    <t>810004-23</t>
  </si>
  <si>
    <t>981000423</t>
  </si>
  <si>
    <t>CUG-4D_981000423</t>
  </si>
  <si>
    <t>810004-26</t>
  </si>
  <si>
    <t>981000426</t>
  </si>
  <si>
    <t>SDP CUGV-6D_981000426</t>
  </si>
  <si>
    <t>810004-28</t>
  </si>
  <si>
    <t>981000428</t>
  </si>
  <si>
    <t>CUG-4D_981000428</t>
  </si>
  <si>
    <t>810004-30</t>
  </si>
  <si>
    <t>981000430</t>
  </si>
  <si>
    <t>CUG-5D_981000430</t>
  </si>
  <si>
    <t>810004-33</t>
  </si>
  <si>
    <t>981000433</t>
  </si>
  <si>
    <t>CUG-4D_981000433</t>
  </si>
  <si>
    <t>810004-34</t>
  </si>
  <si>
    <t>981000434</t>
  </si>
  <si>
    <t>CUG-4D_981000434</t>
  </si>
  <si>
    <t>810004-35</t>
  </si>
  <si>
    <t>981000435</t>
  </si>
  <si>
    <t>CUG-5D_981000435</t>
  </si>
  <si>
    <t>810004-36</t>
  </si>
  <si>
    <t>981000436</t>
  </si>
  <si>
    <t>CUG-5D_981000436</t>
  </si>
  <si>
    <t>810004-59</t>
  </si>
  <si>
    <t>981000459</t>
  </si>
  <si>
    <t>CUG-4Fav_981000459</t>
  </si>
  <si>
    <t>810004-60</t>
  </si>
  <si>
    <t>981000460</t>
  </si>
  <si>
    <t>CUG-4Fav_981000460</t>
  </si>
  <si>
    <t>810004-61</t>
  </si>
  <si>
    <t>981000461</t>
  </si>
  <si>
    <t>CUG-5Fav_981000461</t>
  </si>
  <si>
    <t>810004-62</t>
  </si>
  <si>
    <t>981000462</t>
  </si>
  <si>
    <t>CUG-5Fav_981000462</t>
  </si>
  <si>
    <t>810004-63</t>
  </si>
  <si>
    <t>981000463</t>
  </si>
  <si>
    <t>CUG-2Fav_981000463</t>
  </si>
  <si>
    <t>810004-64</t>
  </si>
  <si>
    <t>981000464</t>
  </si>
  <si>
    <t>CUG-4Fav_981000464</t>
  </si>
  <si>
    <t>810004-65</t>
  </si>
  <si>
    <t>981000465</t>
  </si>
  <si>
    <t>CUG-3Fav_981000465</t>
  </si>
  <si>
    <t>810004-66</t>
  </si>
  <si>
    <t>981000466</t>
  </si>
  <si>
    <t>CUG-5Fav_981000466</t>
  </si>
  <si>
    <t>810004-67</t>
  </si>
  <si>
    <t>981000467</t>
  </si>
  <si>
    <t>CUG-4D_981000467</t>
  </si>
  <si>
    <t>810004-68</t>
  </si>
  <si>
    <t>981000468</t>
  </si>
  <si>
    <t>CUG-5D_981000468</t>
  </si>
  <si>
    <t>810004-69</t>
  </si>
  <si>
    <t>981000469</t>
  </si>
  <si>
    <t>CUG-6D_981000469</t>
  </si>
  <si>
    <t>810004-70</t>
  </si>
  <si>
    <t>981000470</t>
  </si>
  <si>
    <t>CUG-4D_981000470</t>
  </si>
  <si>
    <t>810004-71</t>
  </si>
  <si>
    <t>981000471</t>
  </si>
  <si>
    <t>CUG-4D_981000471</t>
  </si>
  <si>
    <t>810004-72</t>
  </si>
  <si>
    <t>981000472</t>
  </si>
  <si>
    <t>CUG-5D_981000472</t>
  </si>
  <si>
    <t>810004-73</t>
  </si>
  <si>
    <t>981000473</t>
  </si>
  <si>
    <t>CUG-4Fav_981000473</t>
  </si>
  <si>
    <t>810004-74</t>
  </si>
  <si>
    <t>981000474</t>
  </si>
  <si>
    <t>CUG-6Fav_981000474</t>
  </si>
  <si>
    <t>VFAV-001</t>
  </si>
  <si>
    <t>990000106</t>
  </si>
  <si>
    <t>Voz - Favoritos - 1_990000106</t>
  </si>
  <si>
    <t>VFAV-002</t>
  </si>
  <si>
    <t>990000107</t>
  </si>
  <si>
    <t>Voz - Favoritos - 2_990000107</t>
  </si>
  <si>
    <t>VFAV-003</t>
  </si>
  <si>
    <t>990000108</t>
  </si>
  <si>
    <t>Voz - Favoritos - 3_990000108</t>
  </si>
  <si>
    <t>VFAV-007</t>
  </si>
  <si>
    <t>990000109</t>
  </si>
  <si>
    <t>Favorito ilimitado 4_990000109</t>
  </si>
  <si>
    <t>VFAV-024</t>
  </si>
  <si>
    <t>990000110</t>
  </si>
  <si>
    <t>4 Fav Allnet_990000110</t>
  </si>
  <si>
    <t>VTD-012</t>
  </si>
  <si>
    <t>990000111</t>
  </si>
  <si>
    <t>Voz-TD_Sec-180m_990000111</t>
  </si>
  <si>
    <t>VTD-026</t>
  </si>
  <si>
    <t>990000112</t>
  </si>
  <si>
    <t>Voz-TD_Seg-150m_990000112</t>
  </si>
  <si>
    <t>VTD-027</t>
  </si>
  <si>
    <t>990000113</t>
  </si>
  <si>
    <t>Voz-TD_Seg-250m_990000113</t>
  </si>
  <si>
    <t>VTD-031</t>
  </si>
  <si>
    <t>990000114</t>
  </si>
  <si>
    <t>Voz-TD-36000 seg_990000114</t>
  </si>
  <si>
    <t>VTD-032</t>
  </si>
  <si>
    <t>990000115</t>
  </si>
  <si>
    <t>Voz-TD-24000 seg_990000115</t>
  </si>
  <si>
    <t>VTD-033</t>
  </si>
  <si>
    <t>990000116</t>
  </si>
  <si>
    <t>Voz-TD-6000 seg_990000116</t>
  </si>
  <si>
    <t>VTD-034</t>
  </si>
  <si>
    <t>990000117</t>
  </si>
  <si>
    <t>Voz-TD-51000 seg_990000117</t>
  </si>
  <si>
    <t>VTD-035</t>
  </si>
  <si>
    <t>990000118</t>
  </si>
  <si>
    <t>Voz-TD-9000 seg_990000118</t>
  </si>
  <si>
    <t>VTD-036</t>
  </si>
  <si>
    <t>990000119</t>
  </si>
  <si>
    <t>Voz-TD-12000 seg_990000119</t>
  </si>
  <si>
    <t>VTD-037</t>
  </si>
  <si>
    <t>990000120</t>
  </si>
  <si>
    <t>Voz-TD-12000 seg_990000120</t>
  </si>
  <si>
    <t>VTD-038</t>
  </si>
  <si>
    <t>990000121</t>
  </si>
  <si>
    <t>Voz-TD-15000 seg_990000121</t>
  </si>
  <si>
    <t>VTD-039</t>
  </si>
  <si>
    <t>990000122</t>
  </si>
  <si>
    <t>Voz-TD-78000 seg_990000122</t>
  </si>
  <si>
    <t>VTD-041</t>
  </si>
  <si>
    <t>990000123</t>
  </si>
  <si>
    <t>Voz-TD-18000 seg_990000123</t>
  </si>
  <si>
    <t>VTD-042</t>
  </si>
  <si>
    <t>990000124</t>
  </si>
  <si>
    <t>Voz-TD-21000 seg_990000124</t>
  </si>
  <si>
    <t>VTD-043</t>
  </si>
  <si>
    <t>990000125</t>
  </si>
  <si>
    <t>Voz-TD-24000 seg_990000125</t>
  </si>
  <si>
    <t>VTD-044</t>
  </si>
  <si>
    <t>990000126</t>
  </si>
  <si>
    <t>Voz-TD-Infinito_990000126</t>
  </si>
  <si>
    <t>VTD-045</t>
  </si>
  <si>
    <t>990000127</t>
  </si>
  <si>
    <t>Voz-TD-Infinito_990000127</t>
  </si>
  <si>
    <t>VTD-046</t>
  </si>
  <si>
    <t>990000128</t>
  </si>
  <si>
    <t>Voz-TD-30000 seg_990000128</t>
  </si>
  <si>
    <t>VTD-048</t>
  </si>
  <si>
    <t>990000129</t>
  </si>
  <si>
    <t>Voz-TD-Infinito_990000129</t>
  </si>
  <si>
    <t>VTD-049</t>
  </si>
  <si>
    <t>990000130</t>
  </si>
  <si>
    <t>Voz-TD-Infinito_990000130</t>
  </si>
  <si>
    <t>VTD-050</t>
  </si>
  <si>
    <t>990000131</t>
  </si>
  <si>
    <t>Voz-TD-42000 seg_990000131</t>
  </si>
  <si>
    <t>VTD-051</t>
  </si>
  <si>
    <t>990000132</t>
  </si>
  <si>
    <t>Voz-TD-24000 seg_990000132</t>
  </si>
  <si>
    <t>VTD-054</t>
  </si>
  <si>
    <t>990000133</t>
  </si>
  <si>
    <t>Voz-TD-Infinito_990000133</t>
  </si>
  <si>
    <t>VTD-055</t>
  </si>
  <si>
    <t>990000134</t>
  </si>
  <si>
    <t>Voz-TD-Infinito_990000134</t>
  </si>
  <si>
    <t>VTD-059</t>
  </si>
  <si>
    <t>990000135</t>
  </si>
  <si>
    <t>Voz-TD-Ilimitado seg_990000135</t>
  </si>
  <si>
    <t>VTD-060</t>
  </si>
  <si>
    <t>990000136</t>
  </si>
  <si>
    <t>Voz-TD-Ilimitado_990000136</t>
  </si>
  <si>
    <t>VLDI-001</t>
  </si>
  <si>
    <t>990000137</t>
  </si>
  <si>
    <t>Voz - Larga Distancia - 1500s</t>
  </si>
  <si>
    <t>VLDI-002</t>
  </si>
  <si>
    <t>990000138</t>
  </si>
  <si>
    <t>Voz - Larga Distancia - 3000s</t>
  </si>
  <si>
    <t>VLDI-003</t>
  </si>
  <si>
    <t>990000139</t>
  </si>
  <si>
    <t>Voz - Larga Distancia - 6000s</t>
  </si>
  <si>
    <t>TRK112-01</t>
  </si>
  <si>
    <t>990000140</t>
  </si>
  <si>
    <t>TRK112-02</t>
  </si>
  <si>
    <t>990000141</t>
  </si>
  <si>
    <t>TRK112-03</t>
  </si>
  <si>
    <t>990000142</t>
  </si>
  <si>
    <t>TRK112-04</t>
  </si>
  <si>
    <t>990000143</t>
  </si>
  <si>
    <t>TRK112-05</t>
  </si>
  <si>
    <t>990000144</t>
  </si>
  <si>
    <t>TRK112-06</t>
  </si>
  <si>
    <t>990000145</t>
  </si>
  <si>
    <t>TRK112-07</t>
  </si>
  <si>
    <t>990000146</t>
  </si>
  <si>
    <t>TRK112-08</t>
  </si>
  <si>
    <t>990000147</t>
  </si>
  <si>
    <t>TRK112-09</t>
  </si>
  <si>
    <t>990000148</t>
  </si>
  <si>
    <t>TRK112-10</t>
  </si>
  <si>
    <t>990000149</t>
  </si>
  <si>
    <t>TRK112-11</t>
  </si>
  <si>
    <t>990000150</t>
  </si>
  <si>
    <t>TRK112-12</t>
  </si>
  <si>
    <t>990000151</t>
  </si>
  <si>
    <t>TRK112-13</t>
  </si>
  <si>
    <t>990000152</t>
  </si>
  <si>
    <t>TRK112-14</t>
  </si>
  <si>
    <t>990000153</t>
  </si>
  <si>
    <t>TRK112-15</t>
  </si>
  <si>
    <t>990000154</t>
  </si>
  <si>
    <t>TRK134-01</t>
  </si>
  <si>
    <t>990000155</t>
  </si>
  <si>
    <t>TRK121-01</t>
  </si>
  <si>
    <t>990000156</t>
  </si>
  <si>
    <t>TRK123-01</t>
  </si>
  <si>
    <t>990000157</t>
  </si>
  <si>
    <t>TRK123-02</t>
  </si>
  <si>
    <t>990000158</t>
  </si>
  <si>
    <t>TRK123-03</t>
  </si>
  <si>
    <t>990000159</t>
  </si>
  <si>
    <t>ONDEMAND</t>
  </si>
  <si>
    <t>990000100</t>
  </si>
  <si>
    <t>ONDEMAND_GPRS</t>
  </si>
  <si>
    <t>100001-56</t>
  </si>
  <si>
    <t>910000156</t>
  </si>
  <si>
    <t>Voz-OnNet-Ilimitado_910000156</t>
  </si>
  <si>
    <t>100001-57</t>
  </si>
  <si>
    <t>910000157</t>
  </si>
  <si>
    <t>Voz-OnNet-Ilimitado_910000157</t>
  </si>
  <si>
    <t>100001-58</t>
  </si>
  <si>
    <t>910000158</t>
  </si>
  <si>
    <t>Voz-OnNet-Ilimitado_910000158</t>
  </si>
  <si>
    <t>100001-59</t>
  </si>
  <si>
    <t>910000159</t>
  </si>
  <si>
    <t>Voz-OnNet-Ilimitado_910000159</t>
  </si>
  <si>
    <t>100001-60</t>
  </si>
  <si>
    <t>910000160</t>
  </si>
  <si>
    <t>Voz-OnNet-Ilimitado_910000160</t>
  </si>
  <si>
    <t>100001-61</t>
  </si>
  <si>
    <t>910000161</t>
  </si>
  <si>
    <t>Voz-OnNet-Ilimitado_910000161</t>
  </si>
  <si>
    <t>100001-62</t>
  </si>
  <si>
    <t>910000162</t>
  </si>
  <si>
    <t>Voz-OnNet-Ilimitado_910000162</t>
  </si>
  <si>
    <t>100001-63</t>
  </si>
  <si>
    <t>910000163</t>
  </si>
  <si>
    <t>Voz-OnNet-Ilimitado_910000163</t>
  </si>
  <si>
    <t>100001-64</t>
  </si>
  <si>
    <t>910000164</t>
  </si>
  <si>
    <t>Voz-OnNet-Ilimitado_910000164</t>
  </si>
  <si>
    <t>100001-65</t>
  </si>
  <si>
    <t>910000165</t>
  </si>
  <si>
    <t>Voz-OnNet-Ilimitado_910000165</t>
  </si>
  <si>
    <t>100012-80</t>
  </si>
  <si>
    <t>910001280</t>
  </si>
  <si>
    <t>Voz-TD-15000s_910001280</t>
  </si>
  <si>
    <t>100012-81</t>
  </si>
  <si>
    <t>910001281</t>
  </si>
  <si>
    <t>Voz-TD-24000s_910001281</t>
  </si>
  <si>
    <t>100012-82</t>
  </si>
  <si>
    <t>910001282</t>
  </si>
  <si>
    <t>Voz-TD-45000s_910001282</t>
  </si>
  <si>
    <t>100012-83</t>
  </si>
  <si>
    <t>910001283</t>
  </si>
  <si>
    <t>Voz-TD-54000s_910001283</t>
  </si>
  <si>
    <t>100012-84</t>
  </si>
  <si>
    <t>910001284</t>
  </si>
  <si>
    <t>Voz-TD-84000s_910001284</t>
  </si>
  <si>
    <t>100012-85</t>
  </si>
  <si>
    <t>910001285</t>
  </si>
  <si>
    <t>Voz-TD-2678400s_910001285</t>
  </si>
  <si>
    <t>100012-86</t>
  </si>
  <si>
    <t>910001286</t>
  </si>
  <si>
    <t>Voz-TD-2678400s_910001286</t>
  </si>
  <si>
    <t>100012-87</t>
  </si>
  <si>
    <t>910001287</t>
  </si>
  <si>
    <t>Voz-TD-2678400s_910001287</t>
  </si>
  <si>
    <t>100012-88</t>
  </si>
  <si>
    <t>910001288</t>
  </si>
  <si>
    <t>Voz-TD-2678400s_910001288</t>
  </si>
  <si>
    <t>100012-89</t>
  </si>
  <si>
    <t>910001289</t>
  </si>
  <si>
    <t>Voz-TD-2678400s_910001289</t>
  </si>
  <si>
    <t>100012-90</t>
  </si>
  <si>
    <t>910001290</t>
  </si>
  <si>
    <t>Voz-TD-2678400s_910001290</t>
  </si>
  <si>
    <t>100012-91</t>
  </si>
  <si>
    <t>910001291</t>
  </si>
  <si>
    <t>Voz-TD-15000s_910001291</t>
  </si>
  <si>
    <t>100012-92</t>
  </si>
  <si>
    <t>910001292</t>
  </si>
  <si>
    <t>Voz-TD-24000s_910001292</t>
  </si>
  <si>
    <t>100012-93</t>
  </si>
  <si>
    <t>910001293</t>
  </si>
  <si>
    <t>Voz-TD-45000s_910001293</t>
  </si>
  <si>
    <t>100012-94</t>
  </si>
  <si>
    <t>910001294</t>
  </si>
  <si>
    <t>Voz-TD-54000s_910001294</t>
  </si>
  <si>
    <t>100012-95</t>
  </si>
  <si>
    <t>910001295</t>
  </si>
  <si>
    <t>Voz-TD-2678400s_910001295</t>
  </si>
  <si>
    <t>100012-96</t>
  </si>
  <si>
    <t>910001296</t>
  </si>
  <si>
    <t>Voz-TD-2678400s_910001296</t>
  </si>
  <si>
    <t>100012-97</t>
  </si>
  <si>
    <t>910001297</t>
  </si>
  <si>
    <t>Voz-TD-2678400s_910001297</t>
  </si>
  <si>
    <t>100012-98</t>
  </si>
  <si>
    <t>910001298</t>
  </si>
  <si>
    <t>Voz-TD-2678400s_910001298</t>
  </si>
  <si>
    <t>100012-99</t>
  </si>
  <si>
    <t>910001299</t>
  </si>
  <si>
    <t>Voz-TD-2678400s_910001299</t>
  </si>
  <si>
    <t>100022-00</t>
  </si>
  <si>
    <t>910002200</t>
  </si>
  <si>
    <t>Voz-TD-2678400s_910002200</t>
  </si>
  <si>
    <t>100022-01</t>
  </si>
  <si>
    <t>910002201</t>
  </si>
  <si>
    <t>Voz-TD-2678400s_910002201</t>
  </si>
  <si>
    <t>100022-02</t>
  </si>
  <si>
    <t>910002202</t>
  </si>
  <si>
    <t>Voz-TD-12000s_910002202</t>
  </si>
  <si>
    <t>100022-03</t>
  </si>
  <si>
    <t>910002203</t>
  </si>
  <si>
    <t>Voz-TD-12000s_910002203</t>
  </si>
  <si>
    <t>100022-04</t>
  </si>
  <si>
    <t>910002204</t>
  </si>
  <si>
    <t>Voz-TD-12000s_910002204</t>
  </si>
  <si>
    <t>100022-05</t>
  </si>
  <si>
    <t>910002205</t>
  </si>
  <si>
    <t>Voz-TD-12000s_910002205</t>
  </si>
  <si>
    <t>100022-06</t>
  </si>
  <si>
    <t>910002206</t>
  </si>
  <si>
    <t>Voz-TD-12000s_910002206</t>
  </si>
  <si>
    <t>100022-07</t>
  </si>
  <si>
    <t>910002207</t>
  </si>
  <si>
    <t>Voz-TD-12000s_910002207</t>
  </si>
  <si>
    <t>100022-08</t>
  </si>
  <si>
    <t>910002208</t>
  </si>
  <si>
    <t>Voz-TD-9000s_910002208</t>
  </si>
  <si>
    <t>100022-09</t>
  </si>
  <si>
    <t>910002209</t>
  </si>
  <si>
    <t>Voz-TD-12000s_910002209</t>
  </si>
  <si>
    <t>100022-10</t>
  </si>
  <si>
    <t>910002210</t>
  </si>
  <si>
    <t>Voz-TD-12000s_910002210</t>
  </si>
  <si>
    <t>100022-11</t>
  </si>
  <si>
    <t>910002211</t>
  </si>
  <si>
    <t>Voz-TD-300000s_910002211</t>
  </si>
  <si>
    <t>100022-12</t>
  </si>
  <si>
    <t>910002212</t>
  </si>
  <si>
    <t>Voz-TD-600000s_910002212</t>
  </si>
  <si>
    <t>100022-15</t>
  </si>
  <si>
    <t>910002215</t>
  </si>
  <si>
    <t>Voz-TD-2678400s_910002215</t>
  </si>
  <si>
    <t>200008-46</t>
  </si>
  <si>
    <t>920000846</t>
  </si>
  <si>
    <t>Smart sin navegacion_920000846</t>
  </si>
  <si>
    <t>200008-47</t>
  </si>
  <si>
    <t>920000847</t>
  </si>
  <si>
    <t>Smart sin navegacion_920000847</t>
  </si>
  <si>
    <t>200008-48</t>
  </si>
  <si>
    <t>920000848</t>
  </si>
  <si>
    <t>Smart sin navegacion_920000848</t>
  </si>
  <si>
    <t>200008-49</t>
  </si>
  <si>
    <t>920000849</t>
  </si>
  <si>
    <t>Smart sin navegacion_920000849</t>
  </si>
  <si>
    <t>200008-50</t>
  </si>
  <si>
    <t>920000850</t>
  </si>
  <si>
    <t>Smart sin navegacion_920000850</t>
  </si>
  <si>
    <t>200008-51</t>
  </si>
  <si>
    <t>920000851</t>
  </si>
  <si>
    <t>Smart sin navegacion_920000851</t>
  </si>
  <si>
    <t>200008-52</t>
  </si>
  <si>
    <t>920000852</t>
  </si>
  <si>
    <t>Smart sin navegacion_920000852</t>
  </si>
  <si>
    <t>200008-53</t>
  </si>
  <si>
    <t>920000853</t>
  </si>
  <si>
    <t>Smart sin navegacion_920000853</t>
  </si>
  <si>
    <t>200008-54</t>
  </si>
  <si>
    <t>920000854</t>
  </si>
  <si>
    <t>Smart sin navegacion_920000854</t>
  </si>
  <si>
    <t>200008-55</t>
  </si>
  <si>
    <t>920000855</t>
  </si>
  <si>
    <t>Smart sin navegacion_920000855</t>
  </si>
  <si>
    <t>200008-56</t>
  </si>
  <si>
    <t>920000856</t>
  </si>
  <si>
    <t>Smart sin navegacion_920000856</t>
  </si>
  <si>
    <t>200008-57</t>
  </si>
  <si>
    <t>920000857</t>
  </si>
  <si>
    <t>Smart sin navegacion_920000857</t>
  </si>
  <si>
    <t>200008-58</t>
  </si>
  <si>
    <t>920000858</t>
  </si>
  <si>
    <t>Smart sin navegacion_920000858</t>
  </si>
  <si>
    <t>200008-59</t>
  </si>
  <si>
    <t>920000859</t>
  </si>
  <si>
    <t>Smart sin navegacion_920000859</t>
  </si>
  <si>
    <t>200008-60</t>
  </si>
  <si>
    <t>920000860</t>
  </si>
  <si>
    <t>Smart sin navegacion_920000860</t>
  </si>
  <si>
    <t>200008-61</t>
  </si>
  <si>
    <t>920000861</t>
  </si>
  <si>
    <t>Smart sin navegacion_920000861</t>
  </si>
  <si>
    <t>200008-62</t>
  </si>
  <si>
    <t>920000862</t>
  </si>
  <si>
    <t>Smart sin navegacion_920000862</t>
  </si>
  <si>
    <t>200008-63</t>
  </si>
  <si>
    <t>920000863</t>
  </si>
  <si>
    <t>Smart sin navegacion_920000863</t>
  </si>
  <si>
    <t>200008-64</t>
  </si>
  <si>
    <t>920000864</t>
  </si>
  <si>
    <t>Smart sin navegacion_920000864</t>
  </si>
  <si>
    <t>200008-65</t>
  </si>
  <si>
    <t>920000865</t>
  </si>
  <si>
    <t>Smart sin navegacion_920000865</t>
  </si>
  <si>
    <t>200008-66</t>
  </si>
  <si>
    <t>920000866</t>
  </si>
  <si>
    <t>Smart sin navegacion_920000866</t>
  </si>
  <si>
    <t>200008-67</t>
  </si>
  <si>
    <t>920000867</t>
  </si>
  <si>
    <t>Smart sin navegacion_920000867</t>
  </si>
  <si>
    <t>200008-68</t>
  </si>
  <si>
    <t>920000868</t>
  </si>
  <si>
    <t>Smart sin navegacion_920000868</t>
  </si>
  <si>
    <t>200008-71</t>
  </si>
  <si>
    <t>920000871</t>
  </si>
  <si>
    <t>Smart sin navegacion_920000871</t>
  </si>
  <si>
    <t>200021-50</t>
  </si>
  <si>
    <t>920002150</t>
  </si>
  <si>
    <t>Data 0.8GB_920002150</t>
  </si>
  <si>
    <t>200021-51</t>
  </si>
  <si>
    <t>920002151</t>
  </si>
  <si>
    <t>Data 1.2GB_920002151</t>
  </si>
  <si>
    <t>200021-52</t>
  </si>
  <si>
    <t>920002152</t>
  </si>
  <si>
    <t>Data 2.5GB_920002152</t>
  </si>
  <si>
    <t>200021-53</t>
  </si>
  <si>
    <t>920002153</t>
  </si>
  <si>
    <t>Data 3.5GB_920002153</t>
  </si>
  <si>
    <t>200021-54</t>
  </si>
  <si>
    <t>920002154</t>
  </si>
  <si>
    <t>Data 4GB_920002154</t>
  </si>
  <si>
    <t>200021-55</t>
  </si>
  <si>
    <t>920002155</t>
  </si>
  <si>
    <t>Data 4.5GB_920002155</t>
  </si>
  <si>
    <t>200021-56</t>
  </si>
  <si>
    <t>920002156</t>
  </si>
  <si>
    <t>Data 5.5GB_920002156</t>
  </si>
  <si>
    <t>200021-57</t>
  </si>
  <si>
    <t>920002157</t>
  </si>
  <si>
    <t>Data 6.5GB_920002157</t>
  </si>
  <si>
    <t>200021-58</t>
  </si>
  <si>
    <t>920002158</t>
  </si>
  <si>
    <t>Data 8.5GB_920002158</t>
  </si>
  <si>
    <t>200021-59</t>
  </si>
  <si>
    <t>920002159</t>
  </si>
  <si>
    <t>Data 17GB_920002159</t>
  </si>
  <si>
    <t>200021-60</t>
  </si>
  <si>
    <t>920002160</t>
  </si>
  <si>
    <t>Data 22GB_920002160</t>
  </si>
  <si>
    <t>200021-61</t>
  </si>
  <si>
    <t>920002161</t>
  </si>
  <si>
    <t>Data 1GB_920002161</t>
  </si>
  <si>
    <t>200021-62</t>
  </si>
  <si>
    <t>920002162</t>
  </si>
  <si>
    <t>Data 1.7GB_920002162</t>
  </si>
  <si>
    <t>200021-63</t>
  </si>
  <si>
    <t>920002163</t>
  </si>
  <si>
    <t>Data 3.5GB_920002163</t>
  </si>
  <si>
    <t>200021-64</t>
  </si>
  <si>
    <t>920002164</t>
  </si>
  <si>
    <t>Data 4.5GB_920002164</t>
  </si>
  <si>
    <t>200021-65</t>
  </si>
  <si>
    <t>920002165</t>
  </si>
  <si>
    <t>Data 4.5GB_920002165</t>
  </si>
  <si>
    <t>200021-66</t>
  </si>
  <si>
    <t>920002166</t>
  </si>
  <si>
    <t>Data 5.5GB_920002166</t>
  </si>
  <si>
    <t>200021-67</t>
  </si>
  <si>
    <t>920002167</t>
  </si>
  <si>
    <t>Data 6.5GB_920002167</t>
  </si>
  <si>
    <t>200021-68</t>
  </si>
  <si>
    <t>920002168</t>
  </si>
  <si>
    <t>Data 7.5GB_920002168</t>
  </si>
  <si>
    <t>200021-69</t>
  </si>
  <si>
    <t>920002169</t>
  </si>
  <si>
    <t>Data 9.5GB_920002169</t>
  </si>
  <si>
    <t>200021-70</t>
  </si>
  <si>
    <t>920002170</t>
  </si>
  <si>
    <t>Data 18.5GB_920002170</t>
  </si>
  <si>
    <t>200021-71</t>
  </si>
  <si>
    <t>920002171</t>
  </si>
  <si>
    <t>Data 23.5GB_920002171</t>
  </si>
  <si>
    <t>200021-72</t>
  </si>
  <si>
    <t>920002172</t>
  </si>
  <si>
    <t>Data 3.5GB_920002172</t>
  </si>
  <si>
    <t>200021-73</t>
  </si>
  <si>
    <t>920002173</t>
  </si>
  <si>
    <t>Data 4.5GB_920002173</t>
  </si>
  <si>
    <t>200021-74</t>
  </si>
  <si>
    <t>920002174</t>
  </si>
  <si>
    <t>Data 5.5GB_920002174</t>
  </si>
  <si>
    <t>200021-75</t>
  </si>
  <si>
    <t>920002175</t>
  </si>
  <si>
    <t>Data 6.5GB_920002175</t>
  </si>
  <si>
    <t>200021-76</t>
  </si>
  <si>
    <t>920002176</t>
  </si>
  <si>
    <t>Data 7.5GB_920002176</t>
  </si>
  <si>
    <t>200021-77</t>
  </si>
  <si>
    <t>920002177</t>
  </si>
  <si>
    <t>Data 9.5GB_920002177</t>
  </si>
  <si>
    <t>200021-78</t>
  </si>
  <si>
    <t>920002178</t>
  </si>
  <si>
    <t>Data 0.5GB_920002178</t>
  </si>
  <si>
    <t>200021-79</t>
  </si>
  <si>
    <t>920002179</t>
  </si>
  <si>
    <t>Data 0.8GB_920002179</t>
  </si>
  <si>
    <t>200021-80</t>
  </si>
  <si>
    <t>920002180</t>
  </si>
  <si>
    <t>Data 1GB_920002180</t>
  </si>
  <si>
    <t>200021-81</t>
  </si>
  <si>
    <t>920002181</t>
  </si>
  <si>
    <t>Data 12GB_920002181</t>
  </si>
  <si>
    <t>200021-82</t>
  </si>
  <si>
    <t>920002182</t>
  </si>
  <si>
    <t>Data 20GB_920002182</t>
  </si>
  <si>
    <t>200021-85</t>
  </si>
  <si>
    <t>920002185</t>
  </si>
  <si>
    <t>Data 4.5GB_920002185</t>
  </si>
  <si>
    <t>300302-65</t>
  </si>
  <si>
    <t>930030265</t>
  </si>
  <si>
    <t>Sms-TD-Ilimitado_930030265</t>
  </si>
  <si>
    <t>300302-66</t>
  </si>
  <si>
    <t>930030266</t>
  </si>
  <si>
    <t>Sms-TD-Ilimitado_930030266</t>
  </si>
  <si>
    <t>300302-67</t>
  </si>
  <si>
    <t>930030267</t>
  </si>
  <si>
    <t>Sms-TD-Ilimitado_930030267</t>
  </si>
  <si>
    <t>300302-68</t>
  </si>
  <si>
    <t>930030268</t>
  </si>
  <si>
    <t>Sms-TD-Ilimitado_930030268</t>
  </si>
  <si>
    <t>300302-69</t>
  </si>
  <si>
    <t>930030269</t>
  </si>
  <si>
    <t>Sms-TD-Ilimitado_930030269</t>
  </si>
  <si>
    <t>300302-70</t>
  </si>
  <si>
    <t>930030270</t>
  </si>
  <si>
    <t>Sms-TD-Ilimitado_930030270</t>
  </si>
  <si>
    <t>300302-71</t>
  </si>
  <si>
    <t>930030271</t>
  </si>
  <si>
    <t>Sms-TD-Ilimitado_930030271</t>
  </si>
  <si>
    <t>300302-72</t>
  </si>
  <si>
    <t>930030272</t>
  </si>
  <si>
    <t>Sms-TD-Ilimitado_930030272</t>
  </si>
  <si>
    <t>300302-73</t>
  </si>
  <si>
    <t>930030273</t>
  </si>
  <si>
    <t>Sms-TD-Ilimitado_930030273</t>
  </si>
  <si>
    <t>300302-74</t>
  </si>
  <si>
    <t>930030274</t>
  </si>
  <si>
    <t>Sms-TD-Ilimitado_930030274</t>
  </si>
  <si>
    <t>300302-75</t>
  </si>
  <si>
    <t>930030275</t>
  </si>
  <si>
    <t>Sms-TD-Ilimitado_930030275</t>
  </si>
  <si>
    <t>300302-76</t>
  </si>
  <si>
    <t>930030276</t>
  </si>
  <si>
    <t>Sms-TD-Ilimitado_930030276</t>
  </si>
  <si>
    <t>300302-77</t>
  </si>
  <si>
    <t>930030277</t>
  </si>
  <si>
    <t>Sms-TD-Ilimitado_930030277</t>
  </si>
  <si>
    <t>300302-78</t>
  </si>
  <si>
    <t>930030278</t>
  </si>
  <si>
    <t>Sms-TD-Ilimitado_930030278</t>
  </si>
  <si>
    <t>300302-79</t>
  </si>
  <si>
    <t>930030279</t>
  </si>
  <si>
    <t>Sms-TD-Ilimitado_930030279</t>
  </si>
  <si>
    <t>300302-80</t>
  </si>
  <si>
    <t>930030280</t>
  </si>
  <si>
    <t>Sms-TD-Ilimitado_930030280</t>
  </si>
  <si>
    <t>300302-81</t>
  </si>
  <si>
    <t>930030281</t>
  </si>
  <si>
    <t>Sms-TD-Ilimitado_930030281</t>
  </si>
  <si>
    <t>300302-82</t>
  </si>
  <si>
    <t>930030282</t>
  </si>
  <si>
    <t>Sms-TD-Ilimitado_930030282</t>
  </si>
  <si>
    <t>300302-83</t>
  </si>
  <si>
    <t>930030283</t>
  </si>
  <si>
    <t>Sms-TD-Ilimitado_930030283</t>
  </si>
  <si>
    <t>300302-84</t>
  </si>
  <si>
    <t>930030284</t>
  </si>
  <si>
    <t>Sms-TD-Ilimitado_930030284</t>
  </si>
  <si>
    <t>300302-85</t>
  </si>
  <si>
    <t>930030285</t>
  </si>
  <si>
    <t>Sms-TD-Ilimitado_930030285</t>
  </si>
  <si>
    <t>300302-86</t>
  </si>
  <si>
    <t>930030286</t>
  </si>
  <si>
    <t>Sms-TD-Ilimitado_930030286</t>
  </si>
  <si>
    <t>300302-87</t>
  </si>
  <si>
    <t>930030287</t>
  </si>
  <si>
    <t>Sms-TD-Ilimitado_930030287</t>
  </si>
  <si>
    <t>300302-88</t>
  </si>
  <si>
    <t>930030288</t>
  </si>
  <si>
    <t>Sms-TD-Ilimitado_930030288</t>
  </si>
  <si>
    <t>300302-89</t>
  </si>
  <si>
    <t>930030289</t>
  </si>
  <si>
    <t>Sms-TD-Ilimitado_930030289</t>
  </si>
  <si>
    <t>300302-90</t>
  </si>
  <si>
    <t>930030290</t>
  </si>
  <si>
    <t>Sms-TD-Ilimitado_930030290</t>
  </si>
  <si>
    <t>300302-91</t>
  </si>
  <si>
    <t>930030291</t>
  </si>
  <si>
    <t>Sms-TD-Ilimitado_930030291</t>
  </si>
  <si>
    <t>300302-92</t>
  </si>
  <si>
    <t>930030292</t>
  </si>
  <si>
    <t>Sms-TD-Ilimitado_930030292</t>
  </si>
  <si>
    <t>300302-93</t>
  </si>
  <si>
    <t>930030293</t>
  </si>
  <si>
    <t>Sms-TD-Ilimitado_930030293</t>
  </si>
  <si>
    <t>300302-94</t>
  </si>
  <si>
    <t>930030294</t>
  </si>
  <si>
    <t>Sms-TD-Ilimitado_930030294</t>
  </si>
  <si>
    <t>300302-95</t>
  </si>
  <si>
    <t>930030295</t>
  </si>
  <si>
    <t>Sms-TD-Ilimitado_930030295</t>
  </si>
  <si>
    <t>300302-96</t>
  </si>
  <si>
    <t>930030296</t>
  </si>
  <si>
    <t>Sms-TD-Ilimitado_930030296</t>
  </si>
  <si>
    <t>300302-97</t>
  </si>
  <si>
    <t>930030297</t>
  </si>
  <si>
    <t>Sms-TD-Ilimitado_930030297</t>
  </si>
  <si>
    <t>300312-00</t>
  </si>
  <si>
    <t>930031200</t>
  </si>
  <si>
    <t>Sms-TD-Ilimitado_930031200</t>
  </si>
  <si>
    <t>800010-01</t>
  </si>
  <si>
    <t>980001001</t>
  </si>
  <si>
    <t>SDP 12GB-3D_980001001</t>
  </si>
  <si>
    <t>800010-02</t>
  </si>
  <si>
    <t>980001002</t>
  </si>
  <si>
    <t>SDP 20GB-5D_980001002</t>
  </si>
  <si>
    <t>810004-76</t>
  </si>
  <si>
    <t>981000476</t>
  </si>
  <si>
    <t>CUG-4Fav_981000476</t>
  </si>
  <si>
    <t>810004-77</t>
  </si>
  <si>
    <t>981000477</t>
  </si>
  <si>
    <t>CUG-4Fav_981000477</t>
  </si>
  <si>
    <t>810004-78</t>
  </si>
  <si>
    <t>981000478</t>
  </si>
  <si>
    <t>CUG-5Fav_981000478</t>
  </si>
  <si>
    <t>810004-79</t>
  </si>
  <si>
    <t>981000479</t>
  </si>
  <si>
    <t>CUG-5Fav_981000479</t>
  </si>
  <si>
    <t>810004-80</t>
  </si>
  <si>
    <t>981000480</t>
  </si>
  <si>
    <t>CUG-4Fav_981000480</t>
  </si>
  <si>
    <t>810004-81</t>
  </si>
  <si>
    <t>981000481</t>
  </si>
  <si>
    <t>CUG-4Fav_981000481</t>
  </si>
  <si>
    <t>810004-82</t>
  </si>
  <si>
    <t>981000482</t>
  </si>
  <si>
    <t>CUG-4Fav_981000482</t>
  </si>
  <si>
    <t>810004-83</t>
  </si>
  <si>
    <t>981000483</t>
  </si>
  <si>
    <t>CUG-5Fav_981000483</t>
  </si>
  <si>
    <t>810004-84</t>
  </si>
  <si>
    <t>981000484</t>
  </si>
  <si>
    <t>CUG-5Fav_981000484</t>
  </si>
  <si>
    <t>810004-85</t>
  </si>
  <si>
    <t>981000485</t>
  </si>
  <si>
    <t>CUG-5Fav_981000485</t>
  </si>
  <si>
    <t>810004-86</t>
  </si>
  <si>
    <t>981000486</t>
  </si>
  <si>
    <t>CUG-3Fav_981000486</t>
  </si>
  <si>
    <t>810004-87</t>
  </si>
  <si>
    <t>981000487</t>
  </si>
  <si>
    <t>CUG-5Fav_981000487</t>
  </si>
  <si>
    <t>810004-90</t>
  </si>
  <si>
    <t>981000490</t>
  </si>
  <si>
    <t>CUG-4Fav_981000490</t>
  </si>
  <si>
    <t>810004-91</t>
  </si>
  <si>
    <t>981000491</t>
  </si>
  <si>
    <t>CUG-6Fav_981000491</t>
  </si>
  <si>
    <t>100001-00</t>
  </si>
  <si>
    <t>910000100</t>
  </si>
  <si>
    <t>Voz - OnNet - Bajo 0_910000100</t>
  </si>
  <si>
    <t>100001-03</t>
  </si>
  <si>
    <t>910000103</t>
  </si>
  <si>
    <t>Voz - OnNet - Medio 2_910000103</t>
  </si>
  <si>
    <t>100001-04</t>
  </si>
  <si>
    <t>910000104</t>
  </si>
  <si>
    <t>Voz - OnNet - Medio 2_910000104</t>
  </si>
  <si>
    <t>100001-07</t>
  </si>
  <si>
    <t>910000107</t>
  </si>
  <si>
    <t>Voz - OnNet - Alto 2_910000107</t>
  </si>
  <si>
    <t>100001-10</t>
  </si>
  <si>
    <t>910000110</t>
  </si>
  <si>
    <t>Voz-OnNet-170m_910000110</t>
  </si>
  <si>
    <t>100001-11</t>
  </si>
  <si>
    <t>910000111</t>
  </si>
  <si>
    <t>Voz-OnNet-250m_910000111</t>
  </si>
  <si>
    <t>100001-12</t>
  </si>
  <si>
    <t>910000112</t>
  </si>
  <si>
    <t>Voz-OnNet-350m_910000112</t>
  </si>
  <si>
    <t>100001-13</t>
  </si>
  <si>
    <t>910000113</t>
  </si>
  <si>
    <t>Voz-OnNet-550m_910000113</t>
  </si>
  <si>
    <t>100001-35</t>
  </si>
  <si>
    <t>910000135</t>
  </si>
  <si>
    <t>Voz-OnNet-Ilimitado_910000135</t>
  </si>
  <si>
    <t>100002-00</t>
  </si>
  <si>
    <t>910000200</t>
  </si>
  <si>
    <t>Voz - Todo destino - Bajo 0_910000200</t>
  </si>
  <si>
    <t>100002-02</t>
  </si>
  <si>
    <t>910000202</t>
  </si>
  <si>
    <t>Voz - Todo destino - Bajo 2_910000202</t>
  </si>
  <si>
    <t>100002-04</t>
  </si>
  <si>
    <t>910000204</t>
  </si>
  <si>
    <t>Voz - Todo destino - Medio 2_910000204</t>
  </si>
  <si>
    <t>100002-06</t>
  </si>
  <si>
    <t>910000206</t>
  </si>
  <si>
    <t>Voz - Todo destino - Alto 1_910000206</t>
  </si>
  <si>
    <t>100002-09</t>
  </si>
  <si>
    <t>910000209</t>
  </si>
  <si>
    <t>Voz - Todo destino - 250m_910000209</t>
  </si>
  <si>
    <t>100002-12</t>
  </si>
  <si>
    <t>910000212</t>
  </si>
  <si>
    <t>Voz-TD- Medio 4 - 170min_910000212</t>
  </si>
  <si>
    <t>100002-15</t>
  </si>
  <si>
    <t>910000215</t>
  </si>
  <si>
    <t>Voz-TD-100m_910000215</t>
  </si>
  <si>
    <t>100002-17</t>
  </si>
  <si>
    <t>910000217</t>
  </si>
  <si>
    <t>Voz-TD-170m_910000217</t>
  </si>
  <si>
    <t>100002-18</t>
  </si>
  <si>
    <t>910000218</t>
  </si>
  <si>
    <t>Voz-TD-200m_a_910000218</t>
  </si>
  <si>
    <t>100002-20</t>
  </si>
  <si>
    <t>910000220</t>
  </si>
  <si>
    <t>Voz-TD-270m_910000220</t>
  </si>
  <si>
    <t>100002-23</t>
  </si>
  <si>
    <t>910000223</t>
  </si>
  <si>
    <t>Voz-TD-450m_910000223</t>
  </si>
  <si>
    <t>100002-27</t>
  </si>
  <si>
    <t>910000227</t>
  </si>
  <si>
    <t>Voz-TD-850m_910000227</t>
  </si>
  <si>
    <t>100002-28</t>
  </si>
  <si>
    <t>910000228</t>
  </si>
  <si>
    <t>Voz-TD-950m_910000228</t>
  </si>
  <si>
    <t>100002-48</t>
  </si>
  <si>
    <t>910000248</t>
  </si>
  <si>
    <t>Voz-TD-600m_910000248</t>
  </si>
  <si>
    <t>100002-50</t>
  </si>
  <si>
    <t>910000250</t>
  </si>
  <si>
    <t>Voz-TD-1000m_910000250</t>
  </si>
  <si>
    <t>100002-51</t>
  </si>
  <si>
    <t>910000251</t>
  </si>
  <si>
    <t>Voz-TD-1500m_910000251</t>
  </si>
  <si>
    <t>100002-52</t>
  </si>
  <si>
    <t>910000252</t>
  </si>
  <si>
    <t>Voz-TD-40m_910000252</t>
  </si>
  <si>
    <t>100002-53</t>
  </si>
  <si>
    <t>910000253</t>
  </si>
  <si>
    <t>Voz-TD-100m_910000253</t>
  </si>
  <si>
    <t>100002-54</t>
  </si>
  <si>
    <t>910000254</t>
  </si>
  <si>
    <t>Voz-TD-150m_910000254</t>
  </si>
  <si>
    <t>100002-58</t>
  </si>
  <si>
    <t>910000258</t>
  </si>
  <si>
    <t>Voz-TD-50m_910000258</t>
  </si>
  <si>
    <t>100002-59</t>
  </si>
  <si>
    <t>910000259</t>
  </si>
  <si>
    <t>Voz-TD-100m_910000259</t>
  </si>
  <si>
    <t>100002-61</t>
  </si>
  <si>
    <t>910000261</t>
  </si>
  <si>
    <t>Voz-TD-Ilimitado_910000261</t>
  </si>
  <si>
    <t>100002-66</t>
  </si>
  <si>
    <t>910000266</t>
  </si>
  <si>
    <t>Voz-TD-30000s_910000266</t>
  </si>
  <si>
    <t>100012-69</t>
  </si>
  <si>
    <t>910001269</t>
  </si>
  <si>
    <t>Voz-TD-9000s_910001269</t>
  </si>
  <si>
    <t>100012-70</t>
  </si>
  <si>
    <t>910001270</t>
  </si>
  <si>
    <t>Voz-TD-12000s_910001270</t>
  </si>
  <si>
    <t>100101-02</t>
  </si>
  <si>
    <t>910010102</t>
  </si>
  <si>
    <t>Voz - OnNet - Regalo 1_910010102</t>
  </si>
  <si>
    <t>100101-04</t>
  </si>
  <si>
    <t>910010104</t>
  </si>
  <si>
    <t>Voz - OnNet - Regalo 2_910010104</t>
  </si>
  <si>
    <t>100102-01</t>
  </si>
  <si>
    <t>910010201</t>
  </si>
  <si>
    <t>Voz - Todo destino - Regalo 1_910010201</t>
  </si>
  <si>
    <t>100102-02</t>
  </si>
  <si>
    <t>910010202</t>
  </si>
  <si>
    <t>Voz - Todo destino - Regalo 2_910010202</t>
  </si>
  <si>
    <t>200001-01</t>
  </si>
  <si>
    <t>920000101</t>
  </si>
  <si>
    <t>Data - Bajo 0_920000101</t>
  </si>
  <si>
    <t>200001-02</t>
  </si>
  <si>
    <t>920000102</t>
  </si>
  <si>
    <t>Data - Bajo 1_920000102</t>
  </si>
  <si>
    <t>200001-06</t>
  </si>
  <si>
    <t>920000106</t>
  </si>
  <si>
    <t>Data - Medio 1_920000106</t>
  </si>
  <si>
    <t>200001-07</t>
  </si>
  <si>
    <t>920000107</t>
  </si>
  <si>
    <t>Data - Medio 2_920000107</t>
  </si>
  <si>
    <t>200001-11</t>
  </si>
  <si>
    <t>920000111</t>
  </si>
  <si>
    <t>Data - Bajo 0_920000111</t>
  </si>
  <si>
    <t>200001-12</t>
  </si>
  <si>
    <t>920000112</t>
  </si>
  <si>
    <t>Data 3Gb_920000112</t>
  </si>
  <si>
    <t>200001-13</t>
  </si>
  <si>
    <t>920000113</t>
  </si>
  <si>
    <t>Data 4Gb_920000113</t>
  </si>
  <si>
    <t>200001-15</t>
  </si>
  <si>
    <t>920000115</t>
  </si>
  <si>
    <t>Data 6Gb_920000115</t>
  </si>
  <si>
    <t>200001-17</t>
  </si>
  <si>
    <t>920000117</t>
  </si>
  <si>
    <t>Data 750MB_920000117</t>
  </si>
  <si>
    <t>200001-18</t>
  </si>
  <si>
    <t>920000118</t>
  </si>
  <si>
    <t>Data 1Gb_920000118</t>
  </si>
  <si>
    <t>200001-19</t>
  </si>
  <si>
    <t>920000119</t>
  </si>
  <si>
    <t>Data 2Gb_920000119</t>
  </si>
  <si>
    <t>200001-25</t>
  </si>
  <si>
    <t>920000125</t>
  </si>
  <si>
    <t>Data 12Gb_920000125</t>
  </si>
  <si>
    <t>200001-26</t>
  </si>
  <si>
    <t>920000126</t>
  </si>
  <si>
    <t>Data 15Gb_920000126</t>
  </si>
  <si>
    <t>200001-27</t>
  </si>
  <si>
    <t>920000127</t>
  </si>
  <si>
    <t>Data 750MB_920000127</t>
  </si>
  <si>
    <t>200001-33</t>
  </si>
  <si>
    <t>920000133</t>
  </si>
  <si>
    <t>Data 2.6GB_920000133</t>
  </si>
  <si>
    <t>200001-38</t>
  </si>
  <si>
    <t>920000138</t>
  </si>
  <si>
    <t>Data 2 GB_920000138</t>
  </si>
  <si>
    <t>200001-39</t>
  </si>
  <si>
    <t>920000139</t>
  </si>
  <si>
    <t>Data 2.5 GB_920000139</t>
  </si>
  <si>
    <t>200001-40</t>
  </si>
  <si>
    <t>920000140</t>
  </si>
  <si>
    <t>Data 3 GB_920000140</t>
  </si>
  <si>
    <t>200001-42</t>
  </si>
  <si>
    <t>920000142</t>
  </si>
  <si>
    <t>Data 4 GB_920000142</t>
  </si>
  <si>
    <t>200001-43</t>
  </si>
  <si>
    <t>920000143</t>
  </si>
  <si>
    <t>Data 5 GB_920000143</t>
  </si>
  <si>
    <t>200001-51</t>
  </si>
  <si>
    <t>920000151</t>
  </si>
  <si>
    <t>Data 500 MB_920000151</t>
  </si>
  <si>
    <t>200001-53</t>
  </si>
  <si>
    <t>920000153</t>
  </si>
  <si>
    <t>Data 800 MB_920000153</t>
  </si>
  <si>
    <t>200001-57</t>
  </si>
  <si>
    <t>920000157</t>
  </si>
  <si>
    <t>Data 1.5GB_920000157</t>
  </si>
  <si>
    <t>200001-59</t>
  </si>
  <si>
    <t>920000159</t>
  </si>
  <si>
    <t>Data 2GB_920000159</t>
  </si>
  <si>
    <t>200001-63</t>
  </si>
  <si>
    <t>920000163</t>
  </si>
  <si>
    <t>Data 2.5GB_920000163</t>
  </si>
  <si>
    <t>200001-64</t>
  </si>
  <si>
    <t>920000164</t>
  </si>
  <si>
    <t>Data 3GB_920000164</t>
  </si>
  <si>
    <t>200001-67</t>
  </si>
  <si>
    <t>920000167</t>
  </si>
  <si>
    <t>Data 4GB_920000167</t>
  </si>
  <si>
    <t>200001-84</t>
  </si>
  <si>
    <t>920000184</t>
  </si>
  <si>
    <t>Data 1.3GB_920000184</t>
  </si>
  <si>
    <t>200001-86</t>
  </si>
  <si>
    <t>920000186</t>
  </si>
  <si>
    <t>Data 2GB_920000186</t>
  </si>
  <si>
    <t>200003-00</t>
  </si>
  <si>
    <t>920000300</t>
  </si>
  <si>
    <t>Blackberry Total_920000300</t>
  </si>
  <si>
    <t>200003-02</t>
  </si>
  <si>
    <t>920000302</t>
  </si>
  <si>
    <t>BlackBerry 2 - 2G_920000302</t>
  </si>
  <si>
    <t>200003-08</t>
  </si>
  <si>
    <t>920000308</t>
  </si>
  <si>
    <t>BlackBerry Social_920000308</t>
  </si>
  <si>
    <t>200005-01</t>
  </si>
  <si>
    <t>920000501</t>
  </si>
  <si>
    <t>DPI Mail_920000501</t>
  </si>
  <si>
    <t>200007-01</t>
  </si>
  <si>
    <t>920000701</t>
  </si>
  <si>
    <t>Deezer 750 Mb_920000701</t>
  </si>
  <si>
    <t>200007-03</t>
  </si>
  <si>
    <t>920000703</t>
  </si>
  <si>
    <t>Deezer 1.5 Gb_920000703</t>
  </si>
  <si>
    <t>200007-05</t>
  </si>
  <si>
    <t>920000705</t>
  </si>
  <si>
    <t>Deezer 2.5 Gb_920000705</t>
  </si>
  <si>
    <t>200007-07</t>
  </si>
  <si>
    <t>920000707</t>
  </si>
  <si>
    <t>Deezer 4 Gb_920000707</t>
  </si>
  <si>
    <t>200008-01</t>
  </si>
  <si>
    <t>920000801</t>
  </si>
  <si>
    <t>Smart 750MB_920000801</t>
  </si>
  <si>
    <t>200008-02</t>
  </si>
  <si>
    <t>920000802</t>
  </si>
  <si>
    <t>Smart 1GB_920000802</t>
  </si>
  <si>
    <t>200008-03</t>
  </si>
  <si>
    <t>920000803</t>
  </si>
  <si>
    <t>Smart 2GB_920000803</t>
  </si>
  <si>
    <t>200008-04</t>
  </si>
  <si>
    <t>920000804</t>
  </si>
  <si>
    <t>Smart 2.5GB_920000804</t>
  </si>
  <si>
    <t>200008-06</t>
  </si>
  <si>
    <t>920000806</t>
  </si>
  <si>
    <t>Smart 3GB_920000806</t>
  </si>
  <si>
    <t>200008-07</t>
  </si>
  <si>
    <t>920000807</t>
  </si>
  <si>
    <t>Smart 4GB_920000807</t>
  </si>
  <si>
    <t>200008-09</t>
  </si>
  <si>
    <t>920000809</t>
  </si>
  <si>
    <t>Smart 6GB_920000809</t>
  </si>
  <si>
    <t>200008-10</t>
  </si>
  <si>
    <t>920000810</t>
  </si>
  <si>
    <t>Smart 7GB_920000810</t>
  </si>
  <si>
    <t>200008-12</t>
  </si>
  <si>
    <t>920000812</t>
  </si>
  <si>
    <t>Smart sin datos_920000812</t>
  </si>
  <si>
    <t>200008-13</t>
  </si>
  <si>
    <t>920000813</t>
  </si>
  <si>
    <t>Smart sin datos_920000813</t>
  </si>
  <si>
    <t>200008-14</t>
  </si>
  <si>
    <t>920000814</t>
  </si>
  <si>
    <t>Smart sin datos_920000814</t>
  </si>
  <si>
    <t>200011-04</t>
  </si>
  <si>
    <t>920001104</t>
  </si>
  <si>
    <t>Data 10GB_920001104</t>
  </si>
  <si>
    <t>200011-05</t>
  </si>
  <si>
    <t>920001105</t>
  </si>
  <si>
    <t>Data 12GB_920001105</t>
  </si>
  <si>
    <t>200011-64</t>
  </si>
  <si>
    <t>920001164</t>
  </si>
  <si>
    <t>Data Unlimited_920001164</t>
  </si>
  <si>
    <t>200011-81</t>
  </si>
  <si>
    <t>920001181</t>
  </si>
  <si>
    <t>Data 16GB_920001181</t>
  </si>
  <si>
    <t>200011-82</t>
  </si>
  <si>
    <t>920001182</t>
  </si>
  <si>
    <t>Data 17GB_920001182</t>
  </si>
  <si>
    <t>200011-99</t>
  </si>
  <si>
    <t>920001199</t>
  </si>
  <si>
    <t>Data 16.5GB_920001199</t>
  </si>
  <si>
    <t>200021-01</t>
  </si>
  <si>
    <t>920002101</t>
  </si>
  <si>
    <t>Data 17.5GB_920002101</t>
  </si>
  <si>
    <t>200021-35</t>
  </si>
  <si>
    <t>920002135</t>
  </si>
  <si>
    <t>Data 16.5GB_920002135</t>
  </si>
  <si>
    <t>200021-36</t>
  </si>
  <si>
    <t>920002136</t>
  </si>
  <si>
    <t>Data 17.5GB_920002136</t>
  </si>
  <si>
    <t>200021-37</t>
  </si>
  <si>
    <t>920002137</t>
  </si>
  <si>
    <t>Data 18.5GB_920002137</t>
  </si>
  <si>
    <t>200021-38</t>
  </si>
  <si>
    <t>920002138</t>
  </si>
  <si>
    <t>Data 23.5GB_920002138</t>
  </si>
  <si>
    <t>200021-39</t>
  </si>
  <si>
    <t>920002139</t>
  </si>
  <si>
    <t>Data 0.5GB_920002139</t>
  </si>
  <si>
    <t>200021-40</t>
  </si>
  <si>
    <t>920002140</t>
  </si>
  <si>
    <t>Data 0.8GB_920002140</t>
  </si>
  <si>
    <t>200021-41</t>
  </si>
  <si>
    <t>920002141</t>
  </si>
  <si>
    <t>Data 1GB_920002141</t>
  </si>
  <si>
    <t>300301-01</t>
  </si>
  <si>
    <t>930030101</t>
  </si>
  <si>
    <t>Sms - OnNet - Bajo_930030101</t>
  </si>
  <si>
    <t>300301-03</t>
  </si>
  <si>
    <t>930030103</t>
  </si>
  <si>
    <t>Sms - OnNet - Medio_930030103</t>
  </si>
  <si>
    <t>300301-04</t>
  </si>
  <si>
    <t>930030104</t>
  </si>
  <si>
    <t>Sms-OnNet-1000_930030104</t>
  </si>
  <si>
    <t>300301-08</t>
  </si>
  <si>
    <t>930030108</t>
  </si>
  <si>
    <t>Sms-OnNet-100s_930030108</t>
  </si>
  <si>
    <t>300302-00</t>
  </si>
  <si>
    <t>930030200</t>
  </si>
  <si>
    <t>Sms - Todo destino - Bajo 0_930030200</t>
  </si>
  <si>
    <t>300302-01</t>
  </si>
  <si>
    <t>930030201</t>
  </si>
  <si>
    <t>Sms - Todo destino - Bajo 1_930030201</t>
  </si>
  <si>
    <t>300302-02</t>
  </si>
  <si>
    <t>930030202</t>
  </si>
  <si>
    <t>Sms-TD-Bajo 2-50sms_930030202</t>
  </si>
  <si>
    <t>300302-04</t>
  </si>
  <si>
    <t>930030204</t>
  </si>
  <si>
    <t>Sms-TD-Medio 2-100sms_930030204</t>
  </si>
  <si>
    <t>300302-06</t>
  </si>
  <si>
    <t>930030206</t>
  </si>
  <si>
    <t>Sms-TD-10s_930030206</t>
  </si>
  <si>
    <t>300302-07</t>
  </si>
  <si>
    <t>930030207</t>
  </si>
  <si>
    <t>Sms-TD-20s_930030207</t>
  </si>
  <si>
    <t>300302-08</t>
  </si>
  <si>
    <t>930030208</t>
  </si>
  <si>
    <t>Sms-TD-40s_930030208</t>
  </si>
  <si>
    <t>300302-09</t>
  </si>
  <si>
    <t>930030209</t>
  </si>
  <si>
    <t>Sms-TD-60s_930030209</t>
  </si>
  <si>
    <t>300302-19</t>
  </si>
  <si>
    <t>930030219</t>
  </si>
  <si>
    <t>Sms-TD-200_930030219</t>
  </si>
  <si>
    <t>300302-20</t>
  </si>
  <si>
    <t>930030220</t>
  </si>
  <si>
    <t>Sms-TD-20_930030220</t>
  </si>
  <si>
    <t>300302-22</t>
  </si>
  <si>
    <t>930030222</t>
  </si>
  <si>
    <t>Sms-TD-50_930030222</t>
  </si>
  <si>
    <t>300302-24</t>
  </si>
  <si>
    <t>930030224</t>
  </si>
  <si>
    <t>Sms-TD-100_930030224</t>
  </si>
  <si>
    <t>300302-27</t>
  </si>
  <si>
    <t>930030227</t>
  </si>
  <si>
    <t>Sms-TD-Ilimitado_930030227</t>
  </si>
  <si>
    <t>300302-31</t>
  </si>
  <si>
    <t>930030231</t>
  </si>
  <si>
    <t>Sms-TD-Ilimitado_930030231</t>
  </si>
  <si>
    <t>301302-03</t>
  </si>
  <si>
    <t>930130203</t>
  </si>
  <si>
    <t>Sms - Todo destino - Regalo 1_930130203</t>
  </si>
  <si>
    <t>500000-01</t>
  </si>
  <si>
    <t>950000001</t>
  </si>
  <si>
    <t>Favorito 1_950000001</t>
  </si>
  <si>
    <t>500000-02</t>
  </si>
  <si>
    <t>950000002</t>
  </si>
  <si>
    <t>Favorito 2_950000002</t>
  </si>
  <si>
    <t>500000-03</t>
  </si>
  <si>
    <t>950000003</t>
  </si>
  <si>
    <t>Favorito 3_950000003</t>
  </si>
  <si>
    <t>500000-05</t>
  </si>
  <si>
    <t>950000005</t>
  </si>
  <si>
    <t>Favorito 5_950000005</t>
  </si>
  <si>
    <t>500000-22</t>
  </si>
  <si>
    <t>950000022</t>
  </si>
  <si>
    <t>Favorito 2b_950000022</t>
  </si>
  <si>
    <t>500000-29</t>
  </si>
  <si>
    <t>950000029</t>
  </si>
  <si>
    <t>Favorito 2b 0_950000029</t>
  </si>
  <si>
    <t>500000-30</t>
  </si>
  <si>
    <t>950000030</t>
  </si>
  <si>
    <t>Favorito 30_950000030</t>
  </si>
  <si>
    <t>500000-31</t>
  </si>
  <si>
    <t>950000031</t>
  </si>
  <si>
    <t>Favorito 31_950000031</t>
  </si>
  <si>
    <t>500000-32</t>
  </si>
  <si>
    <t>950000032</t>
  </si>
  <si>
    <t>Favorito 32_950000032</t>
  </si>
  <si>
    <t>500000-35</t>
  </si>
  <si>
    <t>950000035</t>
  </si>
  <si>
    <t>Favorito 35_950000035</t>
  </si>
  <si>
    <t>500000-37</t>
  </si>
  <si>
    <t>950000037</t>
  </si>
  <si>
    <t>Favorito 37_950000037</t>
  </si>
  <si>
    <t>500000-39</t>
  </si>
  <si>
    <t>950000039</t>
  </si>
  <si>
    <t>Favorito 39_950000039</t>
  </si>
  <si>
    <t>500000-40</t>
  </si>
  <si>
    <t>950000040</t>
  </si>
  <si>
    <t>Favorito 40_950000040</t>
  </si>
  <si>
    <t>500000-42</t>
  </si>
  <si>
    <t>950000042</t>
  </si>
  <si>
    <t>Favorito 42_950000042</t>
  </si>
  <si>
    <t>500000-44</t>
  </si>
  <si>
    <t>950000044</t>
  </si>
  <si>
    <t>Favorito 44_950000044</t>
  </si>
  <si>
    <t>500000-48</t>
  </si>
  <si>
    <t>950000048</t>
  </si>
  <si>
    <t>Favorito 48_950000048</t>
  </si>
  <si>
    <t>500000-49</t>
  </si>
  <si>
    <t>950000049</t>
  </si>
  <si>
    <t>Favorito 49_950000049</t>
  </si>
  <si>
    <t>500000-50</t>
  </si>
  <si>
    <t>950000050</t>
  </si>
  <si>
    <t>Favorito 50_950000050</t>
  </si>
  <si>
    <t>500000-51</t>
  </si>
  <si>
    <t>950000051</t>
  </si>
  <si>
    <t>Favorito 51_950000051</t>
  </si>
  <si>
    <t>500000-52</t>
  </si>
  <si>
    <t>950000052</t>
  </si>
  <si>
    <t>Favorito 52_950000052</t>
  </si>
  <si>
    <t>500000-53</t>
  </si>
  <si>
    <t>950000053</t>
  </si>
  <si>
    <t>Favorito 53_950000053</t>
  </si>
  <si>
    <t>500000-54</t>
  </si>
  <si>
    <t>950000054</t>
  </si>
  <si>
    <t>Favorito 54_950000054</t>
  </si>
  <si>
    <t>500000-66</t>
  </si>
  <si>
    <t>950000066</t>
  </si>
  <si>
    <t>Favorito 66_950000066</t>
  </si>
  <si>
    <t>500000-74</t>
  </si>
  <si>
    <t>950000074</t>
  </si>
  <si>
    <t>Favorito 74_950000074</t>
  </si>
  <si>
    <t>500000-76</t>
  </si>
  <si>
    <t>950000076</t>
  </si>
  <si>
    <t>Favorito 76_950000076</t>
  </si>
  <si>
    <t>500000-79</t>
  </si>
  <si>
    <t>950000079</t>
  </si>
  <si>
    <t>Favorito 79_950000079</t>
  </si>
  <si>
    <t>500000-80</t>
  </si>
  <si>
    <t>950000080</t>
  </si>
  <si>
    <t>Favorito 80_950000080</t>
  </si>
  <si>
    <t>500000-83</t>
  </si>
  <si>
    <t>950000083</t>
  </si>
  <si>
    <t>Favorito 83_950000083</t>
  </si>
  <si>
    <t>500001-67</t>
  </si>
  <si>
    <t>950000167</t>
  </si>
  <si>
    <t>Voz-TD-42000s_950000167</t>
  </si>
  <si>
    <t>500001-69</t>
  </si>
  <si>
    <t>950000169</t>
  </si>
  <si>
    <t>Voz-TD-30000s_950000169</t>
  </si>
  <si>
    <t>500002-05</t>
  </si>
  <si>
    <t>950000205</t>
  </si>
  <si>
    <t>Favorito Bolsa 8k_950000205</t>
  </si>
  <si>
    <t>500003-07</t>
  </si>
  <si>
    <t>950000307</t>
  </si>
  <si>
    <t>Favorito Tigo 07_950000307</t>
  </si>
  <si>
    <t>600000-01</t>
  </si>
  <si>
    <t>960000001</t>
  </si>
  <si>
    <t>Noticias 1_960000001</t>
  </si>
  <si>
    <t>700000-07</t>
  </si>
  <si>
    <t>970000007</t>
  </si>
  <si>
    <t>Deezer 7.900_970000007</t>
  </si>
  <si>
    <t>700000-10</t>
  </si>
  <si>
    <t>970000010</t>
  </si>
  <si>
    <t>Deezer 10.800_970000010</t>
  </si>
  <si>
    <t>700000-12</t>
  </si>
  <si>
    <t>970000012</t>
  </si>
  <si>
    <t>Deezer 12.000_970000012</t>
  </si>
  <si>
    <t>700000-15</t>
  </si>
  <si>
    <t>970000015</t>
  </si>
  <si>
    <t>Deezer 15.900_970000015</t>
  </si>
  <si>
    <t>700000-23</t>
  </si>
  <si>
    <t>970000023</t>
  </si>
  <si>
    <t>Deezer2 12.000_970000023</t>
  </si>
  <si>
    <t>700000-26</t>
  </si>
  <si>
    <t>970000026</t>
  </si>
  <si>
    <t>Deezer2 8500_970000026</t>
  </si>
  <si>
    <t>700000-29</t>
  </si>
  <si>
    <t>970000029</t>
  </si>
  <si>
    <t>Deezer2 Ilimitado_970000029</t>
  </si>
  <si>
    <t>700000-32</t>
  </si>
  <si>
    <t>970000032</t>
  </si>
  <si>
    <t>Deezer2 11952_970000032</t>
  </si>
  <si>
    <t>800000-20</t>
  </si>
  <si>
    <t>980000020</t>
  </si>
  <si>
    <t>SDP 8GB-2D_980000020</t>
  </si>
  <si>
    <t>800000-24</t>
  </si>
  <si>
    <t>980000024</t>
  </si>
  <si>
    <t>SDP 10GB-5D_980000024</t>
  </si>
  <si>
    <t>800000-25</t>
  </si>
  <si>
    <t>980000025</t>
  </si>
  <si>
    <t>SDP 6GB-2D_980000025</t>
  </si>
  <si>
    <t>800000-26</t>
  </si>
  <si>
    <t>980000026</t>
  </si>
  <si>
    <t>SDP 7.5GB-2D_980000026</t>
  </si>
  <si>
    <t>800000-27</t>
  </si>
  <si>
    <t>980000027</t>
  </si>
  <si>
    <t>SDP 9GB-2D_980000027</t>
  </si>
  <si>
    <t>800000-28</t>
  </si>
  <si>
    <t>980000028</t>
  </si>
  <si>
    <t>SDP 10GB-3D_980000028</t>
  </si>
  <si>
    <t>800000-29</t>
  </si>
  <si>
    <t>980000029</t>
  </si>
  <si>
    <t>SDP 11GB-3D_980000029</t>
  </si>
  <si>
    <t>800000-30</t>
  </si>
  <si>
    <t>980000030</t>
  </si>
  <si>
    <t>SDP 14GB-5D_980000030</t>
  </si>
  <si>
    <t>800000-42</t>
  </si>
  <si>
    <t>980000042</t>
  </si>
  <si>
    <t>SDP 11GB-5D_980000042</t>
  </si>
  <si>
    <t>800000-43</t>
  </si>
  <si>
    <t>980000043</t>
  </si>
  <si>
    <t>SDP 11GB-6D_980000043</t>
  </si>
  <si>
    <t>800000-54</t>
  </si>
  <si>
    <t>980000054</t>
  </si>
  <si>
    <t>SDP 20GB-6D_980000054</t>
  </si>
  <si>
    <t>800000-60</t>
  </si>
  <si>
    <t>980000060</t>
  </si>
  <si>
    <t>SDP 12GB-3D_980000060</t>
  </si>
  <si>
    <t>800000-61</t>
  </si>
  <si>
    <t>980000061</t>
  </si>
  <si>
    <t>SDP 15GB-3D_980000061</t>
  </si>
  <si>
    <t>800000-67</t>
  </si>
  <si>
    <t>980000067</t>
  </si>
  <si>
    <t>SDP 6GB-3D_980000067</t>
  </si>
  <si>
    <t>800000-69</t>
  </si>
  <si>
    <t>980000069</t>
  </si>
  <si>
    <t>SDP 10GB-3D_980000069</t>
  </si>
  <si>
    <t>800000-70</t>
  </si>
  <si>
    <t>980000070</t>
  </si>
  <si>
    <t>SDP 12GB-3D_980000070</t>
  </si>
  <si>
    <t>800000-72</t>
  </si>
  <si>
    <t>980000072</t>
  </si>
  <si>
    <t>SDP 10GB-5D_980000072</t>
  </si>
  <si>
    <t>800000-74</t>
  </si>
  <si>
    <t>980000074</t>
  </si>
  <si>
    <t>SDP 15GB-5D_980000074</t>
  </si>
  <si>
    <t>810001-01</t>
  </si>
  <si>
    <t>981000101</t>
  </si>
  <si>
    <t>SDP 400TD-2D_981000101</t>
  </si>
  <si>
    <t>810001-04</t>
  </si>
  <si>
    <t>981000104</t>
  </si>
  <si>
    <t>SDP 2000TD-5D_981000104</t>
  </si>
  <si>
    <t>810003-02</t>
  </si>
  <si>
    <t>981000302</t>
  </si>
  <si>
    <t>SDP 200SMS-5D_981000302</t>
  </si>
  <si>
    <t>810004-01</t>
  </si>
  <si>
    <t>981000401</t>
  </si>
  <si>
    <t>SDP CUGV-2D_981000401</t>
  </si>
  <si>
    <t>810004-05</t>
  </si>
  <si>
    <t>981000405</t>
  </si>
  <si>
    <t>SDP CUGV-5D_981000405</t>
  </si>
  <si>
    <t>810004-07</t>
  </si>
  <si>
    <t>981000407</t>
  </si>
  <si>
    <t>SDP CUGV-3D_981000407</t>
  </si>
  <si>
    <t>810004-09</t>
  </si>
  <si>
    <t>981000409</t>
  </si>
  <si>
    <t>CUG-4D_981000409</t>
  </si>
  <si>
    <t>810004-10</t>
  </si>
  <si>
    <t>981000410</t>
  </si>
  <si>
    <t>CUG-4D_981000410</t>
  </si>
  <si>
    <t>810004-12</t>
  </si>
  <si>
    <t>981000412</t>
  </si>
  <si>
    <t>CUG-3D_981000412</t>
  </si>
  <si>
    <t>810004-22</t>
  </si>
  <si>
    <t>981000422</t>
  </si>
  <si>
    <t>CUG-5D_981000422</t>
  </si>
  <si>
    <t>810004-24</t>
  </si>
  <si>
    <t>981000424</t>
  </si>
  <si>
    <t>CUG-5D_981000424</t>
  </si>
  <si>
    <t>810004-25</t>
  </si>
  <si>
    <t>981000425</t>
  </si>
  <si>
    <t>CUG-5D_981000425</t>
  </si>
  <si>
    <t>810004-27</t>
  </si>
  <si>
    <t>981000427</t>
  </si>
  <si>
    <t>CUG-4D_981000427</t>
  </si>
  <si>
    <t>810004-29</t>
  </si>
  <si>
    <t>981000429</t>
  </si>
  <si>
    <t>CUG-5D_981000429</t>
  </si>
  <si>
    <t>830004-01</t>
  </si>
  <si>
    <t>983000401</t>
  </si>
  <si>
    <t>SDP CUGS-2D_983000401</t>
  </si>
  <si>
    <t>830004-02</t>
  </si>
  <si>
    <t>983000402</t>
  </si>
  <si>
    <t>SDP CUGS-3D_983000402</t>
  </si>
  <si>
    <t>830004-05</t>
  </si>
  <si>
    <t>983000405</t>
  </si>
  <si>
    <t>SDP CUGS-5D_983000405</t>
  </si>
  <si>
    <t>VFAV-008</t>
  </si>
  <si>
    <t>990000174</t>
  </si>
  <si>
    <t>2 Fav Allnet_990000174</t>
  </si>
  <si>
    <t>VFAV-009</t>
  </si>
  <si>
    <t>990000175</t>
  </si>
  <si>
    <t>Favorito ilimitado 4_990000175</t>
  </si>
  <si>
    <t>VFAV-010</t>
  </si>
  <si>
    <t>990000176</t>
  </si>
  <si>
    <t>2 Fav Allnet_990000176</t>
  </si>
  <si>
    <t>VFAV-011</t>
  </si>
  <si>
    <t>990000177</t>
  </si>
  <si>
    <t>Favorito ilimitado 4_990000177</t>
  </si>
  <si>
    <t>VFAV-012</t>
  </si>
  <si>
    <t>990000178</t>
  </si>
  <si>
    <t>2 Fav Allnet_990000178</t>
  </si>
  <si>
    <t>VFAV-013</t>
  </si>
  <si>
    <t>990000179</t>
  </si>
  <si>
    <t>Favorito ilimitado 5_990000179</t>
  </si>
  <si>
    <t>VFAV-014</t>
  </si>
  <si>
    <t>990000180</t>
  </si>
  <si>
    <t>2 Fav Allnet_990000180</t>
  </si>
  <si>
    <t>VFAV-017</t>
  </si>
  <si>
    <t>990000181</t>
  </si>
  <si>
    <t>Favorito ilimitado 5_990000181</t>
  </si>
  <si>
    <t>VFAV-018</t>
  </si>
  <si>
    <t>990000182</t>
  </si>
  <si>
    <t>3 Fav Allnet_990000182</t>
  </si>
  <si>
    <t>VFAV-020</t>
  </si>
  <si>
    <t>990000183</t>
  </si>
  <si>
    <t>3 Fav Allnet_990000183</t>
  </si>
  <si>
    <t>VFAV-023</t>
  </si>
  <si>
    <t>990000184</t>
  </si>
  <si>
    <t>Favorito ilimitado 5_990000184</t>
  </si>
  <si>
    <t>VFAV-026</t>
  </si>
  <si>
    <t>990000185</t>
  </si>
  <si>
    <t>4 Fav Allnet_990000185</t>
  </si>
  <si>
    <t>VFAV-027</t>
  </si>
  <si>
    <t>990000186</t>
  </si>
  <si>
    <t>Favorito ilimitado 6_990000186</t>
  </si>
  <si>
    <t>VFAV-029</t>
  </si>
  <si>
    <t>990000187</t>
  </si>
  <si>
    <t>Favorito ilimitado 7_990000187</t>
  </si>
  <si>
    <t>VFAV-030</t>
  </si>
  <si>
    <t>990000188</t>
  </si>
  <si>
    <t>5 Fav Allnet_990000188</t>
  </si>
  <si>
    <t>VTD-013</t>
  </si>
  <si>
    <t>990000189</t>
  </si>
  <si>
    <t>Voz-TD_Sec-280m_990000189</t>
  </si>
  <si>
    <t>VTD-014</t>
  </si>
  <si>
    <t>990000190</t>
  </si>
  <si>
    <t>Voz-TD_Sec-340m_990000190</t>
  </si>
  <si>
    <t>VTD-015</t>
  </si>
  <si>
    <t>990000191</t>
  </si>
  <si>
    <t>Voz-TD_Seg-390m_990000191</t>
  </si>
  <si>
    <t>VTD-017</t>
  </si>
  <si>
    <t>990000192</t>
  </si>
  <si>
    <t>Voz-TD_Seg-600m_990000192</t>
  </si>
  <si>
    <t>VTD-018</t>
  </si>
  <si>
    <t>990000193</t>
  </si>
  <si>
    <t>Voz-TD_Seg-650m_990000193</t>
  </si>
  <si>
    <t>VTD-020</t>
  </si>
  <si>
    <t>990000194</t>
  </si>
  <si>
    <t>Voz-TD_Seg-800m_990000194</t>
  </si>
  <si>
    <t>VTD-021</t>
  </si>
  <si>
    <t>990000195</t>
  </si>
  <si>
    <t>Voz-TD_Seg-1000m_990000195</t>
  </si>
  <si>
    <t>VTD-022</t>
  </si>
  <si>
    <t>990000196</t>
  </si>
  <si>
    <t>Voz-TD_Seg-1300m_990000196</t>
  </si>
  <si>
    <t>VTD-023</t>
  </si>
  <si>
    <t>990000197</t>
  </si>
  <si>
    <t>Voz-TD_Seg-1500m_990000197</t>
  </si>
  <si>
    <t>VTD-024</t>
  </si>
  <si>
    <t>990000198</t>
  </si>
  <si>
    <t>Voz-TD_Seg-1700m_990000198</t>
  </si>
  <si>
    <t>VTD-025</t>
  </si>
  <si>
    <t>990000199</t>
  </si>
  <si>
    <t>Voz-TD_Seg-3000m_990000199</t>
  </si>
  <si>
    <t>VTD-030</t>
  </si>
  <si>
    <t>990000200</t>
  </si>
  <si>
    <t>Voz-TD-Ilimitado_990000200</t>
  </si>
  <si>
    <t>VTD-040</t>
  </si>
  <si>
    <t>990000201</t>
  </si>
  <si>
    <t>Voz-TD-24000 seg_990000201</t>
  </si>
  <si>
    <t>VTD-047</t>
  </si>
  <si>
    <t>990000202</t>
  </si>
  <si>
    <t>Voz-TD-30000 seg_990000202</t>
  </si>
  <si>
    <t>VTD-052</t>
  </si>
  <si>
    <t>990000203</t>
  </si>
  <si>
    <t>Voz-TD-30000 seg_990000203</t>
  </si>
  <si>
    <t>VTD-053</t>
  </si>
  <si>
    <t>990000204</t>
  </si>
  <si>
    <t>Voz-TD-48000 seg_990000204</t>
  </si>
  <si>
    <t>VTD-056</t>
  </si>
  <si>
    <t>990000205</t>
  </si>
  <si>
    <t>Voz-TD-54000 seg_990000205</t>
  </si>
  <si>
    <t>VTD-058</t>
  </si>
  <si>
    <t>990000206</t>
  </si>
  <si>
    <t>Voz-TD-60000 seg_990000206</t>
  </si>
  <si>
    <t>VTIG-008</t>
  </si>
  <si>
    <t>990000207</t>
  </si>
  <si>
    <t>Voz-OnNet-Ilimitado_990000207</t>
  </si>
  <si>
    <t>100022-13</t>
  </si>
  <si>
    <t>910002213</t>
  </si>
  <si>
    <t>Voz-TD-2678400s_910002213</t>
  </si>
  <si>
    <t>100022-14</t>
  </si>
  <si>
    <t>910002214</t>
  </si>
  <si>
    <t>Voz-TD-2678400s_910002214</t>
  </si>
  <si>
    <t>200008-69</t>
  </si>
  <si>
    <t>920000869</t>
  </si>
  <si>
    <t>Smart sin navegacion_920000869</t>
  </si>
  <si>
    <t>200008-70</t>
  </si>
  <si>
    <t>920000870</t>
  </si>
  <si>
    <t>Smart sin navegacion_920000870</t>
  </si>
  <si>
    <t>200021-83</t>
  </si>
  <si>
    <t>920002183</t>
  </si>
  <si>
    <t>Data 3.5GB_920002183</t>
  </si>
  <si>
    <t>300302-98</t>
  </si>
  <si>
    <t>930030298</t>
  </si>
  <si>
    <t>Sms-TD-Ilimitado_930030298</t>
  </si>
  <si>
    <t>300302-99</t>
  </si>
  <si>
    <t>930030299</t>
  </si>
  <si>
    <t>Sms-TD-Ilimitado_930030299</t>
  </si>
  <si>
    <t>200021-84</t>
  </si>
  <si>
    <t>920002184</t>
  </si>
  <si>
    <t>Data 4GB_920002184</t>
  </si>
  <si>
    <t>810004-88</t>
  </si>
  <si>
    <t>981000488</t>
  </si>
  <si>
    <t>CUG-4Fav_981000488</t>
  </si>
  <si>
    <t>810004-89</t>
  </si>
  <si>
    <t>981000489</t>
  </si>
  <si>
    <t>CUG-4Fav_981000489</t>
  </si>
  <si>
    <t>99999990</t>
  </si>
  <si>
    <t>990000163</t>
  </si>
  <si>
    <t>99999991</t>
  </si>
  <si>
    <t>990000162</t>
  </si>
  <si>
    <t>99999993</t>
  </si>
  <si>
    <t>990000161</t>
  </si>
  <si>
    <t>200001-24</t>
  </si>
  <si>
    <t>920000124</t>
  </si>
  <si>
    <t>Data 10Gb_920000124</t>
  </si>
  <si>
    <t>367988470844</t>
  </si>
  <si>
    <t>990000216</t>
  </si>
  <si>
    <t>367988472284</t>
  </si>
  <si>
    <t>990000217</t>
  </si>
  <si>
    <t>378251479175</t>
  </si>
  <si>
    <t>990000245</t>
  </si>
  <si>
    <t>378251477639</t>
  </si>
  <si>
    <t>990000244</t>
  </si>
  <si>
    <t>380247871014</t>
  </si>
  <si>
    <t>990000246</t>
  </si>
  <si>
    <t>380247869382</t>
  </si>
  <si>
    <t>990000247</t>
  </si>
  <si>
    <t>380247867942</t>
  </si>
  <si>
    <t>990000248</t>
  </si>
  <si>
    <t>380247869478</t>
  </si>
  <si>
    <t>990000249</t>
  </si>
  <si>
    <t>372424053424</t>
  </si>
  <si>
    <t>990000222</t>
  </si>
  <si>
    <t>372424053552</t>
  </si>
  <si>
    <t>990000223</t>
  </si>
  <si>
    <t>372424056624</t>
  </si>
  <si>
    <t>990000224</t>
  </si>
  <si>
    <t>372424054192</t>
  </si>
  <si>
    <t>990000225</t>
  </si>
  <si>
    <t>372424052848</t>
  </si>
  <si>
    <t>990000226</t>
  </si>
  <si>
    <t>372424055728</t>
  </si>
  <si>
    <t>990000227</t>
  </si>
  <si>
    <t>372424056496</t>
  </si>
  <si>
    <t>990000228</t>
  </si>
  <si>
    <t>377322731518</t>
  </si>
  <si>
    <t>990000295</t>
  </si>
  <si>
    <t>Addon Deezer (Promocion)</t>
  </si>
  <si>
    <t>379171023432</t>
  </si>
  <si>
    <t>990000294</t>
  </si>
  <si>
    <t>Addon Amazon Music (Promocion)</t>
  </si>
  <si>
    <t>20112863618</t>
  </si>
  <si>
    <t>990000401</t>
  </si>
  <si>
    <t>20112865346</t>
  </si>
  <si>
    <t>990000403</t>
  </si>
  <si>
    <t>20112866690</t>
  </si>
  <si>
    <t>990000405</t>
  </si>
  <si>
    <t>20112865154</t>
  </si>
  <si>
    <t>990000407</t>
  </si>
  <si>
    <t>Plan CRM 525 - Activity</t>
  </si>
  <si>
    <t>990000411</t>
  </si>
  <si>
    <t>SMS Flexy plan Basic</t>
  </si>
  <si>
    <t>Plan CRM 526 - Activity</t>
  </si>
  <si>
    <t>990000412</t>
  </si>
  <si>
    <t>SMS Flexy plan Plus</t>
  </si>
  <si>
    <t>20112577499</t>
  </si>
  <si>
    <t>990000420</t>
  </si>
  <si>
    <t>67108979026</t>
  </si>
  <si>
    <t>990000421</t>
  </si>
  <si>
    <t>67111226411</t>
  </si>
  <si>
    <t>990000422</t>
  </si>
  <si>
    <t>67108982322</t>
  </si>
  <si>
    <t>990000423</t>
  </si>
  <si>
    <t>67108980562</t>
  </si>
  <si>
    <t>990000424</t>
  </si>
  <si>
    <t>67108978738</t>
  </si>
  <si>
    <t>990000425</t>
  </si>
  <si>
    <t>67108980018</t>
  </si>
  <si>
    <t>990000426</t>
  </si>
  <si>
    <t>67111223531</t>
  </si>
  <si>
    <t>990000427</t>
  </si>
  <si>
    <t>67111224107</t>
  </si>
  <si>
    <t>990000428</t>
  </si>
  <si>
    <t>67111224491</t>
  </si>
  <si>
    <t>990000429</t>
  </si>
  <si>
    <t>67111223723</t>
  </si>
  <si>
    <t>990000430</t>
  </si>
  <si>
    <t>67111223915</t>
  </si>
  <si>
    <t>990000431</t>
  </si>
  <si>
    <t>370015687526</t>
  </si>
  <si>
    <t>990000432</t>
  </si>
  <si>
    <t>Combos B2BÂ  Voz y SMS nacional ilimitado + 8 GB P3</t>
  </si>
  <si>
    <t>370015688294</t>
  </si>
  <si>
    <t>990000433</t>
  </si>
  <si>
    <t>Combos B2BÂ  Voz y SMS nacional ilimitado + 8 GB P1</t>
  </si>
  <si>
    <t>370015689062</t>
  </si>
  <si>
    <t>990000434</t>
  </si>
  <si>
    <t>Combos B2BÂ  Voz y SMS nacional ilimitado + 8 GB P2</t>
  </si>
  <si>
    <t>370015686950</t>
  </si>
  <si>
    <t>990000435</t>
  </si>
  <si>
    <t>Combos B2BÂ  Voz y SMS nacional ilimitado + 12 GB P3</t>
  </si>
  <si>
    <t>370015687718</t>
  </si>
  <si>
    <t>990000436</t>
  </si>
  <si>
    <t>Combos B2BÂ  Voz y SMS nacional ilimitado + 12 GB P1</t>
  </si>
  <si>
    <t>370015689254</t>
  </si>
  <si>
    <t>990000437</t>
  </si>
  <si>
    <t>Combos B2BÂ  Voz y SMS nacional ilimitado + 12 GB P2</t>
  </si>
  <si>
    <t>370015688486</t>
  </si>
  <si>
    <t>990000438</t>
  </si>
  <si>
    <t>Combos B2BÂ  Voz y SMS nacional ilimitado + 20 GB P2</t>
  </si>
  <si>
    <t>370015688870</t>
  </si>
  <si>
    <t>990000439</t>
  </si>
  <si>
    <t>Combos B2BÂ  Voz y SMS nacional ilimitado + 20 GB P3</t>
  </si>
  <si>
    <t>370015690022</t>
  </si>
  <si>
    <t>990000440</t>
  </si>
  <si>
    <t>Combos B2BÂ  Voz y SMS nacional ilimitado + 20 GB P1</t>
  </si>
  <si>
    <t>370015687334</t>
  </si>
  <si>
    <t>990000441</t>
  </si>
  <si>
    <t>Combos B2BÂ  Voz y SMS nacional ilimitado + 35 GB P1</t>
  </si>
  <si>
    <t>370015688102</t>
  </si>
  <si>
    <t>990000442</t>
  </si>
  <si>
    <t>Combos B2BÂ  Voz y SMS nacional ilimitado + 35 GB P3</t>
  </si>
  <si>
    <t>370015690406</t>
  </si>
  <si>
    <t>990000443</t>
  </si>
  <si>
    <t>Combos B2BÂ  Voz y SMS nacional ilimitado + 35 GB P2</t>
  </si>
  <si>
    <t>370015686758</t>
  </si>
  <si>
    <t>990000444</t>
  </si>
  <si>
    <t>Combos B2BÂ  Voz y SMS nacional ilimitado + 50 GB P2</t>
  </si>
  <si>
    <t>370015689638</t>
  </si>
  <si>
    <t>990000445</t>
  </si>
  <si>
    <t>Combos B2BÂ  Voz y SMS nacional ilimitado + 50 GB P1</t>
  </si>
  <si>
    <t>370015689830</t>
  </si>
  <si>
    <t>990000446</t>
  </si>
  <si>
    <t>Combos B2BÂ  Voz y SMS nacional ilimitado + 50 GB P3</t>
  </si>
  <si>
    <t>358124951789</t>
  </si>
  <si>
    <t>990000447</t>
  </si>
  <si>
    <t>358124950253</t>
  </si>
  <si>
    <t>990000448</t>
  </si>
  <si>
    <t>358124953325</t>
  </si>
  <si>
    <t>990000449</t>
  </si>
  <si>
    <t>20112816129</t>
  </si>
  <si>
    <t>990000450</t>
  </si>
  <si>
    <t>20112814593</t>
  </si>
  <si>
    <t>990000451</t>
  </si>
  <si>
    <t>20112817665</t>
  </si>
  <si>
    <t>990000452</t>
  </si>
  <si>
    <t>20112815361</t>
  </si>
  <si>
    <t>990000453</t>
  </si>
  <si>
    <t>168771481791</t>
  </si>
  <si>
    <t>990000454</t>
  </si>
  <si>
    <t>168771484479</t>
  </si>
  <si>
    <t>990000455</t>
  </si>
  <si>
    <t>168771484863</t>
  </si>
  <si>
    <t>990000456</t>
  </si>
  <si>
    <t>168771481983</t>
  </si>
  <si>
    <t>990000457</t>
  </si>
  <si>
    <t>168771484287</t>
  </si>
  <si>
    <t>990000458</t>
  </si>
  <si>
    <t>168771485055</t>
  </si>
  <si>
    <t>990000459</t>
  </si>
  <si>
    <t>358124949869</t>
  </si>
  <si>
    <t>990000460</t>
  </si>
  <si>
    <t>358124951405</t>
  </si>
  <si>
    <t>990000461</t>
  </si>
  <si>
    <t>358124952941</t>
  </si>
  <si>
    <t>990000462</t>
  </si>
  <si>
    <t>168771482559</t>
  </si>
  <si>
    <t>990000463</t>
  </si>
  <si>
    <t>168771483327</t>
  </si>
  <si>
    <t>990000464</t>
  </si>
  <si>
    <t>168771484095</t>
  </si>
  <si>
    <t>990000465</t>
  </si>
  <si>
    <t>168771482367</t>
  </si>
  <si>
    <t>990000466</t>
  </si>
  <si>
    <t>168771483519</t>
  </si>
  <si>
    <t>990000467</t>
  </si>
  <si>
    <t>168771483903</t>
  </si>
  <si>
    <t>990000468</t>
  </si>
  <si>
    <t>168771483135</t>
  </si>
  <si>
    <t>990000469</t>
  </si>
  <si>
    <t>168771484671</t>
  </si>
  <si>
    <t>990000470</t>
  </si>
  <si>
    <t>168771485439</t>
  </si>
  <si>
    <t>990000471</t>
  </si>
  <si>
    <t>368598213398</t>
  </si>
  <si>
    <t>990000472</t>
  </si>
  <si>
    <t>368598214166</t>
  </si>
  <si>
    <t>990000473</t>
  </si>
  <si>
    <t>368598214934</t>
  </si>
  <si>
    <t>990000474</t>
  </si>
  <si>
    <t>368598213782</t>
  </si>
  <si>
    <t>990000475</t>
  </si>
  <si>
    <t>368598215318</t>
  </si>
  <si>
    <t>990000476</t>
  </si>
  <si>
    <t>368598216470</t>
  </si>
  <si>
    <t>990000477</t>
  </si>
  <si>
    <t>368598213014</t>
  </si>
  <si>
    <t>990000478</t>
  </si>
  <si>
    <t>368598214550</t>
  </si>
  <si>
    <t>990000479</t>
  </si>
  <si>
    <t>368598216086</t>
  </si>
  <si>
    <t>990000480</t>
  </si>
  <si>
    <t>361000111265</t>
  </si>
  <si>
    <t>990000481</t>
  </si>
  <si>
    <t>368598213206</t>
  </si>
  <si>
    <t>990000482</t>
  </si>
  <si>
    <t>368598214742</t>
  </si>
  <si>
    <t>990000483</t>
  </si>
  <si>
    <t>368598216278</t>
  </si>
  <si>
    <t>990000484</t>
  </si>
  <si>
    <t>20112916002</t>
  </si>
  <si>
    <t>990000485</t>
  </si>
  <si>
    <t>20112912930</t>
  </si>
  <si>
    <t>990000486</t>
  </si>
  <si>
    <t>20112912546</t>
  </si>
  <si>
    <t>990000487</t>
  </si>
  <si>
    <t>20112915234</t>
  </si>
  <si>
    <t>990000488</t>
  </si>
  <si>
    <t>67111224683</t>
  </si>
  <si>
    <t>990000489</t>
  </si>
  <si>
    <t>67111223339</t>
  </si>
  <si>
    <t>990000490</t>
  </si>
  <si>
    <t>20112866882</t>
  </si>
  <si>
    <t>990000491</t>
  </si>
  <si>
    <t>67111226315</t>
  </si>
  <si>
    <t>990000492</t>
  </si>
  <si>
    <t>67111225259</t>
  </si>
  <si>
    <t>990000493</t>
  </si>
  <si>
    <t>67111226603</t>
  </si>
  <si>
    <t>990000494</t>
  </si>
  <si>
    <t>67108981554</t>
  </si>
  <si>
    <t>990000495</t>
  </si>
  <si>
    <t>20112915618</t>
  </si>
  <si>
    <t>990000496</t>
  </si>
  <si>
    <t>20112914850</t>
  </si>
  <si>
    <t>990000497</t>
  </si>
  <si>
    <t>20112913314</t>
  </si>
  <si>
    <t>990000498</t>
  </si>
  <si>
    <t>20112916386</t>
  </si>
  <si>
    <t>990001022</t>
  </si>
  <si>
    <t>168771482079</t>
  </si>
  <si>
    <t>990000499</t>
  </si>
  <si>
    <t>168771484383</t>
  </si>
  <si>
    <t>990000500</t>
  </si>
  <si>
    <t>168771483615</t>
  </si>
  <si>
    <t>990000501</t>
  </si>
  <si>
    <t>168771485151</t>
  </si>
  <si>
    <t>990000502</t>
  </si>
  <si>
    <t>168771482175</t>
  </si>
  <si>
    <t>990000503</t>
  </si>
  <si>
    <t>168771483711</t>
  </si>
  <si>
    <t>990000504</t>
  </si>
  <si>
    <t>168771482943</t>
  </si>
  <si>
    <t>990000505</t>
  </si>
  <si>
    <t>168771485247</t>
  </si>
  <si>
    <t>990000506</t>
  </si>
  <si>
    <t>168771482751</t>
  </si>
  <si>
    <t>990000507</t>
  </si>
  <si>
    <t>168771485631</t>
  </si>
  <si>
    <t>990000508</t>
  </si>
  <si>
    <t>168771481695</t>
  </si>
  <si>
    <t>990000509</t>
  </si>
  <si>
    <t>168771483039</t>
  </si>
  <si>
    <t>990000510</t>
  </si>
  <si>
    <t>168771484575</t>
  </si>
  <si>
    <t>990000511</t>
  </si>
  <si>
    <t>168771483231</t>
  </si>
  <si>
    <t>990000512</t>
  </si>
  <si>
    <t>168771483999</t>
  </si>
  <si>
    <t>990000513</t>
  </si>
  <si>
    <t>168771484767</t>
  </si>
  <si>
    <t>990000514</t>
  </si>
  <si>
    <t>168771482463</t>
  </si>
  <si>
    <t>990000515</t>
  </si>
  <si>
    <t>168771482847</t>
  </si>
  <si>
    <t>990000516</t>
  </si>
  <si>
    <t>168771485535</t>
  </si>
  <si>
    <t>990000517</t>
  </si>
  <si>
    <t>168771486464</t>
  </si>
  <si>
    <t>990000518</t>
  </si>
  <si>
    <t>168771488000</t>
  </si>
  <si>
    <t>990000519</t>
  </si>
  <si>
    <t>168771489536</t>
  </si>
  <si>
    <t>990000520</t>
  </si>
  <si>
    <t>168771486080</t>
  </si>
  <si>
    <t>990000521</t>
  </si>
  <si>
    <t>168771486848</t>
  </si>
  <si>
    <t>990000522</t>
  </si>
  <si>
    <t>168771488384</t>
  </si>
  <si>
    <t>990000523</t>
  </si>
  <si>
    <t>168771487616</t>
  </si>
  <si>
    <t>990000524</t>
  </si>
  <si>
    <t>168771487808</t>
  </si>
  <si>
    <t>990000525</t>
  </si>
  <si>
    <t>168771489152</t>
  </si>
  <si>
    <t>990000526</t>
  </si>
  <si>
    <t>168771486272</t>
  </si>
  <si>
    <t>990000527</t>
  </si>
  <si>
    <t>168771487040</t>
  </si>
  <si>
    <t>990000528</t>
  </si>
  <si>
    <t>168771489344</t>
  </si>
  <si>
    <t>990000529</t>
  </si>
  <si>
    <t>358124950637</t>
  </si>
  <si>
    <t>990000530</t>
  </si>
  <si>
    <t>358124952173</t>
  </si>
  <si>
    <t>990000531</t>
  </si>
  <si>
    <t>358124953517</t>
  </si>
  <si>
    <t>990000532</t>
  </si>
  <si>
    <t>168771485888</t>
  </si>
  <si>
    <t>990000533</t>
  </si>
  <si>
    <t>168771488576</t>
  </si>
  <si>
    <t>990000534</t>
  </si>
  <si>
    <t>168771488960</t>
  </si>
  <si>
    <t>990000535</t>
  </si>
  <si>
    <t>67111224299</t>
  </si>
  <si>
    <t>990000536</t>
  </si>
  <si>
    <t>67111225835</t>
  </si>
  <si>
    <t>990000537</t>
  </si>
  <si>
    <t>23612720215</t>
  </si>
  <si>
    <t>990000538</t>
  </si>
  <si>
    <t>67111490377</t>
  </si>
  <si>
    <t>990000539</t>
  </si>
  <si>
    <t>20112578795</t>
  </si>
  <si>
    <t>990000540</t>
  </si>
  <si>
    <t>67111490153</t>
  </si>
  <si>
    <t>990000541</t>
  </si>
  <si>
    <t>20112863810</t>
  </si>
  <si>
    <t>990000542</t>
  </si>
  <si>
    <t>20112578075</t>
  </si>
  <si>
    <t>990000543</t>
  </si>
  <si>
    <t>361000110881</t>
  </si>
  <si>
    <t>990000544</t>
  </si>
  <si>
    <t>361000108193</t>
  </si>
  <si>
    <t>990000545</t>
  </si>
  <si>
    <t>20112814209</t>
  </si>
  <si>
    <t>990000546</t>
  </si>
  <si>
    <t>67111224875</t>
  </si>
  <si>
    <t>990000547</t>
  </si>
  <si>
    <t>67111225643</t>
  </si>
  <si>
    <t>990000548</t>
  </si>
  <si>
    <t>67111531434</t>
  </si>
  <si>
    <t>990000549</t>
  </si>
  <si>
    <t>20112814977</t>
  </si>
  <si>
    <t>990000550</t>
  </si>
  <si>
    <t>20112576875</t>
  </si>
  <si>
    <t>990000551</t>
  </si>
  <si>
    <t>20112579563</t>
  </si>
  <si>
    <t>990000552</t>
  </si>
  <si>
    <t>20112577259</t>
  </si>
  <si>
    <t>990000553</t>
  </si>
  <si>
    <t>20112580331</t>
  </si>
  <si>
    <t>990000554</t>
  </si>
  <si>
    <t>67108979410</t>
  </si>
  <si>
    <t>990000555</t>
  </si>
  <si>
    <t>67108980178</t>
  </si>
  <si>
    <t>990000556</t>
  </si>
  <si>
    <t>67108982098</t>
  </si>
  <si>
    <t>990000557</t>
  </si>
  <si>
    <t>67111492841</t>
  </si>
  <si>
    <t>990000558</t>
  </si>
  <si>
    <t>67111493577</t>
  </si>
  <si>
    <t>990000559</t>
  </si>
  <si>
    <t>67111492137</t>
  </si>
  <si>
    <t>990000560</t>
  </si>
  <si>
    <t>67111492073</t>
  </si>
  <si>
    <t>990000561</t>
  </si>
  <si>
    <t>67111531626</t>
  </si>
  <si>
    <t>990000562</t>
  </si>
  <si>
    <t>67111490537</t>
  </si>
  <si>
    <t>990000563</t>
  </si>
  <si>
    <t>67111489833</t>
  </si>
  <si>
    <t>990000564</t>
  </si>
  <si>
    <t>67111490505</t>
  </si>
  <si>
    <t>990000565</t>
  </si>
  <si>
    <t>67111489769</t>
  </si>
  <si>
    <t>990000566</t>
  </si>
  <si>
    <t>20112816513</t>
  </si>
  <si>
    <t>990000567</t>
  </si>
  <si>
    <t>21727615556</t>
  </si>
  <si>
    <t>990000569</t>
  </si>
  <si>
    <t>21727614020</t>
  </si>
  <si>
    <t>990000571</t>
  </si>
  <si>
    <t>317783659754</t>
  </si>
  <si>
    <t>990000572</t>
  </si>
  <si>
    <t>317783661098</t>
  </si>
  <si>
    <t>990000573</t>
  </si>
  <si>
    <t>317783659178</t>
  </si>
  <si>
    <t>990000574</t>
  </si>
  <si>
    <t>317783660458</t>
  </si>
  <si>
    <t>990000575</t>
  </si>
  <si>
    <t>317783661418</t>
  </si>
  <si>
    <t>990000576</t>
  </si>
  <si>
    <t>317783662314</t>
  </si>
  <si>
    <t>990000577</t>
  </si>
  <si>
    <t>317783659818</t>
  </si>
  <si>
    <t>990000578</t>
  </si>
  <si>
    <t>317783662378</t>
  </si>
  <si>
    <t>990000579</t>
  </si>
  <si>
    <t>317783660970</t>
  </si>
  <si>
    <t>990000580</t>
  </si>
  <si>
    <t>317783661674</t>
  </si>
  <si>
    <t>990000581</t>
  </si>
  <si>
    <t>317783658858</t>
  </si>
  <si>
    <t>990000582</t>
  </si>
  <si>
    <t>317783658538</t>
  </si>
  <si>
    <t>990000583</t>
  </si>
  <si>
    <t>317783660746</t>
  </si>
  <si>
    <t>990000584</t>
  </si>
  <si>
    <t>317783660234</t>
  </si>
  <si>
    <t>990000585</t>
  </si>
  <si>
    <t>317783662026</t>
  </si>
  <si>
    <t>990000586</t>
  </si>
  <si>
    <t>317783660018</t>
  </si>
  <si>
    <t>990000587</t>
  </si>
  <si>
    <t>317783660658</t>
  </si>
  <si>
    <t>990000588</t>
  </si>
  <si>
    <t>317783658738</t>
  </si>
  <si>
    <t>990000589</t>
  </si>
  <si>
    <t>317783659018</t>
  </si>
  <si>
    <t>990000590</t>
  </si>
  <si>
    <t>317783660146</t>
  </si>
  <si>
    <t>990000591</t>
  </si>
  <si>
    <t>317783661938</t>
  </si>
  <si>
    <t>990000592</t>
  </si>
  <si>
    <t>317783661298</t>
  </si>
  <si>
    <t>990000593</t>
  </si>
  <si>
    <t>317783662578</t>
  </si>
  <si>
    <t>990000594</t>
  </si>
  <si>
    <t>317783659594</t>
  </si>
  <si>
    <t>990000595</t>
  </si>
  <si>
    <t>317783660810</t>
  </si>
  <si>
    <t>990000596</t>
  </si>
  <si>
    <t>317783658890</t>
  </si>
  <si>
    <t>990000597</t>
  </si>
  <si>
    <t>317783659338</t>
  </si>
  <si>
    <t>990000598</t>
  </si>
  <si>
    <t>317783660298</t>
  </si>
  <si>
    <t>990000599</t>
  </si>
  <si>
    <t>317783661706</t>
  </si>
  <si>
    <t>990000600</t>
  </si>
  <si>
    <t>317783661450</t>
  </si>
  <si>
    <t>990000601</t>
  </si>
  <si>
    <t>317783662154</t>
  </si>
  <si>
    <t>990000602</t>
  </si>
  <si>
    <t>317783659498</t>
  </si>
  <si>
    <t>990000603</t>
  </si>
  <si>
    <t>317783660570</t>
  </si>
  <si>
    <t>990000605</t>
  </si>
  <si>
    <t>317783662234</t>
  </si>
  <si>
    <t>990000606</t>
  </si>
  <si>
    <t>317783659162</t>
  </si>
  <si>
    <t>990000607</t>
  </si>
  <si>
    <t>317783660466</t>
  </si>
  <si>
    <t>990000608</t>
  </si>
  <si>
    <t>317783659930</t>
  </si>
  <si>
    <t>990000609</t>
  </si>
  <si>
    <t>317783662002</t>
  </si>
  <si>
    <t>990000611</t>
  </si>
  <si>
    <t>21509410594</t>
  </si>
  <si>
    <t>990000620</t>
  </si>
  <si>
    <t>19372908103</t>
  </si>
  <si>
    <t>990000621</t>
  </si>
  <si>
    <t>19372905799</t>
  </si>
  <si>
    <t>990000622</t>
  </si>
  <si>
    <t>17064261305</t>
  </si>
  <si>
    <t>990000631</t>
  </si>
  <si>
    <t>112435524590</t>
  </si>
  <si>
    <t>990000633</t>
  </si>
  <si>
    <t>112435524638</t>
  </si>
  <si>
    <t>990000634</t>
  </si>
  <si>
    <t>112435527662</t>
  </si>
  <si>
    <t>990000635</t>
  </si>
  <si>
    <t>192486080531</t>
  </si>
  <si>
    <t>990000636</t>
  </si>
  <si>
    <t>192486080547</t>
  </si>
  <si>
    <t>990000637</t>
  </si>
  <si>
    <t>192486080803</t>
  </si>
  <si>
    <t>990000638</t>
  </si>
  <si>
    <t>192486080883</t>
  </si>
  <si>
    <t>990000639</t>
  </si>
  <si>
    <t>192486081411</t>
  </si>
  <si>
    <t>990000640</t>
  </si>
  <si>
    <t>192486081459</t>
  </si>
  <si>
    <t>990000641</t>
  </si>
  <si>
    <t>192486081603</t>
  </si>
  <si>
    <t>990000642</t>
  </si>
  <si>
    <t>192486081651</t>
  </si>
  <si>
    <t>990000643</t>
  </si>
  <si>
    <t>192486081987</t>
  </si>
  <si>
    <t>990000644</t>
  </si>
  <si>
    <t>192486082147</t>
  </si>
  <si>
    <t>990000645</t>
  </si>
  <si>
    <t>192486082275</t>
  </si>
  <si>
    <t>990000646</t>
  </si>
  <si>
    <t>192486082403</t>
  </si>
  <si>
    <t>990000647</t>
  </si>
  <si>
    <t>192486082659</t>
  </si>
  <si>
    <t>990000648</t>
  </si>
  <si>
    <t>192486082755</t>
  </si>
  <si>
    <t>990000649</t>
  </si>
  <si>
    <t>192486082787</t>
  </si>
  <si>
    <t>990000650</t>
  </si>
  <si>
    <t>192486082947</t>
  </si>
  <si>
    <t>990000651</t>
  </si>
  <si>
    <t>192486083139</t>
  </si>
  <si>
    <t>990000652</t>
  </si>
  <si>
    <t>192486083187</t>
  </si>
  <si>
    <t>990000653</t>
  </si>
  <si>
    <t>192486083363</t>
  </si>
  <si>
    <t>990000654</t>
  </si>
  <si>
    <t>192486083907</t>
  </si>
  <si>
    <t>990000655</t>
  </si>
  <si>
    <t>192486083939</t>
  </si>
  <si>
    <t>990000656</t>
  </si>
  <si>
    <t>192486083955</t>
  </si>
  <si>
    <t>990000657</t>
  </si>
  <si>
    <t>192486084067</t>
  </si>
  <si>
    <t>990000658</t>
  </si>
  <si>
    <t>192486084259</t>
  </si>
  <si>
    <t>990000659</t>
  </si>
  <si>
    <t>192486084291</t>
  </si>
  <si>
    <t>990000660</t>
  </si>
  <si>
    <t>192486084531</t>
  </si>
  <si>
    <t>990000661</t>
  </si>
  <si>
    <t>990000208</t>
  </si>
  <si>
    <t>Equipo Movil</t>
  </si>
  <si>
    <t>990000218</t>
  </si>
  <si>
    <t>Addon Seguro ProtecciÃ³n de Pantalla</t>
  </si>
  <si>
    <t>990000219</t>
  </si>
  <si>
    <t>Addon Seguro ProtecciÃ³n de Pantalla (Incluido)</t>
  </si>
  <si>
    <t>990000220</t>
  </si>
  <si>
    <t>Addon Seguro ProtecciÃ³n MÃ³vil (Todo Riesgo + Pantalla)</t>
  </si>
  <si>
    <t>990000221</t>
  </si>
  <si>
    <t>Addon Seguro ProtecciÃ³n MÃ³vil (Todo Riesgo + Pantalla) (Incluido)</t>
  </si>
  <si>
    <t>990000229</t>
  </si>
  <si>
    <t>Paquete LDI 5min</t>
  </si>
  <si>
    <t>990000230</t>
  </si>
  <si>
    <t>Paquete LDI 10 min</t>
  </si>
  <si>
    <t>990000231</t>
  </si>
  <si>
    <t>Paquete LDI 30 min</t>
  </si>
  <si>
    <t>990000232</t>
  </si>
  <si>
    <t>Paquete Datos 40 MB</t>
  </si>
  <si>
    <t>990000233</t>
  </si>
  <si>
    <t>Paquete Datos 150 MB</t>
  </si>
  <si>
    <t>990000234</t>
  </si>
  <si>
    <t>Paquete Datos 100 MB + 20 Min + 5 SMS</t>
  </si>
  <si>
    <t>990000235</t>
  </si>
  <si>
    <t>Paquete Datos 200 MB + 50 Min + 10 SMS</t>
  </si>
  <si>
    <t>990000236</t>
  </si>
  <si>
    <t>Paquete Datos 500 MB + Unlimited Minutes + SMS</t>
  </si>
  <si>
    <t>990000237</t>
  </si>
  <si>
    <t>Paquete Datos 1 GB + Unlimited Minutes + SMS</t>
  </si>
  <si>
    <t>990000238</t>
  </si>
  <si>
    <t>Paquete Datos 2 GB + Unlimited Minutes + SMS</t>
  </si>
  <si>
    <t>990000241</t>
  </si>
  <si>
    <t>Paquete LDI 25 min</t>
  </si>
  <si>
    <t>990000242</t>
  </si>
  <si>
    <t>Paquete LDI 50 min</t>
  </si>
  <si>
    <t>990000243</t>
  </si>
  <si>
    <t>Paquete LDI 100 min</t>
  </si>
  <si>
    <t>367988470748</t>
  </si>
  <si>
    <t>990000210</t>
  </si>
  <si>
    <t>367988473052</t>
  </si>
  <si>
    <t>990000211</t>
  </si>
  <si>
    <t>367988473820</t>
  </si>
  <si>
    <t>990000213</t>
  </si>
  <si>
    <t>367988471516</t>
  </si>
  <si>
    <t>990000214</t>
  </si>
  <si>
    <t>378313356500</t>
  </si>
  <si>
    <t>990000683</t>
  </si>
  <si>
    <t>378313357652</t>
  </si>
  <si>
    <t>990000684</t>
  </si>
  <si>
    <t>378313358036</t>
  </si>
  <si>
    <t>990000685</t>
  </si>
  <si>
    <t>378313356116</t>
  </si>
  <si>
    <t>990000686</t>
  </si>
  <si>
    <t>378313355732</t>
  </si>
  <si>
    <t>990000687</t>
  </si>
  <si>
    <t>378313359188</t>
  </si>
  <si>
    <t>990000688</t>
  </si>
  <si>
    <t>25400312052</t>
  </si>
  <si>
    <t>990000689</t>
  </si>
  <si>
    <t>25400314740</t>
  </si>
  <si>
    <t>990000690</t>
  </si>
  <si>
    <t>990000691</t>
  </si>
  <si>
    <t>Billing  Discount</t>
  </si>
  <si>
    <t>990000692</t>
  </si>
  <si>
    <t>990000693</t>
  </si>
  <si>
    <t>990000694</t>
  </si>
  <si>
    <t>990000695</t>
  </si>
  <si>
    <t>990000696</t>
  </si>
  <si>
    <t>990000697</t>
  </si>
  <si>
    <t>990000698</t>
  </si>
  <si>
    <t>990000699</t>
  </si>
  <si>
    <t>990000700</t>
  </si>
  <si>
    <t>990000701</t>
  </si>
  <si>
    <t>990000702</t>
  </si>
  <si>
    <t>990000703</t>
  </si>
  <si>
    <t>990000704</t>
  </si>
  <si>
    <t>990000705</t>
  </si>
  <si>
    <t>990000706</t>
  </si>
  <si>
    <t>990000707</t>
  </si>
  <si>
    <t>990000708</t>
  </si>
  <si>
    <t>990000709</t>
  </si>
  <si>
    <t>358454263856</t>
  </si>
  <si>
    <t>990000266</t>
  </si>
  <si>
    <t>300355</t>
  </si>
  <si>
    <t>990000264</t>
  </si>
  <si>
    <t>301891</t>
  </si>
  <si>
    <t>990000262</t>
  </si>
  <si>
    <t>301619</t>
  </si>
  <si>
    <t>990000263</t>
  </si>
  <si>
    <t>299259</t>
  </si>
  <si>
    <t>990000265</t>
  </si>
  <si>
    <t>168771485696</t>
  </si>
  <si>
    <t>990001057</t>
  </si>
  <si>
    <t>168771488768</t>
  </si>
  <si>
    <t>990001059</t>
  </si>
  <si>
    <t>168771487232</t>
  </si>
  <si>
    <t>990001058</t>
  </si>
  <si>
    <t>20112817281</t>
  </si>
  <si>
    <t>990000993</t>
  </si>
  <si>
    <t>20112816897</t>
  </si>
  <si>
    <t>990000992</t>
  </si>
  <si>
    <t>20112815745</t>
  </si>
  <si>
    <t>990000991</t>
  </si>
  <si>
    <t>20112913506</t>
  </si>
  <si>
    <t>990001009</t>
  </si>
  <si>
    <t>20112915042</t>
  </si>
  <si>
    <t>990001017</t>
  </si>
  <si>
    <t>20112912738</t>
  </si>
  <si>
    <t>990001007</t>
  </si>
  <si>
    <t>20112915810</t>
  </si>
  <si>
    <t>990001020</t>
  </si>
  <si>
    <t>20112914274</t>
  </si>
  <si>
    <t>990001014</t>
  </si>
  <si>
    <t>20112914658</t>
  </si>
  <si>
    <t>990001015</t>
  </si>
  <si>
    <t>20112913122</t>
  </si>
  <si>
    <t>990001008</t>
  </si>
  <si>
    <t>20112916194</t>
  </si>
  <si>
    <t>990001021</t>
  </si>
  <si>
    <t>20112913890</t>
  </si>
  <si>
    <t>990001011</t>
  </si>
  <si>
    <t>20112915426</t>
  </si>
  <si>
    <t>990001018</t>
  </si>
  <si>
    <t>20112912402</t>
  </si>
  <si>
    <t>990001006</t>
  </si>
  <si>
    <t>20112915474</t>
  </si>
  <si>
    <t>990001019</t>
  </si>
  <si>
    <t>20112913938</t>
  </si>
  <si>
    <t>990001012</t>
  </si>
  <si>
    <t>20112914706</t>
  </si>
  <si>
    <t>990001016</t>
  </si>
  <si>
    <t>20112913698</t>
  </si>
  <si>
    <t>990001010</t>
  </si>
  <si>
    <t>20112914082</t>
  </si>
  <si>
    <t>990001013</t>
  </si>
  <si>
    <t>67108981330</t>
  </si>
  <si>
    <t>990001026</t>
  </si>
  <si>
    <t>67108980946</t>
  </si>
  <si>
    <t>990001025</t>
  </si>
  <si>
    <t>67108982482</t>
  </si>
  <si>
    <t>990001028</t>
  </si>
  <si>
    <t>67108981714</t>
  </si>
  <si>
    <t>990001027</t>
  </si>
  <si>
    <t>67111227179</t>
  </si>
  <si>
    <t>990001034</t>
  </si>
  <si>
    <t>67111226027</t>
  </si>
  <si>
    <t>990001030</t>
  </si>
  <si>
    <t>67111226795</t>
  </si>
  <si>
    <t>990001032</t>
  </si>
  <si>
    <t>67111225451</t>
  </si>
  <si>
    <t>990001029</t>
  </si>
  <si>
    <t>67111226987</t>
  </si>
  <si>
    <t>990001033</t>
  </si>
  <si>
    <t>67111226219</t>
  </si>
  <si>
    <t>990001031</t>
  </si>
  <si>
    <t>20112865922</t>
  </si>
  <si>
    <t>990001114</t>
  </si>
  <si>
    <t>20112863234</t>
  </si>
  <si>
    <t>990001111</t>
  </si>
  <si>
    <t>20112864770</t>
  </si>
  <si>
    <t>990001110</t>
  </si>
  <si>
    <t>67111489609</t>
  </si>
  <si>
    <t>990001035</t>
  </si>
  <si>
    <t>67111492681</t>
  </si>
  <si>
    <t>990001051</t>
  </si>
  <si>
    <t>67111491145</t>
  </si>
  <si>
    <t>990001041</t>
  </si>
  <si>
    <t>67111491913</t>
  </si>
  <si>
    <t>990001047</t>
  </si>
  <si>
    <t>67111493449</t>
  </si>
  <si>
    <t>990001055</t>
  </si>
  <si>
    <t>67111490761</t>
  </si>
  <si>
    <t>990001039</t>
  </si>
  <si>
    <t>67111492041</t>
  </si>
  <si>
    <t>990001048</t>
  </si>
  <si>
    <t>67111490601</t>
  </si>
  <si>
    <t>990001038</t>
  </si>
  <si>
    <t>67111492905</t>
  </si>
  <si>
    <t>990001052</t>
  </si>
  <si>
    <t>67111491369</t>
  </si>
  <si>
    <t>990001043</t>
  </si>
  <si>
    <t>67111491753</t>
  </si>
  <si>
    <t>990001046</t>
  </si>
  <si>
    <t>67111491497</t>
  </si>
  <si>
    <t>990001044</t>
  </si>
  <si>
    <t>67111491689</t>
  </si>
  <si>
    <t>990001045</t>
  </si>
  <si>
    <t>67111493225</t>
  </si>
  <si>
    <t>990001054</t>
  </si>
  <si>
    <t>67111490921</t>
  </si>
  <si>
    <t>990001040</t>
  </si>
  <si>
    <t>67111493609</t>
  </si>
  <si>
    <t>990001056</t>
  </si>
  <si>
    <t>67111490585</t>
  </si>
  <si>
    <t>990001037</t>
  </si>
  <si>
    <t>67111492121</t>
  </si>
  <si>
    <t>990001049</t>
  </si>
  <si>
    <t>23612720023</t>
  </si>
  <si>
    <t>990001023</t>
  </si>
  <si>
    <t>23612723095</t>
  </si>
  <si>
    <t>990001024</t>
  </si>
  <si>
    <t>368598215654</t>
  </si>
  <si>
    <t>990001061</t>
  </si>
  <si>
    <t>368598212630</t>
  </si>
  <si>
    <t>990001060</t>
  </si>
  <si>
    <t>368598215702</t>
  </si>
  <si>
    <t>990001062</t>
  </si>
  <si>
    <t>Produccion</t>
  </si>
  <si>
    <t>Semilla04</t>
  </si>
  <si>
    <t>Json</t>
  </si>
  <si>
    <t>offeringid</t>
  </si>
  <si>
    <t>name</t>
  </si>
  <si>
    <t>mode</t>
  </si>
  <si>
    <t>key</t>
  </si>
  <si>
    <t>true</t>
  </si>
  <si>
    <t>json</t>
  </si>
  <si>
    <t>ignore</t>
  </si>
  <si>
    <t>offeringidATP</t>
  </si>
  <si>
    <t>semilla04</t>
  </si>
  <si>
    <t>PRODUCCION</t>
  </si>
  <si>
    <t>Value.legacyid</t>
  </si>
  <si>
    <t>Voz - OnNet - Bajo 0</t>
  </si>
  <si>
    <t>Voz - OnNet - Bajo 1</t>
  </si>
  <si>
    <t>Voz - OnNet - Medio 2</t>
  </si>
  <si>
    <t>Voz - OnNet - Alto 2</t>
  </si>
  <si>
    <t>Voz-OnNet-170m</t>
  </si>
  <si>
    <t>Voz-OnNet-250m</t>
  </si>
  <si>
    <t>Voz-OnNet-350m</t>
  </si>
  <si>
    <t>Voz-OnNet-550m</t>
  </si>
  <si>
    <t>Voz-OnNet-Ilimitado</t>
  </si>
  <si>
    <t>Voz-OnNet-10800s</t>
  </si>
  <si>
    <t>Voz-OnNet-18000s</t>
  </si>
  <si>
    <t>Voz-OnNet-2678400s</t>
  </si>
  <si>
    <t>Voz-OnNet-39000s</t>
  </si>
  <si>
    <t>Voz-OnNet-72000s</t>
  </si>
  <si>
    <t>Voz - Todo destino - Bajo 0</t>
  </si>
  <si>
    <t>Voz - Todo destino - Bajo 1</t>
  </si>
  <si>
    <t>Voz - Todo destino - Bajo 2</t>
  </si>
  <si>
    <t>Voz - Todo destino - Medio 1</t>
  </si>
  <si>
    <t>Voz - Todo destino - Medio 2</t>
  </si>
  <si>
    <t>Voz - Todo destino - Alto 1</t>
  </si>
  <si>
    <t>Voz - Todo destino - 250m</t>
  </si>
  <si>
    <t>Voz-TD- Medio 4 - 170min</t>
  </si>
  <si>
    <t>Voz-TD-100m</t>
  </si>
  <si>
    <t>Voz-TD-170m</t>
  </si>
  <si>
    <t>Voz-TD-200m_a</t>
  </si>
  <si>
    <t>Voz-TD-270m</t>
  </si>
  <si>
    <t>Voz-TD-450m</t>
  </si>
  <si>
    <t>Voz-TD-850m</t>
  </si>
  <si>
    <t>Voz-TD-950m</t>
  </si>
  <si>
    <t>Voz-TD-600m_c</t>
  </si>
  <si>
    <t>Voz-TD-600m</t>
  </si>
  <si>
    <t>Voz-TD-700m</t>
  </si>
  <si>
    <t>Voz-TD-1000m</t>
  </si>
  <si>
    <t>Voz-TD-1500m</t>
  </si>
  <si>
    <t>Voz-TD-40m</t>
  </si>
  <si>
    <t>Voz-TD-150m</t>
  </si>
  <si>
    <t>Voz-TD-200m</t>
  </si>
  <si>
    <t>Voz-TD-300m</t>
  </si>
  <si>
    <t>Voz-TD-50m</t>
  </si>
  <si>
    <t>Voz-TD-Ilimitado</t>
  </si>
  <si>
    <t>Voz-TD-30000s</t>
  </si>
  <si>
    <t>Voz-TD-12000s</t>
  </si>
  <si>
    <t>Voz-TD-24000s</t>
  </si>
  <si>
    <t>Voz-TD-54000s</t>
  </si>
  <si>
    <t>Voz-TD-2678400s</t>
  </si>
  <si>
    <t>Voz-TD-27000s</t>
  </si>
  <si>
    <t>Voz-TD-36000s</t>
  </si>
  <si>
    <t>Voz-TD-60000s</t>
  </si>
  <si>
    <t>Voz-TD-78000s</t>
  </si>
  <si>
    <t>Voz-TD-98000s</t>
  </si>
  <si>
    <t>Voz-TD-114000s</t>
  </si>
  <si>
    <t>Voz-TD-132000s</t>
  </si>
  <si>
    <t>Voz-TD-150000s</t>
  </si>
  <si>
    <t>Voz-TD-168000s</t>
  </si>
  <si>
    <t>Voz-TD-186000s</t>
  </si>
  <si>
    <t>Voz-TD-15000s</t>
  </si>
  <si>
    <t>Voz-TD-84000s</t>
  </si>
  <si>
    <t>Voz-TD-21000s</t>
  </si>
  <si>
    <t>Voz-TD-42000s</t>
  </si>
  <si>
    <t>Voz-TD-9000s</t>
  </si>
  <si>
    <t>Voz-TD-6000s</t>
  </si>
  <si>
    <t>Voz-TD-48000s</t>
  </si>
  <si>
    <t>Voz-TD-72000s</t>
  </si>
  <si>
    <t>Voz-TD-45000s</t>
  </si>
  <si>
    <t>Voz-TD-300000s</t>
  </si>
  <si>
    <t>Voz-TD-600000s</t>
  </si>
  <si>
    <t>Voz - OnNet - Regalo 0</t>
  </si>
  <si>
    <t>Voz - OnNet - Regalo 1</t>
  </si>
  <si>
    <t>Voz - OnNet - Regalo 2</t>
  </si>
  <si>
    <t>Voz - Todo destino - Regalo 1</t>
  </si>
  <si>
    <t>Voz - Todo destino - Regalo 2</t>
  </si>
  <si>
    <t>Voz-LDI G1y2-600s</t>
  </si>
  <si>
    <t>Data - Bajo 0</t>
  </si>
  <si>
    <t>Data - Bajo 1</t>
  </si>
  <si>
    <t>Data - Medio 1</t>
  </si>
  <si>
    <t>Data - Medio 2</t>
  </si>
  <si>
    <t>Data 3Gb</t>
  </si>
  <si>
    <t>Data 4Gb</t>
  </si>
  <si>
    <t>Data 5Gb</t>
  </si>
  <si>
    <t>Data 6Gb</t>
  </si>
  <si>
    <t>Data 750MB</t>
  </si>
  <si>
    <t>Data 1Gb</t>
  </si>
  <si>
    <t>Data 2Gb</t>
  </si>
  <si>
    <t>Data 2.5Gb</t>
  </si>
  <si>
    <t>Data 8Gb</t>
  </si>
  <si>
    <t>Data 10Gb</t>
  </si>
  <si>
    <t>Data 12Gb</t>
  </si>
  <si>
    <t>Data 15Gb</t>
  </si>
  <si>
    <t>Data 1GB</t>
  </si>
  <si>
    <t>Data 1.5GB</t>
  </si>
  <si>
    <t>Data 2.5GB</t>
  </si>
  <si>
    <t>Data 2.6GB</t>
  </si>
  <si>
    <t>Data 4.2GB</t>
  </si>
  <si>
    <t>Data 5.2GB</t>
  </si>
  <si>
    <t>Data 3.5GB</t>
  </si>
  <si>
    <t>Data 2 GB</t>
  </si>
  <si>
    <t>Data 2.5 GB</t>
  </si>
  <si>
    <t>Data 3 GB</t>
  </si>
  <si>
    <t>Data 4 GB</t>
  </si>
  <si>
    <t>Data 5 GB</t>
  </si>
  <si>
    <t>Data Unlimited</t>
  </si>
  <si>
    <t>Data 500 MB</t>
  </si>
  <si>
    <t>Data 800 MB</t>
  </si>
  <si>
    <t>Data 1 GB</t>
  </si>
  <si>
    <t>Data 2GB</t>
  </si>
  <si>
    <t>Data 3GB</t>
  </si>
  <si>
    <t>Data 4GB</t>
  </si>
  <si>
    <t>Data 5GB</t>
  </si>
  <si>
    <t>Data 5.5GB</t>
  </si>
  <si>
    <t>Data 6.5GB</t>
  </si>
  <si>
    <t>Data 800MB</t>
  </si>
  <si>
    <t>Data 4.5GB</t>
  </si>
  <si>
    <t>Data 1.3GB</t>
  </si>
  <si>
    <t>Data 7GB</t>
  </si>
  <si>
    <t>Blackberry Total</t>
  </si>
  <si>
    <t>BlackBerry Total</t>
  </si>
  <si>
    <t>BlackBerry 2 - 2G</t>
  </si>
  <si>
    <t>BlackBerry Social</t>
  </si>
  <si>
    <t>DPI Mail</t>
  </si>
  <si>
    <t>DPI Chat</t>
  </si>
  <si>
    <t>DPI Chat + Redes sociales</t>
  </si>
  <si>
    <t>DPI Chat + Mail</t>
  </si>
  <si>
    <t>Deezer 750 Mb</t>
  </si>
  <si>
    <t>Deezer 1.5 Gb</t>
  </si>
  <si>
    <t>Deezer 2.5 Gb</t>
  </si>
  <si>
    <t>Deezer 4 Gb</t>
  </si>
  <si>
    <t>Deezer 5 Gb</t>
  </si>
  <si>
    <t>Smart 750MB</t>
  </si>
  <si>
    <t>Smart 1GB</t>
  </si>
  <si>
    <t>Smart 2GB</t>
  </si>
  <si>
    <t>Smart 2.5GB</t>
  </si>
  <si>
    <t>Smart 3GB</t>
  </si>
  <si>
    <t>Smart 4GB</t>
  </si>
  <si>
    <t>Smart 5GB</t>
  </si>
  <si>
    <t>Smart 6GB</t>
  </si>
  <si>
    <t>Smart 7GB</t>
  </si>
  <si>
    <t>Smart sin datos</t>
  </si>
  <si>
    <t>Smart sin navegacion</t>
  </si>
  <si>
    <t>Smart cero pesos</t>
  </si>
  <si>
    <t>Smart 49</t>
  </si>
  <si>
    <t>Smart 50</t>
  </si>
  <si>
    <t>Smart 51</t>
  </si>
  <si>
    <t>Data 6GB</t>
  </si>
  <si>
    <t>Data 8GB</t>
  </si>
  <si>
    <t>Data 10GB</t>
  </si>
  <si>
    <t>Data 12GB</t>
  </si>
  <si>
    <t>Data WhatsFace</t>
  </si>
  <si>
    <t>Data WhatsApp</t>
  </si>
  <si>
    <t>Data 2.5GB WhatsFace</t>
  </si>
  <si>
    <t>Data 3.5GB WhatsFace</t>
  </si>
  <si>
    <t>Data 7GB WhatsFace</t>
  </si>
  <si>
    <t>Data 15GB</t>
  </si>
  <si>
    <t>Data 20GB</t>
  </si>
  <si>
    <t>Data 1TB</t>
  </si>
  <si>
    <t>Data 0.8GB</t>
  </si>
  <si>
    <t>Data 9GB</t>
  </si>
  <si>
    <t>Data 11GB</t>
  </si>
  <si>
    <t>Data 16GB</t>
  </si>
  <si>
    <t>Data 17GB</t>
  </si>
  <si>
    <t>Data 22GB</t>
  </si>
  <si>
    <t>Data 1.2GB</t>
  </si>
  <si>
    <t>Data 7.5GB</t>
  </si>
  <si>
    <t>Data 8.5GB</t>
  </si>
  <si>
    <t>Data 9.5GB</t>
  </si>
  <si>
    <t>Data 10.5GB</t>
  </si>
  <si>
    <t>Data 11.5GB</t>
  </si>
  <si>
    <t>Data 12.5GB</t>
  </si>
  <si>
    <t>Data 15.5GB</t>
  </si>
  <si>
    <t>Data 16.5GB</t>
  </si>
  <si>
    <t>Data 17.5GB</t>
  </si>
  <si>
    <t>Data 1.7GB</t>
  </si>
  <si>
    <t>Data 18.5GB</t>
  </si>
  <si>
    <t>Data 23.5GB</t>
  </si>
  <si>
    <t>Data 0.5GB</t>
  </si>
  <si>
    <t>Data - Regalo</t>
  </si>
  <si>
    <t>BlackBerry Regalo</t>
  </si>
  <si>
    <t>Sms - OnNet - Bajo</t>
  </si>
  <si>
    <t>Sms - OnNet - Medio</t>
  </si>
  <si>
    <t>Sms-OnNet-1000</t>
  </si>
  <si>
    <t>Sms-OnNet-100s</t>
  </si>
  <si>
    <t>Sms-OnNet-5000D</t>
  </si>
  <si>
    <t>Sms - Todo destino - Bajo 0</t>
  </si>
  <si>
    <t>Sms - Todo destino - Bajo 1</t>
  </si>
  <si>
    <t>Sms-TD-Bajo 2-50sms</t>
  </si>
  <si>
    <t>Sms-TD-Medio 2-100sms</t>
  </si>
  <si>
    <t>Sms-TD-10s</t>
  </si>
  <si>
    <t>Sms-TD-20s</t>
  </si>
  <si>
    <t>Sms-TD-40s</t>
  </si>
  <si>
    <t>Sms-TD-60s</t>
  </si>
  <si>
    <t>Sms-TD-100</t>
  </si>
  <si>
    <t>Sms-TD-200</t>
  </si>
  <si>
    <t>Sms-TD-20</t>
  </si>
  <si>
    <t>Sms-TD-50</t>
  </si>
  <si>
    <t>Sms-TD-Ilimitado</t>
  </si>
  <si>
    <t>Sms - Todo destino - 100</t>
  </si>
  <si>
    <t>Sms - Todo destino - 200</t>
  </si>
  <si>
    <t>Sms - Todo destino - Regalo 1</t>
  </si>
  <si>
    <t>Favorito 1</t>
  </si>
  <si>
    <t>Favorito 2</t>
  </si>
  <si>
    <t>Favorito 3</t>
  </si>
  <si>
    <t>Favorito 5</t>
  </si>
  <si>
    <t>Favorito 2b</t>
  </si>
  <si>
    <t>Favorito 3b</t>
  </si>
  <si>
    <t>Favorito 2b 0</t>
  </si>
  <si>
    <t>Favorito 30</t>
  </si>
  <si>
    <t>Favorito 31</t>
  </si>
  <si>
    <t>Favorito 32</t>
  </si>
  <si>
    <t>Favorito 33</t>
  </si>
  <si>
    <t>Favorito 34</t>
  </si>
  <si>
    <t>Favorito 35</t>
  </si>
  <si>
    <t>Favorito 36</t>
  </si>
  <si>
    <t>Favorito 37</t>
  </si>
  <si>
    <t>Favorito 39</t>
  </si>
  <si>
    <t>Favorito 40</t>
  </si>
  <si>
    <t>Favorito 42</t>
  </si>
  <si>
    <t>Favorito 44</t>
  </si>
  <si>
    <t>Favorito 48</t>
  </si>
  <si>
    <t>Favorito 49</t>
  </si>
  <si>
    <t>Favorito 50</t>
  </si>
  <si>
    <t>Favorito 51</t>
  </si>
  <si>
    <t>Favorito 52</t>
  </si>
  <si>
    <t>Favorito 53</t>
  </si>
  <si>
    <t>Favorito 54</t>
  </si>
  <si>
    <t>Favorito 57</t>
  </si>
  <si>
    <t>Favorito 58</t>
  </si>
  <si>
    <t>Favorito 59</t>
  </si>
  <si>
    <t>Favorito 60</t>
  </si>
  <si>
    <t>Favorito 61</t>
  </si>
  <si>
    <t>Favorito 62</t>
  </si>
  <si>
    <t>Favorito 63</t>
  </si>
  <si>
    <t>Favorito 64</t>
  </si>
  <si>
    <t>Favorito 65</t>
  </si>
  <si>
    <t>Favorito 66</t>
  </si>
  <si>
    <t>Favorito 67</t>
  </si>
  <si>
    <t>Favorito 68</t>
  </si>
  <si>
    <t>Favorito 69</t>
  </si>
  <si>
    <t>Favorito 70</t>
  </si>
  <si>
    <t>Favorito 71</t>
  </si>
  <si>
    <t>Favorito 72</t>
  </si>
  <si>
    <t>Favorito 73</t>
  </si>
  <si>
    <t>Favorito 74</t>
  </si>
  <si>
    <t>Favorito 75</t>
  </si>
  <si>
    <t>Favorito 76</t>
  </si>
  <si>
    <t>Favorito 77</t>
  </si>
  <si>
    <t>Favorito 79</t>
  </si>
  <si>
    <t>Favorito 80</t>
  </si>
  <si>
    <t>Favorito 81</t>
  </si>
  <si>
    <t>Favorito 82</t>
  </si>
  <si>
    <t>Favorito 83</t>
  </si>
  <si>
    <t>Favorito 85</t>
  </si>
  <si>
    <t>Favorito 86</t>
  </si>
  <si>
    <t>Favorito 87</t>
  </si>
  <si>
    <t>Favorito 89</t>
  </si>
  <si>
    <t>Favorito 90</t>
  </si>
  <si>
    <t>Favorito 91</t>
  </si>
  <si>
    <t>Favorito 92</t>
  </si>
  <si>
    <t>Favorito Ilimitado 1</t>
  </si>
  <si>
    <t>Favorito TD 2678400s</t>
  </si>
  <si>
    <t>Favorito Ilimitado 4</t>
  </si>
  <si>
    <t>Favorito Ilimitado 5</t>
  </si>
  <si>
    <t>Favorito Bolsa 8k</t>
  </si>
  <si>
    <t>Favorito Tigo 01</t>
  </si>
  <si>
    <t>Favorito Tigo 02</t>
  </si>
  <si>
    <t>Favorito Tigo 03</t>
  </si>
  <si>
    <t>Favorito Tigo 04</t>
  </si>
  <si>
    <t>Favorito Tigo 05</t>
  </si>
  <si>
    <t>Favorito Tigo 06</t>
  </si>
  <si>
    <t>Favorito Tigo 07</t>
  </si>
  <si>
    <t>Favorito Tigo 08</t>
  </si>
  <si>
    <t>Noticias 1</t>
  </si>
  <si>
    <t>Extra-Charge-4000</t>
  </si>
  <si>
    <t>Extra-Charge-6000</t>
  </si>
  <si>
    <t>Extra-Charge-9000</t>
  </si>
  <si>
    <t>Extra-Charge-7000</t>
  </si>
  <si>
    <t>Extra-Charge-13000</t>
  </si>
  <si>
    <t>Extra-Charge-10000</t>
  </si>
  <si>
    <t>Extra-Charge-2000</t>
  </si>
  <si>
    <t>Extra-Charge-3000</t>
  </si>
  <si>
    <t>Extra-Charge-8000</t>
  </si>
  <si>
    <t>Extra-Charge-12000</t>
  </si>
  <si>
    <t>Extra-Charge-17000</t>
  </si>
  <si>
    <t>Deezer 7.900</t>
  </si>
  <si>
    <t>Deezer 8.600</t>
  </si>
  <si>
    <t>Deezer 10.800</t>
  </si>
  <si>
    <t>Deezer 12.000</t>
  </si>
  <si>
    <t>Deezer 15.900</t>
  </si>
  <si>
    <t>Deezer2 12.000</t>
  </si>
  <si>
    <t>Deezer2 15.900</t>
  </si>
  <si>
    <t>Deezer2 8500</t>
  </si>
  <si>
    <t>Deezer2 11650</t>
  </si>
  <si>
    <t>Deezer2 Ilimitado</t>
  </si>
  <si>
    <t>Deezer2 11952</t>
  </si>
  <si>
    <t>Deezer2 11949</t>
  </si>
  <si>
    <t>Deezer2 11780</t>
  </si>
  <si>
    <t>SDP 8GB-2D</t>
  </si>
  <si>
    <t>SDP 10GB-5D</t>
  </si>
  <si>
    <t>SDP 6GB-2D</t>
  </si>
  <si>
    <t>SDP 7.5GB-2D</t>
  </si>
  <si>
    <t>SDP 9GB-2D</t>
  </si>
  <si>
    <t>SDP 10GB-3D</t>
  </si>
  <si>
    <t>SDP 11GB-3D</t>
  </si>
  <si>
    <t>SDP 14GB-5D</t>
  </si>
  <si>
    <t>SDP 11GB-2D</t>
  </si>
  <si>
    <t>SDP 11GB-4D</t>
  </si>
  <si>
    <t>SDP 11GB-5D</t>
  </si>
  <si>
    <t>SDP 11GB-6D</t>
  </si>
  <si>
    <t>SDP 6.5GB-2D</t>
  </si>
  <si>
    <t>SDP 13GB-4D</t>
  </si>
  <si>
    <t>SDP 14GB-4D</t>
  </si>
  <si>
    <t>SDP 15GB-5D</t>
  </si>
  <si>
    <t>SDP 10GB-2D</t>
  </si>
  <si>
    <t>SDP 7GB-2D</t>
  </si>
  <si>
    <t>SDP 20GB-6D</t>
  </si>
  <si>
    <t>SDP 12GB-3D</t>
  </si>
  <si>
    <t>SDP 15GB-3D</t>
  </si>
  <si>
    <t>SDP 6GB-3D</t>
  </si>
  <si>
    <t>SDP 8GB-3D</t>
  </si>
  <si>
    <t>SDP 20GB-5D</t>
  </si>
  <si>
    <t>SDP 400TD-2D</t>
  </si>
  <si>
    <t>SDP 2000TD-5D</t>
  </si>
  <si>
    <t>SDP 90000TD-2D</t>
  </si>
  <si>
    <t>SDP 120000TD-2D</t>
  </si>
  <si>
    <t>SDP 180000TD-3D</t>
  </si>
  <si>
    <t>SDP 240000TD-3D</t>
  </si>
  <si>
    <t>SDP 300000TD-3D</t>
  </si>
  <si>
    <t>SDP 600000TD-5D</t>
  </si>
  <si>
    <t>SDP 10000TD-5D</t>
  </si>
  <si>
    <t>SDP 5000TD-3D</t>
  </si>
  <si>
    <t>SDP 4000TD-3D</t>
  </si>
  <si>
    <t>SDP 3000TD-3D</t>
  </si>
  <si>
    <t>SDP 1500TD-2D</t>
  </si>
  <si>
    <t>SDP 2000TD-2D</t>
  </si>
  <si>
    <t>SDP 200SMS-5D</t>
  </si>
  <si>
    <t>SDP 100000SMS-2D</t>
  </si>
  <si>
    <t>SDP 100000SMS-3D</t>
  </si>
  <si>
    <t>SDP 100000SMS-5D</t>
  </si>
  <si>
    <t>SDP UnlimitedSMS-3D</t>
  </si>
  <si>
    <t>SDP UnlimitedSMS-2D</t>
  </si>
  <si>
    <t>SDP UnlimitedSMS-5D</t>
  </si>
  <si>
    <t>SDP CUGV-2D</t>
  </si>
  <si>
    <t>SDP CUGV-5D</t>
  </si>
  <si>
    <t>SDP CUGV-3D</t>
  </si>
  <si>
    <t>CUG-4D</t>
  </si>
  <si>
    <t>CUG-3D</t>
  </si>
  <si>
    <t>CUG-2D</t>
  </si>
  <si>
    <t>CUG-5D</t>
  </si>
  <si>
    <t>SDP CUGV-6D</t>
  </si>
  <si>
    <t>CUG-4Fav</t>
  </si>
  <si>
    <t>CUG-5Fav</t>
  </si>
  <si>
    <t>CUG-2Fav</t>
  </si>
  <si>
    <t>CUG-3Fav</t>
  </si>
  <si>
    <t>CUG-6D</t>
  </si>
  <si>
    <t>CUG-6Fav</t>
  </si>
  <si>
    <t>SDP CUGS-2D</t>
  </si>
  <si>
    <t>SDP CUGS-3D</t>
  </si>
  <si>
    <t>SDP CUGS-5D</t>
  </si>
  <si>
    <t>Voz - Favoritos - 1</t>
  </si>
  <si>
    <t>Voz - Favoritos - 2</t>
  </si>
  <si>
    <t>Voz - Favoritos - 3</t>
  </si>
  <si>
    <t>Favorito ilimitado 4</t>
  </si>
  <si>
    <t>4 Fav Allnet</t>
  </si>
  <si>
    <t>Voz-TD_Sec-180m</t>
  </si>
  <si>
    <t>Voz-TD_Seg-150m</t>
  </si>
  <si>
    <t>Voz-TD_Seg-250m</t>
  </si>
  <si>
    <t>Voz-TD-36000 seg</t>
  </si>
  <si>
    <t>Voz-TD-24000 seg</t>
  </si>
  <si>
    <t>Voz-TD-6000 seg</t>
  </si>
  <si>
    <t>Voz-TD-51000 seg</t>
  </si>
  <si>
    <t>Voz-TD-9000 seg</t>
  </si>
  <si>
    <t>Voz-TD-12000 seg</t>
  </si>
  <si>
    <t>Voz-TD-15000 seg</t>
  </si>
  <si>
    <t>Voz-TD-78000 seg</t>
  </si>
  <si>
    <t>Voz-TD-18000 seg</t>
  </si>
  <si>
    <t>Voz-TD-21000 seg</t>
  </si>
  <si>
    <t>Voz-TD-Infinito</t>
  </si>
  <si>
    <t>Voz-TD-30000 seg</t>
  </si>
  <si>
    <t>Voz-TD-42000 seg</t>
  </si>
  <si>
    <t>Voz-TD-Ilimitado seg</t>
  </si>
  <si>
    <t>2 Fav Allnet</t>
  </si>
  <si>
    <t>Favorito ilimitado 5</t>
  </si>
  <si>
    <t>3 Fav Allnet</t>
  </si>
  <si>
    <t>Favorito ilimitado 6</t>
  </si>
  <si>
    <t>Favorito ilimitado 7</t>
  </si>
  <si>
    <t>5 Fav Allnet</t>
  </si>
  <si>
    <t>Voz-TD_Sec-280m</t>
  </si>
  <si>
    <t>Voz-TD_Sec-340m</t>
  </si>
  <si>
    <t>Voz-TD_Seg-390m</t>
  </si>
  <si>
    <t>Voz-TD_Seg-600m</t>
  </si>
  <si>
    <t>Voz-TD_Seg-650m</t>
  </si>
  <si>
    <t>Voz-TD_Seg-800m</t>
  </si>
  <si>
    <t>Voz-TD_Seg-1000m</t>
  </si>
  <si>
    <t>Voz-TD_Seg-1300m</t>
  </si>
  <si>
    <t>Voz-TD_Seg-1500m</t>
  </si>
  <si>
    <t>Voz-TD_Seg-1700m</t>
  </si>
  <si>
    <t>Voz-TD_Seg-3000m</t>
  </si>
  <si>
    <t>Voz-TD-48000 seg</t>
  </si>
  <si>
    <t>Voz-TD-54000 seg</t>
  </si>
  <si>
    <t>Voz-TD-60000 seg</t>
  </si>
  <si>
    <t>19925</t>
  </si>
  <si>
    <t>28304</t>
  </si>
  <si>
    <t>26872</t>
  </si>
  <si>
    <t>76</t>
  </si>
  <si>
    <t>482</t>
  </si>
  <si>
    <t>47856</t>
  </si>
  <si>
    <t>84166</t>
  </si>
  <si>
    <t>1445</t>
  </si>
  <si>
    <t>194460</t>
  </si>
  <si>
    <t>46135</t>
  </si>
  <si>
    <t>55766</t>
  </si>
  <si>
    <t>65400</t>
  </si>
  <si>
    <t>84662</t>
  </si>
  <si>
    <t>19142</t>
  </si>
  <si>
    <t>825</t>
  </si>
  <si>
    <t>19938</t>
  </si>
  <si>
    <t>19264</t>
  </si>
  <si>
    <t>33711</t>
  </si>
  <si>
    <t>57790</t>
  </si>
  <si>
    <t>96315</t>
  </si>
  <si>
    <t>23239</t>
  </si>
  <si>
    <t>36061</t>
  </si>
  <si>
    <t>13930</t>
  </si>
  <si>
    <t>21614</t>
  </si>
  <si>
    <t>24373</t>
  </si>
  <si>
    <t>25389</t>
  </si>
  <si>
    <t>1050</t>
  </si>
  <si>
    <t>41840</t>
  </si>
  <si>
    <t>26964</t>
  </si>
  <si>
    <t>23925</t>
  </si>
  <si>
    <t>15419</t>
  </si>
  <si>
    <t>29705</t>
  </si>
  <si>
    <t>16760</t>
  </si>
  <si>
    <t>9311</t>
  </si>
  <si>
    <t>13967</t>
  </si>
  <si>
    <t>6518</t>
  </si>
  <si>
    <t>94293</t>
  </si>
  <si>
    <t>24946</t>
  </si>
  <si>
    <t>14351</t>
  </si>
  <si>
    <t>21094</t>
  </si>
  <si>
    <t>75030</t>
  </si>
  <si>
    <t>290776</t>
  </si>
  <si>
    <t>74</t>
  </si>
  <si>
    <t>1863</t>
  </si>
  <si>
    <t>27932</t>
  </si>
  <si>
    <t>37242</t>
  </si>
  <si>
    <t>46552</t>
  </si>
  <si>
    <t>75</t>
  </si>
  <si>
    <t>56236</t>
  </si>
  <si>
    <t>1293</t>
  </si>
  <si>
    <t>67000</t>
  </si>
  <si>
    <t>25333</t>
  </si>
  <si>
    <t>32960</t>
  </si>
  <si>
    <t>75333</t>
  </si>
  <si>
    <t>93272</t>
  </si>
  <si>
    <t>60109</t>
  </si>
  <si>
    <t>43574</t>
  </si>
  <si>
    <t>28081</t>
  </si>
  <si>
    <t>30688</t>
  </si>
  <si>
    <t>47619</t>
  </si>
  <si>
    <t>52820</t>
  </si>
  <si>
    <t>34040</t>
  </si>
  <si>
    <t>60911</t>
  </si>
  <si>
    <t>39253</t>
  </si>
  <si>
    <t>44467</t>
  </si>
  <si>
    <t>69001</t>
  </si>
  <si>
    <t>1369</t>
  </si>
  <si>
    <t>33109</t>
  </si>
  <si>
    <t>31785</t>
  </si>
  <si>
    <t>1332</t>
  </si>
  <si>
    <t>44771</t>
  </si>
  <si>
    <t>69472</t>
  </si>
  <si>
    <t>9536</t>
  </si>
  <si>
    <t>14640</t>
  </si>
  <si>
    <t>14153</t>
  </si>
  <si>
    <t>9631</t>
  </si>
  <si>
    <t>36503</t>
  </si>
  <si>
    <t>4816</t>
  </si>
  <si>
    <t>15195</t>
  </si>
  <si>
    <t>655</t>
  </si>
  <si>
    <t>65547</t>
  </si>
  <si>
    <t>74857</t>
  </si>
  <si>
    <t>38547</t>
  </si>
  <si>
    <t>62221</t>
  </si>
  <si>
    <t>70574</t>
  </si>
  <si>
    <t>2890</t>
  </si>
  <si>
    <t>990000624</t>
  </si>
  <si>
    <t>10345</t>
  </si>
  <si>
    <t>990000632</t>
  </si>
  <si>
    <t>15467</t>
  </si>
  <si>
    <t>24000</t>
  </si>
  <si>
    <t>1156</t>
  </si>
  <si>
    <t>964</t>
  </si>
  <si>
    <t>55863</t>
  </si>
  <si>
    <t>65174</t>
  </si>
  <si>
    <t>74484</t>
  </si>
  <si>
    <t>83795</t>
  </si>
  <si>
    <t>93105</t>
  </si>
  <si>
    <t>102415</t>
  </si>
  <si>
    <t>111726</t>
  </si>
  <si>
    <t>121037</t>
  </si>
  <si>
    <t>130346</t>
  </si>
  <si>
    <t>139657</t>
  </si>
  <si>
    <t>148967</t>
  </si>
  <si>
    <t>158277</t>
  </si>
  <si>
    <t>167588</t>
  </si>
  <si>
    <t>176899</t>
  </si>
  <si>
    <t>18621</t>
  </si>
  <si>
    <t>26167</t>
  </si>
  <si>
    <t>51167</t>
  </si>
  <si>
    <t>83667</t>
  </si>
  <si>
    <t>37233</t>
  </si>
  <si>
    <t>45853</t>
  </si>
  <si>
    <t>54474</t>
  </si>
  <si>
    <t>60466</t>
  </si>
  <si>
    <t>69086</t>
  </si>
  <si>
    <t>77707</t>
  </si>
  <si>
    <t>21552</t>
  </si>
  <si>
    <t>6207</t>
  </si>
  <si>
    <t>5431</t>
  </si>
  <si>
    <t>21000</t>
  </si>
  <si>
    <t>25167</t>
  </si>
  <si>
    <t>29333</t>
  </si>
  <si>
    <t>33500</t>
  </si>
  <si>
    <t>41833</t>
  </si>
  <si>
    <t>46000</t>
  </si>
  <si>
    <t>50167</t>
  </si>
  <si>
    <t>60917</t>
  </si>
  <si>
    <t>80250</t>
  </si>
  <si>
    <t>82500</t>
  </si>
  <si>
    <t>111417</t>
  </si>
  <si>
    <t>30345</t>
  </si>
  <si>
    <t>34655</t>
  </si>
  <si>
    <t>43276</t>
  </si>
  <si>
    <t>47586</t>
  </si>
  <si>
    <t>89948</t>
  </si>
  <si>
    <t>96241</t>
  </si>
  <si>
    <t>135293</t>
  </si>
  <si>
    <t>38250</t>
  </si>
  <si>
    <t>41666</t>
  </si>
  <si>
    <t>20798</t>
  </si>
  <si>
    <t>1261</t>
  </si>
  <si>
    <t>40966</t>
  </si>
  <si>
    <t>legacyid</t>
  </si>
  <si>
    <t>produccion</t>
  </si>
  <si>
    <t>amount</t>
  </si>
  <si>
    <t>resources</t>
  </si>
  <si>
    <t>activityId</t>
  </si>
  <si>
    <t>[
				{
					"partition": "12223",
					"amountPartition": "12000",
					"amountType": "seconds"
				},
				{
					"partition": "12323",
					"amountPartition": "2678400",
					"amountType": "seconds"
				}
			]</t>
  </si>
  <si>
    <t>[
				{
					"partition": "12323",
					"amountPartition": "2678400",
					"amountType": "seconds"
				},
				{
					"partition": "12223",
					"amountPartition": "30000",
					"amountType": "seconds"
				}
			]</t>
  </si>
  <si>
    <t>[
				{
					"partition": "22423",
					"amountPartition": "1048576",
					"amountType": "kilobytes"
				},
				{
					"partition": "22823",
					"amountPartition": "62914560",
					"amountType": "kilobytes"
				}
			]</t>
  </si>
  <si>
    <t>[
				{
					"partition": "32223",
					"amountPartition": "100",
					"amountType": "sms"
				}
			]</t>
  </si>
  <si>
    <t>[
				{
					"partition": "12323",
					"amountPartition": "2678400",
					"amountType": "seconds"
				},
				{
					"partition": "12223",
					"amountPartition": "60000",
					"amountType": "seconds"
				}
			]</t>
  </si>
  <si>
    <t>[
				{
					"partition": "12223",
					"amountPartition": "2678400",
					"amountType": "seconds"
				},
				{
					"partition": "12323",
					"amountPartition": "2678400",
					"amountType": "seconds"
				}
			]</t>
  </si>
  <si>
    <t>[
				{
					"partition": "32223",
					"amountPartition": "223200",
					"amountType": "sms"
				}
			]</t>
  </si>
  <si>
    <t>[
				{
					"partition": "22423",
					"amountPartition": "26214400",
					"amountType": "kilobytes"
				},
				{
					"partition": "22823",
					"amountPartition": "62914560",
					"amountType": "kilobytes"
				}
			]</t>
  </si>
  <si>
    <t>[
				{
					"partition": "22423",
					"amountPartition": "3670016",
					"amountType": "kilobytes"
				},
				{
					"partition": "22823",
					"amountPartition": "62914560",
					"amountType": "kilobytes"
				}
			]</t>
  </si>
  <si>
    <t>[
				{
					"partition": "22823",
					"amountPartition": "62914560",
					"amountType": "kilobytes"
				},
				{
					"partition": "22423",
					"amountPartition": "5242880",
					"amountType": "kilobytes"
				}
			]</t>
  </si>
  <si>
    <t>[
				{
					"partition": "22423",
					"amountPartition": "7340032",
					"amountType": "kilobytes"
				},
				{
					"partition": "22823",
					"amountPartition": "62914560",
					"amountType": "kilobytes"
				}
			]</t>
  </si>
  <si>
    <t>[
				{
					"partition": "22823",
					"amountPartition": "62914560",
					"amountType": "kilobytes"
				},
				{
					"partition": "22423",
					"amountPartition": "11534336",
					"amountType": "kilobytes"
				}
			]</t>
  </si>
  <si>
    <t>[
				{
					"partition": "12223",
					"amountPartition": "30000",
					"amountType": "seconds"
				},
				{
					"partition": "12323",
					"amountPartition": "2678400",
					"amountType": "seconds"
				},
				{
					"partition": "11823",
					"amountPartition": "2678400",
					"amountType": "seconds"
				}
			]</t>
  </si>
  <si>
    <t>[
				{
					"partition": "22423",
					"amountPartition": "5767168",
					"amountType": "kilobytes"
				},
				{
					"partition": "22823",
					"amountPartition": "62914560",
					"amountType": "kilobytes"
				}
			]</t>
  </si>
  <si>
    <t>[
				{
					"partition": "12123",
					"amountPartition": "4200",
					"amountType": "seconds"
				}
			]</t>
  </si>
  <si>
    <t>[
				{
					"partition": "12123",
					"amountPartition": "7800",
					"amountType": "seconds"
				}
			]</t>
  </si>
  <si>
    <t>[
				{
					"partition": "12123",
					"amountPartition": "15000",
					"amountType": "seconds"
				}
			]</t>
  </si>
  <si>
    <t>[
				{
					"partition": "12123",
					"amountPartition": "30000",
					"amountType": "seconds"
				}
			]</t>
  </si>
  <si>
    <t>[
				{
					"partition": "12223",
					"amountPartition": "60000",
					"amountType": "seconds"
				},
				{
					"partition": "11823",
					"amountPartition": "2678400",
					"amountType": "seconds"
				}
			]</t>
  </si>
  <si>
    <t>[
				{
					"partition": "22423",
					"amountPartition": "3145728",
					"amountType": "kilobytes"
				},
				{
					"partition": "22823",
					"amountPartition": "62914560",
					"amountType": "kilobytes"
				}
			]</t>
  </si>
  <si>
    <t>[
				{
					"partition": "11823",
					"amountPartition": "2678400",
					"amountType": "seconds"
				},
				{
					"partition": "12223",
					"amountPartition": "24000",
					"amountType": "seconds"
				}
			]</t>
  </si>
  <si>
    <t>[
				{
					"partition": "22823",
					"amountPartition": "62914560",
					"amountType": "kilobytes"
				},
				{
					"partition": "22423",
					"amountPartition": "1048576",
					"amountType": "kilobytes"
				}
			]</t>
  </si>
  <si>
    <t>[
				{
					"partition": "12323",
					"amountPartition": "2678400",
					"amountType": "seconds"
				},
				{
					"partition": "11823",
					"amountPartition": "2678400",
					"amountType": "seconds"
				},
				{
					"partition": "12223",
					"amountPartition": "60000",
					"amountType": "seconds"
				}
			]</t>
  </si>
  <si>
    <t>[
				{
					"partition": "22823",
					"amountPartition": "62914560",
					"amountType": "kilobytes"
				},
				{
					"partition": "22423",
					"amountPartition": "6815744",
					"amountType": "kilobytes"
				}
			]</t>
  </si>
  <si>
    <t>[
				{
					"partition": "22823",
					"amountPartition": "62914560",
					"amountType": "kilobytes"
				},
				{
					"partition": "22423",
					"amountPartition": "3670016",
					"amountType": "kilobytes"
				}
			]</t>
  </si>
  <si>
    <t>[
				{
					"partition": "11823",
					"amountPartition": "2678400",
					"amountType": "seconds"
				},
				{
					"partition": "12223",
					"amountPartition": "90000",
					"amountType": "seconds"
				}
			]</t>
  </si>
  <si>
    <t>[
				{
					"partition": "22423",
					"amountPartition": "1572864",
					"amountType": "kilobytes"
				},
				{
					"partition": "22823",
					"amountPartition": "62914560",
					"amountType": "kilobytes"
				}
			]</t>
  </si>
  <si>
    <t>[
				{
					"partition": "11823",
					"amountPartition": "2678400",
					"amountType": "seconds"
				},
				{
					"partition": "12223",
					"amountPartition": "30000",
					"amountType": "seconds"
				},
				{
					"partition": "12323",
					"amountPartition": "999999999",
					"amountType": "seconds"
				}
			]</t>
  </si>
  <si>
    <t>[
				{
					"partition": "22423",
					"amountPartition": "2621440",
					"amountType": "kilobytes"
				},
				{
					"partition": "22823",
					"amountPartition": "62914560",
					"amountType": "kilobytes"
				}
			]</t>
  </si>
  <si>
    <t>[
				{
					"partition": "11823",
					"amountPartition": "2678400",
					"amountType": "seconds"
				},
				{
					"partition": "12323",
					"amountPartition": "999999999",
					"amountType": "seconds"
				},
				{
					"partition": "12223",
					"amountPartition": "42000",
					"amountType": "seconds"
				}
			]</t>
  </si>
  <si>
    <t>[
				{
					"partition": "12323",
					"amountPartition": "600000",
					"amountType": "seconds"
				}
			]</t>
  </si>
  <si>
    <t>[
				{
					"partition": "12323",
					"amountPartition": "60000",
					"amountType": "seconds"
				}
			]</t>
  </si>
  <si>
    <t>[
				{
					"partition": "22423",
					"amountPartition": "13631488",
					"amountType": "kilobytes"
				},
				{
					"partition": "22823",
					"amountPartition": "62914560",
					"amountType": "kilobytes"
				}
			]</t>
  </si>
  <si>
    <t>[
				{
					"partition": "22423",
					"amountPartition": "1048576",
					"amountType": "kilobytes"
				}
			]</t>
  </si>
  <si>
    <t>[
				{
					"partition": "22423",
					"amountPartition": "256000",
					"amountType": "kilobytes"
				}
			]</t>
  </si>
  <si>
    <t>[
				{
					"partition": "22423",
					"amountPartition": "512000",
					"amountType": "kilobytes"
				},
				{
					"partition": "22823",
					"amountPartition": "62914560",
					"amountType": "kilobytes"
				}
			]</t>
  </si>
  <si>
    <t>[
				{
					"partition": "22423",
					"amountPartition": "9437184",
					"amountType": "kilobytes"
				},
				{
					"partition": "22823",
					"amountPartition": "62914560",
					"amountType": "kilobytes"
				}
			]</t>
  </si>
  <si>
    <t>[
				{
					"partition": "22823",
					"amountPartition": "62914560",
					"amountType": "kilobytes"
				},
				{
					"partition": "22423",
					"amountPartition": "419430400",
					"amountType": "kilobytes"
				}
			]</t>
  </si>
  <si>
    <t>[
				{
					"partition": "11823",
					"amountPartition": "6000",
					"amountType": "seconds"
				}
			]</t>
  </si>
  <si>
    <t>[
				{
					"partition": "11823",
					"amountPartition": "9000",
					"amountType": "seconds"
				}
			]</t>
  </si>
  <si>
    <t>[
				{
					"partition": "11823",
					"amountPartition": "30000",
					"amountType": "seconds"
				}
			]</t>
  </si>
  <si>
    <t>[
				{
					"partition": "11823",
					"amountPartition": "42000",
					"amountType": "seconds"
				}
			]</t>
  </si>
  <si>
    <t>[
				{
					"partition": "11823",
					"amountPartition": "54000",
					"amountType": "seconds"
				}
			]</t>
  </si>
  <si>
    <t>[
				{
					"partition": "32223",
					"amountPartition": "999999999",
					"amountType": "sms"
				}
			]</t>
  </si>
  <si>
    <t>[
				{
					"partition": "12223",
					"amountPartition": "78000",
					"amountType": "seconds"
				},
				{
					"partition": "11823",
					"amountPartition": "2678400",
					"amountType": "seconds"
				}
			]</t>
  </si>
  <si>
    <t>[
				{
					"partition": "11823",
					"amountPartition": "999999999",
					"amountType": "seconds"
				},
				{
					"partition": "12223",
					"amountPartition": "120000",
					"amountType": "seconds"
				}
			]</t>
  </si>
  <si>
    <t>[
				{
					"partition": "12323",
					"amountPartition": "2400000",
					"amountType": "seconds"
				},
				{
					"partition": "12223",
					"amountPartition": "30000",
					"amountType": "seconds"
				}
			]</t>
  </si>
  <si>
    <t>[
				{
					"partition": "12223",
					"amountPartition": "36000",
					"amountType": "seconds"
				},
				{
					"partition": "12323",
					"amountPartition": "2400000",
					"amountType": "seconds"
				}
			]</t>
  </si>
  <si>
    <t>[
				{
					"partition": "12223",
					"amountPartition": "2592000",
					"amountType": "seconds"
				}
			]</t>
  </si>
  <si>
    <t>[
				{
					"partition": "22423",
					"amountPartition": "12582912",
					"amountType": "kilobytes"
				},
				{
					"partition": "22823",
					"amountPartition": "62914560",
					"amountType": "kilobytes"
				}
			]</t>
  </si>
  <si>
    <t>[
				{
					"partition": "12223",
					"amountPartition": "2678400",
					"amountType": "seconds"
				}
			]</t>
  </si>
  <si>
    <t>[
				{
					"partition": "12223",
					"amountPartition": "2678400",
					"amountType": "seconds"
				},
				{
					"partition": "12323",
					"amountPartition": "999999999",
					"amountType": "seconds"
				}
			]</t>
  </si>
  <si>
    <t>[
				{
					"partition": "22423",
					"amountPartition": "4194304",
					"amountType": "kilobytes"
				},
				{
					"partition": "22823",
					"amountPartition": "62914560",
					"amountType": "kilobytes"
				}
			]</t>
  </si>
  <si>
    <t>[
				{
					"partition": "12323",
					"amountPartition": "999999999",
					"amountType": "seconds"
				},
				{
					"partition": "12223",
					"amountPartition": "2678400",
					"amountType": "seconds"
				}
			]</t>
  </si>
  <si>
    <t>[
				{
					"partition": "22423",
					"amountPartition": "6291456",
					"amountType": "kilobytes"
				},
				{
					"partition": "22823",
					"amountPartition": "62914560",
					"amountType": "kilobytes"
				}
			]</t>
  </si>
  <si>
    <t>[
				{
					"partition": "22823",
					"amountPartition": "62914560",
					"amountType": "kilobytes"
				},
				{
					"partition": "22423",
					"amountPartition": "7340032",
					"amountType": "kilobytes"
				}
			]</t>
  </si>
  <si>
    <t>[
				{
					"partition": "22423",
					"amountPartition": "8388608",
					"amountType": "kilobytes"
				},
				{
					"partition": "22823",
					"amountPartition": "62914560",
					"amountType": "kilobytes"
				}
			]</t>
  </si>
  <si>
    <t>[
				{
					"partition": "22423",
					"amountPartition": "1",
					"amountType": "kilobytes"
				},
				{
					"partition": "22823",
					"amountPartition": "62914560",
					"amountType": "kilobytes"
				}
			]</t>
  </si>
  <si>
    <t>[
				{
					"partition": "22423",
					"amountPartition": "1258292",
					"amountType": "kilobytes"
				},
				{
					"partition": "22823",
					"amountPartition": "62914560",
					"amountType": "kilobytes"
				}
			]</t>
  </si>
  <si>
    <t>[
				{
					"partition": "11823",
					"amountPartition": "2678400",
					"amountType": "seconds"
				},
				{
					"partition": "13223",
					"amountPartition": "6000",
					"amountType": "seconds"
				}
			]</t>
  </si>
  <si>
    <t>[
				{
					"partition": "32223",
					"amountPartition": "1000",
					"amountType": "sms"
				}
			]</t>
  </si>
  <si>
    <t>[
				{
					"partition": "31823",
					"amountPartition": "10000",
					"amountType": "sms"
				}
			]</t>
  </si>
  <si>
    <t>[
				{
					"partition": "12223",
					"amountPartition": "6000",
					"amountType": "seconds"
				}
			]</t>
  </si>
  <si>
    <t>[
				{
					"partition": "32223",
					"amountPartition": "10",
					"amountType": "sms"
				}
			]</t>
  </si>
  <si>
    <t>[
				{
					"partition": "12323",
					"amountPartition": "2678400",
					"amountType": "seconds"
				},
				{
					"partition": "12223",
					"amountPartition": "90000",
					"amountType": "seconds"
				}
			]</t>
  </si>
  <si>
    <t>[
				{
					"partition": "12323",
					"amountPartition": "2678400",
					"amountType": "seconds"
				},
				{
					"partition": "12223",
					"amountPartition": "120000",
					"amountType": "seconds"
				}
			]</t>
  </si>
  <si>
    <t>[
				{
					"partition": "12223",
					"amountPartition": "48000",
					"amountType": "seconds"
				},
				{
					"partition": "12323",
					"amountPartition": "2678400",
					"amountType": "seconds"
				}
			]</t>
  </si>
  <si>
    <t>[
				{
					"partition": "22423",
					"amountPartition": "10485760",
					"amountType": "kilobytes"
				},
				{
					"partition": "22823",
					"amountPartition": "62914560",
					"amountType": "kilobytes"
				}
			]</t>
  </si>
  <si>
    <t>[
				{
					"partition": "13223",
					"amountPartition": "999999999",
					"amountType": "seconds"
				},
				{
					"partition": "12323",
					"amountPartition": "999999999",
					"amountType": "seconds"
				},
				{
					"partition": "12323",
					"amountPartition": "999999999",
					"amountType": "seconds"
				},
				{
					"partition": "22823",
					"amountPartition": "62914560",
					"amountType": "seconds"
				}
			]</t>
  </si>
  <si>
    <t>[
				{
					"partition": "31823",
					"amountPartition": "150",
					"amountType": "sms"
				}
			]</t>
  </si>
  <si>
    <t>[]</t>
  </si>
  <si>
    <t>[
				{
					"partition": "12223",
					"amountPartition": "33000",
					"amountType": "seconds"
				},
				{
					"partition": "11823",
					"amountPartition": "999999999",
					"amountType": "seconds"
				}
			]</t>
  </si>
  <si>
    <t>[
				{
					"partition": "22823",
					"amountPartition": "62914560",
					"amountType": "kilobytes"
				},
				{
					"partition": "22423",
					"amountPartition": "2097152",
					"amountType": "kilobytes"
				}
			]</t>
  </si>
  <si>
    <t>[
				{
					"partition": "32223",
					"amountPartition": "30",
					"amountType": "sms"
				}
			]</t>
  </si>
  <si>
    <t>[
				{
					"partition": "31823",
					"amountPartition": "50",
					"amountType": "sms"
				}
			]</t>
  </si>
  <si>
    <t>activity</t>
  </si>
  <si>
    <t>[
				{
					"partition": "11823",
					"amountPartition": "66000",
					"amountType": "seconds"
				}
			]</t>
  </si>
  <si>
    <t>[
				{
					"partition": "11823",
					"amountPartition": "78000",
					"amountType": "seconds"
				}
			]</t>
  </si>
  <si>
    <t>[
				{
					"partition": "11823",
					"amountPartition": "90000",
					"amountType": "seconds"
				}
			]</t>
  </si>
  <si>
    <t>[
				{
					"partition": "11823",
					"amountPartition": "102000",
					"amountType": "seconds"
				}
			]</t>
  </si>
  <si>
    <t>[
				{
					"partition": "11823",
					"amountPartition": "120000",
					"amountType": "seconds"
				}
			]</t>
  </si>
  <si>
    <t>[
				{
					"partition": "11823",
					"amountPartition": "132000",
					"amountType": "seconds"
				}
			]</t>
  </si>
  <si>
    <t>[
				{
					"partition": "11823",
					"amountPartition": "147000",
					"amountType": "seconds"
				}
			]</t>
  </si>
  <si>
    <t>[
				{
					"partition": "11823",
					"amountPartition": "159000",
					"amountType": "seconds"
				}
			]</t>
  </si>
  <si>
    <t>[
				{
					"partition": "11823",
					"amountPartition": "171000",
					"amountType": "seconds"
				}
			]</t>
  </si>
  <si>
    <t>[
				{
					"partition": "11823",
					"amountPartition": "183000",
					"amountType": "seconds"
				}
			]</t>
  </si>
  <si>
    <t>[
				{
					"partition": "11823",
					"amountPartition": "198000",
					"amountType": "seconds"
				}
			]</t>
  </si>
  <si>
    <t>[
				{
					"partition": "11823",
					"amountPartition": "216000",
					"amountType": "seconds"
				}
			]</t>
  </si>
  <si>
    <t>[
				{
					"partition": "11823",
					"amountPartition": "228000",
					"amountType": "seconds"
				}
			]</t>
  </si>
  <si>
    <t>[
				{
					"partition": "11823",
					"amountPartition": "246000",
					"amountType": "seconds"
				}
			]</t>
  </si>
  <si>
    <t>[
				{
					"partition": "12323",
					"amountPartition": "1200000",
					"amountType": "seconds"
				}
			]</t>
  </si>
  <si>
    <t>[
				{
					"partition": "11823",
					"amountPartition": "19200",
					"amountType": "seconds"
				}
			]</t>
  </si>
  <si>
    <t>[
				{
					"partition": "12223",
					"amountPartition": "24000",
					"amountType": "seconds"
				},
				{
					"partition": "12323",
					"amountPartition": "999999999",
					"amountType": "seconds"
				}
			]</t>
  </si>
  <si>
    <t>[
				{
					"partition": "12323",
					"amountPartition": "999999999",
					"amountType": "seconds"
				},
				{
					"partition": "12223",
					"amountPartition": "72000",
					"amountType": "seconds"
				}
			]</t>
  </si>
  <si>
    <t>[
				{
					"partition": "12323",
					"amountPartition": "999999999",
					"amountType": "seconds"
				},
				{
					"partition": "12223",
					"amountPartition": "108000",
					"amountType": "seconds"
				}
			]</t>
  </si>
  <si>
    <t>[
				{
					"partition": "12223",
					"amountPartition": "150000",
					"amountType": "seconds"
				},
				{
					"partition": "12323",
					"amountPartition": "999999999",
					"amountType": "seconds"
				}
			]</t>
  </si>
  <si>
    <t>[
				{
					"partition": "22823",
					"amountPartition": "62914560",
					"amountType": "kilobytes"
				},
				{
					"partition": "22423",
					"amountPartition": "3145728",
					"amountType": "kilobytes"
				}
			]</t>
  </si>
  <si>
    <t>[
				{
					"partition": "22423",
					"amountPartition": "4718592",
					"amountType": "kilobytes"
				},
				{
					"partition": "22823",
					"amountPartition": "62914560",
					"amountType": "kilobytes"
				}
			]</t>
  </si>
  <si>
    <t>[
				{
					"partition": "22423",
					"amountPartition": "6815744",
					"amountType": "kilobytes"
				},
				{
					"partition": "22823",
					"amountPartition": "62914560",
					"amountType": "kilobytes"
				}
			]</t>
  </si>
  <si>
    <t>[
				{
					"partition": "22823",
					"amountPartition": "62914560",
					"amountType": "kilobytes"
				},
				{
					"partition": "22423",
					"amountPartition": "8912896",
					"amountType": "kilobytes"
				}
			]</t>
  </si>
  <si>
    <t>[
				{
					"partition": "22423",
					"amountPartition": "11010048",
					"amountType": "kilobytes"
				},
				{
					"partition": "22823",
					"amountPartition": "62914560",
					"amountType": "kilobytes"
				}
			]</t>
  </si>
  <si>
    <t>[
				{
					"partition": "22823",
					"amountPartition": "62914560",
					"amountType": "kilobytes"
				},
				{
					"partition": "22423",
					"amountPartition": "13107200",
					"amountType": "kilobytes"
				}
			]</t>
  </si>
  <si>
    <t>[
				{
					"partition": "13223",
					"amountPartition": "15000",
					"amountType": "seconds"
				},
				{
					"partition": "11823",
					"amountPartition": "999999999",
					"amountType": "seconds"
				}
			]</t>
  </si>
  <si>
    <t>[
				{
					"partition": "11823",
					"amountPartition": "999999999",
					"amountType": "seconds"
				},
				{
					"partition": "13223",
					"amountPartition": "28800",
					"amountType": "seconds"
				}
			]</t>
  </si>
  <si>
    <t>[
				{
					"partition": "13223",
					"amountPartition": "36000",
					"amountType": "seconds"
				},
				{
					"partition": "22823",
					"amountPartition": "0",
					"amountType": "kilobytes"
				},
				{
					"partition": "11823",
					"amountPartition": "999999999",
					"amountType": "seconds"
				}
			]</t>
  </si>
  <si>
    <t>[
				{
					"partition": "22823",
					"amountPartition": "62914560",
					"amountType": "kilobytes"
				},
				{
					"partition": "13223",
					"amountPartition": "42000",
					"amountType": "seconds"
				},
				{
					"partition": "11823",
					"amountPartition": "999999999",
					"amountType": "seconds"
				}
			]</t>
  </si>
  <si>
    <t>[
				{
					"partition": "11823",
					"amountPartition": "999999999",
					"amountType": "seconds"
				},
				{
					"partition": "22823",
					"amountPartition": "62914560",
					"amountType": "kilobytes"
				},
				{
					"partition": "13223",
					"amountPartition": "72000",
					"amountType": "seconds"
				}
			]</t>
  </si>
  <si>
    <t>[
				{
					"partition": "13223",
					"amountPartition": "84000",
					"amountType": "seconds"
				},
				{
					"partition": "11823",
					"amountPartition": "999999999",
					"amountType": "seconds"
				}
			]</t>
  </si>
  <si>
    <t>[
				{
					"partition": "13223",
					"amountPartition": "999999999",
					"amountType": "seconds"
				},
				{
					"partition": "12323",
					"amountPartition": "999999999",
					"amountType": "seconds"
				},
				{
					"partition": "22823",
					"amountPartition": "62914560",
					"amountType": "kilobytes"
				}
			]</t>
  </si>
  <si>
    <t>[
				{
					"partition": "22823",
					"amountPartition": "62914560",
					"amountType": "kilobytes"
				},
				{
					"partition": "13223",
					"amountPartition": "2678400",
					"amountType": "seconds"
				},
				{
					"partition": "12323",
					"amountPartition": "2678400",
					"amountType": "seconds"
				}
			]</t>
  </si>
  <si>
    <t>[
				{
					"partition": "12323",
					"amountPartition": "999999999",
					"amountType": "seconds"
				},
				{
					"partition": "22823",
					"amountPartition": "62914560",
					"amountType": "kilobytes"
				},
				{
					"partition": "13223",
					"amountPartition": "999999999",
					"amountType": "seconds"
				}
			]</t>
  </si>
  <si>
    <t>[
				{
					"partition": "12323",
					"amountPartition": "999999999",
					"amountType": "seconds"
				},
				{
					"partition": "13223",
					"amountPartition": "999999999",
					"amountType": "seconds"
				},
				{
					"partition": "22823",
					"amountPartition": "62914560",
					"amountType": "kilobytes"
				}
			]</t>
  </si>
  <si>
    <t>[
				{
					"partition": "22423",
					"amountPartition": "3145728",
					"amountType": "kilobytes"
				}
			]</t>
  </si>
  <si>
    <t>[
				{
					"partition": "22423",
					"amountPartition": "4194304",
					"amountType": "kilobytes"
				}
			]</t>
  </si>
  <si>
    <t>[
				{
					"partition": "22823",
					"amountPartition": "62914560",
					"amountType": "kilobytes"
				},
				{
					"partition": "22423",
					"amountPartition": "15728640",
					"amountType": "kilobytes"
				}
			]</t>
  </si>
  <si>
    <t>[
				{
					"partition": "22423",
					"amountPartition": "20971520",
					"amountType": "kilobytes"
				}
			]</t>
  </si>
  <si>
    <t>[
				{
					"partition": "12223",
					"amountPartition": "54000",
					"amountType": "seconds"
				}
			]</t>
  </si>
  <si>
    <t>[
				{
					"partition": "12223",
					"amountPartition": "60000",
					"amountType": "seconds"
				}
			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</si>
</sst>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BDD7EE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Protection="1"/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0" xfId="0" applyFont="1" applyFill="1" applyAlignment="1" applyProtection="1"/>
    <xf numFmtId="0" fontId="0" fillId="0" borderId="0" xfId="0" applyBorder="1" applyAlignment="1" applyProtection="1">
      <alignment horizontal="center" vertical="center"/>
    </xf>
    <xf numFmtId="0" fontId="1" fillId="0" borderId="0" xfId="0" applyFont="1" applyFill="1" applyBorder="1" applyAlignment="1" applyProtection="1"/>
    <xf numFmtId="0" fontId="2" fillId="3" borderId="0" xfId="0" applyFont="1" applyFill="1" applyAlignment="1" applyProtection="1">
      <alignment horizontal="center" vertical="center"/>
    </xf>
    <xf numFmtId="0" fontId="2" fillId="3" borderId="0" xfId="0" applyFont="1" applyFill="1" applyProtection="1"/>
    <xf numFmtId="0" fontId="0" fillId="4" borderId="1" xfId="0" applyFont="1" applyFill="1" applyBorder="1"/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" fillId="3" borderId="1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left" vertical="center" wrapText="1"/>
    </xf>
    <xf numFmtId="49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left"/>
    </xf>
    <xf numFmtId="2" fontId="0" fillId="0" borderId="0" xfId="0" applyNumberForma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Border="1" applyAlignment="1">
      <alignment horizontal="left" vertical="center"/>
    </xf>
    <xf numFmtId="1" fontId="5" fillId="5" borderId="2" xfId="0" applyNumberFormat="1" applyFont="1" applyFill="1" applyBorder="1" applyAlignment="1">
      <alignment horizontal="center"/>
    </xf>
    <xf numFmtId="0" fontId="6" fillId="0" borderId="0" xfId="0" applyFont="1"/>
    <xf numFmtId="1" fontId="5" fillId="5" borderId="2" xfId="0" applyNumberFormat="1" applyFont="1" applyFill="1" applyBorder="1"/>
    <xf numFmtId="0" fontId="5" fillId="5" borderId="2" xfId="0" applyFont="1" applyFill="1" applyBorder="1"/>
    <xf numFmtId="0" fontId="1" fillId="6" borderId="2" xfId="0" applyFont="1" applyFill="1" applyBorder="1"/>
    <xf numFmtId="1" fontId="1" fillId="6" borderId="2" xfId="0" applyNumberFormat="1" applyFont="1" applyFill="1" applyBorder="1"/>
    <xf numFmtId="1" fontId="1" fillId="6" borderId="3" xfId="0" applyNumberFormat="1" applyFont="1" applyFill="1" applyBorder="1"/>
    <xf numFmtId="0" fontId="1" fillId="7" borderId="2" xfId="0" applyFont="1" applyFill="1" applyBorder="1"/>
    <xf numFmtId="0" fontId="1" fillId="8" borderId="2" xfId="0" applyFont="1" applyFill="1" applyBorder="1"/>
    <xf numFmtId="0" fontId="1" fillId="9" borderId="2" xfId="0" applyFont="1" applyFill="1" applyBorder="1"/>
    <xf numFmtId="0" fontId="1" fillId="10" borderId="2" xfId="0" applyFont="1" applyFill="1" applyBorder="1"/>
    <xf numFmtId="1" fontId="7" fillId="5" borderId="2" xfId="0" applyNumberFormat="1" applyFont="1" applyFill="1" applyBorder="1"/>
    <xf numFmtId="0" fontId="7" fillId="5" borderId="2" xfId="0" applyFont="1" applyFill="1" applyBorder="1"/>
    <xf numFmtId="0" fontId="0" fillId="6" borderId="2" xfId="0" applyFill="1" applyBorder="1"/>
    <xf numFmtId="1" fontId="0" fillId="6" borderId="2" xfId="0" applyNumberFormat="1" applyFill="1" applyBorder="1"/>
    <xf numFmtId="1" fontId="0" fillId="6" borderId="3" xfId="0" applyNumberFormat="1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6" borderId="2" xfId="0" applyFill="1" applyBorder="1" applyAlignment="1">
      <alignment wrapText="1"/>
    </xf>
    <xf numFmtId="0" fontId="0" fillId="10" borderId="2" xfId="0" applyFill="1" applyBorder="1" applyAlignment="1">
      <alignment wrapText="1"/>
    </xf>
    <xf numFmtId="1" fontId="0" fillId="6" borderId="2" xfId="0" applyNumberFormat="1" applyFill="1" applyBorder="1" applyAlignment="1">
      <alignment wrapText="1"/>
    </xf>
    <xf numFmtId="1" fontId="7" fillId="5" borderId="0" xfId="0" applyNumberFormat="1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" fontId="0" fillId="0" borderId="0" xfId="0" applyNumberFormat="1"/>
    <xf numFmtId="0" fontId="0" fillId="0" borderId="0" xfId="0" applyNumberFormat="1"/>
    <xf numFmtId="49" fontId="0" fillId="0" borderId="0" xfId="0" applyNumberFormat="1"/>
    <xf numFmtId="0" fontId="6" fillId="10" borderId="2" xfId="0" applyFont="1" applyFill="1" applyBorder="1" applyAlignment="1">
      <alignment horizontal="center"/>
    </xf>
    <xf numFmtId="1" fontId="5" fillId="5" borderId="2" xfId="0" applyNumberFormat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40"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800100</xdr:colOff>
          <xdr:row>0</xdr:row>
          <xdr:rowOff>76200</xdr:rowOff>
        </xdr:from>
        <xdr:to>
          <xdr:col>16</xdr:col>
          <xdr:colOff>723900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457200</xdr:colOff>
          <xdr:row>1</xdr:row>
          <xdr:rowOff>66675</xdr:rowOff>
        </xdr:from>
        <xdr:to>
          <xdr:col>17</xdr:col>
          <xdr:colOff>552450</xdr:colOff>
          <xdr:row>4</xdr:row>
          <xdr:rowOff>57150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133350</xdr:rowOff>
        </xdr:from>
        <xdr:to>
          <xdr:col>11</xdr:col>
          <xdr:colOff>304800</xdr:colOff>
          <xdr:row>4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dop.indraweb.net/TIIGO_COLOMBIA/Input%20from%20Tigo/Offering/supp-offering-names-at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list"/>
      <sheetName val="top"/>
      <sheetName val="Sheet1"/>
      <sheetName val="Sheet2"/>
    </sheetNames>
    <sheetDataSet>
      <sheetData sheetId="0"/>
      <sheetData sheetId="1">
        <row r="1">
          <cell r="A1" t="str">
            <v>100001-26</v>
          </cell>
        </row>
        <row r="2">
          <cell r="A2" t="str">
            <v>100001-37</v>
          </cell>
        </row>
        <row r="3">
          <cell r="A3" t="str">
            <v>100001-38</v>
          </cell>
        </row>
        <row r="4">
          <cell r="A4" t="str">
            <v>100001-45</v>
          </cell>
        </row>
        <row r="5">
          <cell r="A5" t="str">
            <v>100001-46</v>
          </cell>
        </row>
        <row r="6">
          <cell r="A6" t="str">
            <v>100001-47</v>
          </cell>
        </row>
        <row r="7">
          <cell r="A7" t="str">
            <v>100001-48</v>
          </cell>
        </row>
        <row r="8">
          <cell r="A8" t="str">
            <v>100001-49</v>
          </cell>
        </row>
        <row r="9">
          <cell r="A9" t="str">
            <v>100001-50</v>
          </cell>
        </row>
        <row r="10">
          <cell r="A10" t="str">
            <v>100002-37</v>
          </cell>
        </row>
        <row r="11">
          <cell r="A11" t="str">
            <v>100002-67</v>
          </cell>
        </row>
        <row r="12">
          <cell r="A12" t="str">
            <v>100002-86</v>
          </cell>
        </row>
        <row r="13">
          <cell r="A13" t="str">
            <v>100002-87</v>
          </cell>
        </row>
        <row r="14">
          <cell r="A14" t="str">
            <v>100002-88</v>
          </cell>
        </row>
        <row r="15">
          <cell r="A15" t="str">
            <v>100002-89</v>
          </cell>
        </row>
        <row r="16">
          <cell r="A16" t="str">
            <v>100002-90</v>
          </cell>
        </row>
        <row r="17">
          <cell r="A17" t="str">
            <v>100002-91</v>
          </cell>
        </row>
        <row r="18">
          <cell r="A18" t="str">
            <v>100002-92</v>
          </cell>
        </row>
        <row r="19">
          <cell r="A19" t="str">
            <v>100002-93</v>
          </cell>
        </row>
        <row r="20">
          <cell r="A20" t="str">
            <v>100002-94</v>
          </cell>
        </row>
        <row r="21">
          <cell r="A21" t="str">
            <v>100002-95</v>
          </cell>
        </row>
        <row r="22">
          <cell r="A22" t="str">
            <v>100002-96</v>
          </cell>
        </row>
        <row r="23">
          <cell r="A23" t="str">
            <v>100012-08</v>
          </cell>
        </row>
        <row r="24">
          <cell r="A24" t="str">
            <v>100012-10</v>
          </cell>
        </row>
        <row r="25">
          <cell r="A25" t="str">
            <v>100012-11</v>
          </cell>
        </row>
        <row r="26">
          <cell r="A26" t="str">
            <v>100012-12</v>
          </cell>
        </row>
        <row r="27">
          <cell r="A27" t="str">
            <v>100012-13</v>
          </cell>
        </row>
        <row r="28">
          <cell r="A28" t="str">
            <v>100012-14</v>
          </cell>
        </row>
        <row r="29">
          <cell r="A29" t="str">
            <v>100012-15</v>
          </cell>
        </row>
        <row r="30">
          <cell r="A30" t="str">
            <v>100012-16</v>
          </cell>
        </row>
        <row r="31">
          <cell r="A31" t="str">
            <v>100012-18</v>
          </cell>
        </row>
        <row r="32">
          <cell r="A32" t="str">
            <v>100012-19</v>
          </cell>
        </row>
        <row r="33">
          <cell r="A33" t="str">
            <v>100012-23</v>
          </cell>
        </row>
        <row r="34">
          <cell r="A34" t="str">
            <v>100012-36</v>
          </cell>
        </row>
        <row r="35">
          <cell r="A35" t="str">
            <v>100012-37</v>
          </cell>
        </row>
        <row r="36">
          <cell r="A36" t="str">
            <v>100012-38</v>
          </cell>
        </row>
        <row r="37">
          <cell r="A37" t="str">
            <v>100012-39</v>
          </cell>
        </row>
        <row r="38">
          <cell r="A38" t="str">
            <v>100012-40</v>
          </cell>
        </row>
        <row r="39">
          <cell r="A39" t="str">
            <v>100012-41</v>
          </cell>
        </row>
        <row r="40">
          <cell r="A40" t="str">
            <v>100012-42</v>
          </cell>
        </row>
        <row r="41">
          <cell r="A41" t="str">
            <v>100012-43</v>
          </cell>
        </row>
        <row r="42">
          <cell r="A42" t="str">
            <v>100012-44</v>
          </cell>
        </row>
        <row r="43">
          <cell r="A43" t="str">
            <v>100012-45</v>
          </cell>
        </row>
        <row r="44">
          <cell r="A44" t="str">
            <v>100012-46</v>
          </cell>
        </row>
        <row r="45">
          <cell r="A45" t="str">
            <v>100012-47</v>
          </cell>
        </row>
        <row r="46">
          <cell r="A46" t="str">
            <v>100012-48</v>
          </cell>
        </row>
        <row r="47">
          <cell r="A47" t="str">
            <v>100012-49</v>
          </cell>
        </row>
        <row r="48">
          <cell r="A48" t="str">
            <v>100012-50</v>
          </cell>
        </row>
        <row r="49">
          <cell r="A49" t="str">
            <v>100012-51</v>
          </cell>
        </row>
        <row r="50">
          <cell r="A50" t="str">
            <v>100012-52</v>
          </cell>
        </row>
        <row r="51">
          <cell r="A51" t="str">
            <v>100012-53</v>
          </cell>
        </row>
        <row r="52">
          <cell r="A52" t="str">
            <v>100012-54</v>
          </cell>
        </row>
        <row r="53">
          <cell r="A53" t="str">
            <v>100012-60</v>
          </cell>
        </row>
        <row r="54">
          <cell r="A54" t="str">
            <v>100012-61</v>
          </cell>
        </row>
        <row r="55">
          <cell r="A55" t="str">
            <v>100012-62</v>
          </cell>
        </row>
        <row r="56">
          <cell r="A56" t="str">
            <v>100012-63</v>
          </cell>
        </row>
        <row r="57">
          <cell r="A57" t="str">
            <v>100012-64</v>
          </cell>
        </row>
        <row r="58">
          <cell r="A58" t="str">
            <v>100012-71</v>
          </cell>
        </row>
        <row r="59">
          <cell r="A59" t="str">
            <v>100012-72</v>
          </cell>
        </row>
        <row r="60">
          <cell r="A60" t="str">
            <v>100012-73</v>
          </cell>
        </row>
        <row r="61">
          <cell r="A61" t="str">
            <v>100012-74</v>
          </cell>
        </row>
        <row r="62">
          <cell r="A62" t="str">
            <v>100012-75</v>
          </cell>
        </row>
        <row r="63">
          <cell r="A63" t="str">
            <v>200001-29</v>
          </cell>
        </row>
        <row r="64">
          <cell r="A64" t="str">
            <v>200001-30</v>
          </cell>
        </row>
        <row r="65">
          <cell r="A65" t="str">
            <v>200001-36</v>
          </cell>
        </row>
        <row r="66">
          <cell r="A66" t="str">
            <v>200001-68</v>
          </cell>
        </row>
        <row r="67">
          <cell r="A67" t="str">
            <v>200001-71</v>
          </cell>
        </row>
        <row r="68">
          <cell r="A68" t="str">
            <v>200001-72</v>
          </cell>
        </row>
        <row r="69">
          <cell r="A69" t="str">
            <v>200001-74</v>
          </cell>
        </row>
        <row r="70">
          <cell r="A70" t="str">
            <v>200001-75</v>
          </cell>
        </row>
        <row r="71">
          <cell r="A71" t="str">
            <v>200001-76</v>
          </cell>
        </row>
        <row r="72">
          <cell r="A72" t="str">
            <v>200001-77</v>
          </cell>
        </row>
        <row r="73">
          <cell r="A73" t="str">
            <v>200001-78</v>
          </cell>
        </row>
        <row r="74">
          <cell r="A74" t="str">
            <v>200001-79</v>
          </cell>
        </row>
        <row r="75">
          <cell r="A75" t="str">
            <v>200001-80</v>
          </cell>
        </row>
        <row r="76">
          <cell r="A76" t="str">
            <v>200001-81</v>
          </cell>
        </row>
        <row r="77">
          <cell r="A77" t="str">
            <v>200001-82</v>
          </cell>
        </row>
        <row r="78">
          <cell r="A78" t="str">
            <v>200001-97</v>
          </cell>
        </row>
        <row r="79">
          <cell r="A79" t="str">
            <v>200001-98</v>
          </cell>
        </row>
        <row r="80">
          <cell r="A80" t="str">
            <v>200001-99</v>
          </cell>
        </row>
        <row r="81">
          <cell r="A81" t="str">
            <v>200005-03</v>
          </cell>
        </row>
        <row r="82">
          <cell r="A82" t="str">
            <v>200005-07</v>
          </cell>
        </row>
        <row r="83">
          <cell r="A83" t="str">
            <v>200008-16</v>
          </cell>
        </row>
        <row r="84">
          <cell r="A84" t="str">
            <v>200008-17</v>
          </cell>
        </row>
        <row r="85">
          <cell r="A85" t="str">
            <v>200008-18</v>
          </cell>
        </row>
        <row r="86">
          <cell r="A86" t="str">
            <v>200008-19</v>
          </cell>
        </row>
        <row r="87">
          <cell r="A87" t="str">
            <v>200008-20</v>
          </cell>
        </row>
        <row r="88">
          <cell r="A88" t="str">
            <v>200008-21</v>
          </cell>
        </row>
        <row r="89">
          <cell r="A89" t="str">
            <v>200008-22</v>
          </cell>
        </row>
        <row r="90">
          <cell r="A90" t="str">
            <v>200008-23</v>
          </cell>
        </row>
        <row r="91">
          <cell r="A91" t="str">
            <v>200008-24</v>
          </cell>
        </row>
        <row r="92">
          <cell r="A92" t="str">
            <v>200008-25</v>
          </cell>
        </row>
        <row r="93">
          <cell r="A93" t="str">
            <v>200008-26</v>
          </cell>
        </row>
        <row r="94">
          <cell r="A94" t="str">
            <v>200008-27</v>
          </cell>
        </row>
        <row r="95">
          <cell r="A95" t="str">
            <v>200008-28</v>
          </cell>
        </row>
        <row r="96">
          <cell r="A96" t="str">
            <v>200008-30</v>
          </cell>
        </row>
        <row r="97">
          <cell r="A97" t="str">
            <v>200008-31</v>
          </cell>
        </row>
        <row r="98">
          <cell r="A98" t="str">
            <v>200008-32</v>
          </cell>
        </row>
        <row r="99">
          <cell r="A99" t="str">
            <v>200008-33</v>
          </cell>
        </row>
        <row r="100">
          <cell r="A100" t="str">
            <v>200008-34</v>
          </cell>
        </row>
        <row r="101">
          <cell r="A101" t="str">
            <v>200008-35</v>
          </cell>
        </row>
        <row r="102">
          <cell r="A102" t="str">
            <v>200008-36</v>
          </cell>
        </row>
        <row r="103">
          <cell r="A103" t="str">
            <v>200008-37</v>
          </cell>
        </row>
        <row r="104">
          <cell r="A104" t="str">
            <v>200008-38</v>
          </cell>
        </row>
        <row r="105">
          <cell r="A105" t="str">
            <v>200011-01</v>
          </cell>
        </row>
        <row r="106">
          <cell r="A106" t="str">
            <v>200011-13</v>
          </cell>
        </row>
        <row r="107">
          <cell r="A107" t="str">
            <v>200011-14</v>
          </cell>
        </row>
        <row r="108">
          <cell r="A108" t="str">
            <v>200011-15</v>
          </cell>
        </row>
        <row r="109">
          <cell r="A109" t="str">
            <v>200011-16</v>
          </cell>
        </row>
        <row r="110">
          <cell r="A110" t="str">
            <v>200011-17</v>
          </cell>
        </row>
        <row r="111">
          <cell r="A111" t="str">
            <v>200011-26</v>
          </cell>
        </row>
        <row r="112">
          <cell r="A112" t="str">
            <v>200011-29</v>
          </cell>
        </row>
        <row r="113">
          <cell r="A113" t="str">
            <v>200011-30</v>
          </cell>
        </row>
        <row r="114">
          <cell r="A114" t="str">
            <v>200011-48</v>
          </cell>
        </row>
        <row r="115">
          <cell r="A115" t="str">
            <v>200011-49</v>
          </cell>
        </row>
        <row r="116">
          <cell r="A116" t="str">
            <v>200011-50</v>
          </cell>
        </row>
        <row r="117">
          <cell r="A117" t="str">
            <v>200011-51</v>
          </cell>
        </row>
        <row r="118">
          <cell r="A118" t="str">
            <v>200011-53</v>
          </cell>
        </row>
        <row r="119">
          <cell r="A119" t="str">
            <v>200011-55</v>
          </cell>
        </row>
        <row r="120">
          <cell r="A120" t="str">
            <v>200011-56</v>
          </cell>
        </row>
        <row r="121">
          <cell r="A121" t="str">
            <v>200011-57</v>
          </cell>
        </row>
        <row r="122">
          <cell r="A122" t="str">
            <v>200011-58</v>
          </cell>
        </row>
        <row r="123">
          <cell r="A123" t="str">
            <v>200011-59</v>
          </cell>
        </row>
        <row r="124">
          <cell r="A124" t="str">
            <v>200011-60</v>
          </cell>
        </row>
        <row r="125">
          <cell r="A125" t="str">
            <v>200011-61</v>
          </cell>
        </row>
        <row r="126">
          <cell r="A126" t="str">
            <v>200011-66</v>
          </cell>
        </row>
        <row r="127">
          <cell r="A127" t="str">
            <v>200011-67</v>
          </cell>
        </row>
        <row r="128">
          <cell r="A128" t="str">
            <v>200011-68</v>
          </cell>
        </row>
        <row r="129">
          <cell r="A129" t="str">
            <v>200011-69</v>
          </cell>
        </row>
        <row r="130">
          <cell r="A130" t="str">
            <v>200011-70</v>
          </cell>
        </row>
        <row r="131">
          <cell r="A131" t="str">
            <v>200011-71</v>
          </cell>
        </row>
        <row r="132">
          <cell r="A132" t="str">
            <v>200011-72</v>
          </cell>
        </row>
        <row r="133">
          <cell r="A133" t="str">
            <v>200011-73</v>
          </cell>
        </row>
        <row r="134">
          <cell r="A134" t="str">
            <v>200011-74</v>
          </cell>
        </row>
        <row r="135">
          <cell r="A135" t="str">
            <v>200011-75</v>
          </cell>
        </row>
        <row r="136">
          <cell r="A136" t="str">
            <v>200011-76</v>
          </cell>
        </row>
        <row r="137">
          <cell r="A137" t="str">
            <v>200011-77</v>
          </cell>
        </row>
        <row r="138">
          <cell r="A138" t="str">
            <v>200011-78</v>
          </cell>
        </row>
        <row r="139">
          <cell r="A139" t="str">
            <v>200011-84</v>
          </cell>
        </row>
        <row r="140">
          <cell r="A140" t="str">
            <v>200011-86</v>
          </cell>
        </row>
        <row r="141">
          <cell r="A141" t="str">
            <v>200011-87</v>
          </cell>
        </row>
        <row r="142">
          <cell r="A142" t="str">
            <v>200011-88</v>
          </cell>
        </row>
        <row r="143">
          <cell r="A143" t="str">
            <v>200011-89</v>
          </cell>
        </row>
        <row r="144">
          <cell r="A144" t="str">
            <v>200011-90</v>
          </cell>
        </row>
        <row r="145">
          <cell r="A145" t="str">
            <v>200011-91</v>
          </cell>
        </row>
        <row r="146">
          <cell r="A146" t="str">
            <v>200011-92</v>
          </cell>
        </row>
        <row r="147">
          <cell r="A147" t="str">
            <v>200011-93</v>
          </cell>
        </row>
        <row r="148">
          <cell r="A148" t="str">
            <v>200011-94</v>
          </cell>
        </row>
        <row r="149">
          <cell r="A149" t="str">
            <v>200021-03</v>
          </cell>
        </row>
        <row r="150">
          <cell r="A150" t="str">
            <v>200021-04</v>
          </cell>
        </row>
        <row r="151">
          <cell r="A151" t="str">
            <v>200021-05</v>
          </cell>
        </row>
        <row r="152">
          <cell r="A152" t="str">
            <v>200021-06</v>
          </cell>
        </row>
        <row r="153">
          <cell r="A153" t="str">
            <v>200021-07</v>
          </cell>
        </row>
        <row r="154">
          <cell r="A154" t="str">
            <v>200021-08</v>
          </cell>
        </row>
        <row r="155">
          <cell r="A155" t="str">
            <v>200021-09</v>
          </cell>
        </row>
        <row r="156">
          <cell r="A156" t="str">
            <v>200021-10</v>
          </cell>
        </row>
        <row r="157">
          <cell r="A157" t="str">
            <v>200021-11</v>
          </cell>
        </row>
        <row r="158">
          <cell r="A158" t="str">
            <v>200021-12</v>
          </cell>
        </row>
        <row r="159">
          <cell r="A159" t="str">
            <v>200021-13</v>
          </cell>
        </row>
        <row r="160">
          <cell r="A160" t="str">
            <v>200021-14</v>
          </cell>
        </row>
        <row r="161">
          <cell r="A161" t="str">
            <v>200021-15</v>
          </cell>
        </row>
        <row r="162">
          <cell r="A162" t="str">
            <v>200021-21</v>
          </cell>
        </row>
        <row r="163">
          <cell r="A163" t="str">
            <v>200021-22</v>
          </cell>
        </row>
        <row r="164">
          <cell r="A164" t="str">
            <v>200021-23</v>
          </cell>
        </row>
        <row r="165">
          <cell r="A165" t="str">
            <v>200021-24</v>
          </cell>
        </row>
        <row r="166">
          <cell r="A166" t="str">
            <v>200021-25</v>
          </cell>
        </row>
        <row r="167">
          <cell r="A167" t="str">
            <v>200021-26</v>
          </cell>
        </row>
        <row r="168">
          <cell r="A168" t="str">
            <v>200021-27</v>
          </cell>
        </row>
        <row r="169">
          <cell r="A169" t="str">
            <v>200021-28</v>
          </cell>
        </row>
        <row r="170">
          <cell r="A170" t="str">
            <v>200021-29</v>
          </cell>
        </row>
        <row r="171">
          <cell r="A171" t="str">
            <v>200021-30</v>
          </cell>
        </row>
        <row r="172">
          <cell r="A172" t="str">
            <v>200021-46</v>
          </cell>
        </row>
        <row r="173">
          <cell r="A173" t="str">
            <v>200101-01</v>
          </cell>
        </row>
        <row r="174">
          <cell r="A174" t="str">
            <v>200103-01</v>
          </cell>
        </row>
        <row r="175">
          <cell r="A175" t="str">
            <v>300302-28</v>
          </cell>
        </row>
        <row r="176">
          <cell r="A176" t="str">
            <v>300302-29</v>
          </cell>
        </row>
        <row r="177">
          <cell r="A177" t="str">
            <v>300302-30</v>
          </cell>
        </row>
        <row r="178">
          <cell r="A178" t="str">
            <v>300302-34</v>
          </cell>
        </row>
        <row r="179">
          <cell r="A179" t="str">
            <v>300302-35</v>
          </cell>
        </row>
        <row r="180">
          <cell r="A180" t="str">
            <v>300302-36</v>
          </cell>
        </row>
        <row r="181">
          <cell r="A181" t="str">
            <v>300302-37</v>
          </cell>
        </row>
        <row r="182">
          <cell r="A182" t="str">
            <v>300302-40</v>
          </cell>
        </row>
        <row r="183">
          <cell r="A183" t="str">
            <v>300302-41</v>
          </cell>
        </row>
        <row r="184">
          <cell r="A184" t="str">
            <v>300302-42</v>
          </cell>
        </row>
        <row r="185">
          <cell r="A185" t="str">
            <v>300302-43</v>
          </cell>
        </row>
        <row r="186">
          <cell r="A186" t="str">
            <v>300302-44</v>
          </cell>
        </row>
        <row r="187">
          <cell r="A187" t="str">
            <v>300302-45</v>
          </cell>
        </row>
        <row r="188">
          <cell r="A188" t="str">
            <v>300302-46</v>
          </cell>
        </row>
        <row r="189">
          <cell r="A189" t="str">
            <v>300302-47</v>
          </cell>
        </row>
        <row r="190">
          <cell r="A190" t="str">
            <v>300302-48</v>
          </cell>
        </row>
        <row r="191">
          <cell r="A191" t="str">
            <v>300302-49</v>
          </cell>
        </row>
        <row r="192">
          <cell r="A192" t="str">
            <v>300302-50</v>
          </cell>
        </row>
        <row r="193">
          <cell r="A193" t="str">
            <v>300302-51</v>
          </cell>
        </row>
        <row r="194">
          <cell r="A194" t="str">
            <v>300302-52</v>
          </cell>
        </row>
        <row r="195">
          <cell r="A195" t="str">
            <v>300302-53</v>
          </cell>
        </row>
        <row r="196">
          <cell r="A196" t="str">
            <v>300302-59</v>
          </cell>
        </row>
        <row r="197">
          <cell r="A197" t="str">
            <v>500000-57</v>
          </cell>
        </row>
        <row r="198">
          <cell r="A198" t="str">
            <v>500000-59</v>
          </cell>
        </row>
        <row r="199">
          <cell r="A199" t="str">
            <v>500000-60</v>
          </cell>
        </row>
        <row r="200">
          <cell r="A200" t="str">
            <v>500000-62</v>
          </cell>
        </row>
        <row r="201">
          <cell r="A201" t="str">
            <v>500000-63</v>
          </cell>
        </row>
        <row r="202">
          <cell r="A202" t="str">
            <v>500000-64</v>
          </cell>
        </row>
        <row r="203">
          <cell r="A203" t="str">
            <v>500000-65</v>
          </cell>
        </row>
        <row r="204">
          <cell r="A204" t="str">
            <v>500000-71</v>
          </cell>
        </row>
        <row r="205">
          <cell r="A205" t="str">
            <v>500000-72</v>
          </cell>
        </row>
        <row r="206">
          <cell r="A206" t="str">
            <v>500000-73</v>
          </cell>
        </row>
        <row r="207">
          <cell r="A207" t="str">
            <v>500000-77</v>
          </cell>
        </row>
        <row r="208">
          <cell r="A208" t="str">
            <v>500000-81</v>
          </cell>
        </row>
        <row r="209">
          <cell r="A209" t="str">
            <v>500000-85</v>
          </cell>
        </row>
        <row r="210">
          <cell r="A210" t="str">
            <v>500000-86</v>
          </cell>
        </row>
        <row r="211">
          <cell r="A211" t="str">
            <v>500000-87</v>
          </cell>
        </row>
        <row r="212">
          <cell r="A212" t="str">
            <v>500000-89</v>
          </cell>
        </row>
        <row r="213">
          <cell r="A213" t="str">
            <v>500000-90</v>
          </cell>
        </row>
        <row r="214">
          <cell r="A214" t="str">
            <v>500000-91</v>
          </cell>
        </row>
        <row r="215">
          <cell r="A215" t="str">
            <v>500000-92</v>
          </cell>
        </row>
        <row r="216">
          <cell r="A216" t="str">
            <v>500001-62</v>
          </cell>
        </row>
        <row r="217">
          <cell r="A217" t="str">
            <v>500001-63</v>
          </cell>
        </row>
        <row r="218">
          <cell r="A218" t="str">
            <v>500001-70</v>
          </cell>
        </row>
        <row r="219">
          <cell r="A219" t="str">
            <v>500001-71</v>
          </cell>
        </row>
        <row r="220">
          <cell r="A220" t="str">
            <v>500001-72</v>
          </cell>
        </row>
        <row r="221">
          <cell r="A221" t="str">
            <v>500001-73</v>
          </cell>
        </row>
        <row r="222">
          <cell r="A222" t="str">
            <v>500003-01</v>
          </cell>
        </row>
        <row r="223">
          <cell r="A223" t="str">
            <v>500003-02</v>
          </cell>
        </row>
        <row r="224">
          <cell r="A224" t="str">
            <v>500003-03</v>
          </cell>
        </row>
        <row r="225">
          <cell r="A225" t="str">
            <v>500003-04</v>
          </cell>
        </row>
        <row r="226">
          <cell r="A226" t="str">
            <v>500003-08</v>
          </cell>
        </row>
        <row r="227">
          <cell r="A227" t="str">
            <v>610000-01</v>
          </cell>
        </row>
        <row r="228">
          <cell r="A228" t="str">
            <v>610000-02</v>
          </cell>
        </row>
        <row r="229">
          <cell r="A229" t="str">
            <v>610000-03</v>
          </cell>
        </row>
        <row r="230">
          <cell r="A230" t="str">
            <v>610000-04</v>
          </cell>
        </row>
        <row r="231">
          <cell r="A231" t="str">
            <v>610000-05</v>
          </cell>
        </row>
        <row r="232">
          <cell r="A232" t="str">
            <v>610000-06</v>
          </cell>
        </row>
        <row r="233">
          <cell r="A233" t="str">
            <v>610000-07</v>
          </cell>
        </row>
        <row r="234">
          <cell r="A234" t="str">
            <v>610000-08</v>
          </cell>
        </row>
        <row r="235">
          <cell r="A235" t="str">
            <v>610000-09</v>
          </cell>
        </row>
        <row r="236">
          <cell r="A236" t="str">
            <v>610000-10</v>
          </cell>
        </row>
        <row r="237">
          <cell r="A237" t="str">
            <v>610000-11</v>
          </cell>
        </row>
        <row r="238">
          <cell r="A238" t="str">
            <v>800000-31</v>
          </cell>
        </row>
        <row r="239">
          <cell r="A239" t="str">
            <v>800000-33</v>
          </cell>
        </row>
        <row r="240">
          <cell r="A240" t="str">
            <v>800000-34</v>
          </cell>
        </row>
        <row r="241">
          <cell r="A241" t="str">
            <v>800000-36</v>
          </cell>
        </row>
        <row r="242">
          <cell r="A242" t="str">
            <v>800000-37</v>
          </cell>
        </row>
        <row r="243">
          <cell r="A243" t="str">
            <v>800000-38</v>
          </cell>
        </row>
        <row r="244">
          <cell r="A244" t="str">
            <v>800000-44</v>
          </cell>
        </row>
        <row r="245">
          <cell r="A245" t="str">
            <v>800000-45</v>
          </cell>
        </row>
        <row r="246">
          <cell r="A246" t="str">
            <v>800000-46</v>
          </cell>
        </row>
        <row r="247">
          <cell r="A247" t="str">
            <v>800000-52</v>
          </cell>
        </row>
        <row r="248">
          <cell r="A248" t="str">
            <v>800000-53</v>
          </cell>
        </row>
        <row r="249">
          <cell r="A249" t="str">
            <v>800000-93</v>
          </cell>
        </row>
        <row r="250">
          <cell r="A250" t="str">
            <v>800000-99</v>
          </cell>
        </row>
        <row r="251">
          <cell r="A251" t="str">
            <v>800010-00</v>
          </cell>
        </row>
        <row r="252">
          <cell r="A252" t="str">
            <v>810001-10</v>
          </cell>
        </row>
        <row r="253">
          <cell r="A253" t="str">
            <v>810001-11</v>
          </cell>
        </row>
        <row r="254">
          <cell r="A254" t="str">
            <v>810003-05</v>
          </cell>
        </row>
        <row r="255">
          <cell r="A255" t="str">
            <v>810003-08</v>
          </cell>
        </row>
        <row r="256">
          <cell r="A256" t="str">
            <v>810004-11</v>
          </cell>
        </row>
        <row r="257">
          <cell r="A257" t="str">
            <v>810004-13</v>
          </cell>
        </row>
        <row r="258">
          <cell r="A258" t="str">
            <v>810004-14</v>
          </cell>
        </row>
        <row r="259">
          <cell r="A259" t="str">
            <v>810004-15</v>
          </cell>
        </row>
        <row r="260">
          <cell r="A260" t="str">
            <v>810004-16</v>
          </cell>
        </row>
        <row r="261">
          <cell r="A261" t="str">
            <v>810004-17</v>
          </cell>
        </row>
        <row r="262">
          <cell r="A262" t="str">
            <v>810004-18</v>
          </cell>
        </row>
        <row r="263">
          <cell r="A263" t="str">
            <v>810004-23</v>
          </cell>
        </row>
        <row r="264">
          <cell r="A264" t="str">
            <v>810004-28</v>
          </cell>
        </row>
        <row r="265">
          <cell r="A265" t="str">
            <v>810004-33</v>
          </cell>
        </row>
        <row r="266">
          <cell r="A266" t="str">
            <v>810004-34</v>
          </cell>
        </row>
        <row r="267">
          <cell r="A267" t="str">
            <v>810004-35</v>
          </cell>
        </row>
        <row r="268">
          <cell r="A268" t="str">
            <v>810004-36</v>
          </cell>
        </row>
        <row r="269">
          <cell r="A269" t="str">
            <v>810004-59</v>
          </cell>
        </row>
        <row r="270">
          <cell r="A270" t="str">
            <v>810004-60</v>
          </cell>
        </row>
        <row r="271">
          <cell r="A271" t="str">
            <v>810004-62</v>
          </cell>
        </row>
        <row r="272">
          <cell r="A272" t="str">
            <v>810004-63</v>
          </cell>
        </row>
        <row r="273">
          <cell r="A273" t="str">
            <v>810004-64</v>
          </cell>
        </row>
        <row r="274">
          <cell r="A274" t="str">
            <v>810004-66</v>
          </cell>
        </row>
        <row r="275">
          <cell r="A275" t="str">
            <v>810004-67</v>
          </cell>
        </row>
        <row r="276">
          <cell r="A276" t="str">
            <v>810004-68</v>
          </cell>
        </row>
        <row r="277">
          <cell r="A277" t="str">
            <v>810004-70</v>
          </cell>
        </row>
        <row r="278">
          <cell r="A278" t="str">
            <v>810004-71</v>
          </cell>
        </row>
        <row r="279">
          <cell r="A279" t="str">
            <v>810004-72</v>
          </cell>
        </row>
        <row r="280">
          <cell r="A280" t="str">
            <v>810004-73</v>
          </cell>
        </row>
        <row r="281">
          <cell r="A281" t="str">
            <v>VFAV-001</v>
          </cell>
        </row>
        <row r="282">
          <cell r="A282" t="str">
            <v>VTD-026</v>
          </cell>
        </row>
        <row r="283">
          <cell r="A283" t="str">
            <v>VTD-031</v>
          </cell>
        </row>
        <row r="284">
          <cell r="A284" t="str">
            <v>VTD-032</v>
          </cell>
        </row>
        <row r="285">
          <cell r="A285" t="str">
            <v>VTD-034</v>
          </cell>
        </row>
        <row r="286">
          <cell r="A286" t="str">
            <v>VTD-035</v>
          </cell>
        </row>
        <row r="287">
          <cell r="A287" t="str">
            <v>VTD-036</v>
          </cell>
        </row>
        <row r="288">
          <cell r="A288" t="str">
            <v>VTD-038</v>
          </cell>
        </row>
        <row r="289">
          <cell r="A289" t="str">
            <v>VTD-039</v>
          </cell>
        </row>
        <row r="290">
          <cell r="A290" t="str">
            <v>VTD-041</v>
          </cell>
        </row>
        <row r="291">
          <cell r="A291" t="str">
            <v>VTD-042</v>
          </cell>
        </row>
        <row r="292">
          <cell r="A292" t="str">
            <v>VTD-043</v>
          </cell>
        </row>
        <row r="293">
          <cell r="A293" t="str">
            <v>VTD-044</v>
          </cell>
        </row>
        <row r="294">
          <cell r="A294" t="str">
            <v>VTD-045</v>
          </cell>
        </row>
        <row r="295">
          <cell r="A295" t="str">
            <v>VTD-046</v>
          </cell>
        </row>
        <row r="296">
          <cell r="A296" t="str">
            <v>VTD-048</v>
          </cell>
        </row>
        <row r="297">
          <cell r="A297" t="str">
            <v>VTD-049</v>
          </cell>
        </row>
        <row r="298">
          <cell r="A298" t="str">
            <v>VTD-054</v>
          </cell>
        </row>
        <row r="299">
          <cell r="A299" t="str">
            <v>VTD-055</v>
          </cell>
        </row>
        <row r="300">
          <cell r="A300" t="str">
            <v>VTD-059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E5BACAD-B1C4-4B4D-8154-E271C8A16E93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Name" tableColumnId="1"/>
      <queryTableField id="6" dataBound="0" tableColumnId="6"/>
      <queryTableField id="2" name="Value.offeringid" tableColumnId="2"/>
      <queryTableField id="3" name="Value.name" tableColumnId="3"/>
      <queryTableField id="4" name="Value.mode" tableColumnId="4"/>
      <queryTableField id="5" dataBound="0" tableColumnId="5"/>
      <queryTableField id="7" dataBound="0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F6F01BAA-93DC-437A-932B-00E66990D2AD}" autoFormatId="16" applyNumberFormats="0" applyBorderFormats="0" applyFontFormats="0" applyPatternFormats="0" applyAlignmentFormats="0" applyWidthHeightFormats="0">
  <queryTableRefresh nextId="12" unboundColumnsRight="2">
    <queryTableFields count="11">
      <queryTableField id="1" name="Name" tableColumnId="1"/>
      <queryTableField id="2" name="Value.legacyid" tableColumnId="2"/>
      <queryTableField id="8" dataBound="0" tableColumnId="9"/>
      <queryTableField id="3" name="Value.name" tableColumnId="3"/>
      <queryTableField id="4" name="Value.mode" tableColumnId="4"/>
      <queryTableField id="5" name="Value.amount" tableColumnId="5"/>
      <queryTableField id="6" name="Value.resources" tableColumnId="6"/>
      <queryTableField id="11" dataBound="0" tableColumnId="8"/>
      <queryTableField id="7" name="Value.activityId" tableColumnId="7"/>
      <queryTableField id="9" dataBound="0" tableColumnId="10"/>
      <queryTableField id="10" dataBound="0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E68FF37F-5A1D-4D23-832A-EF4D88356E11}" autoFormatId="16" applyNumberFormats="0" applyBorderFormats="0" applyFontFormats="0" applyPatternFormats="0" applyAlignmentFormats="0" applyWidthHeightFormats="0">
  <queryTableRefresh nextId="10" unboundColumnsRight="2">
    <queryTableFields count="9">
      <queryTableField id="1" name="Name" tableColumnId="1"/>
      <queryTableField id="8" dataBound="0" tableColumnId="8"/>
      <queryTableField id="2" name="Value.offeringid" tableColumnId="2"/>
      <queryTableField id="3" name="Value.name" tableColumnId="3"/>
      <queryTableField id="4" name="Value.mode" tableColumnId="4"/>
      <queryTableField id="5" name="Value.offeringidATP" tableColumnId="5"/>
      <queryTableField id="6" name="Value.ignore" tableColumnId="6"/>
      <queryTableField id="7" dataBound="0" tableColumnId="7"/>
      <queryTableField id="9" dataBound="0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65ED5A-FC34-4032-ACE5-ADAF53E37774}" name="Tabla3" displayName="Tabla3" ref="A2:I33" headerRowDxfId="39" dataDxfId="38">
  <autoFilter ref="A2:I33" xr:uid="{ECC322B3-5C29-4877-9369-9E79834CD4D9}"/>
  <tableColumns count="9">
    <tableColumn id="1" xr3:uid="{588BC00E-FD36-4E64-8CDC-14EE67C07C1A}" name="#" totalsRowLabel="Total" dataDxfId="37" totalsRowDxfId="36"/>
    <tableColumn id="2" xr3:uid="{CAFA819B-534E-4919-943C-448D1358A524}" name="Nombre" dataDxfId="35" totalsRowDxfId="34"/>
    <tableColumn id="3" xr3:uid="{BF258A09-C70C-4323-BCFC-27BF0AC77CD8}" name="Valor" dataDxfId="33" totalsRowDxfId="32"/>
    <tableColumn id="4" xr3:uid="{93A353C7-D814-4F6B-9100-43319761AA6C}" name="Array" dataDxfId="31" totalsRowDxfId="30"/>
    <tableColumn id="5" xr3:uid="{FDA58F4F-DE05-464B-AC06-83928F2B90A6}" name="Longitud" dataDxfId="29" totalsRowDxfId="28"/>
    <tableColumn id="6" xr3:uid="{BAF02C6A-775A-46C2-AF3E-DFBF21378595}" name="Obligatoriedad" dataDxfId="27" totalsRowDxfId="26"/>
    <tableColumn id="7" xr3:uid="{C1F61938-C7A3-4941-8A1F-DDCCE7FD2EC8}" name="Tipo De Dato" dataDxfId="25" totalsRowDxfId="24"/>
    <tableColumn id="8" xr3:uid="{E0DA8795-DD47-49ED-8601-8A21E6D7AF7A}" name="Valor Invalido" dataDxfId="23" totalsRowDxfId="22"/>
    <tableColumn id="9" xr3:uid="{9A3A4ECD-1F9C-446F-8A09-3367C2370B79}" name="Tipo de propiedad" totalsRowFunction="count" dataDxfId="21" totalsRowDxfId="2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1FF3AB-5C34-4644-9634-0BB0A834237E}" name="Tabla4" displayName="Tabla4" ref="K5:Q24" totalsRowShown="0" headerRowDxfId="19" dataDxfId="18">
  <autoFilter ref="K5:Q24" xr:uid="{6711528D-969F-408D-958A-C799DD606A2A}"/>
  <tableColumns count="7">
    <tableColumn id="1" xr3:uid="{378D7FF8-2BD1-4956-A267-A3F86A4CDC2E}" name="#" dataDxfId="17">
      <calculatedColumnFormula>IF(L6&lt;&gt;"",K5+1,"")</calculatedColumnFormula>
    </tableColumn>
    <tableColumn id="2" xr3:uid="{5487D614-549D-4BBC-AC12-37A79AB3C189}" name="Criterio" dataDxfId="16"/>
    <tableColumn id="3" xr3:uid="{F40E475A-2853-42EA-905E-1A748785E5EC}" name="Tipo Prueba" dataDxfId="15"/>
    <tableColumn id="4" xr3:uid="{150D7E5C-590D-49A4-8531-A232C78C3510}" name="Agrupacion" dataDxfId="14"/>
    <tableColumn id="5" xr3:uid="{11E3FAE5-A3E4-43FC-ABD9-CAB112AABA58}" name="Codigo" dataDxfId="13"/>
    <tableColumn id="6" xr3:uid="{7CF9A1A5-FCEA-4157-9E70-8ECCB11EED4B}" name="Message" dataDxfId="12"/>
    <tableColumn id="7" xr3:uid="{6FCC23E6-8924-4F4D-9B7A-89D391925B56}" name="Generar" dataDxfId="1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16CF7C-1824-46B6-A2E5-AA627B011D05}" name="supplementary_offering_legacyid" displayName="supplementary_offering_legacyid" ref="A1:G1333" tableType="queryTable" totalsRowShown="0">
  <autoFilter ref="A1:G1333" xr:uid="{E211F5D2-601C-462C-AF30-3C321F0B12A6}"/>
  <tableColumns count="7">
    <tableColumn id="1" xr3:uid="{51CDB82A-717B-4B24-A76A-5664C538AE4F}" uniqueName="1" name="Produccion" queryTableFieldId="1" dataDxfId="10"/>
    <tableColumn id="6" xr3:uid="{0BA63489-26D9-4554-88D0-825592D7C2B4}" uniqueName="6" name="Semilla04" queryTableFieldId="6" dataDxfId="9">
      <calculatedColumnFormula>findKey(supplementary_offering_legacyid[[#This Row],[Produccion]])</calculatedColumnFormula>
    </tableColumn>
    <tableColumn id="2" xr3:uid="{09003D3A-C51C-4153-947F-6C65202B22B2}" uniqueName="2" name="offeringid" queryTableFieldId="2"/>
    <tableColumn id="3" xr3:uid="{8331E92E-5102-44E8-8887-54AA96257180}" uniqueName="3" name="name" queryTableFieldId="3"/>
    <tableColumn id="4" xr3:uid="{ADD6A554-5037-490A-8037-546B26108773}" uniqueName="4" name="mode" queryTableFieldId="4"/>
    <tableColumn id="5" xr3:uid="{A8549673-B878-445B-9815-488F35292DC6}" uniqueName="5" name="Json" queryTableFieldId="5">
      <calculatedColumnFormula>ToJsonArray(supplementary_offering_legacyid[[#Headers],[offeringid]:[mode]],supplementary_offering_legacyid[[#This Row],[offeringid]:[mode]])</calculatedColumnFormula>
    </tableColumn>
    <tableColumn id="7" xr3:uid="{043A4BC7-6845-44ED-9BD2-19AD8185A6A6}" uniqueName="7" name="key" queryTableFieldId="7" dataDxfId="8">
      <calculatedColumnFormula>ToJsonArray(supplementary_offering_legacyid[[#This Row],[Semilla04]],supplementary_offering_legacyid[[#This Row],[Json]])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E65BA5-6A9D-42EB-A8AD-DD1658C9D673}" name="supplementary_offering_offeringid__4" displayName="supplementary_offering_offeringid__4" ref="A1:K1335" tableType="queryTable" totalsRowShown="0">
  <autoFilter ref="A1:K1335" xr:uid="{1AC2B548-CA19-4436-814E-E99FABE1E32A}"/>
  <tableColumns count="11">
    <tableColumn id="1" xr3:uid="{24616794-1375-4E98-BD61-1969C838952B}" uniqueName="1" name="produccion" queryTableFieldId="1" dataDxfId="7"/>
    <tableColumn id="2" xr3:uid="{2EF0A33D-55C7-4705-9872-6F049B67BF14}" uniqueName="2" name="Value.legacyid" queryTableFieldId="2"/>
    <tableColumn id="9" xr3:uid="{71EA43A0-6938-4DA5-BF9E-4E8A0B07246A}" uniqueName="9" name="legacyid" queryTableFieldId="8" dataDxfId="6">
      <calculatedColumnFormula>findKey(supplementary_offering_offeringid__4[[#This Row],[Value.legacyid]])</calculatedColumnFormula>
    </tableColumn>
    <tableColumn id="3" xr3:uid="{F2BA6917-987A-4596-9F1C-75057BBD074B}" uniqueName="3" name="name" queryTableFieldId="3"/>
    <tableColumn id="4" xr3:uid="{8167BC7F-88D3-423C-8177-145CEC9F50DA}" uniqueName="4" name="mode" queryTableFieldId="4"/>
    <tableColumn id="5" xr3:uid="{1E4E653D-2435-41FF-A099-94D8E9E03ADD}" uniqueName="5" name="amount" queryTableFieldId="5"/>
    <tableColumn id="6" xr3:uid="{7CAA7F76-BF19-429F-BE1F-C13E32834DEF}" uniqueName="6" name="resources" queryTableFieldId="6"/>
    <tableColumn id="8" xr3:uid="{5799A9BC-906C-4BB8-8411-4EF8EB996E11}" uniqueName="8" name="activity" queryTableFieldId="11"/>
    <tableColumn id="7" xr3:uid="{0D5F2974-891A-4ABE-87A9-3835B389FD78}" uniqueName="7" name="activityId" queryTableFieldId="7"/>
    <tableColumn id="10" xr3:uid="{3FC9DEA1-4E00-45F2-8600-6E6CBC39FA6F}" uniqueName="10" name="json" queryTableFieldId="9" dataDxfId="5">
      <calculatedColumnFormula>ToJsonArray(supplementary_offering_offeringid__4[[#Headers],[legacyid]:[activityId]],supplementary_offering_offeringid__4[[#This Row],[legacyid]:[activityId]])</calculatedColumnFormula>
    </tableColumn>
    <tableColumn id="11" xr3:uid="{AF877E90-420F-47D1-B6C5-3176A5AF7B1B}" uniqueName="11" name="key" queryTableFieldId="10" dataDxfId="4">
      <calculatedColumnFormula>ToJsonArray(supplementary_offering_offeringid__4[[#This Row],[produccion]],supplementary_offering_offeringid__4[[#This Row],[json]])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30F57B-1D5E-484D-9D8D-DF81D106D817}" name="supplementary_offering_legacyid__4" displayName="supplementary_offering_legacyid__4" ref="A1:I1333" tableType="queryTable" totalsRowShown="0">
  <autoFilter ref="A1:I1333" xr:uid="{5C13ED2A-A3CC-416F-B323-FDFCD940941D}"/>
  <tableColumns count="9">
    <tableColumn id="1" xr3:uid="{22848805-2714-4928-8CF7-3A393D480E47}" uniqueName="1" name="PRODUCCION" queryTableFieldId="1" dataDxfId="3"/>
    <tableColumn id="8" xr3:uid="{DDE525B3-B1BC-4A67-AD69-512DE10AF72A}" uniqueName="8" name="semilla04" queryTableFieldId="8" dataDxfId="2">
      <calculatedColumnFormula>findKey(supplementary_offering_legacyid__4[[#This Row],[PRODUCCION]])</calculatedColumnFormula>
    </tableColumn>
    <tableColumn id="2" xr3:uid="{374995F3-E864-403B-9B1B-9B24816D5076}" uniqueName="2" name="offeringid" queryTableFieldId="2"/>
    <tableColumn id="3" xr3:uid="{9D9ECD33-7B69-41E9-88C0-E64775A3FA66}" uniqueName="3" name="name" queryTableFieldId="3"/>
    <tableColumn id="4" xr3:uid="{26532250-355F-4C51-8502-7CEDD4271A50}" uniqueName="4" name="mode" queryTableFieldId="4"/>
    <tableColumn id="5" xr3:uid="{300BB9D6-9BBE-43B2-B696-A7646743C28E}" uniqueName="5" name="offeringidATP" queryTableFieldId="5" dataDxfId="1"/>
    <tableColumn id="6" xr3:uid="{798A4A5D-09A7-4917-8A3C-16DC1F3B9561}" uniqueName="6" name="ignore" queryTableFieldId="6"/>
    <tableColumn id="7" xr3:uid="{2E0DE1C7-1206-4544-BB6A-FF21B4D5874A}" uniqueName="7" name="json" queryTableFieldId="7">
      <calculatedColumnFormula>ToJsonArray(supplementary_offering_legacyid__4[[#Headers],[offeringid]:[json]],supplementary_offering_legacyid__4[[#This Row],[offeringid]:[ignore]])</calculatedColumnFormula>
    </tableColumn>
    <tableColumn id="9" xr3:uid="{543420FA-B89C-4DB5-81D1-B4C0A65B91A2}" uniqueName="9" name="key" queryTableFieldId="9" dataDxfId="0">
      <calculatedColumnFormula>ToJsonArray(supplementary_offering_legacyid__4[[#This Row],[semilla04]],supplementary_offering_legacyid__4[[#This Row],[json]])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EE02D-ACAB-47D0-B9E0-41A61203E087}">
  <sheetPr codeName="Hoja4">
    <tabColor theme="4"/>
  </sheetPr>
  <dimension ref="A1"/>
  <sheetViews>
    <sheetView workbookViewId="0">
      <selection activeCell="C19" sqref="C1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A404B-5183-4E9E-8B47-D7F800BD7793}">
  <sheetPr codeName="Hoja1">
    <tabColor rgb="FF92D050"/>
  </sheetPr>
  <dimension ref="A1:F19"/>
  <sheetViews>
    <sheetView workbookViewId="0">
      <selection activeCell="C9" sqref="C9"/>
    </sheetView>
  </sheetViews>
  <sheetFormatPr baseColWidth="10" defaultRowHeight="15" x14ac:dyDescent="0.25"/>
  <cols>
    <col min="1" max="1" width="11.5703125" bestFit="1" customWidth="1"/>
    <col min="4" max="4" width="14.42578125" bestFit="1" customWidth="1"/>
    <col min="6" max="6" width="14.7109375" bestFit="1" customWidth="1"/>
  </cols>
  <sheetData>
    <row r="1" spans="1:6" x14ac:dyDescent="0.25">
      <c r="A1" s="2" t="s">
        <v>0</v>
      </c>
      <c r="B1" s="2" t="s">
        <v>4</v>
      </c>
      <c r="C1" s="1" t="s">
        <v>11</v>
      </c>
      <c r="D1" s="1" t="s">
        <v>26</v>
      </c>
      <c r="E1" s="1" t="s">
        <v>31</v>
      </c>
      <c r="F1" s="1" t="s">
        <v>34</v>
      </c>
    </row>
    <row r="2" spans="1:6" x14ac:dyDescent="0.25">
      <c r="A2" t="s">
        <v>1</v>
      </c>
      <c r="B2" t="s">
        <v>5</v>
      </c>
      <c r="C2" t="s">
        <v>12</v>
      </c>
      <c r="D2" t="s">
        <v>27</v>
      </c>
      <c r="E2" t="s">
        <v>32</v>
      </c>
      <c r="F2" t="s">
        <v>94</v>
      </c>
    </row>
    <row r="3" spans="1:6" x14ac:dyDescent="0.25">
      <c r="A3" t="s">
        <v>2</v>
      </c>
      <c r="B3" t="s">
        <v>6</v>
      </c>
      <c r="C3" t="s">
        <v>13</v>
      </c>
      <c r="D3" t="s">
        <v>28</v>
      </c>
      <c r="E3" t="s">
        <v>33</v>
      </c>
      <c r="F3" t="s">
        <v>17</v>
      </c>
    </row>
    <row r="4" spans="1:6" x14ac:dyDescent="0.25">
      <c r="B4" t="s">
        <v>7</v>
      </c>
      <c r="D4" t="s">
        <v>29</v>
      </c>
      <c r="F4" t="s">
        <v>4</v>
      </c>
    </row>
    <row r="5" spans="1:6" x14ac:dyDescent="0.25">
      <c r="B5" t="s">
        <v>8</v>
      </c>
      <c r="D5" t="s">
        <v>30</v>
      </c>
      <c r="F5" t="s">
        <v>18</v>
      </c>
    </row>
    <row r="6" spans="1:6" x14ac:dyDescent="0.25">
      <c r="B6" t="s">
        <v>9</v>
      </c>
      <c r="F6" t="s">
        <v>23</v>
      </c>
    </row>
    <row r="7" spans="1:6" x14ac:dyDescent="0.25">
      <c r="B7" t="s">
        <v>24</v>
      </c>
      <c r="F7" t="s">
        <v>10</v>
      </c>
    </row>
    <row r="19" spans="6:6" x14ac:dyDescent="0.25">
      <c r="F19">
        <f>calcularTipoDato("String","Mario",5)</f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EB84-E7AA-43CD-B948-74B18636F5C3}">
  <sheetPr codeName="Hoja2">
    <tabColor rgb="FFFFC000"/>
  </sheetPr>
  <dimension ref="A1:R428"/>
  <sheetViews>
    <sheetView zoomScale="80" zoomScaleNormal="80" workbookViewId="0">
      <selection activeCell="C2" sqref="C2"/>
    </sheetView>
  </sheetViews>
  <sheetFormatPr baseColWidth="10" defaultRowHeight="15" x14ac:dyDescent="0.25"/>
  <cols>
    <col min="1" max="1" width="9.5703125" style="4" customWidth="1"/>
    <col min="2" max="2" width="20" style="3" bestFit="1" customWidth="1"/>
    <col min="3" max="3" width="29.28515625" style="3" customWidth="1"/>
    <col min="4" max="4" width="36.7109375" style="3" bestFit="1" customWidth="1"/>
    <col min="5" max="5" width="13.28515625" style="3" bestFit="1" customWidth="1"/>
    <col min="6" max="6" width="18.85546875" style="3" bestFit="1" customWidth="1"/>
    <col min="7" max="7" width="16.85546875" style="3" bestFit="1" customWidth="1"/>
    <col min="8" max="8" width="17.85546875" style="3" bestFit="1" customWidth="1"/>
    <col min="9" max="9" width="22.28515625" style="3" customWidth="1"/>
    <col min="10" max="10" width="18.140625" style="3" customWidth="1"/>
    <col min="11" max="11" width="6.7109375" style="4" customWidth="1"/>
    <col min="12" max="12" width="19" style="3" customWidth="1"/>
    <col min="13" max="13" width="16.140625" style="3" bestFit="1" customWidth="1"/>
    <col min="14" max="14" width="13.28515625" style="3" bestFit="1" customWidth="1"/>
    <col min="15" max="15" width="11.7109375" style="3" bestFit="1" customWidth="1"/>
    <col min="16" max="16" width="13.42578125" style="3" bestFit="1" customWidth="1"/>
    <col min="17" max="18" width="11.42578125" style="3"/>
  </cols>
  <sheetData>
    <row r="1" spans="1:17" x14ac:dyDescent="0.25">
      <c r="A1" s="10"/>
      <c r="B1" s="28"/>
      <c r="C1" s="28"/>
      <c r="D1" s="28"/>
      <c r="E1" s="28"/>
      <c r="F1" s="28"/>
      <c r="G1" s="28"/>
      <c r="H1" s="28"/>
      <c r="I1" s="28"/>
      <c r="J1" s="6"/>
      <c r="L1" s="16" t="s">
        <v>39</v>
      </c>
      <c r="M1" s="16" t="s">
        <v>14</v>
      </c>
    </row>
    <row r="2" spans="1:17" x14ac:dyDescent="0.25">
      <c r="A2" s="7" t="s">
        <v>20</v>
      </c>
      <c r="B2" s="7" t="s">
        <v>15</v>
      </c>
      <c r="C2" s="7" t="s">
        <v>16</v>
      </c>
      <c r="D2" s="7" t="s">
        <v>9</v>
      </c>
      <c r="E2" s="7" t="s">
        <v>17</v>
      </c>
      <c r="F2" s="7" t="s">
        <v>18</v>
      </c>
      <c r="G2" s="7" t="s">
        <v>19</v>
      </c>
      <c r="H2" s="7" t="s">
        <v>38</v>
      </c>
      <c r="I2" s="7" t="s">
        <v>25</v>
      </c>
      <c r="J2" s="5"/>
      <c r="K2" s="8"/>
      <c r="L2" s="13">
        <f>COUNTA($A$3:$A$148)</f>
        <v>31</v>
      </c>
      <c r="M2" s="13">
        <f>COUNTA($K$6:$K$97)</f>
        <v>19</v>
      </c>
    </row>
    <row r="3" spans="1:17" x14ac:dyDescent="0.25">
      <c r="A3" s="17">
        <v>1</v>
      </c>
      <c r="B3" s="18" t="s">
        <v>40</v>
      </c>
      <c r="C3" s="31">
        <v>596014</v>
      </c>
      <c r="D3" s="17"/>
      <c r="E3" s="17">
        <v>36</v>
      </c>
      <c r="F3" s="20" t="s">
        <v>21</v>
      </c>
      <c r="G3" s="14" t="s">
        <v>6</v>
      </c>
      <c r="H3" s="15"/>
      <c r="I3" s="15" t="s">
        <v>27</v>
      </c>
    </row>
    <row r="4" spans="1:17" x14ac:dyDescent="0.25">
      <c r="A4" s="17">
        <v>2</v>
      </c>
      <c r="B4" s="18" t="s">
        <v>41</v>
      </c>
      <c r="C4" s="18" t="s">
        <v>79</v>
      </c>
      <c r="D4" s="17"/>
      <c r="E4" s="17">
        <v>100</v>
      </c>
      <c r="F4" s="20"/>
      <c r="G4" s="14" t="s">
        <v>6</v>
      </c>
      <c r="H4" s="15"/>
      <c r="I4" s="15" t="s">
        <v>27</v>
      </c>
      <c r="K4" s="8"/>
      <c r="L4" s="8"/>
      <c r="M4" s="8"/>
      <c r="N4" s="8"/>
      <c r="O4" s="8"/>
      <c r="P4" s="8"/>
      <c r="Q4" s="8"/>
    </row>
    <row r="5" spans="1:17" x14ac:dyDescent="0.25">
      <c r="A5" s="17">
        <v>3</v>
      </c>
      <c r="B5" s="18" t="s">
        <v>42</v>
      </c>
      <c r="C5" s="18" t="s">
        <v>61</v>
      </c>
      <c r="D5" s="17"/>
      <c r="E5" s="17">
        <v>20</v>
      </c>
      <c r="F5" s="20"/>
      <c r="G5" s="14" t="s">
        <v>6</v>
      </c>
      <c r="H5" s="15"/>
      <c r="I5" s="15" t="s">
        <v>27</v>
      </c>
      <c r="K5" s="11" t="s">
        <v>20</v>
      </c>
      <c r="L5" s="11" t="s">
        <v>3</v>
      </c>
      <c r="M5" s="11" t="s">
        <v>0</v>
      </c>
      <c r="N5" s="12" t="s">
        <v>31</v>
      </c>
      <c r="O5" s="11" t="s">
        <v>35</v>
      </c>
      <c r="P5" s="11" t="s">
        <v>36</v>
      </c>
      <c r="Q5" s="11" t="s">
        <v>22</v>
      </c>
    </row>
    <row r="6" spans="1:17" x14ac:dyDescent="0.25">
      <c r="A6" s="17">
        <v>4</v>
      </c>
      <c r="B6" s="18" t="s">
        <v>43</v>
      </c>
      <c r="C6" s="18" t="s">
        <v>80</v>
      </c>
      <c r="D6" s="17" t="s">
        <v>81</v>
      </c>
      <c r="E6" s="17"/>
      <c r="F6" s="20" t="s">
        <v>21</v>
      </c>
      <c r="G6" s="14" t="s">
        <v>9</v>
      </c>
      <c r="H6" s="15"/>
      <c r="I6" s="15" t="s">
        <v>27</v>
      </c>
      <c r="K6" s="4">
        <v>1</v>
      </c>
      <c r="L6" s="4" t="s">
        <v>94</v>
      </c>
      <c r="M6" s="4" t="str">
        <f>Variables!$A$2</f>
        <v>Valida</v>
      </c>
      <c r="N6" s="4" t="str">
        <f>Variables!$E$2</f>
        <v>General</v>
      </c>
      <c r="O6" s="3">
        <v>200</v>
      </c>
      <c r="P6" s="3" t="s">
        <v>37</v>
      </c>
      <c r="Q6" s="3" t="s">
        <v>12</v>
      </c>
    </row>
    <row r="7" spans="1:17" x14ac:dyDescent="0.25">
      <c r="A7" s="17">
        <v>5</v>
      </c>
      <c r="B7" s="18" t="s">
        <v>44</v>
      </c>
      <c r="C7" s="19" t="s">
        <v>82</v>
      </c>
      <c r="D7" s="17" t="s">
        <v>62</v>
      </c>
      <c r="E7" s="17"/>
      <c r="F7" s="20" t="s">
        <v>21</v>
      </c>
      <c r="G7" s="14" t="s">
        <v>9</v>
      </c>
      <c r="H7" s="15"/>
      <c r="I7" s="15" t="s">
        <v>27</v>
      </c>
      <c r="K7" s="4">
        <f>IF(L7&lt;&gt;"",K6+1,"")</f>
        <v>2</v>
      </c>
      <c r="L7" s="3" t="s">
        <v>17</v>
      </c>
      <c r="M7" s="3" t="s">
        <v>1</v>
      </c>
      <c r="N7" s="3" t="s">
        <v>32</v>
      </c>
      <c r="O7" s="3">
        <v>200</v>
      </c>
      <c r="P7" s="3" t="s">
        <v>37</v>
      </c>
      <c r="Q7" s="3" t="s">
        <v>12</v>
      </c>
    </row>
    <row r="8" spans="1:17" x14ac:dyDescent="0.25">
      <c r="A8" s="17">
        <v>6</v>
      </c>
      <c r="B8" s="18" t="s">
        <v>45</v>
      </c>
      <c r="C8" s="19" t="s">
        <v>63</v>
      </c>
      <c r="D8" s="17"/>
      <c r="E8" s="17">
        <v>15</v>
      </c>
      <c r="F8" s="20" t="s">
        <v>21</v>
      </c>
      <c r="G8" s="14" t="s">
        <v>6</v>
      </c>
      <c r="H8" s="14"/>
      <c r="I8" s="15" t="s">
        <v>27</v>
      </c>
      <c r="K8" s="4">
        <f t="shared" ref="K8:K24" si="0">IF(L8&lt;&gt;"",K7+1,"")</f>
        <v>3</v>
      </c>
      <c r="L8" s="3" t="s">
        <v>17</v>
      </c>
      <c r="M8" s="3" t="s">
        <v>2</v>
      </c>
      <c r="N8" s="3" t="s">
        <v>32</v>
      </c>
      <c r="O8" s="3">
        <v>200</v>
      </c>
      <c r="P8" s="3" t="s">
        <v>37</v>
      </c>
      <c r="Q8" s="3" t="s">
        <v>12</v>
      </c>
    </row>
    <row r="9" spans="1:17" x14ac:dyDescent="0.25">
      <c r="A9" s="17">
        <v>7</v>
      </c>
      <c r="B9" s="18" t="s">
        <v>46</v>
      </c>
      <c r="C9" s="18" t="s">
        <v>83</v>
      </c>
      <c r="D9" s="17"/>
      <c r="E9" s="17">
        <v>1000</v>
      </c>
      <c r="F9" s="20" t="s">
        <v>21</v>
      </c>
      <c r="G9" s="14" t="s">
        <v>6</v>
      </c>
      <c r="H9" s="14"/>
      <c r="I9" s="15" t="s">
        <v>27</v>
      </c>
      <c r="K9" s="4">
        <f>IF(L9&lt;&gt;"",K8+1,"")</f>
        <v>4</v>
      </c>
      <c r="L9" s="3" t="s">
        <v>17</v>
      </c>
      <c r="M9" s="3" t="s">
        <v>1</v>
      </c>
      <c r="N9" s="3" t="s">
        <v>33</v>
      </c>
      <c r="O9" s="3">
        <v>200</v>
      </c>
      <c r="P9" s="3" t="s">
        <v>37</v>
      </c>
      <c r="Q9" s="3" t="s">
        <v>12</v>
      </c>
    </row>
    <row r="10" spans="1:17" x14ac:dyDescent="0.25">
      <c r="A10" s="17">
        <v>8</v>
      </c>
      <c r="B10" s="18" t="s">
        <v>47</v>
      </c>
      <c r="C10" s="18">
        <v>827777</v>
      </c>
      <c r="D10" s="17"/>
      <c r="E10" s="17">
        <v>50</v>
      </c>
      <c r="F10" s="20"/>
      <c r="G10" s="14" t="s">
        <v>6</v>
      </c>
      <c r="H10" s="14"/>
      <c r="I10" s="15" t="s">
        <v>27</v>
      </c>
      <c r="K10" s="4">
        <f t="shared" si="0"/>
        <v>5</v>
      </c>
      <c r="L10" s="3" t="s">
        <v>17</v>
      </c>
      <c r="M10" s="3" t="s">
        <v>2</v>
      </c>
      <c r="N10" s="3" t="s">
        <v>33</v>
      </c>
      <c r="O10" s="3">
        <v>200</v>
      </c>
      <c r="P10" s="3" t="s">
        <v>37</v>
      </c>
      <c r="Q10" s="3" t="s">
        <v>12</v>
      </c>
    </row>
    <row r="11" spans="1:17" x14ac:dyDescent="0.25">
      <c r="A11" s="17">
        <v>9</v>
      </c>
      <c r="B11" s="18" t="s">
        <v>48</v>
      </c>
      <c r="C11" s="18" t="s">
        <v>49</v>
      </c>
      <c r="D11" s="17" t="s">
        <v>50</v>
      </c>
      <c r="E11" s="17"/>
      <c r="F11" s="20" t="s">
        <v>21</v>
      </c>
      <c r="G11" s="14" t="s">
        <v>9</v>
      </c>
      <c r="H11" s="14"/>
      <c r="I11" s="15" t="s">
        <v>27</v>
      </c>
      <c r="K11" s="4">
        <f t="shared" si="0"/>
        <v>6</v>
      </c>
      <c r="L11" s="3" t="s">
        <v>4</v>
      </c>
      <c r="M11" s="3" t="s">
        <v>1</v>
      </c>
      <c r="N11" s="3" t="s">
        <v>32</v>
      </c>
      <c r="O11" s="3">
        <v>200</v>
      </c>
      <c r="P11" s="3" t="s">
        <v>37</v>
      </c>
      <c r="Q11" s="3" t="s">
        <v>12</v>
      </c>
    </row>
    <row r="12" spans="1:17" x14ac:dyDescent="0.25">
      <c r="A12" s="17">
        <v>10</v>
      </c>
      <c r="B12" s="18" t="s">
        <v>51</v>
      </c>
      <c r="C12" s="31">
        <v>52772180</v>
      </c>
      <c r="D12" s="17"/>
      <c r="E12" s="17">
        <v>20</v>
      </c>
      <c r="F12" s="20" t="s">
        <v>21</v>
      </c>
      <c r="G12" s="14" t="s">
        <v>8</v>
      </c>
      <c r="H12" s="14"/>
      <c r="I12" s="15" t="s">
        <v>27</v>
      </c>
      <c r="K12" s="4">
        <f t="shared" si="0"/>
        <v>7</v>
      </c>
      <c r="L12" s="3" t="s">
        <v>4</v>
      </c>
      <c r="M12" s="3" t="s">
        <v>2</v>
      </c>
      <c r="N12" s="3" t="s">
        <v>32</v>
      </c>
      <c r="O12" s="3">
        <v>200</v>
      </c>
      <c r="P12" s="3" t="s">
        <v>37</v>
      </c>
      <c r="Q12" s="3" t="s">
        <v>12</v>
      </c>
    </row>
    <row r="13" spans="1:17" x14ac:dyDescent="0.25">
      <c r="A13" s="17">
        <v>11</v>
      </c>
      <c r="B13" s="18" t="s">
        <v>52</v>
      </c>
      <c r="C13" s="18" t="s">
        <v>84</v>
      </c>
      <c r="D13" s="17"/>
      <c r="E13" s="17">
        <v>100</v>
      </c>
      <c r="F13" s="20"/>
      <c r="G13" s="14" t="s">
        <v>6</v>
      </c>
      <c r="H13" s="14"/>
      <c r="I13" s="15" t="s">
        <v>27</v>
      </c>
      <c r="K13" s="4">
        <f t="shared" si="0"/>
        <v>8</v>
      </c>
      <c r="L13" s="3" t="s">
        <v>4</v>
      </c>
      <c r="M13" s="3" t="s">
        <v>1</v>
      </c>
      <c r="N13" s="3" t="s">
        <v>33</v>
      </c>
      <c r="O13" s="3">
        <v>200</v>
      </c>
      <c r="P13" s="3" t="s">
        <v>37</v>
      </c>
      <c r="Q13" s="3" t="s">
        <v>12</v>
      </c>
    </row>
    <row r="14" spans="1:17" x14ac:dyDescent="0.25">
      <c r="A14" s="17">
        <v>12</v>
      </c>
      <c r="B14" s="18" t="s">
        <v>53</v>
      </c>
      <c r="C14" s="18" t="s">
        <v>85</v>
      </c>
      <c r="D14" s="17"/>
      <c r="E14" s="17">
        <v>100</v>
      </c>
      <c r="F14" s="20"/>
      <c r="G14" s="14" t="s">
        <v>6</v>
      </c>
      <c r="H14" s="14"/>
      <c r="I14" s="15" t="s">
        <v>27</v>
      </c>
      <c r="K14" s="4">
        <f t="shared" si="0"/>
        <v>9</v>
      </c>
      <c r="L14" s="3" t="s">
        <v>4</v>
      </c>
      <c r="M14" s="3" t="s">
        <v>2</v>
      </c>
      <c r="N14" s="3" t="s">
        <v>33</v>
      </c>
      <c r="O14" s="3">
        <v>200</v>
      </c>
      <c r="P14" s="3" t="s">
        <v>37</v>
      </c>
      <c r="Q14" s="3" t="s">
        <v>12</v>
      </c>
    </row>
    <row r="15" spans="1:17" x14ac:dyDescent="0.25">
      <c r="A15" s="17">
        <v>13</v>
      </c>
      <c r="B15" s="18" t="s">
        <v>54</v>
      </c>
      <c r="C15" s="31">
        <v>101</v>
      </c>
      <c r="D15" s="17"/>
      <c r="E15" s="17">
        <v>15</v>
      </c>
      <c r="F15" s="20"/>
      <c r="G15" s="14" t="s">
        <v>6</v>
      </c>
      <c r="H15" s="14"/>
      <c r="I15" s="15" t="s">
        <v>27</v>
      </c>
      <c r="K15" s="4">
        <f t="shared" si="0"/>
        <v>10</v>
      </c>
      <c r="L15" s="3" t="s">
        <v>18</v>
      </c>
      <c r="M15" s="3" t="s">
        <v>1</v>
      </c>
      <c r="N15" s="3" t="s">
        <v>32</v>
      </c>
      <c r="O15" s="3">
        <v>200</v>
      </c>
      <c r="P15" s="3" t="s">
        <v>37</v>
      </c>
      <c r="Q15" s="3" t="s">
        <v>12</v>
      </c>
    </row>
    <row r="16" spans="1:17" x14ac:dyDescent="0.25">
      <c r="A16" s="17">
        <v>14</v>
      </c>
      <c r="B16" s="18" t="s">
        <v>55</v>
      </c>
      <c r="C16" s="18" t="s">
        <v>56</v>
      </c>
      <c r="D16" s="17"/>
      <c r="E16" s="17">
        <v>5</v>
      </c>
      <c r="F16" s="20" t="s">
        <v>21</v>
      </c>
      <c r="G16" s="14" t="s">
        <v>6</v>
      </c>
      <c r="H16" s="14"/>
      <c r="I16" s="15" t="s">
        <v>27</v>
      </c>
      <c r="K16" s="4">
        <f t="shared" si="0"/>
        <v>11</v>
      </c>
      <c r="L16" s="3" t="s">
        <v>18</v>
      </c>
      <c r="M16" s="3" t="s">
        <v>2</v>
      </c>
      <c r="N16" s="3" t="s">
        <v>32</v>
      </c>
      <c r="O16" s="3">
        <v>200</v>
      </c>
      <c r="P16" s="3" t="s">
        <v>37</v>
      </c>
      <c r="Q16" s="3" t="s">
        <v>12</v>
      </c>
    </row>
    <row r="17" spans="1:17" x14ac:dyDescent="0.25">
      <c r="A17" s="17">
        <v>15</v>
      </c>
      <c r="B17" s="18" t="s">
        <v>57</v>
      </c>
      <c r="C17" s="18" t="s">
        <v>86</v>
      </c>
      <c r="D17" s="17"/>
      <c r="E17" s="17"/>
      <c r="F17" s="20"/>
      <c r="G17" s="14" t="s">
        <v>5</v>
      </c>
      <c r="H17" s="14"/>
      <c r="I17" s="15" t="s">
        <v>27</v>
      </c>
      <c r="K17" s="4">
        <f t="shared" si="0"/>
        <v>12</v>
      </c>
      <c r="L17" s="3" t="s">
        <v>18</v>
      </c>
      <c r="M17" s="3" t="s">
        <v>1</v>
      </c>
      <c r="N17" s="3" t="s">
        <v>33</v>
      </c>
      <c r="O17" s="3">
        <v>200</v>
      </c>
      <c r="P17" s="3" t="s">
        <v>37</v>
      </c>
      <c r="Q17" s="3" t="s">
        <v>12</v>
      </c>
    </row>
    <row r="18" spans="1:17" x14ac:dyDescent="0.25">
      <c r="A18" s="17">
        <v>16</v>
      </c>
      <c r="B18" s="18" t="s">
        <v>58</v>
      </c>
      <c r="C18" s="18" t="s">
        <v>49</v>
      </c>
      <c r="D18" s="17" t="s">
        <v>50</v>
      </c>
      <c r="E18" s="17"/>
      <c r="F18" s="20"/>
      <c r="G18" s="14" t="s">
        <v>9</v>
      </c>
      <c r="H18" s="15"/>
      <c r="I18" s="15" t="s">
        <v>27</v>
      </c>
      <c r="K18" s="4">
        <f t="shared" si="0"/>
        <v>13</v>
      </c>
      <c r="L18" s="3" t="s">
        <v>18</v>
      </c>
      <c r="M18" s="3" t="s">
        <v>2</v>
      </c>
      <c r="N18" s="3" t="s">
        <v>33</v>
      </c>
      <c r="O18" s="3">
        <v>200</v>
      </c>
      <c r="P18" s="3" t="s">
        <v>37</v>
      </c>
      <c r="Q18" s="3" t="s">
        <v>12</v>
      </c>
    </row>
    <row r="19" spans="1:17" x14ac:dyDescent="0.25">
      <c r="A19" s="17">
        <v>17</v>
      </c>
      <c r="B19" s="18" t="s">
        <v>59</v>
      </c>
      <c r="C19" s="31">
        <v>52772180</v>
      </c>
      <c r="D19" s="17"/>
      <c r="E19" s="17">
        <v>25</v>
      </c>
      <c r="F19" s="20"/>
      <c r="G19" s="14" t="s">
        <v>6</v>
      </c>
      <c r="H19" s="15"/>
      <c r="I19" s="15" t="s">
        <v>27</v>
      </c>
      <c r="K19" s="4">
        <f t="shared" si="0"/>
        <v>14</v>
      </c>
      <c r="L19" s="3" t="s">
        <v>23</v>
      </c>
      <c r="M19" s="3" t="s">
        <v>1</v>
      </c>
      <c r="N19" s="3" t="s">
        <v>32</v>
      </c>
      <c r="O19" s="3">
        <v>200</v>
      </c>
      <c r="P19" s="3" t="s">
        <v>37</v>
      </c>
      <c r="Q19" s="3" t="s">
        <v>12</v>
      </c>
    </row>
    <row r="20" spans="1:17" x14ac:dyDescent="0.25">
      <c r="A20" s="17">
        <v>18</v>
      </c>
      <c r="B20" s="18" t="s">
        <v>60</v>
      </c>
      <c r="C20" s="18" t="s">
        <v>64</v>
      </c>
      <c r="D20" s="17"/>
      <c r="E20" s="17">
        <v>100</v>
      </c>
      <c r="F20" s="20"/>
      <c r="G20" s="14" t="s">
        <v>6</v>
      </c>
      <c r="H20" s="15"/>
      <c r="I20" s="15" t="s">
        <v>27</v>
      </c>
      <c r="K20" s="4">
        <f t="shared" si="0"/>
        <v>15</v>
      </c>
      <c r="L20" s="3" t="s">
        <v>23</v>
      </c>
      <c r="M20" s="3" t="s">
        <v>2</v>
      </c>
      <c r="N20" s="3" t="s">
        <v>32</v>
      </c>
      <c r="O20" s="3">
        <v>200</v>
      </c>
      <c r="P20" s="3" t="s">
        <v>37</v>
      </c>
      <c r="Q20" s="3" t="s">
        <v>12</v>
      </c>
    </row>
    <row r="21" spans="1:17" x14ac:dyDescent="0.25">
      <c r="A21" s="17">
        <v>19</v>
      </c>
      <c r="B21" s="18" t="s">
        <v>69</v>
      </c>
      <c r="C21" s="18" t="s">
        <v>87</v>
      </c>
      <c r="D21" s="17"/>
      <c r="E21" s="17">
        <v>100</v>
      </c>
      <c r="F21" s="20"/>
      <c r="G21" s="14" t="s">
        <v>6</v>
      </c>
      <c r="H21" s="15"/>
      <c r="I21" s="15" t="s">
        <v>30</v>
      </c>
      <c r="K21" s="4">
        <f t="shared" si="0"/>
        <v>16</v>
      </c>
      <c r="L21" s="3" t="s">
        <v>23</v>
      </c>
      <c r="M21" s="3" t="s">
        <v>1</v>
      </c>
      <c r="N21" s="3" t="s">
        <v>33</v>
      </c>
      <c r="O21" s="3">
        <v>200</v>
      </c>
      <c r="P21" s="3" t="s">
        <v>37</v>
      </c>
      <c r="Q21" s="3" t="s">
        <v>12</v>
      </c>
    </row>
    <row r="22" spans="1:17" x14ac:dyDescent="0.25">
      <c r="A22" s="17">
        <v>20</v>
      </c>
      <c r="B22" s="14" t="s">
        <v>70</v>
      </c>
      <c r="C22" s="14" t="s">
        <v>79</v>
      </c>
      <c r="D22" s="29"/>
      <c r="E22" s="29">
        <v>100</v>
      </c>
      <c r="F22" s="30"/>
      <c r="G22" s="14" t="s">
        <v>6</v>
      </c>
      <c r="H22" s="15"/>
      <c r="I22" s="15" t="s">
        <v>30</v>
      </c>
      <c r="K22" s="4">
        <f t="shared" si="0"/>
        <v>17</v>
      </c>
      <c r="L22" s="3" t="s">
        <v>23</v>
      </c>
      <c r="M22" s="3" t="s">
        <v>2</v>
      </c>
      <c r="N22" s="3" t="s">
        <v>33</v>
      </c>
      <c r="O22" s="3">
        <v>200</v>
      </c>
      <c r="P22" s="3" t="s">
        <v>37</v>
      </c>
      <c r="Q22" s="3" t="s">
        <v>12</v>
      </c>
    </row>
    <row r="23" spans="1:17" x14ac:dyDescent="0.25">
      <c r="A23" s="17">
        <v>21</v>
      </c>
      <c r="B23" s="14" t="s">
        <v>71</v>
      </c>
      <c r="C23" s="14" t="s">
        <v>88</v>
      </c>
      <c r="D23" s="29"/>
      <c r="E23" s="29">
        <v>20</v>
      </c>
      <c r="F23" s="30"/>
      <c r="G23" s="14" t="s">
        <v>6</v>
      </c>
      <c r="H23" s="15"/>
      <c r="I23" s="15" t="s">
        <v>30</v>
      </c>
      <c r="K23" s="4">
        <f t="shared" si="0"/>
        <v>18</v>
      </c>
      <c r="L23" s="3" t="s">
        <v>10</v>
      </c>
      <c r="M23" s="3" t="s">
        <v>1</v>
      </c>
      <c r="N23" s="3" t="s">
        <v>33</v>
      </c>
      <c r="O23" s="3">
        <v>200</v>
      </c>
      <c r="P23" s="3" t="s">
        <v>37</v>
      </c>
      <c r="Q23" s="3" t="s">
        <v>12</v>
      </c>
    </row>
    <row r="24" spans="1:17" x14ac:dyDescent="0.25">
      <c r="A24" s="17">
        <v>22</v>
      </c>
      <c r="B24" s="14" t="s">
        <v>72</v>
      </c>
      <c r="C24" s="14" t="s">
        <v>89</v>
      </c>
      <c r="D24" s="29" t="s">
        <v>78</v>
      </c>
      <c r="E24" s="29">
        <v>20</v>
      </c>
      <c r="F24" s="30"/>
      <c r="G24" s="14" t="s">
        <v>6</v>
      </c>
      <c r="H24" s="15"/>
      <c r="I24" s="15" t="s">
        <v>30</v>
      </c>
      <c r="K24" s="4">
        <f t="shared" si="0"/>
        <v>19</v>
      </c>
      <c r="L24" s="3" t="s">
        <v>10</v>
      </c>
      <c r="M24" s="3" t="s">
        <v>2</v>
      </c>
      <c r="N24" s="3" t="s">
        <v>33</v>
      </c>
      <c r="O24" s="3">
        <v>200</v>
      </c>
      <c r="P24" s="3" t="s">
        <v>37</v>
      </c>
      <c r="Q24" s="3" t="s">
        <v>12</v>
      </c>
    </row>
    <row r="25" spans="1:17" x14ac:dyDescent="0.25">
      <c r="A25" s="17">
        <v>23</v>
      </c>
      <c r="B25" s="14" t="s">
        <v>73</v>
      </c>
      <c r="C25" s="14">
        <v>8900191026</v>
      </c>
      <c r="D25" s="29"/>
      <c r="E25" s="29">
        <v>20</v>
      </c>
      <c r="F25" s="30"/>
      <c r="G25" s="14" t="s">
        <v>6</v>
      </c>
      <c r="H25" s="15"/>
      <c r="I25" s="15" t="s">
        <v>30</v>
      </c>
    </row>
    <row r="26" spans="1:17" x14ac:dyDescent="0.25">
      <c r="A26" s="17">
        <v>24</v>
      </c>
      <c r="B26" s="14" t="s">
        <v>74</v>
      </c>
      <c r="C26" s="14" t="s">
        <v>90</v>
      </c>
      <c r="D26" s="29"/>
      <c r="E26" s="29">
        <v>25</v>
      </c>
      <c r="F26" s="30"/>
      <c r="G26" s="14" t="s">
        <v>6</v>
      </c>
      <c r="H26" s="15"/>
      <c r="I26" s="15" t="s">
        <v>30</v>
      </c>
    </row>
    <row r="27" spans="1:17" x14ac:dyDescent="0.25">
      <c r="A27" s="17">
        <v>25</v>
      </c>
      <c r="B27" s="14" t="s">
        <v>75</v>
      </c>
      <c r="C27" s="14">
        <v>225</v>
      </c>
      <c r="D27" s="29"/>
      <c r="E27" s="29">
        <v>50</v>
      </c>
      <c r="F27" s="30"/>
      <c r="G27" s="14" t="s">
        <v>6</v>
      </c>
      <c r="H27" s="15"/>
      <c r="I27" s="15" t="s">
        <v>30</v>
      </c>
    </row>
    <row r="28" spans="1:17" x14ac:dyDescent="0.25">
      <c r="A28" s="17">
        <v>26</v>
      </c>
      <c r="B28" s="14" t="s">
        <v>76</v>
      </c>
      <c r="C28" s="14" t="s">
        <v>91</v>
      </c>
      <c r="D28" s="29"/>
      <c r="E28" s="29">
        <v>50</v>
      </c>
      <c r="F28" s="30"/>
      <c r="G28" s="14" t="s">
        <v>6</v>
      </c>
      <c r="H28" s="15"/>
      <c r="I28" s="15" t="s">
        <v>30</v>
      </c>
    </row>
    <row r="29" spans="1:17" x14ac:dyDescent="0.25">
      <c r="A29" s="17">
        <v>27</v>
      </c>
      <c r="B29" s="14" t="s">
        <v>66</v>
      </c>
      <c r="C29" s="14" t="s">
        <v>92</v>
      </c>
      <c r="D29" s="29"/>
      <c r="E29" s="29">
        <v>100</v>
      </c>
      <c r="F29" s="30"/>
      <c r="G29" s="14" t="s">
        <v>6</v>
      </c>
      <c r="H29" s="15"/>
      <c r="I29" s="15" t="s">
        <v>30</v>
      </c>
    </row>
    <row r="30" spans="1:17" x14ac:dyDescent="0.25">
      <c r="A30" s="17">
        <v>28</v>
      </c>
      <c r="B30" s="14" t="s">
        <v>77</v>
      </c>
      <c r="C30" s="14" t="s">
        <v>93</v>
      </c>
      <c r="D30" s="29"/>
      <c r="E30" s="29">
        <v>100</v>
      </c>
      <c r="F30" s="30"/>
      <c r="G30" s="14" t="s">
        <v>6</v>
      </c>
      <c r="H30" s="15"/>
      <c r="I30" s="15" t="s">
        <v>30</v>
      </c>
    </row>
    <row r="31" spans="1:17" x14ac:dyDescent="0.25">
      <c r="A31" s="17">
        <v>29</v>
      </c>
      <c r="B31" s="14" t="s">
        <v>65</v>
      </c>
      <c r="C31" s="14">
        <v>43</v>
      </c>
      <c r="D31" s="29"/>
      <c r="E31" s="29">
        <v>25</v>
      </c>
      <c r="F31" s="30"/>
      <c r="G31" s="14" t="s">
        <v>6</v>
      </c>
      <c r="H31" s="15"/>
      <c r="I31" s="15" t="s">
        <v>30</v>
      </c>
    </row>
    <row r="32" spans="1:17" x14ac:dyDescent="0.25">
      <c r="A32" s="17">
        <v>30</v>
      </c>
      <c r="B32" s="14" t="s">
        <v>67</v>
      </c>
      <c r="C32" s="14">
        <v>3480127326</v>
      </c>
      <c r="D32" s="29"/>
      <c r="E32" s="29">
        <v>32</v>
      </c>
      <c r="F32" s="30"/>
      <c r="G32" s="14" t="s">
        <v>6</v>
      </c>
      <c r="H32" s="15"/>
      <c r="I32" s="15" t="s">
        <v>30</v>
      </c>
    </row>
    <row r="33" spans="1:9" x14ac:dyDescent="0.25">
      <c r="A33" s="17">
        <v>31</v>
      </c>
      <c r="B33" s="14" t="s">
        <v>68</v>
      </c>
      <c r="C33" s="14">
        <v>1</v>
      </c>
      <c r="D33" s="29">
        <v>1.2</v>
      </c>
      <c r="E33" s="29">
        <v>1</v>
      </c>
      <c r="F33" s="30"/>
      <c r="G33" s="14" t="s">
        <v>6</v>
      </c>
      <c r="H33" s="15"/>
      <c r="I33" s="15" t="s">
        <v>30</v>
      </c>
    </row>
    <row r="34" spans="1:9" x14ac:dyDescent="0.25">
      <c r="A34" s="17"/>
      <c r="B34" s="21"/>
      <c r="C34" s="22"/>
      <c r="D34" s="17"/>
      <c r="E34" s="17"/>
      <c r="F34" s="20"/>
      <c r="G34" s="14"/>
      <c r="H34" s="15"/>
      <c r="I34" s="15"/>
    </row>
    <row r="35" spans="1:9" x14ac:dyDescent="0.25">
      <c r="A35" s="17"/>
      <c r="B35" s="23"/>
      <c r="C35" s="22"/>
      <c r="D35" s="17"/>
      <c r="E35" s="17"/>
      <c r="F35" s="20"/>
      <c r="G35" s="14"/>
      <c r="H35" s="15"/>
      <c r="I35" s="15"/>
    </row>
    <row r="36" spans="1:9" x14ac:dyDescent="0.25">
      <c r="A36" s="17"/>
      <c r="B36" s="24"/>
      <c r="C36" s="24"/>
      <c r="D36" s="17"/>
      <c r="E36" s="20"/>
      <c r="F36" s="25"/>
      <c r="G36" s="14"/>
      <c r="H36" s="15"/>
      <c r="I36" s="15"/>
    </row>
    <row r="37" spans="1:9" x14ac:dyDescent="0.25">
      <c r="A37" s="17"/>
      <c r="B37" s="24"/>
      <c r="C37" s="24"/>
      <c r="D37" s="17"/>
      <c r="E37" s="20"/>
      <c r="F37" s="25"/>
      <c r="G37" s="14"/>
      <c r="H37" s="15"/>
      <c r="I37" s="15"/>
    </row>
    <row r="38" spans="1:9" x14ac:dyDescent="0.25">
      <c r="A38" s="17"/>
      <c r="B38" s="24"/>
      <c r="C38" s="24"/>
      <c r="D38" s="17"/>
      <c r="E38" s="20"/>
      <c r="F38" s="25"/>
      <c r="G38" s="14"/>
      <c r="H38" s="15"/>
      <c r="I38" s="15"/>
    </row>
    <row r="39" spans="1:9" x14ac:dyDescent="0.25">
      <c r="A39" s="17"/>
      <c r="B39" s="24"/>
      <c r="C39" s="24"/>
      <c r="D39" s="17"/>
      <c r="E39" s="20"/>
      <c r="F39" s="25"/>
      <c r="G39" s="14"/>
      <c r="H39" s="15"/>
      <c r="I39" s="15"/>
    </row>
    <row r="40" spans="1:9" x14ac:dyDescent="0.25">
      <c r="A40" s="17"/>
      <c r="B40" s="24"/>
      <c r="C40" s="24"/>
      <c r="D40" s="25"/>
      <c r="E40" s="25"/>
      <c r="F40" s="25"/>
      <c r="G40" s="14"/>
      <c r="H40" s="15"/>
      <c r="I40" s="15"/>
    </row>
    <row r="41" spans="1:9" x14ac:dyDescent="0.25">
      <c r="A41" s="17"/>
      <c r="B41" s="26"/>
      <c r="C41" s="24"/>
      <c r="D41" s="25"/>
      <c r="E41" s="25"/>
      <c r="F41" s="25"/>
      <c r="G41" s="14"/>
      <c r="H41" s="15"/>
      <c r="I41" s="15"/>
    </row>
    <row r="42" spans="1:9" x14ac:dyDescent="0.25">
      <c r="A42" s="17"/>
      <c r="B42" s="26"/>
      <c r="C42" s="24"/>
      <c r="D42" s="25"/>
      <c r="E42" s="25"/>
      <c r="F42" s="25"/>
      <c r="G42" s="14"/>
      <c r="H42" s="15"/>
      <c r="I42" s="15"/>
    </row>
    <row r="43" spans="1:9" x14ac:dyDescent="0.25">
      <c r="A43" s="17"/>
      <c r="B43" s="24"/>
      <c r="C43" s="24"/>
      <c r="D43" s="25"/>
      <c r="E43" s="25"/>
      <c r="F43" s="25"/>
      <c r="G43" s="14"/>
      <c r="H43" s="15"/>
      <c r="I43" s="15"/>
    </row>
    <row r="44" spans="1:9" x14ac:dyDescent="0.25">
      <c r="A44" s="17"/>
      <c r="B44" s="24"/>
      <c r="C44" s="24"/>
      <c r="D44" s="25"/>
      <c r="E44" s="25"/>
      <c r="F44" s="25"/>
      <c r="G44" s="14"/>
      <c r="H44" s="15"/>
      <c r="I44" s="15"/>
    </row>
    <row r="45" spans="1:9" x14ac:dyDescent="0.25">
      <c r="A45" s="17"/>
      <c r="B45" s="24"/>
      <c r="C45" s="24"/>
      <c r="D45" s="25"/>
      <c r="E45" s="25"/>
      <c r="F45" s="25"/>
      <c r="G45" s="14"/>
      <c r="H45" s="15"/>
      <c r="I45" s="15"/>
    </row>
    <row r="46" spans="1:9" x14ac:dyDescent="0.25">
      <c r="A46" s="17"/>
      <c r="B46" s="24"/>
      <c r="C46" s="24"/>
      <c r="D46" s="25"/>
      <c r="E46" s="25"/>
      <c r="F46" s="25"/>
      <c r="G46" s="14"/>
      <c r="H46" s="15"/>
      <c r="I46" s="15"/>
    </row>
    <row r="47" spans="1:9" x14ac:dyDescent="0.25">
      <c r="A47" s="17"/>
      <c r="B47" s="24"/>
      <c r="C47" s="24"/>
      <c r="D47" s="25"/>
      <c r="E47" s="25"/>
      <c r="F47" s="25"/>
      <c r="G47" s="14"/>
      <c r="H47" s="15"/>
      <c r="I47" s="15"/>
    </row>
    <row r="48" spans="1:9" x14ac:dyDescent="0.25">
      <c r="A48" s="17"/>
      <c r="B48" s="24"/>
      <c r="C48" s="24"/>
      <c r="D48" s="25"/>
      <c r="E48" s="25"/>
      <c r="F48" s="25"/>
      <c r="G48" s="14"/>
      <c r="H48" s="15"/>
      <c r="I48" s="15"/>
    </row>
    <row r="49" spans="1:9" x14ac:dyDescent="0.25">
      <c r="A49" s="17"/>
      <c r="B49" s="24"/>
      <c r="C49" s="24"/>
      <c r="D49" s="25"/>
      <c r="E49" s="25"/>
      <c r="F49" s="25"/>
      <c r="G49" s="14"/>
      <c r="H49" s="15"/>
      <c r="I49" s="15"/>
    </row>
    <row r="50" spans="1:9" x14ac:dyDescent="0.25">
      <c r="A50" s="17"/>
      <c r="B50" s="24"/>
      <c r="C50" s="24"/>
      <c r="D50" s="25"/>
      <c r="E50" s="25"/>
      <c r="F50" s="25"/>
      <c r="G50" s="14"/>
      <c r="H50" s="15"/>
      <c r="I50" s="15"/>
    </row>
    <row r="51" spans="1:9" x14ac:dyDescent="0.25">
      <c r="A51" s="17"/>
      <c r="B51" s="24"/>
      <c r="C51" s="24"/>
      <c r="D51" s="25"/>
      <c r="E51" s="25"/>
      <c r="F51" s="25"/>
      <c r="G51" s="14"/>
      <c r="H51" s="15"/>
      <c r="I51" s="15"/>
    </row>
    <row r="52" spans="1:9" x14ac:dyDescent="0.25">
      <c r="A52" s="17"/>
      <c r="B52" s="24"/>
      <c r="C52" s="24"/>
      <c r="D52" s="17"/>
      <c r="E52" s="20"/>
      <c r="F52" s="25"/>
      <c r="G52" s="14"/>
      <c r="H52" s="15"/>
      <c r="I52" s="15"/>
    </row>
    <row r="53" spans="1:9" x14ac:dyDescent="0.25">
      <c r="A53" s="17"/>
      <c r="B53" s="24"/>
      <c r="C53" s="24"/>
      <c r="D53" s="17"/>
      <c r="E53" s="20"/>
      <c r="F53" s="25"/>
      <c r="G53" s="14"/>
      <c r="H53" s="15"/>
      <c r="I53" s="15"/>
    </row>
    <row r="54" spans="1:9" x14ac:dyDescent="0.25">
      <c r="A54" s="17"/>
      <c r="B54" s="24"/>
      <c r="C54" s="24"/>
      <c r="D54" s="25"/>
      <c r="E54" s="20"/>
      <c r="F54" s="25"/>
      <c r="G54" s="14"/>
      <c r="H54" s="15"/>
      <c r="I54" s="15"/>
    </row>
    <row r="55" spans="1:9" x14ac:dyDescent="0.25">
      <c r="A55" s="17"/>
      <c r="B55" s="24"/>
      <c r="C55" s="24"/>
      <c r="D55" s="25"/>
      <c r="E55" s="25"/>
      <c r="F55" s="25"/>
      <c r="G55" s="14"/>
      <c r="H55" s="15"/>
      <c r="I55" s="15"/>
    </row>
    <row r="56" spans="1:9" x14ac:dyDescent="0.25">
      <c r="A56" s="17"/>
      <c r="B56" s="26"/>
      <c r="C56" s="24"/>
      <c r="D56" s="25"/>
      <c r="E56" s="25"/>
      <c r="F56" s="25"/>
      <c r="G56" s="14"/>
      <c r="H56" s="15"/>
      <c r="I56" s="15"/>
    </row>
    <row r="57" spans="1:9" x14ac:dyDescent="0.25">
      <c r="A57" s="17"/>
      <c r="B57" s="26"/>
      <c r="C57" s="24"/>
      <c r="D57" s="25"/>
      <c r="E57" s="25"/>
      <c r="F57" s="25"/>
      <c r="G57" s="14"/>
      <c r="H57" s="15"/>
      <c r="I57" s="15"/>
    </row>
    <row r="58" spans="1:9" x14ac:dyDescent="0.25">
      <c r="A58" s="17"/>
      <c r="B58" s="24"/>
      <c r="C58" s="24"/>
      <c r="D58" s="25"/>
      <c r="E58" s="25"/>
      <c r="F58" s="25"/>
      <c r="G58" s="14"/>
      <c r="H58" s="15"/>
      <c r="I58" s="15"/>
    </row>
    <row r="59" spans="1:9" x14ac:dyDescent="0.25">
      <c r="A59" s="17"/>
      <c r="B59" s="24"/>
      <c r="C59" s="24"/>
      <c r="D59" s="25"/>
      <c r="E59" s="25"/>
      <c r="F59" s="25"/>
      <c r="G59" s="14"/>
      <c r="H59" s="15"/>
      <c r="I59" s="15"/>
    </row>
    <row r="60" spans="1:9" x14ac:dyDescent="0.25">
      <c r="A60" s="17"/>
      <c r="B60" s="24"/>
      <c r="C60" s="24"/>
      <c r="D60" s="25"/>
      <c r="E60" s="25"/>
      <c r="F60" s="25"/>
      <c r="G60" s="14"/>
      <c r="H60" s="15"/>
      <c r="I60" s="15"/>
    </row>
    <row r="61" spans="1:9" x14ac:dyDescent="0.25">
      <c r="A61" s="17"/>
      <c r="B61" s="24"/>
      <c r="C61" s="24"/>
      <c r="D61" s="25"/>
      <c r="E61" s="25"/>
      <c r="F61" s="25"/>
      <c r="G61" s="14"/>
      <c r="H61" s="15"/>
      <c r="I61" s="15"/>
    </row>
    <row r="62" spans="1:9" x14ac:dyDescent="0.25">
      <c r="A62" s="17"/>
      <c r="B62" s="24"/>
      <c r="C62" s="24"/>
      <c r="D62" s="25"/>
      <c r="E62" s="25"/>
      <c r="F62" s="25"/>
      <c r="G62" s="14"/>
      <c r="H62" s="15"/>
      <c r="I62" s="15"/>
    </row>
    <row r="63" spans="1:9" x14ac:dyDescent="0.25">
      <c r="A63" s="17"/>
      <c r="B63" s="24"/>
      <c r="C63" s="24"/>
      <c r="D63" s="25"/>
      <c r="E63" s="25"/>
      <c r="F63" s="25"/>
      <c r="G63" s="14"/>
      <c r="H63" s="15"/>
      <c r="I63" s="15"/>
    </row>
    <row r="64" spans="1:9" x14ac:dyDescent="0.25">
      <c r="A64" s="17"/>
      <c r="B64" s="24"/>
      <c r="C64" s="24"/>
      <c r="D64" s="25"/>
      <c r="E64" s="25"/>
      <c r="F64" s="25"/>
      <c r="G64" s="14"/>
      <c r="H64" s="15"/>
      <c r="I64" s="15"/>
    </row>
    <row r="65" spans="1:9" x14ac:dyDescent="0.25">
      <c r="A65" s="17"/>
      <c r="B65" s="24"/>
      <c r="C65" s="24"/>
      <c r="D65" s="25"/>
      <c r="E65" s="25"/>
      <c r="F65" s="25"/>
      <c r="G65" s="14"/>
      <c r="H65" s="15"/>
      <c r="I65" s="15"/>
    </row>
    <row r="66" spans="1:9" x14ac:dyDescent="0.25">
      <c r="A66" s="17"/>
      <c r="B66" s="24"/>
      <c r="C66" s="24"/>
      <c r="D66" s="25"/>
      <c r="E66" s="25"/>
      <c r="F66" s="25"/>
      <c r="G66" s="14"/>
      <c r="H66" s="15"/>
      <c r="I66" s="15"/>
    </row>
    <row r="67" spans="1:9" x14ac:dyDescent="0.25">
      <c r="A67" s="17"/>
      <c r="B67" s="24"/>
      <c r="C67" s="27"/>
      <c r="D67" s="25"/>
      <c r="E67" s="25"/>
      <c r="F67" s="25"/>
      <c r="G67" s="14"/>
      <c r="H67" s="15"/>
      <c r="I67" s="15"/>
    </row>
    <row r="68" spans="1:9" x14ac:dyDescent="0.25">
      <c r="A68" s="17"/>
      <c r="B68" s="24"/>
      <c r="C68" s="24"/>
      <c r="D68" s="25"/>
      <c r="E68" s="25"/>
      <c r="F68" s="25"/>
      <c r="G68" s="14"/>
      <c r="H68" s="15"/>
      <c r="I68" s="15"/>
    </row>
    <row r="69" spans="1:9" x14ac:dyDescent="0.25">
      <c r="A69" s="17"/>
      <c r="B69" s="24"/>
      <c r="C69" s="24"/>
      <c r="D69" s="25"/>
      <c r="E69" s="25"/>
      <c r="F69" s="25"/>
      <c r="G69" s="14"/>
      <c r="H69" s="15"/>
      <c r="I69" s="15"/>
    </row>
    <row r="70" spans="1:9" x14ac:dyDescent="0.25">
      <c r="A70" s="17"/>
      <c r="B70" s="24"/>
      <c r="C70" s="24"/>
      <c r="D70" s="25"/>
      <c r="E70" s="25"/>
      <c r="F70" s="25"/>
      <c r="G70" s="14"/>
      <c r="H70" s="15"/>
      <c r="I70" s="15"/>
    </row>
    <row r="71" spans="1:9" x14ac:dyDescent="0.25">
      <c r="A71" s="17"/>
      <c r="B71" s="24"/>
      <c r="C71" s="24"/>
      <c r="D71" s="25"/>
      <c r="E71" s="25"/>
      <c r="F71" s="25"/>
      <c r="G71" s="14"/>
      <c r="H71" s="15"/>
      <c r="I71" s="15"/>
    </row>
    <row r="72" spans="1:9" x14ac:dyDescent="0.25">
      <c r="A72" s="17"/>
      <c r="B72" s="24"/>
      <c r="C72" s="24"/>
      <c r="D72" s="25"/>
      <c r="E72" s="25"/>
      <c r="F72" s="25"/>
      <c r="G72" s="14"/>
      <c r="H72" s="15"/>
      <c r="I72" s="15"/>
    </row>
    <row r="73" spans="1:9" x14ac:dyDescent="0.25">
      <c r="A73" s="17"/>
      <c r="B73" s="24"/>
      <c r="C73" s="24"/>
      <c r="D73" s="25"/>
      <c r="E73" s="25"/>
      <c r="F73" s="25"/>
      <c r="G73" s="14"/>
      <c r="H73" s="15"/>
      <c r="I73" s="15"/>
    </row>
    <row r="74" spans="1:9" x14ac:dyDescent="0.25">
      <c r="A74" s="9"/>
    </row>
    <row r="75" spans="1:9" x14ac:dyDescent="0.25">
      <c r="A75" s="9"/>
    </row>
    <row r="76" spans="1:9" x14ac:dyDescent="0.25">
      <c r="A76" s="9"/>
    </row>
    <row r="77" spans="1:9" x14ac:dyDescent="0.25">
      <c r="A77" s="9"/>
    </row>
    <row r="78" spans="1:9" x14ac:dyDescent="0.25">
      <c r="A78" s="9"/>
    </row>
    <row r="79" spans="1:9" x14ac:dyDescent="0.25">
      <c r="A79" s="9"/>
    </row>
    <row r="80" spans="1:9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</sheetData>
  <dataConsolidate function="var">
    <dataRefs count="1">
      <dataRef ref="D3:D7" sheet="Variables"/>
    </dataRefs>
  </dataConsolid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erarData">
                <anchor moveWithCells="1" sizeWithCells="1">
                  <from>
                    <xdr:col>13</xdr:col>
                    <xdr:colOff>800100</xdr:colOff>
                    <xdr:row>0</xdr:row>
                    <xdr:rowOff>76200</xdr:rowOff>
                  </from>
                  <to>
                    <xdr:col>16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3AA3E6C-D7B3-4E46-B7A0-EC32DC144D0E}">
          <x14:formula1>
            <xm:f>Variables!$C$2:$C$3</xm:f>
          </x14:formula1>
          <xm:sqref>Q6:Q24</xm:sqref>
        </x14:dataValidation>
        <x14:dataValidation type="list" allowBlank="1" showInputMessage="1" showErrorMessage="1" xr:uid="{E642EBE0-68B6-4994-8829-562B63FC7057}">
          <x14:formula1>
            <xm:f>Variables!$B$2:$B$7</xm:f>
          </x14:formula1>
          <xm:sqref>G3:G33</xm:sqref>
        </x14:dataValidation>
        <x14:dataValidation type="list" allowBlank="1" showInputMessage="1" showErrorMessage="1" xr:uid="{345248CF-B09D-4E86-B27C-2B6376E09CF4}">
          <x14:formula1>
            <xm:f>Variables!$D$2:$D$5</xm:f>
          </x14:formula1>
          <xm:sqref>I3:I33</xm:sqref>
        </x14:dataValidation>
        <x14:dataValidation type="list" allowBlank="1" showInputMessage="1" showErrorMessage="1" xr:uid="{8FEE7231-944F-4FA0-A774-4C7A05A0527C}">
          <x14:formula1>
            <xm:f>Variables!$A$2:$A$3</xm:f>
          </x14:formula1>
          <xm:sqref>M7:M24</xm:sqref>
        </x14:dataValidation>
        <x14:dataValidation type="list" allowBlank="1" showInputMessage="1" showErrorMessage="1" xr:uid="{CC40A966-8AB4-4024-8770-B5227B4E978E}">
          <x14:formula1>
            <xm:f>Variables!$E$2:$E$3</xm:f>
          </x14:formula1>
          <xm:sqref>N7:N22</xm:sqref>
        </x14:dataValidation>
        <x14:dataValidation type="list" allowBlank="1" showInputMessage="1" showErrorMessage="1" xr:uid="{772262DE-DB4E-46B9-86C4-2052D369FAD2}">
          <x14:formula1>
            <xm:f>Variables!$F$2:$F$7</xm:f>
          </x14:formula1>
          <xm:sqref>L7:L24</xm:sqref>
        </x14:dataValidation>
        <x14:dataValidation type="custom" allowBlank="1" showInputMessage="1" showErrorMessage="1" xr:uid="{A987BF1F-F5E0-4730-9918-6F0E2D6E45B9}">
          <x14:formula1>
            <xm:f>Variables!F2</xm:f>
          </x14:formula1>
          <xm:sqref>L6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1359-39C8-4350-8C4F-F655F454D46E}">
  <sheetPr codeName="Hoja3">
    <tabColor rgb="FF92D050"/>
  </sheetPr>
  <dimension ref="A1"/>
  <sheetViews>
    <sheetView zoomScale="60" zoomScaleNormal="60" workbookViewId="0">
      <pane ySplit="1" topLeftCell="A2" activePane="bottomLeft" state="frozen"/>
      <selection pane="bottomLeft" activeCell="K19" sqref="K19"/>
    </sheetView>
  </sheetViews>
  <sheetFormatPr baseColWidth="10" defaultRowHeight="15" x14ac:dyDescent="0.25"/>
  <cols>
    <col min="1" max="1" width="36.5703125" bestFit="1" customWidth="1"/>
  </cols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E103-B680-4396-889A-07F1F7C87AD7}">
  <sheetPr codeName="Hoja5">
    <tabColor theme="4"/>
  </sheetPr>
  <dimension ref="A1:R1333"/>
  <sheetViews>
    <sheetView topLeftCell="G6" workbookViewId="0">
      <selection activeCell="R6" sqref="R6"/>
    </sheetView>
  </sheetViews>
  <sheetFormatPr baseColWidth="10" defaultRowHeight="15" x14ac:dyDescent="0.25"/>
  <cols>
    <col min="1" max="1" width="21.28515625" bestFit="1" customWidth="1"/>
    <col min="2" max="2" width="21.28515625" customWidth="1"/>
    <col min="3" max="3" width="25.42578125" customWidth="1"/>
    <col min="4" max="4" width="62.42578125" bestFit="1" customWidth="1"/>
    <col min="5" max="5" width="17.7109375" customWidth="1"/>
    <col min="6" max="6" width="106.7109375" bestFit="1" customWidth="1"/>
    <col min="10" max="10" width="29.5703125" customWidth="1"/>
  </cols>
  <sheetData>
    <row r="1" spans="1:18" x14ac:dyDescent="0.25">
      <c r="A1" t="s">
        <v>5755</v>
      </c>
      <c r="B1" t="s">
        <v>5756</v>
      </c>
      <c r="C1" t="s">
        <v>5758</v>
      </c>
      <c r="D1" t="s">
        <v>5759</v>
      </c>
      <c r="E1" t="s">
        <v>5760</v>
      </c>
      <c r="F1" t="s">
        <v>5757</v>
      </c>
      <c r="G1" t="s">
        <v>5761</v>
      </c>
    </row>
    <row r="2" spans="1:18" x14ac:dyDescent="0.25">
      <c r="A2" s="60" t="s">
        <v>2187</v>
      </c>
      <c r="B2" t="str">
        <f>findKey(supplementary_offering_legacyid[[#This Row],[Produccion]])</f>
        <v>1229815168</v>
      </c>
      <c r="C2" s="61" t="s">
        <v>2187</v>
      </c>
      <c r="D2" t="s">
        <v>2188</v>
      </c>
      <c r="E2" t="s">
        <v>2189</v>
      </c>
      <c r="F2" t="str">
        <f>ToJsonArray(supplementary_offering_legacyid[[#Headers],[offeringid]:[mode]],supplementary_offering_legacyid[[#This Row],[offeringid]:[mode]])</f>
        <v>{"offeringid":"1229815168","name":"Oferta generacion deuda","mode":"I"}</v>
      </c>
      <c r="G2" t="str">
        <f>ToJsonArray(supplementary_offering_legacyid[[#This Row],[Semilla04]],supplementary_offering_legacyid[[#This Row],[Json]])</f>
        <v>{"1229815168":{"offeringid":"1229815168","name":"Oferta generacion deuda","mode":"I"}}</v>
      </c>
    </row>
    <row r="3" spans="1:18" x14ac:dyDescent="0.25">
      <c r="A3" s="60" t="s">
        <v>2190</v>
      </c>
      <c r="B3" t="str">
        <f>findKey(supplementary_offering_legacyid[[#This Row],[Produccion]])</f>
        <v>926943980</v>
      </c>
      <c r="C3" s="61" t="s">
        <v>2190</v>
      </c>
      <c r="D3" t="s">
        <v>2191</v>
      </c>
      <c r="E3" t="s">
        <v>2189</v>
      </c>
      <c r="F3" t="str">
        <f>ToJsonArray(supplementary_offering_legacyid[[#Headers],[offeringid]:[mode]],supplementary_offering_legacyid[[#This Row],[offeringid]:[mode]])</f>
        <v>{"offeringid":"926943980","name":"FUP Pospago 30GB","mode":"I"}</v>
      </c>
      <c r="G3" t="str">
        <f>ToJsonArray(supplementary_offering_legacyid[[#This Row],[Semilla04]],supplementary_offering_legacyid[[#This Row],[Json]])</f>
        <v>{"926943980":{"offeringid":"926943980","name":"FUP Pospago 30GB","mode":"I"}}</v>
      </c>
      <c r="R3" s="70"/>
    </row>
    <row r="4" spans="1:18" x14ac:dyDescent="0.25">
      <c r="A4" s="60" t="s">
        <v>2192</v>
      </c>
      <c r="B4" t="str">
        <f>findKey(supplementary_offering_legacyid[[#This Row],[Produccion]])</f>
        <v>1626943775</v>
      </c>
      <c r="C4" s="61" t="s">
        <v>2192</v>
      </c>
      <c r="D4" t="s">
        <v>2193</v>
      </c>
      <c r="E4" t="s">
        <v>2189</v>
      </c>
      <c r="F4" t="str">
        <f>ToJsonArray(supplementary_offering_legacyid[[#Headers],[offeringid]:[mode]],supplementary_offering_legacyid[[#This Row],[offeringid]:[mode]])</f>
        <v>{"offeringid":"1626943775","name":"FUP Pospago 15GB","mode":"I"}</v>
      </c>
      <c r="G4" t="str">
        <f>ToJsonArray(supplementary_offering_legacyid[[#This Row],[Semilla04]],supplementary_offering_legacyid[[#This Row],[Json]])</f>
        <v>{"1626943775":{"offeringid":"1626943775","name":"FUP Pospago 15GB","mode":"I"}}</v>
      </c>
    </row>
    <row r="5" spans="1:18" x14ac:dyDescent="0.25">
      <c r="A5" s="60" t="s">
        <v>2194</v>
      </c>
      <c r="B5" t="str">
        <f>findKey(supplementary_offering_legacyid[[#This Row],[Produccion]])</f>
        <v>326923016</v>
      </c>
      <c r="C5" s="61" t="s">
        <v>2194</v>
      </c>
      <c r="D5" t="s">
        <v>2195</v>
      </c>
      <c r="E5" t="s">
        <v>2189</v>
      </c>
      <c r="F5" t="str">
        <f>ToJsonArray(supplementary_offering_legacyid[[#Headers],[offeringid]:[mode]],supplementary_offering_legacyid[[#This Row],[offeringid]:[mode]])</f>
        <v>{"offeringid":"326923016","name":"FUP RG301 Control","mode":"I"}</v>
      </c>
      <c r="G5" t="str">
        <f>ToJsonArray(supplementary_offering_legacyid[[#This Row],[Semilla04]],supplementary_offering_legacyid[[#This Row],[Json]])</f>
        <v>{"326923016":{"offeringid":"326923016","name":"FUP RG301 Control","mode":"I"}}</v>
      </c>
      <c r="H5" s="61"/>
      <c r="I5" s="61"/>
      <c r="R5" s="70"/>
    </row>
    <row r="6" spans="1:18" x14ac:dyDescent="0.25">
      <c r="A6" s="61">
        <v>302535</v>
      </c>
      <c r="B6" t="str">
        <f>findKey(supplementary_offering_legacyid[[#This Row],[Produccion]])</f>
        <v>17083091250</v>
      </c>
      <c r="C6" s="61" t="s">
        <v>2197</v>
      </c>
      <c r="D6" t="s">
        <v>2198</v>
      </c>
      <c r="E6" t="s">
        <v>2189</v>
      </c>
      <c r="F6" t="str">
        <f>ToJsonArray(supplementary_offering_legacyid[[#Headers],[offeringid]:[mode]],supplementary_offering_legacyid[[#This Row],[offeringid]:[mode]])</f>
        <v>{"offeringid":"990000719","name":"OLA Beeper BÃ¡sico Control Masivo","mode":"I"}</v>
      </c>
      <c r="G6" t="str">
        <f>ToJsonArray(supplementary_offering_legacyid[[#This Row],[Semilla04]],supplementary_offering_legacyid[[#This Row],[Json]])</f>
        <v>{"17083091250":{"offeringid":"990000719","name":"OLA Beeper BÃ¡sico Control Masivo","mode":"I"}}</v>
      </c>
    </row>
    <row r="7" spans="1:18" x14ac:dyDescent="0.25">
      <c r="A7" s="60" t="s">
        <v>2199</v>
      </c>
      <c r="B7" t="str">
        <f>findKey(supplementary_offering_legacyid[[#This Row],[Produccion]])</f>
        <v>17083089490</v>
      </c>
      <c r="C7" s="61" t="s">
        <v>2200</v>
      </c>
      <c r="D7" t="s">
        <v>2201</v>
      </c>
      <c r="E7" t="s">
        <v>2189</v>
      </c>
      <c r="F7" t="str">
        <f>ToJsonArray(supplementary_offering_legacyid[[#Headers],[offeringid]:[mode]],supplementary_offering_legacyid[[#This Row],[offeringid]:[mode]])</f>
        <v>{"offeringid":"990000718","name":"OLA Imagen BÃ¡sico Control Masivo","mode":"I"}</v>
      </c>
      <c r="G7" t="str">
        <f>ToJsonArray(supplementary_offering_legacyid[[#This Row],[Semilla04]],supplementary_offering_legacyid[[#This Row],[Json]])</f>
        <v>{"17083089490":{"offeringid":"990000718","name":"OLA Imagen BÃ¡sico Control Masivo","mode":"I"}}</v>
      </c>
    </row>
    <row r="8" spans="1:18" x14ac:dyDescent="0.25">
      <c r="A8" s="61">
        <v>300668</v>
      </c>
      <c r="B8" t="str">
        <f>findKey(supplementary_offering_legacyid[[#This Row],[Produccion]])</f>
        <v>17083123043</v>
      </c>
      <c r="C8" s="61" t="s">
        <v>2203</v>
      </c>
      <c r="D8" t="s">
        <v>2025</v>
      </c>
      <c r="E8" t="s">
        <v>2189</v>
      </c>
      <c r="F8" t="str">
        <f>ToJsonArray(supplementary_offering_legacyid[[#Headers],[offeringid]:[mode]],supplementary_offering_legacyid[[#This Row],[offeringid]:[mode]])</f>
        <v>{"offeringid":"990000720","name":"Plan Datos Control 20 MB Corporativo vol 500","mode":"I"}</v>
      </c>
      <c r="G8" t="str">
        <f>ToJsonArray(supplementary_offering_legacyid[[#This Row],[Semilla04]],supplementary_offering_legacyid[[#This Row],[Json]])</f>
        <v>{"17083123043":{"offeringid":"990000720","name":"Plan Datos Control 20 MB Corporativo vol 500","mode":"I"}}</v>
      </c>
    </row>
    <row r="9" spans="1:18" x14ac:dyDescent="0.25">
      <c r="A9" s="60" t="s">
        <v>2204</v>
      </c>
      <c r="B9" t="str">
        <f>findKey(supplementary_offering_legacyid[[#This Row],[Produccion]])</f>
        <v>17083124974</v>
      </c>
      <c r="C9" s="61" t="s">
        <v>2205</v>
      </c>
      <c r="D9" t="s">
        <v>1737</v>
      </c>
      <c r="E9" t="s">
        <v>2189</v>
      </c>
      <c r="F9" t="str">
        <f>ToJsonArray(supplementary_offering_legacyid[[#Headers],[offeringid]:[mode]],supplementary_offering_legacyid[[#This Row],[offeringid]:[mode]])</f>
        <v>{"offeringid":"990000406","name":"Paquete Localizacion Movil LBS PR10","mode":"I"}</v>
      </c>
      <c r="G9" t="str">
        <f>ToJsonArray(supplementary_offering_legacyid[[#This Row],[Semilla04]],supplementary_offering_legacyid[[#This Row],[Json]])</f>
        <v>{"17083124974":{"offeringid":"990000406","name":"Paquete Localizacion Movil LBS PR10","mode":"I"}}</v>
      </c>
    </row>
    <row r="10" spans="1:18" x14ac:dyDescent="0.25">
      <c r="A10" s="60" t="s">
        <v>2206</v>
      </c>
      <c r="B10" t="str">
        <f>findKey(supplementary_offering_legacyid[[#This Row],[Produccion]])</f>
        <v>17083091302</v>
      </c>
      <c r="C10" s="61" t="s">
        <v>2207</v>
      </c>
      <c r="D10" t="s">
        <v>154</v>
      </c>
      <c r="E10" t="s">
        <v>2189</v>
      </c>
      <c r="F10" t="str">
        <f>ToJsonArray(supplementary_offering_legacyid[[#Headers],[offeringid]:[mode]],supplementary_offering_legacyid[[#This Row],[offeringid]:[mode]])</f>
        <v>{"offeringid":"990000568","name":"Paquete Tigo Bolsa Datos 5GB Control","mode":"I"}</v>
      </c>
      <c r="G10" t="str">
        <f>ToJsonArray(supplementary_offering_legacyid[[#This Row],[Semilla04]],supplementary_offering_legacyid[[#This Row],[Json]])</f>
        <v>{"17083091302":{"offeringid":"990000568","name":"Paquete Tigo Bolsa Datos 5GB Control","mode":"I"}}</v>
      </c>
    </row>
    <row r="11" spans="1:18" x14ac:dyDescent="0.25">
      <c r="A11" s="60" t="s">
        <v>2208</v>
      </c>
      <c r="B11" t="str">
        <f>findKey(supplementary_offering_legacyid[[#This Row],[Produccion]])</f>
        <v>17083125060</v>
      </c>
      <c r="C11" s="61" t="s">
        <v>2209</v>
      </c>
      <c r="D11" t="s">
        <v>162</v>
      </c>
      <c r="E11" t="s">
        <v>2189</v>
      </c>
      <c r="F11" t="str">
        <f>ToJsonArray(supplementary_offering_legacyid[[#Headers],[offeringid]:[mode]],supplementary_offering_legacyid[[#This Row],[offeringid]:[mode]])</f>
        <v>{"offeringid":"990000672","name":"Paquete Internet Movil Tigo ilimitado FUP 1 GB","mode":"I"}</v>
      </c>
      <c r="G11" t="str">
        <f>ToJsonArray(supplementary_offering_legacyid[[#This Row],[Semilla04]],supplementary_offering_legacyid[[#This Row],[Json]])</f>
        <v>{"17083125060":{"offeringid":"990000672","name":"Paquete Internet Movil Tigo ilimitado FUP 1 GB","mode":"I"}}</v>
      </c>
    </row>
    <row r="12" spans="1:18" x14ac:dyDescent="0.25">
      <c r="A12" s="60" t="s">
        <v>2210</v>
      </c>
      <c r="B12" t="str">
        <f>findKey(supplementary_offering_legacyid[[#This Row],[Produccion]])</f>
        <v>17083123420</v>
      </c>
      <c r="C12" s="61" t="s">
        <v>2211</v>
      </c>
      <c r="D12" t="s">
        <v>1619</v>
      </c>
      <c r="E12" t="s">
        <v>2189</v>
      </c>
      <c r="F12" t="str">
        <f>ToJsonArray(supplementary_offering_legacyid[[#Headers],[offeringid]:[mode]],supplementary_offering_legacyid[[#This Row],[offeringid]:[mode]])</f>
        <v>{"offeringid":"990000673","name":"Paquete Internet Movil Tigo ilimitado FUP 500 MB","mode":"I"}</v>
      </c>
      <c r="G12" t="str">
        <f>ToJsonArray(supplementary_offering_legacyid[[#This Row],[Semilla04]],supplementary_offering_legacyid[[#This Row],[Json]])</f>
        <v>{"17083123420":{"offeringid":"990000673","name":"Paquete Internet Movil Tigo ilimitado FUP 500 MB","mode":"I"}}</v>
      </c>
    </row>
    <row r="13" spans="1:18" x14ac:dyDescent="0.25">
      <c r="A13" s="60" t="s">
        <v>2212</v>
      </c>
      <c r="B13" t="str">
        <f>findKey(supplementary_offering_legacyid[[#This Row],[Produccion]])</f>
        <v>17083124334</v>
      </c>
      <c r="C13" s="61" t="s">
        <v>2213</v>
      </c>
      <c r="D13" t="s">
        <v>1744</v>
      </c>
      <c r="E13" t="s">
        <v>2189</v>
      </c>
      <c r="F13" t="str">
        <f>ToJsonArray(supplementary_offering_legacyid[[#Headers],[offeringid]:[mode]],supplementary_offering_legacyid[[#This Row],[offeringid]:[mode]])</f>
        <v>{"offeringid":"990000612","name":"Plan Datos 1 MB Corporativo vol 500","mode":"I"}</v>
      </c>
      <c r="G13" t="str">
        <f>ToJsonArray(supplementary_offering_legacyid[[#This Row],[Semilla04]],supplementary_offering_legacyid[[#This Row],[Json]])</f>
        <v>{"17083124334":{"offeringid":"990000612","name":"Plan Datos 1 MB Corporativo vol 500","mode":"I"}}</v>
      </c>
    </row>
    <row r="14" spans="1:18" x14ac:dyDescent="0.25">
      <c r="A14" s="60" t="s">
        <v>2214</v>
      </c>
      <c r="B14" t="str">
        <f>findKey(supplementary_offering_legacyid[[#This Row],[Produccion]])</f>
        <v>17083123438</v>
      </c>
      <c r="C14" s="61" t="s">
        <v>2215</v>
      </c>
      <c r="D14" t="s">
        <v>1748</v>
      </c>
      <c r="E14" t="s">
        <v>2189</v>
      </c>
      <c r="F14" t="str">
        <f>ToJsonArray(supplementary_offering_legacyid[[#Headers],[offeringid]:[mode]],supplementary_offering_legacyid[[#This Row],[offeringid]:[mode]])</f>
        <v>{"offeringid":"990000402","name":"Paquete Localizacion Movil LBS PR1","mode":"I"}</v>
      </c>
      <c r="G14" t="str">
        <f>ToJsonArray(supplementary_offering_legacyid[[#This Row],[Semilla04]],supplementary_offering_legacyid[[#This Row],[Json]])</f>
        <v>{"17083123438":{"offeringid":"990000402","name":"Paquete Localizacion Movil LBS PR1","mode":"I"}}</v>
      </c>
    </row>
    <row r="15" spans="1:18" x14ac:dyDescent="0.25">
      <c r="A15" s="60" t="s">
        <v>2216</v>
      </c>
      <c r="B15" t="str">
        <f>findKey(supplementary_offering_legacyid[[#This Row],[Produccion]])</f>
        <v>17083121902</v>
      </c>
      <c r="C15" s="61" t="s">
        <v>2217</v>
      </c>
      <c r="D15" t="s">
        <v>1740</v>
      </c>
      <c r="E15" t="s">
        <v>2189</v>
      </c>
      <c r="F15" t="str">
        <f>ToJsonArray(supplementary_offering_legacyid[[#Headers],[offeringid]:[mode]],supplementary_offering_legacyid[[#This Row],[offeringid]:[mode]])</f>
        <v>{"offeringid":"990000408","name":"Paquete Localizacion Movil LBS PR20","mode":"I"}</v>
      </c>
      <c r="G15" t="str">
        <f>ToJsonArray(supplementary_offering_legacyid[[#This Row],[Semilla04]],supplementary_offering_legacyid[[#This Row],[Json]])</f>
        <v>{"17083121902":{"offeringid":"990000408","name":"Paquete Localizacion Movil LBS PR20","mode":"I"}}</v>
      </c>
    </row>
    <row r="16" spans="1:18" x14ac:dyDescent="0.25">
      <c r="A16" s="60" t="s">
        <v>2218</v>
      </c>
      <c r="B16" t="str">
        <f>findKey(supplementary_offering_legacyid[[#This Row],[Produccion]])</f>
        <v>17083123268</v>
      </c>
      <c r="C16" s="61" t="s">
        <v>2219</v>
      </c>
      <c r="D16" t="s">
        <v>156</v>
      </c>
      <c r="E16" t="s">
        <v>2189</v>
      </c>
      <c r="F16" t="str">
        <f>ToJsonArray(supplementary_offering_legacyid[[#Headers],[offeringid]:[mode]],supplementary_offering_legacyid[[#This Row],[offeringid]:[mode]])</f>
        <v>{"offeringid":"990000674","name":"Paquete Internet Movil Tigo ilimitado FUP 3 GB","mode":"I"}</v>
      </c>
      <c r="G16" t="str">
        <f>ToJsonArray(supplementary_offering_legacyid[[#This Row],[Semilla04]],supplementary_offering_legacyid[[#This Row],[Json]])</f>
        <v>{"17083123268":{"offeringid":"990000674","name":"Paquete Internet Movil Tigo ilimitado FUP 3 GB","mode":"I"}}</v>
      </c>
    </row>
    <row r="17" spans="1:7" x14ac:dyDescent="0.25">
      <c r="A17" s="60" t="s">
        <v>2220</v>
      </c>
      <c r="B17" t="str">
        <f>findKey(supplementary_offering_legacyid[[#This Row],[Produccion]])</f>
        <v>17083122048</v>
      </c>
      <c r="C17" s="61" t="s">
        <v>2221</v>
      </c>
      <c r="D17" t="s">
        <v>1469</v>
      </c>
      <c r="E17" t="s">
        <v>2189</v>
      </c>
      <c r="F17" t="str">
        <f>ToJsonArray(supplementary_offering_legacyid[[#Headers],[offeringid]:[mode]],supplementary_offering_legacyid[[#This Row],[offeringid]:[mode]])</f>
        <v>{"offeringid":"990000570","name":"Paquete Tigo Bolsa Datos 20GB Control","mode":"I"}</v>
      </c>
      <c r="G17" t="str">
        <f>ToJsonArray(supplementary_offering_legacyid[[#This Row],[Semilla04]],supplementary_offering_legacyid[[#This Row],[Json]])</f>
        <v>{"17083122048":{"offeringid":"990000570","name":"Paquete Tigo Bolsa Datos 20GB Control","mode":"I"}}</v>
      </c>
    </row>
    <row r="18" spans="1:7" x14ac:dyDescent="0.25">
      <c r="A18" s="60" t="s">
        <v>2222</v>
      </c>
      <c r="B18" t="str">
        <f>findKey(supplementary_offering_legacyid[[#This Row],[Produccion]])</f>
        <v>17083122977</v>
      </c>
      <c r="C18" s="61" t="s">
        <v>2223</v>
      </c>
      <c r="D18" t="s">
        <v>1994</v>
      </c>
      <c r="E18" t="s">
        <v>2189</v>
      </c>
      <c r="F18" t="str">
        <f>ToJsonArray(supplementary_offering_legacyid[[#Headers],[offeringid]:[mode]],supplementary_offering_legacyid[[#This Row],[offeringid]:[mode]])</f>
        <v>{"offeringid":"990000614","name":"Plan Datos 10 MB Corporativo vol 500","mode":"I"}</v>
      </c>
      <c r="G18" t="str">
        <f>ToJsonArray(supplementary_offering_legacyid[[#This Row],[Semilla04]],supplementary_offering_legacyid[[#This Row],[Json]])</f>
        <v>{"17083122977":{"offeringid":"990000614","name":"Plan Datos 10 MB Corporativo vol 500","mode":"I"}}</v>
      </c>
    </row>
    <row r="19" spans="1:7" x14ac:dyDescent="0.25">
      <c r="A19" s="60" t="s">
        <v>2224</v>
      </c>
      <c r="B19" t="str">
        <f>findKey(supplementary_offering_legacyid[[#This Row],[Produccion]])</f>
        <v>17083124696</v>
      </c>
      <c r="C19" s="61" t="s">
        <v>2225</v>
      </c>
      <c r="D19" t="s">
        <v>1640</v>
      </c>
      <c r="E19" t="s">
        <v>2189</v>
      </c>
      <c r="F19" t="str">
        <f>ToJsonArray(supplementary_offering_legacyid[[#Headers],[offeringid]:[mode]],supplementary_offering_legacyid[[#This Row],[offeringid]:[mode]])</f>
        <v>{"offeringid":"990000675","name":"Paquete Internet Movil Tigo ilimitado","mode":"I"}</v>
      </c>
      <c r="G19" t="str">
        <f>ToJsonArray(supplementary_offering_legacyid[[#This Row],[Semilla04]],supplementary_offering_legacyid[[#This Row],[Json]])</f>
        <v>{"17083124696":{"offeringid":"990000675","name":"Paquete Internet Movil Tigo ilimitado","mode":"I"}}</v>
      </c>
    </row>
    <row r="20" spans="1:7" x14ac:dyDescent="0.25">
      <c r="A20" s="60" t="s">
        <v>2226</v>
      </c>
      <c r="B20" t="str">
        <f>findKey(supplementary_offering_legacyid[[#This Row],[Produccion]])</f>
        <v>17083125681</v>
      </c>
      <c r="C20" s="61" t="s">
        <v>2227</v>
      </c>
      <c r="D20" t="s">
        <v>1395</v>
      </c>
      <c r="E20" t="s">
        <v>2189</v>
      </c>
      <c r="F20" t="str">
        <f>ToJsonArray(supplementary_offering_legacyid[[#Headers],[offeringid]:[mode]],supplementary_offering_legacyid[[#This Row],[offeringid]:[mode]])</f>
        <v>{"offeringid":"990000410","name":"Paquete Localizacion Movil LBS PR1000","mode":"I"}</v>
      </c>
      <c r="G20" t="str">
        <f>ToJsonArray(supplementary_offering_legacyid[[#This Row],[Semilla04]],supplementary_offering_legacyid[[#This Row],[Json]])</f>
        <v>{"17083125681":{"offeringid":"990000410","name":"Paquete Localizacion Movil LBS PR1000","mode":"I"}}</v>
      </c>
    </row>
    <row r="21" spans="1:7" x14ac:dyDescent="0.25">
      <c r="A21" s="60" t="s">
        <v>2228</v>
      </c>
      <c r="B21" t="str">
        <f>findKey(supplementary_offering_legacyid[[#This Row],[Produccion]])</f>
        <v>17083121697</v>
      </c>
      <c r="C21" s="61" t="s">
        <v>2229</v>
      </c>
      <c r="D21" t="s">
        <v>1983</v>
      </c>
      <c r="E21" t="s">
        <v>2189</v>
      </c>
      <c r="F21" t="str">
        <f>ToJsonArray(supplementary_offering_legacyid[[#Headers],[offeringid]:[mode]],supplementary_offering_legacyid[[#This Row],[offeringid]:[mode]])</f>
        <v>{"offeringid":"990000615","name":"Plan Datos 20 MB Corporativo vol 500","mode":"I"}</v>
      </c>
      <c r="G21" t="str">
        <f>ToJsonArray(supplementary_offering_legacyid[[#This Row],[Semilla04]],supplementary_offering_legacyid[[#This Row],[Json]])</f>
        <v>{"17083121697":{"offeringid":"990000615","name":"Plan Datos 20 MB Corporativo vol 500","mode":"I"}}</v>
      </c>
    </row>
    <row r="22" spans="1:7" x14ac:dyDescent="0.25">
      <c r="A22" s="60" t="s">
        <v>2230</v>
      </c>
      <c r="B22" t="str">
        <f>findKey(supplementary_offering_legacyid[[#This Row],[Produccion]])</f>
        <v>17083121673</v>
      </c>
      <c r="C22" s="61" t="s">
        <v>2231</v>
      </c>
      <c r="D22" t="s">
        <v>1389</v>
      </c>
      <c r="E22" t="s">
        <v>2189</v>
      </c>
      <c r="F22" t="str">
        <f>ToJsonArray(supplementary_offering_legacyid[[#Headers],[offeringid]:[mode]],supplementary_offering_legacyid[[#This Row],[offeringid]:[mode]])</f>
        <v>{"offeringid":"990000676","name":"GPRS ilimitado Blackberry BES_PLUS Pospago 2","mode":"I"}</v>
      </c>
      <c r="G22" t="str">
        <f>ToJsonArray(supplementary_offering_legacyid[[#This Row],[Semilla04]],supplementary_offering_legacyid[[#This Row],[Json]])</f>
        <v>{"17083121673":{"offeringid":"990000676","name":"GPRS ilimitado Blackberry BES_PLUS Pospago 2","mode":"I"}}</v>
      </c>
    </row>
    <row r="23" spans="1:7" x14ac:dyDescent="0.25">
      <c r="A23" s="60" t="s">
        <v>2232</v>
      </c>
      <c r="B23" t="str">
        <f>findKey(supplementary_offering_legacyid[[#This Row],[Produccion]])</f>
        <v>17083122801</v>
      </c>
      <c r="C23" s="61" t="s">
        <v>2233</v>
      </c>
      <c r="D23" t="s">
        <v>1378</v>
      </c>
      <c r="E23" t="s">
        <v>2189</v>
      </c>
      <c r="F23" t="str">
        <f>ToJsonArray(supplementary_offering_legacyid[[#Headers],[offeringid]:[mode]],supplementary_offering_legacyid[[#This Row],[offeringid]:[mode]])</f>
        <v>{"offeringid":"990000404","name":"Paquete Localizacion Movil LBS PR3","mode":"I"}</v>
      </c>
      <c r="G23" t="str">
        <f>ToJsonArray(supplementary_offering_legacyid[[#This Row],[Semilla04]],supplementary_offering_legacyid[[#This Row],[Json]])</f>
        <v>{"17083122801":{"offeringid":"990000404","name":"Paquete Localizacion Movil LBS PR3","mode":"I"}}</v>
      </c>
    </row>
    <row r="24" spans="1:7" x14ac:dyDescent="0.25">
      <c r="A24" s="60" t="s">
        <v>2234</v>
      </c>
      <c r="B24" t="str">
        <f>findKey(supplementary_offering_legacyid[[#This Row],[Produccion]])</f>
        <v>17083125409</v>
      </c>
      <c r="C24" s="61" t="s">
        <v>2235</v>
      </c>
      <c r="D24" t="s">
        <v>1865</v>
      </c>
      <c r="E24" t="s">
        <v>2189</v>
      </c>
      <c r="F24" t="str">
        <f>ToJsonArray(supplementary_offering_legacyid[[#Headers],[offeringid]:[mode]],supplementary_offering_legacyid[[#This Row],[offeringid]:[mode]])</f>
        <v>{"offeringid":"990000409","name":"Paquete Localizacion Movil LBS PR100","mode":"I"}</v>
      </c>
      <c r="G24" t="str">
        <f>ToJsonArray(supplementary_offering_legacyid[[#This Row],[Semilla04]],supplementary_offering_legacyid[[#This Row],[Json]])</f>
        <v>{"17083125409":{"offeringid":"990000409","name":"Paquete Localizacion Movil LBS PR100","mode":"I"}}</v>
      </c>
    </row>
    <row r="25" spans="1:7" x14ac:dyDescent="0.25">
      <c r="A25" s="60" t="s">
        <v>2236</v>
      </c>
      <c r="B25" t="str">
        <f>findKey(supplementary_offering_legacyid[[#This Row],[Produccion]])</f>
        <v>17083124863</v>
      </c>
      <c r="C25" s="61" t="s">
        <v>2237</v>
      </c>
      <c r="D25" t="s">
        <v>1564</v>
      </c>
      <c r="E25" t="s">
        <v>2189</v>
      </c>
      <c r="F25" t="str">
        <f>ToJsonArray(supplementary_offering_legacyid[[#Headers],[offeringid]:[mode]],supplementary_offering_legacyid[[#This Row],[offeringid]:[mode]])</f>
        <v>{"offeringid":"990000663","name":"OLA Beeper 10 Gratis Masivo","mode":"I"}</v>
      </c>
      <c r="G25" t="str">
        <f>ToJsonArray(supplementary_offering_legacyid[[#This Row],[Semilla04]],supplementary_offering_legacyid[[#This Row],[Json]])</f>
        <v>{"17083124863":{"offeringid":"990000663","name":"OLA Beeper 10 Gratis Masivo","mode":"I"}}</v>
      </c>
    </row>
    <row r="26" spans="1:7" x14ac:dyDescent="0.25">
      <c r="A26" s="60" t="s">
        <v>2238</v>
      </c>
      <c r="B26" t="str">
        <f>findKey(supplementary_offering_legacyid[[#This Row],[Produccion]])</f>
        <v>17083091874</v>
      </c>
      <c r="C26" s="61" t="s">
        <v>2239</v>
      </c>
      <c r="D26" t="s">
        <v>953</v>
      </c>
      <c r="E26" t="s">
        <v>2189</v>
      </c>
      <c r="F26" t="str">
        <f>ToJsonArray(supplementary_offering_legacyid[[#Headers],[offeringid]:[mode]],supplementary_offering_legacyid[[#This Row],[offeringid]:[mode]])</f>
        <v>{"offeringid":"990000415","name":"Plan Bolsa USSD 3","mode":"I"}</v>
      </c>
      <c r="G26" t="str">
        <f>ToJsonArray(supplementary_offering_legacyid[[#This Row],[Semilla04]],supplementary_offering_legacyid[[#This Row],[Json]])</f>
        <v>{"17083091874":{"offeringid":"990000415","name":"Plan Bolsa USSD 3","mode":"I"}}</v>
      </c>
    </row>
    <row r="27" spans="1:7" x14ac:dyDescent="0.25">
      <c r="A27" s="60" t="s">
        <v>2240</v>
      </c>
      <c r="B27" t="str">
        <f>findKey(supplementary_offering_legacyid[[#This Row],[Produccion]])</f>
        <v>17083124797</v>
      </c>
      <c r="C27" s="61" t="s">
        <v>2241</v>
      </c>
      <c r="D27" t="s">
        <v>1914</v>
      </c>
      <c r="E27" t="s">
        <v>2189</v>
      </c>
      <c r="F27" t="str">
        <f>ToJsonArray(supplementary_offering_legacyid[[#Headers],[offeringid]:[mode]],supplementary_offering_legacyid[[#This Row],[offeringid]:[mode]])</f>
        <v>{"offeringid":"990000616","name":"Plan Datos Control 3 MB Corporativo vol 500","mode":"I"}</v>
      </c>
      <c r="G27" t="str">
        <f>ToJsonArray(supplementary_offering_legacyid[[#This Row],[Semilla04]],supplementary_offering_legacyid[[#This Row],[Json]])</f>
        <v>{"17083124797":{"offeringid":"990000616","name":"Plan Datos Control 3 MB Corporativo vol 500","mode":"I"}}</v>
      </c>
    </row>
    <row r="28" spans="1:7" x14ac:dyDescent="0.25">
      <c r="A28" s="60" t="s">
        <v>2242</v>
      </c>
      <c r="B28" t="str">
        <f>findKey(supplementary_offering_legacyid[[#This Row],[Produccion]])</f>
        <v>17083125365</v>
      </c>
      <c r="C28" s="61" t="s">
        <v>2243</v>
      </c>
      <c r="D28" t="s">
        <v>504</v>
      </c>
      <c r="E28" t="s">
        <v>2189</v>
      </c>
      <c r="F28" t="str">
        <f>ToJsonArray(supplementary_offering_legacyid[[#Headers],[offeringid]:[mode]],supplementary_offering_legacyid[[#This Row],[offeringid]:[mode]])</f>
        <v>{"offeringid":"990000677","name":"Plan Datos Internet Movil Tigo ilimitado Corporativo","mode":"I"}</v>
      </c>
      <c r="G28" t="str">
        <f>ToJsonArray(supplementary_offering_legacyid[[#This Row],[Semilla04]],supplementary_offering_legacyid[[#This Row],[Json]])</f>
        <v>{"17083125365":{"offeringid":"990000677","name":"Plan Datos Internet Movil Tigo ilimitado Corporativo","mode":"I"}}</v>
      </c>
    </row>
    <row r="29" spans="1:7" x14ac:dyDescent="0.25">
      <c r="A29" s="60" t="s">
        <v>2244</v>
      </c>
      <c r="B29" t="str">
        <f>findKey(supplementary_offering_legacyid[[#This Row],[Produccion]])</f>
        <v>17083091202</v>
      </c>
      <c r="C29" s="61" t="s">
        <v>2245</v>
      </c>
      <c r="D29" t="s">
        <v>1958</v>
      </c>
      <c r="E29" t="s">
        <v>2189</v>
      </c>
      <c r="F29" t="str">
        <f>ToJsonArray(supplementary_offering_legacyid[[#Headers],[offeringid]:[mode]],supplementary_offering_legacyid[[#This Row],[offeringid]:[mode]])</f>
        <v>{"offeringid":"990000664","name":"OLA Beeper 10 Gratis Corporativo","mode":"I"}</v>
      </c>
      <c r="G29" t="str">
        <f>ToJsonArray(supplementary_offering_legacyid[[#This Row],[Semilla04]],supplementary_offering_legacyid[[#This Row],[Json]])</f>
        <v>{"17083091202":{"offeringid":"990000664","name":"OLA Beeper 10 Gratis Corporativo","mode":"I"}}</v>
      </c>
    </row>
    <row r="30" spans="1:7" x14ac:dyDescent="0.25">
      <c r="A30" s="60" t="s">
        <v>2246</v>
      </c>
      <c r="B30" t="str">
        <f>findKey(supplementary_offering_legacyid[[#This Row],[Produccion]])</f>
        <v>17083123091</v>
      </c>
      <c r="C30" s="61" t="s">
        <v>2247</v>
      </c>
      <c r="D30" t="s">
        <v>1928</v>
      </c>
      <c r="E30" t="s">
        <v>2189</v>
      </c>
      <c r="F30" t="str">
        <f>ToJsonArray(supplementary_offering_legacyid[[#Headers],[offeringid]:[mode]],supplementary_offering_legacyid[[#This Row],[offeringid]:[mode]])</f>
        <v>{"offeringid":"990000678","name":"Plan Datos Internet Movil Tigo ilimitado 2","mode":"I"}</v>
      </c>
      <c r="G30" t="str">
        <f>ToJsonArray(supplementary_offering_legacyid[[#This Row],[Semilla04]],supplementary_offering_legacyid[[#This Row],[Json]])</f>
        <v>{"17083123091":{"offeringid":"990000678","name":"Plan Datos Internet Movil Tigo ilimitado 2","mode":"I"}}</v>
      </c>
    </row>
    <row r="31" spans="1:7" x14ac:dyDescent="0.25">
      <c r="A31" s="60" t="s">
        <v>2248</v>
      </c>
      <c r="B31" t="str">
        <f>findKey(supplementary_offering_legacyid[[#This Row],[Produccion]])</f>
        <v>17083124835</v>
      </c>
      <c r="C31" s="61" t="s">
        <v>2249</v>
      </c>
      <c r="D31" t="s">
        <v>2024</v>
      </c>
      <c r="E31" t="s">
        <v>2189</v>
      </c>
      <c r="F31" t="str">
        <f>ToJsonArray(supplementary_offering_legacyid[[#Headers],[offeringid]:[mode]],supplementary_offering_legacyid[[#This Row],[offeringid]:[mode]])</f>
        <v>{"offeringid":"990000618","name":"Plan Datos Control 30 MB Corporativo vol 500","mode":"I"}</v>
      </c>
      <c r="G31" t="str">
        <f>ToJsonArray(supplementary_offering_legacyid[[#This Row],[Semilla04]],supplementary_offering_legacyid[[#This Row],[Json]])</f>
        <v>{"17083124835":{"offeringid":"990000618","name":"Plan Datos Control 30 MB Corporativo vol 500","mode":"I"}}</v>
      </c>
    </row>
    <row r="32" spans="1:7" x14ac:dyDescent="0.25">
      <c r="A32" s="60" t="s">
        <v>2250</v>
      </c>
      <c r="B32" t="str">
        <f>findKey(supplementary_offering_legacyid[[#This Row],[Produccion]])</f>
        <v>17083120095</v>
      </c>
      <c r="C32" s="61" t="s">
        <v>2251</v>
      </c>
      <c r="D32" t="s">
        <v>1436</v>
      </c>
      <c r="E32" t="s">
        <v>2189</v>
      </c>
      <c r="F32" t="str">
        <f>ToJsonArray(supplementary_offering_legacyid[[#Headers],[offeringid]:[mode]],supplementary_offering_legacyid[[#This Row],[offeringid]:[mode]])</f>
        <v>{"offeringid":"990000418","name":"Plan Bolsa USSD 6","mode":"I"}</v>
      </c>
      <c r="G32" t="str">
        <f>ToJsonArray(supplementary_offering_legacyid[[#This Row],[Semilla04]],supplementary_offering_legacyid[[#This Row],[Json]])</f>
        <v>{"17083120095":{"offeringid":"990000418","name":"Plan Bolsa USSD 6","mode":"I"}}</v>
      </c>
    </row>
    <row r="33" spans="1:7" x14ac:dyDescent="0.25">
      <c r="A33" s="60" t="s">
        <v>2252</v>
      </c>
      <c r="B33" t="str">
        <f>findKey(supplementary_offering_legacyid[[#This Row],[Produccion]])</f>
        <v>17083091590</v>
      </c>
      <c r="C33" s="61" t="s">
        <v>2253</v>
      </c>
      <c r="D33" t="s">
        <v>1828</v>
      </c>
      <c r="E33" t="s">
        <v>2189</v>
      </c>
      <c r="F33" t="str">
        <f>ToJsonArray(supplementary_offering_legacyid[[#Headers],[offeringid]:[mode]],supplementary_offering_legacyid[[#This Row],[offeringid]:[mode]])</f>
        <v>{"offeringid":"990000679","name":"Paquete Blackberry BIS Ilimitado FUP 2 GB","mode":"I"}</v>
      </c>
      <c r="G33" t="str">
        <f>ToJsonArray(supplementary_offering_legacyid[[#This Row],[Semilla04]],supplementary_offering_legacyid[[#This Row],[Json]])</f>
        <v>{"17083091590":{"offeringid":"990000679","name":"Paquete Blackberry BIS Ilimitado FUP 2 GB","mode":"I"}}</v>
      </c>
    </row>
    <row r="34" spans="1:7" x14ac:dyDescent="0.25">
      <c r="A34" s="60" t="s">
        <v>2254</v>
      </c>
      <c r="B34" t="str">
        <f>findKey(supplementary_offering_legacyid[[#This Row],[Produccion]])</f>
        <v>17083122615</v>
      </c>
      <c r="C34" s="61" t="s">
        <v>2255</v>
      </c>
      <c r="D34" t="s">
        <v>1240</v>
      </c>
      <c r="E34" t="s">
        <v>2189</v>
      </c>
      <c r="F34" t="str">
        <f>ToJsonArray(supplementary_offering_legacyid[[#Headers],[offeringid]:[mode]],supplementary_offering_legacyid[[#This Row],[offeringid]:[mode]])</f>
        <v>{"offeringid":"990000662","name":"Voice Mail Basico","mode":"I"}</v>
      </c>
      <c r="G34" t="str">
        <f>ToJsonArray(supplementary_offering_legacyid[[#This Row],[Semilla04]],supplementary_offering_legacyid[[#This Row],[Json]])</f>
        <v>{"17083122615":{"offeringid":"990000662","name":"Voice Mail Basico","mode":"I"}}</v>
      </c>
    </row>
    <row r="35" spans="1:7" x14ac:dyDescent="0.25">
      <c r="A35" s="60" t="s">
        <v>2256</v>
      </c>
      <c r="B35" t="str">
        <f>findKey(supplementary_offering_legacyid[[#This Row],[Produccion]])</f>
        <v>17083125655</v>
      </c>
      <c r="C35" s="61" t="s">
        <v>2257</v>
      </c>
      <c r="D35" t="s">
        <v>1588</v>
      </c>
      <c r="E35" t="s">
        <v>2189</v>
      </c>
      <c r="F35" t="str">
        <f>ToJsonArray(supplementary_offering_legacyid[[#Headers],[offeringid]:[mode]],supplementary_offering_legacyid[[#This Row],[offeringid]:[mode]])</f>
        <v>{"offeringid":"990000627","name":"Plan Datos Internet Movil Tigo ilimitado Control Corporativo","mode":"I"}</v>
      </c>
      <c r="G35" t="str">
        <f>ToJsonArray(supplementary_offering_legacyid[[#This Row],[Semilla04]],supplementary_offering_legacyid[[#This Row],[Json]])</f>
        <v>{"17083125655":{"offeringid":"990000627","name":"Plan Datos Internet Movil Tigo ilimitado Control Corporativo","mode":"I"}}</v>
      </c>
    </row>
    <row r="36" spans="1:7" x14ac:dyDescent="0.25">
      <c r="A36" s="60" t="s">
        <v>2258</v>
      </c>
      <c r="B36" t="str">
        <f>findKey(supplementary_offering_legacyid[[#This Row],[Produccion]])</f>
        <v>17083128896</v>
      </c>
      <c r="C36" s="61" t="s">
        <v>2259</v>
      </c>
      <c r="D36" t="s">
        <v>937</v>
      </c>
      <c r="E36" t="s">
        <v>2189</v>
      </c>
      <c r="F36" t="str">
        <f>ToJsonArray(supplementary_offering_legacyid[[#Headers],[offeringid]:[mode]],supplementary_offering_legacyid[[#This Row],[offeringid]:[mode]])</f>
        <v>{"offeringid":"990000617","name":"Plan Datos Control 3 MB Corporativo vol Mayor a 1000","mode":"I"}</v>
      </c>
      <c r="G36" t="str">
        <f>ToJsonArray(supplementary_offering_legacyid[[#This Row],[Semilla04]],supplementary_offering_legacyid[[#This Row],[Json]])</f>
        <v>{"17083128896":{"offeringid":"990000617","name":"Plan Datos Control 3 MB Corporativo vol Mayor a 1000","mode":"I"}}</v>
      </c>
    </row>
    <row r="37" spans="1:7" x14ac:dyDescent="0.25">
      <c r="A37" s="60" t="s">
        <v>2260</v>
      </c>
      <c r="B37" t="str">
        <f>findKey(supplementary_offering_legacyid[[#This Row],[Produccion]])</f>
        <v>17083122451</v>
      </c>
      <c r="C37" s="61" t="s">
        <v>2261</v>
      </c>
      <c r="D37" t="s">
        <v>2027</v>
      </c>
      <c r="E37" t="s">
        <v>2189</v>
      </c>
      <c r="F37" t="str">
        <f>ToJsonArray(supplementary_offering_legacyid[[#Headers],[offeringid]:[mode]],supplementary_offering_legacyid[[#This Row],[offeringid]:[mode]])</f>
        <v>{"offeringid":"990000613","name":"Plan Datos 1 MB Corporativo vol Mayor a 1000","mode":"I"}</v>
      </c>
      <c r="G37" t="str">
        <f>ToJsonArray(supplementary_offering_legacyid[[#This Row],[Semilla04]],supplementary_offering_legacyid[[#This Row],[Json]])</f>
        <v>{"17083122451":{"offeringid":"990000613","name":"Plan Datos 1 MB Corporativo vol Mayor a 1000","mode":"I"}}</v>
      </c>
    </row>
    <row r="38" spans="1:7" x14ac:dyDescent="0.25">
      <c r="A38" s="60" t="s">
        <v>2262</v>
      </c>
      <c r="B38" t="str">
        <f>findKey(supplementary_offering_legacyid[[#This Row],[Produccion]])</f>
        <v>17083125067</v>
      </c>
      <c r="C38" s="61" t="s">
        <v>2263</v>
      </c>
      <c r="D38" t="s">
        <v>253</v>
      </c>
      <c r="E38" t="s">
        <v>2189</v>
      </c>
      <c r="F38" t="str">
        <f>ToJsonArray(supplementary_offering_legacyid[[#Headers],[offeringid]:[mode]],supplementary_offering_legacyid[[#This Row],[offeringid]:[mode]])</f>
        <v>{"offeringid":"990000628","name":"Paquete Datos Control 5 MB Corporativo vol 500","mode":"I"}</v>
      </c>
      <c r="G38" t="str">
        <f>ToJsonArray(supplementary_offering_legacyid[[#This Row],[Semilla04]],supplementary_offering_legacyid[[#This Row],[Json]])</f>
        <v>{"17083125067":{"offeringid":"990000628","name":"Paquete Datos Control 5 MB Corporativo vol 500","mode":"I"}}</v>
      </c>
    </row>
    <row r="39" spans="1:7" x14ac:dyDescent="0.25">
      <c r="A39" s="60" t="s">
        <v>2264</v>
      </c>
      <c r="B39" t="str">
        <f>findKey(supplementary_offering_legacyid[[#This Row],[Produccion]])</f>
        <v>17083129828</v>
      </c>
      <c r="C39" s="61" t="s">
        <v>2265</v>
      </c>
      <c r="D39" t="s">
        <v>2266</v>
      </c>
      <c r="E39" t="s">
        <v>2189</v>
      </c>
      <c r="F39" t="str">
        <f>ToJsonArray(supplementary_offering_legacyid[[#Headers],[offeringid]:[mode]],supplementary_offering_legacyid[[#This Row],[offeringid]:[mode]])</f>
        <v>{"offeringid":"990000665","name":"OLA Beeper BÃ¡sico Corporativo","mode":"I"}</v>
      </c>
      <c r="G39" t="str">
        <f>ToJsonArray(supplementary_offering_legacyid[[#This Row],[Semilla04]],supplementary_offering_legacyid[[#This Row],[Json]])</f>
        <v>{"17083129828":{"offeringid":"990000665","name":"OLA Beeper BÃ¡sico Corporativo","mode":"I"}}</v>
      </c>
    </row>
    <row r="40" spans="1:7" x14ac:dyDescent="0.25">
      <c r="A40" s="60" t="s">
        <v>2267</v>
      </c>
      <c r="B40" t="str">
        <f>findKey(supplementary_offering_legacyid[[#This Row],[Produccion]])</f>
        <v>17083091356</v>
      </c>
      <c r="C40" s="61" t="s">
        <v>2268</v>
      </c>
      <c r="D40" t="s">
        <v>1979</v>
      </c>
      <c r="E40" t="s">
        <v>2189</v>
      </c>
      <c r="F40" t="str">
        <f>ToJsonArray(supplementary_offering_legacyid[[#Headers],[offeringid]:[mode]],supplementary_offering_legacyid[[#This Row],[offeringid]:[mode]])</f>
        <v>{"offeringid":"990000670","name":"OLA Imagen 25 Gratis Corporativo","mode":"I"}</v>
      </c>
      <c r="G40" t="str">
        <f>ToJsonArray(supplementary_offering_legacyid[[#This Row],[Semilla04]],supplementary_offering_legacyid[[#This Row],[Json]])</f>
        <v>{"17083091356":{"offeringid":"990000670","name":"OLA Imagen 25 Gratis Corporativo","mode":"I"}}</v>
      </c>
    </row>
    <row r="41" spans="1:7" x14ac:dyDescent="0.25">
      <c r="A41" s="60" t="s">
        <v>2269</v>
      </c>
      <c r="B41" t="str">
        <f>findKey(supplementary_offering_legacyid[[#This Row],[Produccion]])</f>
        <v>17083089794</v>
      </c>
      <c r="C41" s="61" t="s">
        <v>2270</v>
      </c>
      <c r="D41" t="s">
        <v>2068</v>
      </c>
      <c r="E41" t="s">
        <v>2189</v>
      </c>
      <c r="F41" t="str">
        <f>ToJsonArray(supplementary_offering_legacyid[[#Headers],[offeringid]:[mode]],supplementary_offering_legacyid[[#This Row],[offeringid]:[mode]])</f>
        <v>{"offeringid":"990000666","name":"OLA Beeper 50 Gratis Corporativo","mode":"I"}</v>
      </c>
      <c r="G41" t="str">
        <f>ToJsonArray(supplementary_offering_legacyid[[#This Row],[Semilla04]],supplementary_offering_legacyid[[#This Row],[Json]])</f>
        <v>{"17083089794":{"offeringid":"990000666","name":"OLA Beeper 50 Gratis Corporativo","mode":"I"}}</v>
      </c>
    </row>
    <row r="42" spans="1:7" x14ac:dyDescent="0.25">
      <c r="A42" s="60" t="s">
        <v>2271</v>
      </c>
      <c r="B42" t="str">
        <f>findKey(supplementary_offering_legacyid[[#This Row],[Produccion]])</f>
        <v>17083124603</v>
      </c>
      <c r="C42" s="61" t="s">
        <v>2272</v>
      </c>
      <c r="D42" t="s">
        <v>394</v>
      </c>
      <c r="E42" t="s">
        <v>2189</v>
      </c>
      <c r="F42" t="str">
        <f>ToJsonArray(supplementary_offering_legacyid[[#Headers],[offeringid]:[mode]],supplementary_offering_legacyid[[#This Row],[offeringid]:[mode]])</f>
        <v>{"offeringid":"990000629","name":"Plan Datos Control ilimitado Corporativo vol 500","mode":"I"}</v>
      </c>
      <c r="G42" t="str">
        <f>ToJsonArray(supplementary_offering_legacyid[[#This Row],[Semilla04]],supplementary_offering_legacyid[[#This Row],[Json]])</f>
        <v>{"17083124603":{"offeringid":"990000629","name":"Plan Datos Control ilimitado Corporativo vol 500","mode":"I"}}</v>
      </c>
    </row>
    <row r="43" spans="1:7" x14ac:dyDescent="0.25">
      <c r="A43" s="60" t="s">
        <v>2273</v>
      </c>
      <c r="B43" t="str">
        <f>findKey(supplementary_offering_legacyid[[#This Row],[Produccion]])</f>
        <v>17083125455</v>
      </c>
      <c r="C43" s="61" t="s">
        <v>2274</v>
      </c>
      <c r="D43" t="s">
        <v>2275</v>
      </c>
      <c r="E43" t="s">
        <v>2189</v>
      </c>
      <c r="F43" t="str">
        <f>ToJsonArray(supplementary_offering_legacyid[[#Headers],[offeringid]:[mode]],supplementary_offering_legacyid[[#This Row],[offeringid]:[mode]])</f>
        <v>{"offeringid":"990000671","name":"OLA Imagen  BÃ¡sico Masivo","mode":"I"}</v>
      </c>
      <c r="G43" t="str">
        <f>ToJsonArray(supplementary_offering_legacyid[[#This Row],[Semilla04]],supplementary_offering_legacyid[[#This Row],[Json]])</f>
        <v>{"17083125455":{"offeringid":"990000671","name":"OLA Imagen  BÃ¡sico Masivo","mode":"I"}}</v>
      </c>
    </row>
    <row r="44" spans="1:7" x14ac:dyDescent="0.25">
      <c r="A44" s="60" t="s">
        <v>2276</v>
      </c>
      <c r="B44" t="str">
        <f>findKey(supplementary_offering_legacyid[[#This Row],[Produccion]])</f>
        <v>17083125239</v>
      </c>
      <c r="C44" s="61" t="s">
        <v>2277</v>
      </c>
      <c r="D44" t="s">
        <v>1106</v>
      </c>
      <c r="E44" t="s">
        <v>2189</v>
      </c>
      <c r="F44" t="str">
        <f>ToJsonArray(supplementary_offering_legacyid[[#Headers],[offeringid]:[mode]],supplementary_offering_legacyid[[#This Row],[offeringid]:[mode]])</f>
        <v>{"offeringid":"990000667","name":"Ola Beeper Basico masivo","mode":"I"}</v>
      </c>
      <c r="G44" t="str">
        <f>ToJsonArray(supplementary_offering_legacyid[[#This Row],[Semilla04]],supplementary_offering_legacyid[[#This Row],[Json]])</f>
        <v>{"17083125239":{"offeringid":"990000667","name":"Ola Beeper Basico masivo","mode":"I"}}</v>
      </c>
    </row>
    <row r="45" spans="1:7" x14ac:dyDescent="0.25">
      <c r="A45" s="60" t="s">
        <v>2278</v>
      </c>
      <c r="B45" t="str">
        <f>findKey(supplementary_offering_legacyid[[#This Row],[Produccion]])</f>
        <v>17083121880</v>
      </c>
      <c r="C45" s="61" t="s">
        <v>2279</v>
      </c>
      <c r="D45" t="s">
        <v>1715</v>
      </c>
      <c r="E45" t="s">
        <v>2189</v>
      </c>
      <c r="F45" t="str">
        <f>ToJsonArray(supplementary_offering_legacyid[[#Headers],[offeringid]:[mode]],supplementary_offering_legacyid[[#This Row],[offeringid]:[mode]])</f>
        <v>{"offeringid":"990000680","name":"GPRS Tigo Corporativo Ilimitado 2","mode":"I"}</v>
      </c>
      <c r="G45" t="str">
        <f>ToJsonArray(supplementary_offering_legacyid[[#This Row],[Semilla04]],supplementary_offering_legacyid[[#This Row],[Json]])</f>
        <v>{"17083121880":{"offeringid":"990000680","name":"GPRS Tigo Corporativo Ilimitado 2","mode":"I"}}</v>
      </c>
    </row>
    <row r="46" spans="1:7" x14ac:dyDescent="0.25">
      <c r="A46" s="60" t="s">
        <v>2280</v>
      </c>
      <c r="B46" t="str">
        <f>findKey(supplementary_offering_legacyid[[#This Row],[Produccion]])</f>
        <v>17083092522</v>
      </c>
      <c r="C46" s="61" t="s">
        <v>2281</v>
      </c>
      <c r="D46" t="s">
        <v>1098</v>
      </c>
      <c r="E46" t="s">
        <v>2189</v>
      </c>
      <c r="F46" t="str">
        <f>ToJsonArray(supplementary_offering_legacyid[[#Headers],[offeringid]:[mode]],supplementary_offering_legacyid[[#This Row],[offeringid]:[mode]])</f>
        <v>{"offeringid":"990000416","name":"Plan Bolsa USSD 4","mode":"I"}</v>
      </c>
      <c r="G46" t="str">
        <f>ToJsonArray(supplementary_offering_legacyid[[#This Row],[Semilla04]],supplementary_offering_legacyid[[#This Row],[Json]])</f>
        <v>{"17083092522":{"offeringid":"990000416","name":"Plan Bolsa USSD 4","mode":"I"}}</v>
      </c>
    </row>
    <row r="47" spans="1:7" x14ac:dyDescent="0.25">
      <c r="A47" s="60" t="s">
        <v>2282</v>
      </c>
      <c r="B47" t="str">
        <f>findKey(supplementary_offering_legacyid[[#This Row],[Produccion]])</f>
        <v>17083091330</v>
      </c>
      <c r="C47" s="61" t="s">
        <v>2283</v>
      </c>
      <c r="D47" t="s">
        <v>2284</v>
      </c>
      <c r="E47" t="s">
        <v>2189</v>
      </c>
      <c r="F47" t="str">
        <f>ToJsonArray(supplementary_offering_legacyid[[#Headers],[offeringid]:[mode]],supplementary_offering_legacyid[[#This Row],[offeringid]:[mode]])</f>
        <v>{"offeringid":"990000668","name":"OLA Beeper BÃ¡sico Referidos","mode":"I"}</v>
      </c>
      <c r="G47" t="str">
        <f>ToJsonArray(supplementary_offering_legacyid[[#This Row],[Semilla04]],supplementary_offering_legacyid[[#This Row],[Json]])</f>
        <v>{"17083091330":{"offeringid":"990000668","name":"OLA Beeper BÃ¡sico Referidos","mode":"I"}}</v>
      </c>
    </row>
    <row r="48" spans="1:7" x14ac:dyDescent="0.25">
      <c r="A48" s="60" t="s">
        <v>2285</v>
      </c>
      <c r="B48" t="str">
        <f>findKey(supplementary_offering_legacyid[[#This Row],[Produccion]])</f>
        <v>17083092924</v>
      </c>
      <c r="C48" s="61" t="s">
        <v>2286</v>
      </c>
      <c r="D48" t="s">
        <v>1584</v>
      </c>
      <c r="E48" t="s">
        <v>2189</v>
      </c>
      <c r="F48" t="str">
        <f>ToJsonArray(supplementary_offering_legacyid[[#Headers],[offeringid]:[mode]],supplementary_offering_legacyid[[#This Row],[offeringid]:[mode]])</f>
        <v>{"offeringid":"990000625","name":"Plan Datos Control ilimitado Corporativo vol Mayor a 1000","mode":"I"}</v>
      </c>
      <c r="G48" t="str">
        <f>ToJsonArray(supplementary_offering_legacyid[[#This Row],[Semilla04]],supplementary_offering_legacyid[[#This Row],[Json]])</f>
        <v>{"17083092924":{"offeringid":"990000625","name":"Plan Datos Control ilimitado Corporativo vol Mayor a 1000","mode":"I"}}</v>
      </c>
    </row>
    <row r="49" spans="1:7" x14ac:dyDescent="0.25">
      <c r="A49" s="60" t="s">
        <v>2287</v>
      </c>
      <c r="B49" t="str">
        <f>findKey(supplementary_offering_legacyid[[#This Row],[Produccion]])</f>
        <v>17083126776</v>
      </c>
      <c r="C49" s="61" t="s">
        <v>2288</v>
      </c>
      <c r="D49" t="s">
        <v>729</v>
      </c>
      <c r="E49" t="s">
        <v>2189</v>
      </c>
      <c r="F49" t="str">
        <f>ToJsonArray(supplementary_offering_legacyid[[#Headers],[offeringid]:[mode]],supplementary_offering_legacyid[[#This Row],[offeringid]:[mode]])</f>
        <v>{"offeringid":"990000413","name":"Plan Bolsa USSD 1","mode":"I"}</v>
      </c>
      <c r="G49" t="str">
        <f>ToJsonArray(supplementary_offering_legacyid[[#This Row],[Semilla04]],supplementary_offering_legacyid[[#This Row],[Json]])</f>
        <v>{"17083126776":{"offeringid":"990000413","name":"Plan Bolsa USSD 1","mode":"I"}}</v>
      </c>
    </row>
    <row r="50" spans="1:7" x14ac:dyDescent="0.25">
      <c r="A50" s="60" t="s">
        <v>2289</v>
      </c>
      <c r="B50" t="str">
        <f>findKey(supplementary_offering_legacyid[[#This Row],[Produccion]])</f>
        <v>17083123342</v>
      </c>
      <c r="C50" s="61" t="s">
        <v>2290</v>
      </c>
      <c r="D50" t="s">
        <v>1894</v>
      </c>
      <c r="E50" t="s">
        <v>2189</v>
      </c>
      <c r="F50" t="str">
        <f>ToJsonArray(supplementary_offering_legacyid[[#Headers],[offeringid]:[mode]],supplementary_offering_legacyid[[#This Row],[offeringid]:[mode]])</f>
        <v>{"offeringid":"990000630","name":"Plan Datos Internet Movil Tigo ilimitado Control","mode":"I"}</v>
      </c>
      <c r="G50" t="str">
        <f>ToJsonArray(supplementary_offering_legacyid[[#This Row],[Semilla04]],supplementary_offering_legacyid[[#This Row],[Json]])</f>
        <v>{"17083123342":{"offeringid":"990000630","name":"Plan Datos Internet Movil Tigo ilimitado Control","mode":"I"}}</v>
      </c>
    </row>
    <row r="51" spans="1:7" x14ac:dyDescent="0.25">
      <c r="A51" s="60" t="s">
        <v>2291</v>
      </c>
      <c r="B51" t="str">
        <f>findKey(supplementary_offering_legacyid[[#This Row],[Produccion]])</f>
        <v>17083122416</v>
      </c>
      <c r="C51" s="61" t="s">
        <v>2292</v>
      </c>
      <c r="D51" t="s">
        <v>1692</v>
      </c>
      <c r="E51" t="s">
        <v>2189</v>
      </c>
      <c r="F51" t="str">
        <f>ToJsonArray(supplementary_offering_legacyid[[#Headers],[offeringid]:[mode]],supplementary_offering_legacyid[[#This Row],[offeringid]:[mode]])</f>
        <v>{"offeringid":"990000626","name":"CLIR","mode":"I"}</v>
      </c>
      <c r="G51" t="str">
        <f>ToJsonArray(supplementary_offering_legacyid[[#This Row],[Semilla04]],supplementary_offering_legacyid[[#This Row],[Json]])</f>
        <v>{"17083122416":{"offeringid":"990000626","name":"CLIR","mode":"I"}}</v>
      </c>
    </row>
    <row r="52" spans="1:7" x14ac:dyDescent="0.25">
      <c r="A52" s="60" t="s">
        <v>2293</v>
      </c>
      <c r="B52" t="str">
        <f>findKey(supplementary_offering_legacyid[[#This Row],[Produccion]])</f>
        <v>17083124437</v>
      </c>
      <c r="C52" s="61" t="s">
        <v>2294</v>
      </c>
      <c r="D52" t="s">
        <v>2295</v>
      </c>
      <c r="E52" t="s">
        <v>2189</v>
      </c>
      <c r="F52" t="str">
        <f>ToJsonArray(supplementary_offering_legacyid[[#Headers],[offeringid]:[mode]],supplementary_offering_legacyid[[#This Row],[offeringid]:[mode]])</f>
        <v>{"offeringid":"990000681","name":"OLA Web BÃ¡sico","mode":"I"}</v>
      </c>
      <c r="G52" t="str">
        <f>ToJsonArray(supplementary_offering_legacyid[[#This Row],[Semilla04]],supplementary_offering_legacyid[[#This Row],[Json]])</f>
        <v>{"17083124437":{"offeringid":"990000681","name":"OLA Web BÃ¡sico","mode":"I"}}</v>
      </c>
    </row>
    <row r="53" spans="1:7" x14ac:dyDescent="0.25">
      <c r="A53" s="60" t="s">
        <v>2296</v>
      </c>
      <c r="B53" t="str">
        <f>findKey(supplementary_offering_legacyid[[#This Row],[Produccion]])</f>
        <v>17083125427</v>
      </c>
      <c r="C53" s="61" t="s">
        <v>2297</v>
      </c>
      <c r="D53" t="s">
        <v>2298</v>
      </c>
      <c r="E53" t="s">
        <v>2189</v>
      </c>
      <c r="F53" t="str">
        <f>ToJsonArray(supplementary_offering_legacyid[[#Headers],[offeringid]:[mode]],supplementary_offering_legacyid[[#This Row],[offeringid]:[mode]])</f>
        <v>{"offeringid":"990000669","name":"OLA Beeper BÃ¡sico SÃºper OLA","mode":"I"}</v>
      </c>
      <c r="G53" t="str">
        <f>ToJsonArray(supplementary_offering_legacyid[[#This Row],[Semilla04]],supplementary_offering_legacyid[[#This Row],[Json]])</f>
        <v>{"17083125427":{"offeringid":"990000669","name":"OLA Beeper BÃ¡sico SÃºper OLA","mode":"I"}}</v>
      </c>
    </row>
    <row r="54" spans="1:7" x14ac:dyDescent="0.25">
      <c r="A54" s="60" t="s">
        <v>2299</v>
      </c>
      <c r="B54" t="str">
        <f>findKey(supplementary_offering_legacyid[[#This Row],[Produccion]])</f>
        <v>17083124771</v>
      </c>
      <c r="C54" s="61" t="s">
        <v>2300</v>
      </c>
      <c r="D54" t="s">
        <v>389</v>
      </c>
      <c r="E54" t="s">
        <v>2189</v>
      </c>
      <c r="F54" t="str">
        <f>ToJsonArray(supplementary_offering_legacyid[[#Headers],[offeringid]:[mode]],supplementary_offering_legacyid[[#This Row],[offeringid]:[mode]])</f>
        <v>{"offeringid":"990000682","name":"Paquete Tigo Blackberry Lite","mode":"I"}</v>
      </c>
      <c r="G54" t="str">
        <f>ToJsonArray(supplementary_offering_legacyid[[#This Row],[Semilla04]],supplementary_offering_legacyid[[#This Row],[Json]])</f>
        <v>{"17083124771":{"offeringid":"990000682","name":"Paquete Tigo Blackberry Lite","mode":"I"}}</v>
      </c>
    </row>
    <row r="55" spans="1:7" x14ac:dyDescent="0.25">
      <c r="A55" s="60" t="s">
        <v>2301</v>
      </c>
      <c r="B55" t="str">
        <f>findKey(supplementary_offering_legacyid[[#This Row],[Produccion]])</f>
        <v>17083128404</v>
      </c>
      <c r="C55" s="61" t="s">
        <v>2302</v>
      </c>
      <c r="D55" t="s">
        <v>939</v>
      </c>
      <c r="E55" t="s">
        <v>2189</v>
      </c>
      <c r="F55" t="str">
        <f>ToJsonArray(supplementary_offering_legacyid[[#Headers],[offeringid]:[mode]],supplementary_offering_legacyid[[#This Row],[offeringid]:[mode]])</f>
        <v>{"offeringid":"990000414","name":"Plan Bolsa USSD 2","mode":"I"}</v>
      </c>
      <c r="G55" t="str">
        <f>ToJsonArray(supplementary_offering_legacyid[[#This Row],[Semilla04]],supplementary_offering_legacyid[[#This Row],[Json]])</f>
        <v>{"17083128404":{"offeringid":"990000414","name":"Plan Bolsa USSD 2","mode":"I"}}</v>
      </c>
    </row>
    <row r="56" spans="1:7" x14ac:dyDescent="0.25">
      <c r="A56" s="60" t="s">
        <v>2303</v>
      </c>
      <c r="B56" t="str">
        <f>findKey(supplementary_offering_legacyid[[#This Row],[Produccion]])</f>
        <v>17083122279</v>
      </c>
      <c r="C56" s="61" t="s">
        <v>2304</v>
      </c>
      <c r="D56" t="s">
        <v>503</v>
      </c>
      <c r="E56" t="s">
        <v>2189</v>
      </c>
      <c r="F56" t="str">
        <f>ToJsonArray(supplementary_offering_legacyid[[#Headers],[offeringid]:[mode]],supplementary_offering_legacyid[[#This Row],[offeringid]:[mode]])</f>
        <v>{"offeringid":"990000623","name":"Plan Datos Control ilimitado Corporativo vol 1000","mode":"I"}</v>
      </c>
      <c r="G56" t="str">
        <f>ToJsonArray(supplementary_offering_legacyid[[#This Row],[Semilla04]],supplementary_offering_legacyid[[#This Row],[Json]])</f>
        <v>{"17083122279":{"offeringid":"990000623","name":"Plan Datos Control ilimitado Corporativo vol 1000","mode":"I"}}</v>
      </c>
    </row>
    <row r="57" spans="1:7" x14ac:dyDescent="0.25">
      <c r="A57" s="60" t="s">
        <v>2305</v>
      </c>
      <c r="B57" t="str">
        <f>findKey(supplementary_offering_legacyid[[#This Row],[Produccion]])</f>
        <v>17083125725</v>
      </c>
      <c r="C57" s="61" t="s">
        <v>2306</v>
      </c>
      <c r="D57" t="s">
        <v>1918</v>
      </c>
      <c r="E57" t="s">
        <v>2189</v>
      </c>
      <c r="F57" t="str">
        <f>ToJsonArray(supplementary_offering_legacyid[[#Headers],[offeringid]:[mode]],supplementary_offering_legacyid[[#This Row],[offeringid]:[mode]])</f>
        <v>{"offeringid":"990000619","name":"Plan Datos Control 5 MB Corporativo vol 500","mode":"I"}</v>
      </c>
      <c r="G57" t="str">
        <f>ToJsonArray(supplementary_offering_legacyid[[#This Row],[Semilla04]],supplementary_offering_legacyid[[#This Row],[Json]])</f>
        <v>{"17083125725":{"offeringid":"990000619","name":"Plan Datos Control 5 MB Corporativo vol 500","mode":"I"}}</v>
      </c>
    </row>
    <row r="58" spans="1:7" x14ac:dyDescent="0.25">
      <c r="A58" s="60" t="s">
        <v>2307</v>
      </c>
      <c r="B58" t="str">
        <f>findKey(supplementary_offering_legacyid[[#This Row],[Produccion]])</f>
        <v>302783</v>
      </c>
      <c r="C58" s="61" t="s">
        <v>2308</v>
      </c>
      <c r="D58" t="s">
        <v>1250</v>
      </c>
      <c r="E58" t="s">
        <v>2189</v>
      </c>
      <c r="F58" t="str">
        <f>ToJsonArray(supplementary_offering_legacyid[[#Headers],[offeringid]:[mode]],supplementary_offering_legacyid[[#This Row],[offeringid]:[mode]])</f>
        <v>{"offeringid":"990000417","name":"Plan Bolsa USSD 5","mode":"I"}</v>
      </c>
      <c r="G58" t="str">
        <f>ToJsonArray(supplementary_offering_legacyid[[#This Row],[Semilla04]],supplementary_offering_legacyid[[#This Row],[Json]])</f>
        <v>{"302783":{"offeringid":"990000417","name":"Plan Bolsa USSD 5","mode":"I"}}</v>
      </c>
    </row>
    <row r="59" spans="1:7" x14ac:dyDescent="0.25">
      <c r="A59" s="60" t="s">
        <v>2309</v>
      </c>
      <c r="B59" t="str">
        <f>findKey(supplementary_offering_legacyid[[#This Row],[Produccion]])</f>
        <v>17083124640</v>
      </c>
      <c r="C59" s="61" t="s">
        <v>2310</v>
      </c>
      <c r="D59" t="s">
        <v>1582</v>
      </c>
      <c r="E59" t="s">
        <v>2189</v>
      </c>
      <c r="F59" t="str">
        <f>ToJsonArray(supplementary_offering_legacyid[[#Headers],[offeringid]:[mode]],supplementary_offering_legacyid[[#This Row],[offeringid]:[mode]])</f>
        <v>{"offeringid":"990000419","name":"Plan Bolsa USSD 7","mode":"I"}</v>
      </c>
      <c r="G59" t="str">
        <f>ToJsonArray(supplementary_offering_legacyid[[#This Row],[Semilla04]],supplementary_offering_legacyid[[#This Row],[Json]])</f>
        <v>{"17083124640":{"offeringid":"990000419","name":"Plan Bolsa USSD 7","mode":"I"}}</v>
      </c>
    </row>
    <row r="60" spans="1:7" x14ac:dyDescent="0.25">
      <c r="A60" s="60" t="s">
        <v>2311</v>
      </c>
      <c r="B60" t="str">
        <f>findKey(supplementary_offering_legacyid[[#This Row],[Produccion]])</f>
        <v>BAG15K</v>
      </c>
      <c r="C60" s="61" t="s">
        <v>2312</v>
      </c>
      <c r="D60" t="s">
        <v>2313</v>
      </c>
      <c r="E60" t="s">
        <v>2189</v>
      </c>
      <c r="F60" t="str">
        <f>ToJsonArray(supplementary_offering_legacyid[[#Headers],[offeringid]:[mode]],supplementary_offering_legacyid[[#This Row],[offeringid]:[mode]])</f>
        <v>{"offeringid":"990000101","name":"TIGO BAG15K","mode":"I"}</v>
      </c>
      <c r="G60" t="str">
        <f>ToJsonArray(supplementary_offering_legacyid[[#This Row],[Semilla04]],supplementary_offering_legacyid[[#This Row],[Json]])</f>
        <v>{"BAG15K":{"offeringid":"990000101","name":"TIGO BAG15K","mode":"I"}}</v>
      </c>
    </row>
    <row r="61" spans="1:7" x14ac:dyDescent="0.25">
      <c r="A61" s="60" t="s">
        <v>2314</v>
      </c>
      <c r="B61" t="str">
        <f>findKey(supplementary_offering_legacyid[[#This Row],[Produccion]])</f>
        <v>BAG20K</v>
      </c>
      <c r="C61" s="61" t="s">
        <v>2315</v>
      </c>
      <c r="D61" t="s">
        <v>2316</v>
      </c>
      <c r="E61" t="s">
        <v>2189</v>
      </c>
      <c r="F61" t="str">
        <f>ToJsonArray(supplementary_offering_legacyid[[#Headers],[offeringid]:[mode]],supplementary_offering_legacyid[[#This Row],[offeringid]:[mode]])</f>
        <v>{"offeringid":"990000102","name":"TIGO BAG20K","mode":"I"}</v>
      </c>
      <c r="G61" t="str">
        <f>ToJsonArray(supplementary_offering_legacyid[[#This Row],[Semilla04]],supplementary_offering_legacyid[[#This Row],[Json]])</f>
        <v>{"BAG20K":{"offeringid":"990000102","name":"TIGO BAG20K","mode":"I"}}</v>
      </c>
    </row>
    <row r="62" spans="1:7" x14ac:dyDescent="0.25">
      <c r="A62" s="60" t="s">
        <v>2317</v>
      </c>
      <c r="B62" t="str">
        <f>findKey(supplementary_offering_legacyid[[#This Row],[Produccion]])</f>
        <v>BAG30K</v>
      </c>
      <c r="C62" s="61" t="s">
        <v>2318</v>
      </c>
      <c r="D62" t="s">
        <v>2319</v>
      </c>
      <c r="E62" t="s">
        <v>2189</v>
      </c>
      <c r="F62" t="str">
        <f>ToJsonArray(supplementary_offering_legacyid[[#Headers],[offeringid]:[mode]],supplementary_offering_legacyid[[#This Row],[offeringid]:[mode]])</f>
        <v>{"offeringid":"990000103","name":"TIGO BAG30K","mode":"I"}</v>
      </c>
      <c r="G62" t="str">
        <f>ToJsonArray(supplementary_offering_legacyid[[#This Row],[Semilla04]],supplementary_offering_legacyid[[#This Row],[Json]])</f>
        <v>{"BAG30K":{"offeringid":"990000103","name":"TIGO BAG30K","mode":"I"}}</v>
      </c>
    </row>
    <row r="63" spans="1:7" x14ac:dyDescent="0.25">
      <c r="A63" s="60" t="s">
        <v>2320</v>
      </c>
      <c r="B63" t="str">
        <f>findKey(supplementary_offering_legacyid[[#This Row],[Produccion]])</f>
        <v>BAG50K</v>
      </c>
      <c r="C63" s="61" t="s">
        <v>2321</v>
      </c>
      <c r="D63" t="s">
        <v>2322</v>
      </c>
      <c r="E63" t="s">
        <v>2189</v>
      </c>
      <c r="F63" t="str">
        <f>ToJsonArray(supplementary_offering_legacyid[[#Headers],[offeringid]:[mode]],supplementary_offering_legacyid[[#This Row],[offeringid]:[mode]])</f>
        <v>{"offeringid":"990000104","name":"TIGO BAG50K","mode":"I"}</v>
      </c>
      <c r="G63" t="str">
        <f>ToJsonArray(supplementary_offering_legacyid[[#This Row],[Semilla04]],supplementary_offering_legacyid[[#This Row],[Json]])</f>
        <v>{"BAG50K":{"offeringid":"990000104","name":"TIGO BAG50K","mode":"I"}}</v>
      </c>
    </row>
    <row r="64" spans="1:7" x14ac:dyDescent="0.25">
      <c r="A64" s="60" t="s">
        <v>2323</v>
      </c>
      <c r="B64" t="str">
        <f>findKey(supplementary_offering_legacyid[[#This Row],[Produccion]])</f>
        <v>BAG100K</v>
      </c>
      <c r="C64" s="61" t="s">
        <v>2324</v>
      </c>
      <c r="D64" t="s">
        <v>2325</v>
      </c>
      <c r="E64" t="s">
        <v>2189</v>
      </c>
      <c r="F64" t="str">
        <f>ToJsonArray(supplementary_offering_legacyid[[#Headers],[offeringid]:[mode]],supplementary_offering_legacyid[[#This Row],[offeringid]:[mode]])</f>
        <v>{"offeringid":"990000105","name":"TIGO BAG100K","mode":"I"}</v>
      </c>
      <c r="G64" t="str">
        <f>ToJsonArray(supplementary_offering_legacyid[[#This Row],[Semilla04]],supplementary_offering_legacyid[[#This Row],[Json]])</f>
        <v>{"BAG100K":{"offeringid":"990000105","name":"TIGO BAG100K","mode":"I"}}</v>
      </c>
    </row>
    <row r="65" spans="1:7" x14ac:dyDescent="0.25">
      <c r="A65" s="60" t="s">
        <v>2326</v>
      </c>
      <c r="B65" t="str">
        <f>findKey(supplementary_offering_legacyid[[#This Row],[Produccion]])</f>
        <v>100001-01</v>
      </c>
      <c r="C65" s="61" t="s">
        <v>2327</v>
      </c>
      <c r="D65" t="s">
        <v>2328</v>
      </c>
      <c r="E65" t="s">
        <v>2329</v>
      </c>
      <c r="F65" t="str">
        <f>ToJsonArray(supplementary_offering_legacyid[[#Headers],[offeringid]:[mode]],supplementary_offering_legacyid[[#This Row],[offeringid]:[mode]])</f>
        <v>{"offeringid":"910000101","name":"Voz - OnNet - Bajo 1_910000101","mode":"N"}</v>
      </c>
      <c r="G65" t="str">
        <f>ToJsonArray(supplementary_offering_legacyid[[#This Row],[Semilla04]],supplementary_offering_legacyid[[#This Row],[Json]])</f>
        <v>{"100001-01":{"offeringid":"910000101","name":"Voz - OnNet - Bajo 1_910000101","mode":"N"}}</v>
      </c>
    </row>
    <row r="66" spans="1:7" x14ac:dyDescent="0.25">
      <c r="A66" s="60" t="s">
        <v>2330</v>
      </c>
      <c r="B66" t="str">
        <f>findKey(supplementary_offering_legacyid[[#This Row],[Produccion]])</f>
        <v>100001-26</v>
      </c>
      <c r="C66" s="61" t="s">
        <v>2331</v>
      </c>
      <c r="D66" t="s">
        <v>2332</v>
      </c>
      <c r="E66" t="s">
        <v>2329</v>
      </c>
      <c r="F66" t="str">
        <f>ToJsonArray(supplementary_offering_legacyid[[#Headers],[offeringid]:[mode]],supplementary_offering_legacyid[[#This Row],[offeringid]:[mode]])</f>
        <v>{"offeringid":"910000126","name":"Voz-OnNet-Ilimitado_910000126","mode":"N"}</v>
      </c>
      <c r="G66" t="str">
        <f>ToJsonArray(supplementary_offering_legacyid[[#This Row],[Semilla04]],supplementary_offering_legacyid[[#This Row],[Json]])</f>
        <v>{"100001-26":{"offeringid":"910000126","name":"Voz-OnNet-Ilimitado_910000126","mode":"N"}}</v>
      </c>
    </row>
    <row r="67" spans="1:7" x14ac:dyDescent="0.25">
      <c r="A67" s="60" t="s">
        <v>2333</v>
      </c>
      <c r="B67" t="str">
        <f>findKey(supplementary_offering_legacyid[[#This Row],[Produccion]])</f>
        <v>100001-28</v>
      </c>
      <c r="C67" s="61" t="s">
        <v>2334</v>
      </c>
      <c r="D67" t="s">
        <v>2335</v>
      </c>
      <c r="E67" t="s">
        <v>2329</v>
      </c>
      <c r="F67" t="str">
        <f>ToJsonArray(supplementary_offering_legacyid[[#Headers],[offeringid]:[mode]],supplementary_offering_legacyid[[#This Row],[offeringid]:[mode]])</f>
        <v>{"offeringid":"910000128","name":"Voz-OnNet-10800s_910000128","mode":"N"}</v>
      </c>
      <c r="G67" t="str">
        <f>ToJsonArray(supplementary_offering_legacyid[[#This Row],[Semilla04]],supplementary_offering_legacyid[[#This Row],[Json]])</f>
        <v>{"100001-28":{"offeringid":"910000128","name":"Voz-OnNet-10800s_910000128","mode":"N"}}</v>
      </c>
    </row>
    <row r="68" spans="1:7" x14ac:dyDescent="0.25">
      <c r="A68" s="60" t="s">
        <v>2336</v>
      </c>
      <c r="B68" t="str">
        <f>findKey(supplementary_offering_legacyid[[#This Row],[Produccion]])</f>
        <v>100001-29</v>
      </c>
      <c r="C68" s="61" t="s">
        <v>2337</v>
      </c>
      <c r="D68" t="s">
        <v>2338</v>
      </c>
      <c r="E68" t="s">
        <v>2329</v>
      </c>
      <c r="F68" t="str">
        <f>ToJsonArray(supplementary_offering_legacyid[[#Headers],[offeringid]:[mode]],supplementary_offering_legacyid[[#This Row],[offeringid]:[mode]])</f>
        <v>{"offeringid":"910000129","name":"Voz-OnNet-18000s_910000129","mode":"N"}</v>
      </c>
      <c r="G68" t="str">
        <f>ToJsonArray(supplementary_offering_legacyid[[#This Row],[Semilla04]],supplementary_offering_legacyid[[#This Row],[Json]])</f>
        <v>{"100001-29":{"offeringid":"910000129","name":"Voz-OnNet-18000s_910000129","mode":"N"}}</v>
      </c>
    </row>
    <row r="69" spans="1:7" x14ac:dyDescent="0.25">
      <c r="A69" s="60" t="s">
        <v>2339</v>
      </c>
      <c r="B69" t="str">
        <f>findKey(supplementary_offering_legacyid[[#This Row],[Produccion]])</f>
        <v>100001-37</v>
      </c>
      <c r="C69" s="61" t="s">
        <v>2340</v>
      </c>
      <c r="D69" t="s">
        <v>2341</v>
      </c>
      <c r="E69" t="s">
        <v>2329</v>
      </c>
      <c r="F69" t="str">
        <f>ToJsonArray(supplementary_offering_legacyid[[#Headers],[offeringid]:[mode]],supplementary_offering_legacyid[[#This Row],[offeringid]:[mode]])</f>
        <v>{"offeringid":"910000137","name":"Voz-OnNet-2678400s_910000137","mode":"N"}</v>
      </c>
      <c r="G69" t="str">
        <f>ToJsonArray(supplementary_offering_legacyid[[#This Row],[Semilla04]],supplementary_offering_legacyid[[#This Row],[Json]])</f>
        <v>{"100001-37":{"offeringid":"910000137","name":"Voz-OnNet-2678400s_910000137","mode":"N"}}</v>
      </c>
    </row>
    <row r="70" spans="1:7" x14ac:dyDescent="0.25">
      <c r="A70" s="60" t="s">
        <v>2342</v>
      </c>
      <c r="B70" t="str">
        <f>findKey(supplementary_offering_legacyid[[#This Row],[Produccion]])</f>
        <v>100001-38</v>
      </c>
      <c r="C70" s="61" t="s">
        <v>2343</v>
      </c>
      <c r="D70" t="s">
        <v>2344</v>
      </c>
      <c r="E70" t="s">
        <v>2329</v>
      </c>
      <c r="F70" t="str">
        <f>ToJsonArray(supplementary_offering_legacyid[[#Headers],[offeringid]:[mode]],supplementary_offering_legacyid[[#This Row],[offeringid]:[mode]])</f>
        <v>{"offeringid":"910000138","name":"Voz-OnNet-2678400s_910000138","mode":"N"}</v>
      </c>
      <c r="G70" t="str">
        <f>ToJsonArray(supplementary_offering_legacyid[[#This Row],[Semilla04]],supplementary_offering_legacyid[[#This Row],[Json]])</f>
        <v>{"100001-38":{"offeringid":"910000138","name":"Voz-OnNet-2678400s_910000138","mode":"N"}}</v>
      </c>
    </row>
    <row r="71" spans="1:7" x14ac:dyDescent="0.25">
      <c r="A71" s="60" t="s">
        <v>2345</v>
      </c>
      <c r="B71" t="str">
        <f>findKey(supplementary_offering_legacyid[[#This Row],[Produccion]])</f>
        <v>100001-39</v>
      </c>
      <c r="C71" s="61" t="s">
        <v>2346</v>
      </c>
      <c r="D71" t="s">
        <v>2347</v>
      </c>
      <c r="E71" t="s">
        <v>2329</v>
      </c>
      <c r="F71" t="str">
        <f>ToJsonArray(supplementary_offering_legacyid[[#Headers],[offeringid]:[mode]],supplementary_offering_legacyid[[#This Row],[offeringid]:[mode]])</f>
        <v>{"offeringid":"910000139","name":"Voz-OnNet-39000s_910000139","mode":"N"}</v>
      </c>
      <c r="G71" t="str">
        <f>ToJsonArray(supplementary_offering_legacyid[[#This Row],[Semilla04]],supplementary_offering_legacyid[[#This Row],[Json]])</f>
        <v>{"100001-39":{"offeringid":"910000139","name":"Voz-OnNet-39000s_910000139","mode":"N"}}</v>
      </c>
    </row>
    <row r="72" spans="1:7" x14ac:dyDescent="0.25">
      <c r="A72" s="60" t="s">
        <v>2348</v>
      </c>
      <c r="B72" t="str">
        <f>findKey(supplementary_offering_legacyid[[#This Row],[Produccion]])</f>
        <v>100001-42</v>
      </c>
      <c r="C72" s="61" t="s">
        <v>2349</v>
      </c>
      <c r="D72" t="s">
        <v>2350</v>
      </c>
      <c r="E72" t="s">
        <v>2329</v>
      </c>
      <c r="F72" t="str">
        <f>ToJsonArray(supplementary_offering_legacyid[[#Headers],[offeringid]:[mode]],supplementary_offering_legacyid[[#This Row],[offeringid]:[mode]])</f>
        <v>{"offeringid":"910000142","name":"Voz-OnNet-72000s_910000142","mode":"N"}</v>
      </c>
      <c r="G72" t="str">
        <f>ToJsonArray(supplementary_offering_legacyid[[#This Row],[Semilla04]],supplementary_offering_legacyid[[#This Row],[Json]])</f>
        <v>{"100001-42":{"offeringid":"910000142","name":"Voz-OnNet-72000s_910000142","mode":"N"}}</v>
      </c>
    </row>
    <row r="73" spans="1:7" x14ac:dyDescent="0.25">
      <c r="A73" s="60" t="s">
        <v>2351</v>
      </c>
      <c r="B73" t="str">
        <f>findKey(supplementary_offering_legacyid[[#This Row],[Produccion]])</f>
        <v>100001-45</v>
      </c>
      <c r="C73" s="61" t="s">
        <v>2352</v>
      </c>
      <c r="D73" t="s">
        <v>2353</v>
      </c>
      <c r="E73" t="s">
        <v>2329</v>
      </c>
      <c r="F73" t="str">
        <f>ToJsonArray(supplementary_offering_legacyid[[#Headers],[offeringid]:[mode]],supplementary_offering_legacyid[[#This Row],[offeringid]:[mode]])</f>
        <v>{"offeringid":"910000145","name":"Voz-OnNet-Ilimitado_910000145","mode":"N"}</v>
      </c>
      <c r="G73" t="str">
        <f>ToJsonArray(supplementary_offering_legacyid[[#This Row],[Semilla04]],supplementary_offering_legacyid[[#This Row],[Json]])</f>
        <v>{"100001-45":{"offeringid":"910000145","name":"Voz-OnNet-Ilimitado_910000145","mode":"N"}}</v>
      </c>
    </row>
    <row r="74" spans="1:7" x14ac:dyDescent="0.25">
      <c r="A74" s="60" t="s">
        <v>2354</v>
      </c>
      <c r="B74" t="str">
        <f>findKey(supplementary_offering_legacyid[[#This Row],[Produccion]])</f>
        <v>100001-46</v>
      </c>
      <c r="C74" s="61" t="s">
        <v>2355</v>
      </c>
      <c r="D74" t="s">
        <v>2356</v>
      </c>
      <c r="E74" t="s">
        <v>2329</v>
      </c>
      <c r="F74" t="str">
        <f>ToJsonArray(supplementary_offering_legacyid[[#Headers],[offeringid]:[mode]],supplementary_offering_legacyid[[#This Row],[offeringid]:[mode]])</f>
        <v>{"offeringid":"910000146","name":"Voz-OnNet-Ilimitado_910000146","mode":"N"}</v>
      </c>
      <c r="G74" t="str">
        <f>ToJsonArray(supplementary_offering_legacyid[[#This Row],[Semilla04]],supplementary_offering_legacyid[[#This Row],[Json]])</f>
        <v>{"100001-46":{"offeringid":"910000146","name":"Voz-OnNet-Ilimitado_910000146","mode":"N"}}</v>
      </c>
    </row>
    <row r="75" spans="1:7" x14ac:dyDescent="0.25">
      <c r="A75" s="60" t="s">
        <v>2357</v>
      </c>
      <c r="B75" t="str">
        <f>findKey(supplementary_offering_legacyid[[#This Row],[Produccion]])</f>
        <v>100001-47</v>
      </c>
      <c r="C75" s="61" t="s">
        <v>2358</v>
      </c>
      <c r="D75" t="s">
        <v>2359</v>
      </c>
      <c r="E75" t="s">
        <v>2329</v>
      </c>
      <c r="F75" t="str">
        <f>ToJsonArray(supplementary_offering_legacyid[[#Headers],[offeringid]:[mode]],supplementary_offering_legacyid[[#This Row],[offeringid]:[mode]])</f>
        <v>{"offeringid":"910000147","name":"Voz-OnNet-Ilimitado_910000147","mode":"N"}</v>
      </c>
      <c r="G75" t="str">
        <f>ToJsonArray(supplementary_offering_legacyid[[#This Row],[Semilla04]],supplementary_offering_legacyid[[#This Row],[Json]])</f>
        <v>{"100001-47":{"offeringid":"910000147","name":"Voz-OnNet-Ilimitado_910000147","mode":"N"}}</v>
      </c>
    </row>
    <row r="76" spans="1:7" x14ac:dyDescent="0.25">
      <c r="A76" s="60" t="s">
        <v>2360</v>
      </c>
      <c r="B76" t="str">
        <f>findKey(supplementary_offering_legacyid[[#This Row],[Produccion]])</f>
        <v>100001-48</v>
      </c>
      <c r="C76" s="61" t="s">
        <v>2361</v>
      </c>
      <c r="D76" t="s">
        <v>2362</v>
      </c>
      <c r="E76" t="s">
        <v>2329</v>
      </c>
      <c r="F76" t="str">
        <f>ToJsonArray(supplementary_offering_legacyid[[#Headers],[offeringid]:[mode]],supplementary_offering_legacyid[[#This Row],[offeringid]:[mode]])</f>
        <v>{"offeringid":"910000148","name":"Voz-OnNet-Ilimitado_910000148","mode":"N"}</v>
      </c>
      <c r="G76" t="str">
        <f>ToJsonArray(supplementary_offering_legacyid[[#This Row],[Semilla04]],supplementary_offering_legacyid[[#This Row],[Json]])</f>
        <v>{"100001-48":{"offeringid":"910000148","name":"Voz-OnNet-Ilimitado_910000148","mode":"N"}}</v>
      </c>
    </row>
    <row r="77" spans="1:7" x14ac:dyDescent="0.25">
      <c r="A77" s="60" t="s">
        <v>2363</v>
      </c>
      <c r="B77" t="str">
        <f>findKey(supplementary_offering_legacyid[[#This Row],[Produccion]])</f>
        <v>100001-49</v>
      </c>
      <c r="C77" s="61" t="s">
        <v>2364</v>
      </c>
      <c r="D77" t="s">
        <v>2365</v>
      </c>
      <c r="E77" t="s">
        <v>2329</v>
      </c>
      <c r="F77" t="str">
        <f>ToJsonArray(supplementary_offering_legacyid[[#Headers],[offeringid]:[mode]],supplementary_offering_legacyid[[#This Row],[offeringid]:[mode]])</f>
        <v>{"offeringid":"910000149","name":"Voz-OnNet-Ilimitado_910000149","mode":"N"}</v>
      </c>
      <c r="G77" t="str">
        <f>ToJsonArray(supplementary_offering_legacyid[[#This Row],[Semilla04]],supplementary_offering_legacyid[[#This Row],[Json]])</f>
        <v>{"100001-49":{"offeringid":"910000149","name":"Voz-OnNet-Ilimitado_910000149","mode":"N"}}</v>
      </c>
    </row>
    <row r="78" spans="1:7" x14ac:dyDescent="0.25">
      <c r="A78" s="60" t="s">
        <v>2366</v>
      </c>
      <c r="B78" t="str">
        <f>findKey(supplementary_offering_legacyid[[#This Row],[Produccion]])</f>
        <v>100001-50</v>
      </c>
      <c r="C78" s="61" t="s">
        <v>2367</v>
      </c>
      <c r="D78" t="s">
        <v>2368</v>
      </c>
      <c r="E78" t="s">
        <v>2329</v>
      </c>
      <c r="F78" t="str">
        <f>ToJsonArray(supplementary_offering_legacyid[[#Headers],[offeringid]:[mode]],supplementary_offering_legacyid[[#This Row],[offeringid]:[mode]])</f>
        <v>{"offeringid":"910000150","name":"Voz-OnNet-Ilimitado_910000150","mode":"N"}</v>
      </c>
      <c r="G78" t="str">
        <f>ToJsonArray(supplementary_offering_legacyid[[#This Row],[Semilla04]],supplementary_offering_legacyid[[#This Row],[Json]])</f>
        <v>{"100001-50":{"offeringid":"910000150","name":"Voz-OnNet-Ilimitado_910000150","mode":"N"}}</v>
      </c>
    </row>
    <row r="79" spans="1:7" x14ac:dyDescent="0.25">
      <c r="A79" s="60" t="s">
        <v>2369</v>
      </c>
      <c r="B79" t="str">
        <f>findKey(supplementary_offering_legacyid[[#This Row],[Produccion]])</f>
        <v>100002-01</v>
      </c>
      <c r="C79" s="61" t="s">
        <v>2370</v>
      </c>
      <c r="D79" t="s">
        <v>2371</v>
      </c>
      <c r="E79" t="s">
        <v>2329</v>
      </c>
      <c r="F79" t="str">
        <f>ToJsonArray(supplementary_offering_legacyid[[#Headers],[offeringid]:[mode]],supplementary_offering_legacyid[[#This Row],[offeringid]:[mode]])</f>
        <v>{"offeringid":"910000201","name":"Voz - Todo destino - Bajo 1_910000201","mode":"N"}</v>
      </c>
      <c r="G79" t="str">
        <f>ToJsonArray(supplementary_offering_legacyid[[#This Row],[Semilla04]],supplementary_offering_legacyid[[#This Row],[Json]])</f>
        <v>{"100002-01":{"offeringid":"910000201","name":"Voz - Todo destino - Bajo 1_910000201","mode":"N"}}</v>
      </c>
    </row>
    <row r="80" spans="1:7" x14ac:dyDescent="0.25">
      <c r="A80" s="60" t="s">
        <v>2372</v>
      </c>
      <c r="B80" t="str">
        <f>findKey(supplementary_offering_legacyid[[#This Row],[Produccion]])</f>
        <v>100002-03</v>
      </c>
      <c r="C80" s="61" t="s">
        <v>2373</v>
      </c>
      <c r="D80" t="s">
        <v>2374</v>
      </c>
      <c r="E80" t="s">
        <v>2329</v>
      </c>
      <c r="F80" t="str">
        <f>ToJsonArray(supplementary_offering_legacyid[[#Headers],[offeringid]:[mode]],supplementary_offering_legacyid[[#This Row],[offeringid]:[mode]])</f>
        <v>{"offeringid":"910000203","name":"Voz - Todo destino - Medio 1_910000203","mode":"N"}</v>
      </c>
      <c r="G80" t="str">
        <f>ToJsonArray(supplementary_offering_legacyid[[#This Row],[Semilla04]],supplementary_offering_legacyid[[#This Row],[Json]])</f>
        <v>{"100002-03":{"offeringid":"910000203","name":"Voz - Todo destino - Medio 1_910000203","mode":"N"}}</v>
      </c>
    </row>
    <row r="81" spans="1:7" x14ac:dyDescent="0.25">
      <c r="A81" s="60" t="s">
        <v>2375</v>
      </c>
      <c r="B81" t="str">
        <f>findKey(supplementary_offering_legacyid[[#This Row],[Produccion]])</f>
        <v>100002-37</v>
      </c>
      <c r="C81" s="61" t="s">
        <v>2376</v>
      </c>
      <c r="D81" t="s">
        <v>2377</v>
      </c>
      <c r="E81" t="s">
        <v>2329</v>
      </c>
      <c r="F81" t="str">
        <f>ToJsonArray(supplementary_offering_legacyid[[#Headers],[offeringid]:[mode]],supplementary_offering_legacyid[[#This Row],[offeringid]:[mode]])</f>
        <v>{"offeringid":"910000237","name":"Voz-TD-600m_c_910000237","mode":"N"}</v>
      </c>
      <c r="G81" t="str">
        <f>ToJsonArray(supplementary_offering_legacyid[[#This Row],[Semilla04]],supplementary_offering_legacyid[[#This Row],[Json]])</f>
        <v>{"100002-37":{"offeringid":"910000237","name":"Voz-TD-600m_c_910000237","mode":"N"}}</v>
      </c>
    </row>
    <row r="82" spans="1:7" x14ac:dyDescent="0.25">
      <c r="A82" s="60" t="s">
        <v>2378</v>
      </c>
      <c r="B82" t="str">
        <f>findKey(supplementary_offering_legacyid[[#This Row],[Produccion]])</f>
        <v>100002-49</v>
      </c>
      <c r="C82" s="61" t="s">
        <v>2379</v>
      </c>
      <c r="D82" t="s">
        <v>2380</v>
      </c>
      <c r="E82" t="s">
        <v>2329</v>
      </c>
      <c r="F82" t="str">
        <f>ToJsonArray(supplementary_offering_legacyid[[#Headers],[offeringid]:[mode]],supplementary_offering_legacyid[[#This Row],[offeringid]:[mode]])</f>
        <v>{"offeringid":"910000249","name":"Voz-TD-700m_910000249","mode":"N"}</v>
      </c>
      <c r="G82" t="str">
        <f>ToJsonArray(supplementary_offering_legacyid[[#This Row],[Semilla04]],supplementary_offering_legacyid[[#This Row],[Json]])</f>
        <v>{"100002-49":{"offeringid":"910000249","name":"Voz-TD-700m_910000249","mode":"N"}}</v>
      </c>
    </row>
    <row r="83" spans="1:7" x14ac:dyDescent="0.25">
      <c r="A83" s="60" t="s">
        <v>2381</v>
      </c>
      <c r="B83" t="str">
        <f>findKey(supplementary_offering_legacyid[[#This Row],[Produccion]])</f>
        <v>100002-55</v>
      </c>
      <c r="C83" s="61" t="s">
        <v>2382</v>
      </c>
      <c r="D83" t="s">
        <v>2383</v>
      </c>
      <c r="E83" t="s">
        <v>2329</v>
      </c>
      <c r="F83" t="str">
        <f>ToJsonArray(supplementary_offering_legacyid[[#Headers],[offeringid]:[mode]],supplementary_offering_legacyid[[#This Row],[offeringid]:[mode]])</f>
        <v>{"offeringid":"910000255","name":"Voz-TD-200m_910000255","mode":"N"}</v>
      </c>
      <c r="G83" t="str">
        <f>ToJsonArray(supplementary_offering_legacyid[[#This Row],[Semilla04]],supplementary_offering_legacyid[[#This Row],[Json]])</f>
        <v>{"100002-55":{"offeringid":"910000255","name":"Voz-TD-200m_910000255","mode":"N"}}</v>
      </c>
    </row>
    <row r="84" spans="1:7" x14ac:dyDescent="0.25">
      <c r="A84" s="60" t="s">
        <v>2384</v>
      </c>
      <c r="B84" t="str">
        <f>findKey(supplementary_offering_legacyid[[#This Row],[Produccion]])</f>
        <v>100002-56</v>
      </c>
      <c r="C84" s="61" t="s">
        <v>2385</v>
      </c>
      <c r="D84" t="s">
        <v>2386</v>
      </c>
      <c r="E84" t="s">
        <v>2329</v>
      </c>
      <c r="F84" t="str">
        <f>ToJsonArray(supplementary_offering_legacyid[[#Headers],[offeringid]:[mode]],supplementary_offering_legacyid[[#This Row],[offeringid]:[mode]])</f>
        <v>{"offeringid":"910000256","name":"Voz-TD-300m_910000256","mode":"N"}</v>
      </c>
      <c r="G84" t="str">
        <f>ToJsonArray(supplementary_offering_legacyid[[#This Row],[Semilla04]],supplementary_offering_legacyid[[#This Row],[Json]])</f>
        <v>{"100002-56":{"offeringid":"910000256","name":"Voz-TD-300m_910000256","mode":"N"}}</v>
      </c>
    </row>
    <row r="85" spans="1:7" x14ac:dyDescent="0.25">
      <c r="A85" s="60" t="s">
        <v>2387</v>
      </c>
      <c r="B85" t="str">
        <f>findKey(supplementary_offering_legacyid[[#This Row],[Produccion]])</f>
        <v>100002-67</v>
      </c>
      <c r="C85" s="61" t="s">
        <v>2388</v>
      </c>
      <c r="D85" t="s">
        <v>2389</v>
      </c>
      <c r="E85" t="s">
        <v>2329</v>
      </c>
      <c r="F85" t="str">
        <f>ToJsonArray(supplementary_offering_legacyid[[#Headers],[offeringid]:[mode]],supplementary_offering_legacyid[[#This Row],[offeringid]:[mode]])</f>
        <v>{"offeringid":"910000267","name":"Voz-TD-12000s_910000267","mode":"N"}</v>
      </c>
      <c r="G85" t="str">
        <f>ToJsonArray(supplementary_offering_legacyid[[#This Row],[Semilla04]],supplementary_offering_legacyid[[#This Row],[Json]])</f>
        <v>{"100002-67":{"offeringid":"910000267","name":"Voz-TD-12000s_910000267","mode":"N"}}</v>
      </c>
    </row>
    <row r="86" spans="1:7" x14ac:dyDescent="0.25">
      <c r="A86" s="60" t="s">
        <v>2390</v>
      </c>
      <c r="B86" t="str">
        <f>findKey(supplementary_offering_legacyid[[#This Row],[Produccion]])</f>
        <v>100002-80</v>
      </c>
      <c r="C86" s="61" t="s">
        <v>2391</v>
      </c>
      <c r="D86" t="s">
        <v>2392</v>
      </c>
      <c r="E86" t="s">
        <v>2329</v>
      </c>
      <c r="F86" t="str">
        <f>ToJsonArray(supplementary_offering_legacyid[[#Headers],[offeringid]:[mode]],supplementary_offering_legacyid[[#This Row],[offeringid]:[mode]])</f>
        <v>{"offeringid":"910000280","name":"Voz-TD-Ilimitado_910000280","mode":"N"}</v>
      </c>
      <c r="G86" t="str">
        <f>ToJsonArray(supplementary_offering_legacyid[[#This Row],[Semilla04]],supplementary_offering_legacyid[[#This Row],[Json]])</f>
        <v>{"100002-80":{"offeringid":"910000280","name":"Voz-TD-Ilimitado_910000280","mode":"N"}}</v>
      </c>
    </row>
    <row r="87" spans="1:7" x14ac:dyDescent="0.25">
      <c r="A87" s="60" t="s">
        <v>2393</v>
      </c>
      <c r="B87" t="str">
        <f>findKey(supplementary_offering_legacyid[[#This Row],[Produccion]])</f>
        <v>100002-86</v>
      </c>
      <c r="C87" s="61" t="s">
        <v>2394</v>
      </c>
      <c r="D87" t="s">
        <v>2395</v>
      </c>
      <c r="E87" t="s">
        <v>2329</v>
      </c>
      <c r="F87" t="str">
        <f>ToJsonArray(supplementary_offering_legacyid[[#Headers],[offeringid]:[mode]],supplementary_offering_legacyid[[#This Row],[offeringid]:[mode]])</f>
        <v>{"offeringid":"910000286","name":"Voz-TD-24000s_910000286","mode":"N"}</v>
      </c>
      <c r="G87" t="str">
        <f>ToJsonArray(supplementary_offering_legacyid[[#This Row],[Semilla04]],supplementary_offering_legacyid[[#This Row],[Json]])</f>
        <v>{"100002-86":{"offeringid":"910000286","name":"Voz-TD-24000s_910000286","mode":"N"}}</v>
      </c>
    </row>
    <row r="88" spans="1:7" x14ac:dyDescent="0.25">
      <c r="A88" s="60" t="s">
        <v>2396</v>
      </c>
      <c r="B88" t="str">
        <f>findKey(supplementary_offering_legacyid[[#This Row],[Produccion]])</f>
        <v>100002-87</v>
      </c>
      <c r="C88" s="61" t="s">
        <v>2397</v>
      </c>
      <c r="D88" t="s">
        <v>2398</v>
      </c>
      <c r="E88" t="s">
        <v>2329</v>
      </c>
      <c r="F88" t="str">
        <f>ToJsonArray(supplementary_offering_legacyid[[#Headers],[offeringid]:[mode]],supplementary_offering_legacyid[[#This Row],[offeringid]:[mode]])</f>
        <v>{"offeringid":"910000287","name":"Voz-TD-54000s_910000287","mode":"N"}</v>
      </c>
      <c r="G88" t="str">
        <f>ToJsonArray(supplementary_offering_legacyid[[#This Row],[Semilla04]],supplementary_offering_legacyid[[#This Row],[Json]])</f>
        <v>{"100002-87":{"offeringid":"910000287","name":"Voz-TD-54000s_910000287","mode":"N"}}</v>
      </c>
    </row>
    <row r="89" spans="1:7" x14ac:dyDescent="0.25">
      <c r="A89" s="60" t="s">
        <v>2399</v>
      </c>
      <c r="B89" t="str">
        <f>findKey(supplementary_offering_legacyid[[#This Row],[Produccion]])</f>
        <v>100002-88</v>
      </c>
      <c r="C89" s="61" t="s">
        <v>2400</v>
      </c>
      <c r="D89" t="s">
        <v>2401</v>
      </c>
      <c r="E89" t="s">
        <v>2329</v>
      </c>
      <c r="F89" t="str">
        <f>ToJsonArray(supplementary_offering_legacyid[[#Headers],[offeringid]:[mode]],supplementary_offering_legacyid[[#This Row],[offeringid]:[mode]])</f>
        <v>{"offeringid":"910000288","name":"Voz-TD-2678400s_910000288","mode":"N"}</v>
      </c>
      <c r="G89" t="str">
        <f>ToJsonArray(supplementary_offering_legacyid[[#This Row],[Semilla04]],supplementary_offering_legacyid[[#This Row],[Json]])</f>
        <v>{"100002-88":{"offeringid":"910000288","name":"Voz-TD-2678400s_910000288","mode":"N"}}</v>
      </c>
    </row>
    <row r="90" spans="1:7" x14ac:dyDescent="0.25">
      <c r="A90" s="60" t="s">
        <v>2402</v>
      </c>
      <c r="B90" t="str">
        <f>findKey(supplementary_offering_legacyid[[#This Row],[Produccion]])</f>
        <v>100002-89</v>
      </c>
      <c r="C90" s="61" t="s">
        <v>2403</v>
      </c>
      <c r="D90" t="s">
        <v>2404</v>
      </c>
      <c r="E90" t="s">
        <v>2329</v>
      </c>
      <c r="F90" t="str">
        <f>ToJsonArray(supplementary_offering_legacyid[[#Headers],[offeringid]:[mode]],supplementary_offering_legacyid[[#This Row],[offeringid]:[mode]])</f>
        <v>{"offeringid":"910000289","name":"Voz-TD-2678400s_910000289","mode":"N"}</v>
      </c>
      <c r="G90" t="str">
        <f>ToJsonArray(supplementary_offering_legacyid[[#This Row],[Semilla04]],supplementary_offering_legacyid[[#This Row],[Json]])</f>
        <v>{"100002-89":{"offeringid":"910000289","name":"Voz-TD-2678400s_910000289","mode":"N"}}</v>
      </c>
    </row>
    <row r="91" spans="1:7" x14ac:dyDescent="0.25">
      <c r="A91" s="60" t="s">
        <v>2405</v>
      </c>
      <c r="B91" t="str">
        <f>findKey(supplementary_offering_legacyid[[#This Row],[Produccion]])</f>
        <v>100002-90</v>
      </c>
      <c r="C91" s="61" t="s">
        <v>2406</v>
      </c>
      <c r="D91" t="s">
        <v>2407</v>
      </c>
      <c r="E91" t="s">
        <v>2329</v>
      </c>
      <c r="F91" t="str">
        <f>ToJsonArray(supplementary_offering_legacyid[[#Headers],[offeringid]:[mode]],supplementary_offering_legacyid[[#This Row],[offeringid]:[mode]])</f>
        <v>{"offeringid":"910000290","name":"Voz-TD-2678400s_910000290","mode":"N"}</v>
      </c>
      <c r="G91" t="str">
        <f>ToJsonArray(supplementary_offering_legacyid[[#This Row],[Semilla04]],supplementary_offering_legacyid[[#This Row],[Json]])</f>
        <v>{"100002-90":{"offeringid":"910000290","name":"Voz-TD-2678400s_910000290","mode":"N"}}</v>
      </c>
    </row>
    <row r="92" spans="1:7" x14ac:dyDescent="0.25">
      <c r="A92" s="60" t="s">
        <v>2408</v>
      </c>
      <c r="B92" t="str">
        <f>findKey(supplementary_offering_legacyid[[#This Row],[Produccion]])</f>
        <v>100002-91</v>
      </c>
      <c r="C92" s="61" t="s">
        <v>2409</v>
      </c>
      <c r="D92" t="s">
        <v>2410</v>
      </c>
      <c r="E92" t="s">
        <v>2329</v>
      </c>
      <c r="F92" t="str">
        <f>ToJsonArray(supplementary_offering_legacyid[[#Headers],[offeringid]:[mode]],supplementary_offering_legacyid[[#This Row],[offeringid]:[mode]])</f>
        <v>{"offeringid":"910000291","name":"Voz-TD-27000s_910000291","mode":"N"}</v>
      </c>
      <c r="G92" t="str">
        <f>ToJsonArray(supplementary_offering_legacyid[[#This Row],[Semilla04]],supplementary_offering_legacyid[[#This Row],[Json]])</f>
        <v>{"100002-91":{"offeringid":"910000291","name":"Voz-TD-27000s_910000291","mode":"N"}}</v>
      </c>
    </row>
    <row r="93" spans="1:7" x14ac:dyDescent="0.25">
      <c r="A93" s="60" t="s">
        <v>2411</v>
      </c>
      <c r="B93" t="str">
        <f>findKey(supplementary_offering_legacyid[[#This Row],[Produccion]])</f>
        <v>100002-92</v>
      </c>
      <c r="C93" s="61" t="s">
        <v>2412</v>
      </c>
      <c r="D93" t="s">
        <v>2413</v>
      </c>
      <c r="E93" t="s">
        <v>2329</v>
      </c>
      <c r="F93" t="str">
        <f>ToJsonArray(supplementary_offering_legacyid[[#Headers],[offeringid]:[mode]],supplementary_offering_legacyid[[#This Row],[offeringid]:[mode]])</f>
        <v>{"offeringid":"910000292","name":"Voz-TD-36000s_910000292","mode":"N"}</v>
      </c>
      <c r="G93" t="str">
        <f>ToJsonArray(supplementary_offering_legacyid[[#This Row],[Semilla04]],supplementary_offering_legacyid[[#This Row],[Json]])</f>
        <v>{"100002-92":{"offeringid":"910000292","name":"Voz-TD-36000s_910000292","mode":"N"}}</v>
      </c>
    </row>
    <row r="94" spans="1:7" x14ac:dyDescent="0.25">
      <c r="A94" s="60" t="s">
        <v>2414</v>
      </c>
      <c r="B94" t="str">
        <f>findKey(supplementary_offering_legacyid[[#This Row],[Produccion]])</f>
        <v>100002-93</v>
      </c>
      <c r="C94" s="61" t="s">
        <v>2415</v>
      </c>
      <c r="D94" t="s">
        <v>2416</v>
      </c>
      <c r="E94" t="s">
        <v>2329</v>
      </c>
      <c r="F94" t="str">
        <f>ToJsonArray(supplementary_offering_legacyid[[#Headers],[offeringid]:[mode]],supplementary_offering_legacyid[[#This Row],[offeringid]:[mode]])</f>
        <v>{"offeringid":"910000293","name":"Voz-TD-60000s_910000293","mode":"N"}</v>
      </c>
      <c r="G94" t="str">
        <f>ToJsonArray(supplementary_offering_legacyid[[#This Row],[Semilla04]],supplementary_offering_legacyid[[#This Row],[Json]])</f>
        <v>{"100002-93":{"offeringid":"910000293","name":"Voz-TD-60000s_910000293","mode":"N"}}</v>
      </c>
    </row>
    <row r="95" spans="1:7" x14ac:dyDescent="0.25">
      <c r="A95" s="60" t="s">
        <v>2417</v>
      </c>
      <c r="B95" t="str">
        <f>findKey(supplementary_offering_legacyid[[#This Row],[Produccion]])</f>
        <v>100002-94</v>
      </c>
      <c r="C95" s="61" t="s">
        <v>2418</v>
      </c>
      <c r="D95" t="s">
        <v>2419</v>
      </c>
      <c r="E95" t="s">
        <v>2329</v>
      </c>
      <c r="F95" t="str">
        <f>ToJsonArray(supplementary_offering_legacyid[[#Headers],[offeringid]:[mode]],supplementary_offering_legacyid[[#This Row],[offeringid]:[mode]])</f>
        <v>{"offeringid":"910000294","name":"Voz-TD-78000s_910000294","mode":"N"}</v>
      </c>
      <c r="G95" t="str">
        <f>ToJsonArray(supplementary_offering_legacyid[[#This Row],[Semilla04]],supplementary_offering_legacyid[[#This Row],[Json]])</f>
        <v>{"100002-94":{"offeringid":"910000294","name":"Voz-TD-78000s_910000294","mode":"N"}}</v>
      </c>
    </row>
    <row r="96" spans="1:7" x14ac:dyDescent="0.25">
      <c r="A96" s="60" t="s">
        <v>2420</v>
      </c>
      <c r="B96" t="str">
        <f>findKey(supplementary_offering_legacyid[[#This Row],[Produccion]])</f>
        <v>100002-95</v>
      </c>
      <c r="C96" s="61" t="s">
        <v>2421</v>
      </c>
      <c r="D96" t="s">
        <v>2422</v>
      </c>
      <c r="E96" t="s">
        <v>2329</v>
      </c>
      <c r="F96" t="str">
        <f>ToJsonArray(supplementary_offering_legacyid[[#Headers],[offeringid]:[mode]],supplementary_offering_legacyid[[#This Row],[offeringid]:[mode]])</f>
        <v>{"offeringid":"910000295","name":"Voz-TD-98000s_910000295","mode":"N"}</v>
      </c>
      <c r="G96" t="str">
        <f>ToJsonArray(supplementary_offering_legacyid[[#This Row],[Semilla04]],supplementary_offering_legacyid[[#This Row],[Json]])</f>
        <v>{"100002-95":{"offeringid":"910000295","name":"Voz-TD-98000s_910000295","mode":"N"}}</v>
      </c>
    </row>
    <row r="97" spans="1:7" x14ac:dyDescent="0.25">
      <c r="A97" s="60" t="s">
        <v>2423</v>
      </c>
      <c r="B97" t="str">
        <f>findKey(supplementary_offering_legacyid[[#This Row],[Produccion]])</f>
        <v>100002-96</v>
      </c>
      <c r="C97" s="61" t="s">
        <v>2424</v>
      </c>
      <c r="D97" t="s">
        <v>2425</v>
      </c>
      <c r="E97" t="s">
        <v>2329</v>
      </c>
      <c r="F97" t="str">
        <f>ToJsonArray(supplementary_offering_legacyid[[#Headers],[offeringid]:[mode]],supplementary_offering_legacyid[[#This Row],[offeringid]:[mode]])</f>
        <v>{"offeringid":"910000296","name":"Voz-TD-114000s_910000296","mode":"N"}</v>
      </c>
      <c r="G97" t="str">
        <f>ToJsonArray(supplementary_offering_legacyid[[#This Row],[Semilla04]],supplementary_offering_legacyid[[#This Row],[Json]])</f>
        <v>{"100002-96":{"offeringid":"910000296","name":"Voz-TD-114000s_910000296","mode":"N"}}</v>
      </c>
    </row>
    <row r="98" spans="1:7" x14ac:dyDescent="0.25">
      <c r="A98" s="60" t="s">
        <v>2426</v>
      </c>
      <c r="B98" t="str">
        <f>findKey(supplementary_offering_legacyid[[#This Row],[Produccion]])</f>
        <v>100002-97</v>
      </c>
      <c r="C98" s="61" t="s">
        <v>2427</v>
      </c>
      <c r="D98" t="s">
        <v>2428</v>
      </c>
      <c r="E98" t="s">
        <v>2329</v>
      </c>
      <c r="F98" t="str">
        <f>ToJsonArray(supplementary_offering_legacyid[[#Headers],[offeringid]:[mode]],supplementary_offering_legacyid[[#This Row],[offeringid]:[mode]])</f>
        <v>{"offeringid":"910000297","name":"Voz-TD-132000s_910000297","mode":"N"}</v>
      </c>
      <c r="G98" t="str">
        <f>ToJsonArray(supplementary_offering_legacyid[[#This Row],[Semilla04]],supplementary_offering_legacyid[[#This Row],[Json]])</f>
        <v>{"100002-97":{"offeringid":"910000297","name":"Voz-TD-132000s_910000297","mode":"N"}}</v>
      </c>
    </row>
    <row r="99" spans="1:7" x14ac:dyDescent="0.25">
      <c r="A99" s="60" t="s">
        <v>2429</v>
      </c>
      <c r="B99" t="str">
        <f>findKey(supplementary_offering_legacyid[[#This Row],[Produccion]])</f>
        <v>100002-98</v>
      </c>
      <c r="C99" s="61" t="s">
        <v>2430</v>
      </c>
      <c r="D99" t="s">
        <v>2431</v>
      </c>
      <c r="E99" t="s">
        <v>2329</v>
      </c>
      <c r="F99" t="str">
        <f>ToJsonArray(supplementary_offering_legacyid[[#Headers],[offeringid]:[mode]],supplementary_offering_legacyid[[#This Row],[offeringid]:[mode]])</f>
        <v>{"offeringid":"910000298","name":"Voz-TD-150000s_910000298","mode":"N"}</v>
      </c>
      <c r="G99" t="str">
        <f>ToJsonArray(supplementary_offering_legacyid[[#This Row],[Semilla04]],supplementary_offering_legacyid[[#This Row],[Json]])</f>
        <v>{"100002-98":{"offeringid":"910000298","name":"Voz-TD-150000s_910000298","mode":"N"}}</v>
      </c>
    </row>
    <row r="100" spans="1:7" x14ac:dyDescent="0.25">
      <c r="A100" s="60" t="s">
        <v>2432</v>
      </c>
      <c r="B100" t="str">
        <f>findKey(supplementary_offering_legacyid[[#This Row],[Produccion]])</f>
        <v>100002-99</v>
      </c>
      <c r="C100" s="61" t="s">
        <v>2433</v>
      </c>
      <c r="D100" t="s">
        <v>2434</v>
      </c>
      <c r="E100" t="s">
        <v>2329</v>
      </c>
      <c r="F100" t="str">
        <f>ToJsonArray(supplementary_offering_legacyid[[#Headers],[offeringid]:[mode]],supplementary_offering_legacyid[[#This Row],[offeringid]:[mode]])</f>
        <v>{"offeringid":"910000299","name":"Voz-TD-2678400s_910000299","mode":"N"}</v>
      </c>
      <c r="G100" t="str">
        <f>ToJsonArray(supplementary_offering_legacyid[[#This Row],[Semilla04]],supplementary_offering_legacyid[[#This Row],[Json]])</f>
        <v>{"100002-99":{"offeringid":"910000299","name":"Voz-TD-2678400s_910000299","mode":"N"}}</v>
      </c>
    </row>
    <row r="101" spans="1:7" x14ac:dyDescent="0.25">
      <c r="A101" s="60" t="s">
        <v>2435</v>
      </c>
      <c r="B101" t="str">
        <f>findKey(supplementary_offering_legacyid[[#This Row],[Produccion]])</f>
        <v>100012-01</v>
      </c>
      <c r="C101" s="61" t="s">
        <v>2436</v>
      </c>
      <c r="D101" t="s">
        <v>2437</v>
      </c>
      <c r="E101" t="s">
        <v>2329</v>
      </c>
      <c r="F101" t="str">
        <f>ToJsonArray(supplementary_offering_legacyid[[#Headers],[offeringid]:[mode]],supplementary_offering_legacyid[[#This Row],[offeringid]:[mode]])</f>
        <v>{"offeringid":"910001201","name":"Voz-TD-168000s_910001201","mode":"N"}</v>
      </c>
      <c r="G101" t="str">
        <f>ToJsonArray(supplementary_offering_legacyid[[#This Row],[Semilla04]],supplementary_offering_legacyid[[#This Row],[Json]])</f>
        <v>{"100012-01":{"offeringid":"910001201","name":"Voz-TD-168000s_910001201","mode":"N"}}</v>
      </c>
    </row>
    <row r="102" spans="1:7" x14ac:dyDescent="0.25">
      <c r="A102" s="60" t="s">
        <v>2438</v>
      </c>
      <c r="B102" t="str">
        <f>findKey(supplementary_offering_legacyid[[#This Row],[Produccion]])</f>
        <v>100012-02</v>
      </c>
      <c r="C102" s="61" t="s">
        <v>2439</v>
      </c>
      <c r="D102" t="s">
        <v>2440</v>
      </c>
      <c r="E102" t="s">
        <v>2329</v>
      </c>
      <c r="F102" t="str">
        <f>ToJsonArray(supplementary_offering_legacyid[[#Headers],[offeringid]:[mode]],supplementary_offering_legacyid[[#This Row],[offeringid]:[mode]])</f>
        <v>{"offeringid":"910001202","name":"Voz-TD-186000s_910001202","mode":"N"}</v>
      </c>
      <c r="G102" t="str">
        <f>ToJsonArray(supplementary_offering_legacyid[[#This Row],[Semilla04]],supplementary_offering_legacyid[[#This Row],[Json]])</f>
        <v>{"100012-02":{"offeringid":"910001202","name":"Voz-TD-186000s_910001202","mode":"N"}}</v>
      </c>
    </row>
    <row r="103" spans="1:7" x14ac:dyDescent="0.25">
      <c r="A103" s="60" t="s">
        <v>2441</v>
      </c>
      <c r="B103" t="str">
        <f>findKey(supplementary_offering_legacyid[[#This Row],[Produccion]])</f>
        <v>100012-07</v>
      </c>
      <c r="C103" s="61" t="s">
        <v>2442</v>
      </c>
      <c r="D103" t="s">
        <v>2443</v>
      </c>
      <c r="E103" t="s">
        <v>2329</v>
      </c>
      <c r="F103" t="str">
        <f>ToJsonArray(supplementary_offering_legacyid[[#Headers],[offeringid]:[mode]],supplementary_offering_legacyid[[#This Row],[offeringid]:[mode]])</f>
        <v>{"offeringid":"910001207","name":"Voz-TD-2678400s_910001207","mode":"N"}</v>
      </c>
      <c r="G103" t="str">
        <f>ToJsonArray(supplementary_offering_legacyid[[#This Row],[Semilla04]],supplementary_offering_legacyid[[#This Row],[Json]])</f>
        <v>{"100012-07":{"offeringid":"910001207","name":"Voz-TD-2678400s_910001207","mode":"N"}}</v>
      </c>
    </row>
    <row r="104" spans="1:7" x14ac:dyDescent="0.25">
      <c r="A104" s="60" t="s">
        <v>2444</v>
      </c>
      <c r="B104" t="str">
        <f>findKey(supplementary_offering_legacyid[[#This Row],[Produccion]])</f>
        <v>100012-08</v>
      </c>
      <c r="C104" s="61" t="s">
        <v>2445</v>
      </c>
      <c r="D104" t="s">
        <v>2446</v>
      </c>
      <c r="E104" t="s">
        <v>2329</v>
      </c>
      <c r="F104" t="str">
        <f>ToJsonArray(supplementary_offering_legacyid[[#Headers],[offeringid]:[mode]],supplementary_offering_legacyid[[#This Row],[offeringid]:[mode]])</f>
        <v>{"offeringid":"910001208","name":"Voz-TD-Ilimitado_910001208","mode":"N"}</v>
      </c>
      <c r="G104" t="str">
        <f>ToJsonArray(supplementary_offering_legacyid[[#This Row],[Semilla04]],supplementary_offering_legacyid[[#This Row],[Json]])</f>
        <v>{"100012-08":{"offeringid":"910001208","name":"Voz-TD-Ilimitado_910001208","mode":"N"}}</v>
      </c>
    </row>
    <row r="105" spans="1:7" x14ac:dyDescent="0.25">
      <c r="A105" s="60" t="s">
        <v>2447</v>
      </c>
      <c r="B105" t="str">
        <f>findKey(supplementary_offering_legacyid[[#This Row],[Produccion]])</f>
        <v>100012-10</v>
      </c>
      <c r="C105" s="61" t="s">
        <v>2448</v>
      </c>
      <c r="D105" t="s">
        <v>2449</v>
      </c>
      <c r="E105" t="s">
        <v>2329</v>
      </c>
      <c r="F105" t="str">
        <f>ToJsonArray(supplementary_offering_legacyid[[#Headers],[offeringid]:[mode]],supplementary_offering_legacyid[[#This Row],[offeringid]:[mode]])</f>
        <v>{"offeringid":"910001210","name":"Voz-TD-15000s_910001210","mode":"N"}</v>
      </c>
      <c r="G105" t="str">
        <f>ToJsonArray(supplementary_offering_legacyid[[#This Row],[Semilla04]],supplementary_offering_legacyid[[#This Row],[Json]])</f>
        <v>{"100012-10":{"offeringid":"910001210","name":"Voz-TD-15000s_910001210","mode":"N"}}</v>
      </c>
    </row>
    <row r="106" spans="1:7" x14ac:dyDescent="0.25">
      <c r="A106" s="60" t="s">
        <v>2450</v>
      </c>
      <c r="B106" t="str">
        <f>findKey(supplementary_offering_legacyid[[#This Row],[Produccion]])</f>
        <v>100012-11</v>
      </c>
      <c r="C106" s="61" t="s">
        <v>2451</v>
      </c>
      <c r="D106" t="s">
        <v>2452</v>
      </c>
      <c r="E106" t="s">
        <v>2329</v>
      </c>
      <c r="F106" t="str">
        <f>ToJsonArray(supplementary_offering_legacyid[[#Headers],[offeringid]:[mode]],supplementary_offering_legacyid[[#This Row],[offeringid]:[mode]])</f>
        <v>{"offeringid":"910001211","name":"Voz-TD-24000s_910001211","mode":"N"}</v>
      </c>
      <c r="G106" t="str">
        <f>ToJsonArray(supplementary_offering_legacyid[[#This Row],[Semilla04]],supplementary_offering_legacyid[[#This Row],[Json]])</f>
        <v>{"100012-11":{"offeringid":"910001211","name":"Voz-TD-24000s_910001211","mode":"N"}}</v>
      </c>
    </row>
    <row r="107" spans="1:7" x14ac:dyDescent="0.25">
      <c r="A107" s="60" t="s">
        <v>2453</v>
      </c>
      <c r="B107" t="str">
        <f>findKey(supplementary_offering_legacyid[[#This Row],[Produccion]])</f>
        <v>100012-12</v>
      </c>
      <c r="C107" s="61" t="s">
        <v>2454</v>
      </c>
      <c r="D107" t="s">
        <v>2455</v>
      </c>
      <c r="E107" t="s">
        <v>2329</v>
      </c>
      <c r="F107" t="str">
        <f>ToJsonArray(supplementary_offering_legacyid[[#Headers],[offeringid]:[mode]],supplementary_offering_legacyid[[#This Row],[offeringid]:[mode]])</f>
        <v>{"offeringid":"910001212","name":"Voz-TD-36000s_910001212","mode":"N"}</v>
      </c>
      <c r="G107" t="str">
        <f>ToJsonArray(supplementary_offering_legacyid[[#This Row],[Semilla04]],supplementary_offering_legacyid[[#This Row],[Json]])</f>
        <v>{"100012-12":{"offeringid":"910001212","name":"Voz-TD-36000s_910001212","mode":"N"}}</v>
      </c>
    </row>
    <row r="108" spans="1:7" x14ac:dyDescent="0.25">
      <c r="A108" s="60" t="s">
        <v>2456</v>
      </c>
      <c r="B108" t="str">
        <f>findKey(supplementary_offering_legacyid[[#This Row],[Produccion]])</f>
        <v>100012-13</v>
      </c>
      <c r="C108" s="61" t="s">
        <v>2457</v>
      </c>
      <c r="D108" t="s">
        <v>2458</v>
      </c>
      <c r="E108" t="s">
        <v>2329</v>
      </c>
      <c r="F108" t="str">
        <f>ToJsonArray(supplementary_offering_legacyid[[#Headers],[offeringid]:[mode]],supplementary_offering_legacyid[[#This Row],[offeringid]:[mode]])</f>
        <v>{"offeringid":"910001213","name":"Voz-TD-54000s_910001213","mode":"N"}</v>
      </c>
      <c r="G108" t="str">
        <f>ToJsonArray(supplementary_offering_legacyid[[#This Row],[Semilla04]],supplementary_offering_legacyid[[#This Row],[Json]])</f>
        <v>{"100012-13":{"offeringid":"910001213","name":"Voz-TD-54000s_910001213","mode":"N"}}</v>
      </c>
    </row>
    <row r="109" spans="1:7" x14ac:dyDescent="0.25">
      <c r="A109" s="60" t="s">
        <v>2459</v>
      </c>
      <c r="B109" t="str">
        <f>findKey(supplementary_offering_legacyid[[#This Row],[Produccion]])</f>
        <v>100012-14</v>
      </c>
      <c r="C109" s="61" t="s">
        <v>2460</v>
      </c>
      <c r="D109" t="s">
        <v>2461</v>
      </c>
      <c r="E109" t="s">
        <v>2329</v>
      </c>
      <c r="F109" t="str">
        <f>ToJsonArray(supplementary_offering_legacyid[[#Headers],[offeringid]:[mode]],supplementary_offering_legacyid[[#This Row],[offeringid]:[mode]])</f>
        <v>{"offeringid":"910001214","name":"Voz-TD-84000s_910001214","mode":"N"}</v>
      </c>
      <c r="G109" t="str">
        <f>ToJsonArray(supplementary_offering_legacyid[[#This Row],[Semilla04]],supplementary_offering_legacyid[[#This Row],[Json]])</f>
        <v>{"100012-14":{"offeringid":"910001214","name":"Voz-TD-84000s_910001214","mode":"N"}}</v>
      </c>
    </row>
    <row r="110" spans="1:7" x14ac:dyDescent="0.25">
      <c r="A110" s="60" t="s">
        <v>2462</v>
      </c>
      <c r="B110" t="str">
        <f>findKey(supplementary_offering_legacyid[[#This Row],[Produccion]])</f>
        <v>100012-15</v>
      </c>
      <c r="C110" s="61" t="s">
        <v>2463</v>
      </c>
      <c r="D110" t="s">
        <v>2464</v>
      </c>
      <c r="E110" t="s">
        <v>2329</v>
      </c>
      <c r="F110" t="str">
        <f>ToJsonArray(supplementary_offering_legacyid[[#Headers],[offeringid]:[mode]],supplementary_offering_legacyid[[#This Row],[offeringid]:[mode]])</f>
        <v>{"offeringid":"910001215","name":"Voz-TD-2678400s_910001215","mode":"N"}</v>
      </c>
      <c r="G110" t="str">
        <f>ToJsonArray(supplementary_offering_legacyid[[#This Row],[Semilla04]],supplementary_offering_legacyid[[#This Row],[Json]])</f>
        <v>{"100012-15":{"offeringid":"910001215","name":"Voz-TD-2678400s_910001215","mode":"N"}}</v>
      </c>
    </row>
    <row r="111" spans="1:7" x14ac:dyDescent="0.25">
      <c r="A111" s="60" t="s">
        <v>2465</v>
      </c>
      <c r="B111" t="str">
        <f>findKey(supplementary_offering_legacyid[[#This Row],[Produccion]])</f>
        <v>100012-16</v>
      </c>
      <c r="C111" s="61" t="s">
        <v>2466</v>
      </c>
      <c r="D111" t="s">
        <v>2467</v>
      </c>
      <c r="E111" t="s">
        <v>2329</v>
      </c>
      <c r="F111" t="str">
        <f>ToJsonArray(supplementary_offering_legacyid[[#Headers],[offeringid]:[mode]],supplementary_offering_legacyid[[#This Row],[offeringid]:[mode]])</f>
        <v>{"offeringid":"910001216","name":"Voz-TD-21000s_910001216","mode":"N"}</v>
      </c>
      <c r="G111" t="str">
        <f>ToJsonArray(supplementary_offering_legacyid[[#This Row],[Semilla04]],supplementary_offering_legacyid[[#This Row],[Json]])</f>
        <v>{"100012-16":{"offeringid":"910001216","name":"Voz-TD-21000s_910001216","mode":"N"}}</v>
      </c>
    </row>
    <row r="112" spans="1:7" x14ac:dyDescent="0.25">
      <c r="A112" s="60" t="s">
        <v>2468</v>
      </c>
      <c r="B112" t="str">
        <f>findKey(supplementary_offering_legacyid[[#This Row],[Produccion]])</f>
        <v>100012-17</v>
      </c>
      <c r="C112" s="61" t="s">
        <v>2469</v>
      </c>
      <c r="D112" t="s">
        <v>2470</v>
      </c>
      <c r="E112" t="s">
        <v>2329</v>
      </c>
      <c r="F112" t="str">
        <f>ToJsonArray(supplementary_offering_legacyid[[#Headers],[offeringid]:[mode]],supplementary_offering_legacyid[[#This Row],[offeringid]:[mode]])</f>
        <v>{"offeringid":"910001217","name":"Voz-TD-30000s_910001217","mode":"N"}</v>
      </c>
      <c r="G112" t="str">
        <f>ToJsonArray(supplementary_offering_legacyid[[#This Row],[Semilla04]],supplementary_offering_legacyid[[#This Row],[Json]])</f>
        <v>{"100012-17":{"offeringid":"910001217","name":"Voz-TD-30000s_910001217","mode":"N"}}</v>
      </c>
    </row>
    <row r="113" spans="1:7" x14ac:dyDescent="0.25">
      <c r="A113" s="60" t="s">
        <v>2471</v>
      </c>
      <c r="B113" t="str">
        <f>findKey(supplementary_offering_legacyid[[#This Row],[Produccion]])</f>
        <v>100012-18</v>
      </c>
      <c r="C113" s="61" t="s">
        <v>2472</v>
      </c>
      <c r="D113" t="s">
        <v>2473</v>
      </c>
      <c r="E113" t="s">
        <v>2329</v>
      </c>
      <c r="F113" t="str">
        <f>ToJsonArray(supplementary_offering_legacyid[[#Headers],[offeringid]:[mode]],supplementary_offering_legacyid[[#This Row],[offeringid]:[mode]])</f>
        <v>{"offeringid":"910001218","name":"Voz-TD-42000s_910001218","mode":"N"}</v>
      </c>
      <c r="G113" t="str">
        <f>ToJsonArray(supplementary_offering_legacyid[[#This Row],[Semilla04]],supplementary_offering_legacyid[[#This Row],[Json]])</f>
        <v>{"100012-18":{"offeringid":"910001218","name":"Voz-TD-42000s_910001218","mode":"N"}}</v>
      </c>
    </row>
    <row r="114" spans="1:7" x14ac:dyDescent="0.25">
      <c r="A114" s="60" t="s">
        <v>2474</v>
      </c>
      <c r="B114" t="str">
        <f>findKey(supplementary_offering_legacyid[[#This Row],[Produccion]])</f>
        <v>100012-19</v>
      </c>
      <c r="C114" s="61" t="s">
        <v>2475</v>
      </c>
      <c r="D114" t="s">
        <v>2476</v>
      </c>
      <c r="E114" t="s">
        <v>2329</v>
      </c>
      <c r="F114" t="str">
        <f>ToJsonArray(supplementary_offering_legacyid[[#Headers],[offeringid]:[mode]],supplementary_offering_legacyid[[#This Row],[offeringid]:[mode]])</f>
        <v>{"offeringid":"910001219","name":"Voz-TD-60000s_910001219","mode":"N"}</v>
      </c>
      <c r="G114" t="str">
        <f>ToJsonArray(supplementary_offering_legacyid[[#This Row],[Semilla04]],supplementary_offering_legacyid[[#This Row],[Json]])</f>
        <v>{"100012-19":{"offeringid":"910001219","name":"Voz-TD-60000s_910001219","mode":"N"}}</v>
      </c>
    </row>
    <row r="115" spans="1:7" x14ac:dyDescent="0.25">
      <c r="A115" s="60" t="s">
        <v>2477</v>
      </c>
      <c r="B115" t="str">
        <f>findKey(supplementary_offering_legacyid[[#This Row],[Produccion]])</f>
        <v>100012-20</v>
      </c>
      <c r="C115" s="61" t="s">
        <v>2478</v>
      </c>
      <c r="D115" t="s">
        <v>2479</v>
      </c>
      <c r="E115" t="s">
        <v>2329</v>
      </c>
      <c r="F115" t="str">
        <f>ToJsonArray(supplementary_offering_legacyid[[#Headers],[offeringid]:[mode]],supplementary_offering_legacyid[[#This Row],[offeringid]:[mode]])</f>
        <v>{"offeringid":"910001220","name":"Voz-TD-9000s_910001220","mode":"N"}</v>
      </c>
      <c r="G115" t="str">
        <f>ToJsonArray(supplementary_offering_legacyid[[#This Row],[Semilla04]],supplementary_offering_legacyid[[#This Row],[Json]])</f>
        <v>{"100012-20":{"offeringid":"910001220","name":"Voz-TD-9000s_910001220","mode":"N"}}</v>
      </c>
    </row>
    <row r="116" spans="1:7" x14ac:dyDescent="0.25">
      <c r="A116" s="60" t="s">
        <v>2480</v>
      </c>
      <c r="B116" t="str">
        <f>findKey(supplementary_offering_legacyid[[#This Row],[Produccion]])</f>
        <v>100012-21</v>
      </c>
      <c r="C116" s="61" t="s">
        <v>2481</v>
      </c>
      <c r="D116" t="s">
        <v>2482</v>
      </c>
      <c r="E116" t="s">
        <v>2329</v>
      </c>
      <c r="F116" t="str">
        <f>ToJsonArray(supplementary_offering_legacyid[[#Headers],[offeringid]:[mode]],supplementary_offering_legacyid[[#This Row],[offeringid]:[mode]])</f>
        <v>{"offeringid":"910001221","name":"Voz-TD-24000s_910001221","mode":"N"}</v>
      </c>
      <c r="G116" t="str">
        <f>ToJsonArray(supplementary_offering_legacyid[[#This Row],[Semilla04]],supplementary_offering_legacyid[[#This Row],[Json]])</f>
        <v>{"100012-21":{"offeringid":"910001221","name":"Voz-TD-24000s_910001221","mode":"N"}}</v>
      </c>
    </row>
    <row r="117" spans="1:7" x14ac:dyDescent="0.25">
      <c r="A117" s="60" t="s">
        <v>2483</v>
      </c>
      <c r="B117" t="str">
        <f>findKey(supplementary_offering_legacyid[[#This Row],[Produccion]])</f>
        <v>100012-22</v>
      </c>
      <c r="C117" s="61" t="s">
        <v>2484</v>
      </c>
      <c r="D117" t="s">
        <v>2485</v>
      </c>
      <c r="E117" t="s">
        <v>2329</v>
      </c>
      <c r="F117" t="str">
        <f>ToJsonArray(supplementary_offering_legacyid[[#Headers],[offeringid]:[mode]],supplementary_offering_legacyid[[#This Row],[offeringid]:[mode]])</f>
        <v>{"offeringid":"910001222","name":"Voz-TD-36000s_910001222","mode":"N"}</v>
      </c>
      <c r="G117" t="str">
        <f>ToJsonArray(supplementary_offering_legacyid[[#This Row],[Semilla04]],supplementary_offering_legacyid[[#This Row],[Json]])</f>
        <v>{"100012-22":{"offeringid":"910001222","name":"Voz-TD-36000s_910001222","mode":"N"}}</v>
      </c>
    </row>
    <row r="118" spans="1:7" x14ac:dyDescent="0.25">
      <c r="A118" s="60" t="s">
        <v>2486</v>
      </c>
      <c r="B118" t="str">
        <f>findKey(supplementary_offering_legacyid[[#This Row],[Produccion]])</f>
        <v>100012-23</v>
      </c>
      <c r="C118" s="61" t="s">
        <v>2487</v>
      </c>
      <c r="D118" t="s">
        <v>2488</v>
      </c>
      <c r="E118" t="s">
        <v>2329</v>
      </c>
      <c r="F118" t="str">
        <f>ToJsonArray(supplementary_offering_legacyid[[#Headers],[offeringid]:[mode]],supplementary_offering_legacyid[[#This Row],[offeringid]:[mode]])</f>
        <v>{"offeringid":"910001223","name":"Voz-TD-42000s_910001223","mode":"N"}</v>
      </c>
      <c r="G118" t="str">
        <f>ToJsonArray(supplementary_offering_legacyid[[#This Row],[Semilla04]],supplementary_offering_legacyid[[#This Row],[Json]])</f>
        <v>{"100012-23":{"offeringid":"910001223","name":"Voz-TD-42000s_910001223","mode":"N"}}</v>
      </c>
    </row>
    <row r="119" spans="1:7" x14ac:dyDescent="0.25">
      <c r="A119" s="60" t="s">
        <v>2489</v>
      </c>
      <c r="B119" t="str">
        <f>findKey(supplementary_offering_legacyid[[#This Row],[Produccion]])</f>
        <v>100012-24</v>
      </c>
      <c r="C119" s="61" t="s">
        <v>2490</v>
      </c>
      <c r="D119" t="s">
        <v>2491</v>
      </c>
      <c r="E119" t="s">
        <v>2329</v>
      </c>
      <c r="F119" t="str">
        <f>ToJsonArray(supplementary_offering_legacyid[[#Headers],[offeringid]:[mode]],supplementary_offering_legacyid[[#This Row],[offeringid]:[mode]])</f>
        <v>{"offeringid":"910001224","name":"Voz-TD-6000s_910001224","mode":"N"}</v>
      </c>
      <c r="G119" t="str">
        <f>ToJsonArray(supplementary_offering_legacyid[[#This Row],[Semilla04]],supplementary_offering_legacyid[[#This Row],[Json]])</f>
        <v>{"100012-24":{"offeringid":"910001224","name":"Voz-TD-6000s_910001224","mode":"N"}}</v>
      </c>
    </row>
    <row r="120" spans="1:7" x14ac:dyDescent="0.25">
      <c r="A120" s="60" t="s">
        <v>2492</v>
      </c>
      <c r="B120" t="str">
        <f>findKey(supplementary_offering_legacyid[[#This Row],[Produccion]])</f>
        <v>100012-25</v>
      </c>
      <c r="C120" s="61" t="s">
        <v>2493</v>
      </c>
      <c r="D120" t="s">
        <v>2494</v>
      </c>
      <c r="E120" t="s">
        <v>2329</v>
      </c>
      <c r="F120" t="str">
        <f>ToJsonArray(supplementary_offering_legacyid[[#Headers],[offeringid]:[mode]],supplementary_offering_legacyid[[#This Row],[offeringid]:[mode]])</f>
        <v>{"offeringid":"910001225","name":"Voz-TD-30000s_910001225","mode":"N"}</v>
      </c>
      <c r="G120" t="str">
        <f>ToJsonArray(supplementary_offering_legacyid[[#This Row],[Semilla04]],supplementary_offering_legacyid[[#This Row],[Json]])</f>
        <v>{"100012-25":{"offeringid":"910001225","name":"Voz-TD-30000s_910001225","mode":"N"}}</v>
      </c>
    </row>
    <row r="121" spans="1:7" x14ac:dyDescent="0.25">
      <c r="A121" s="60" t="s">
        <v>2495</v>
      </c>
      <c r="B121" t="str">
        <f>findKey(supplementary_offering_legacyid[[#This Row],[Produccion]])</f>
        <v>100012-36</v>
      </c>
      <c r="C121" s="61" t="s">
        <v>2496</v>
      </c>
      <c r="D121" t="s">
        <v>2497</v>
      </c>
      <c r="E121" t="s">
        <v>2329</v>
      </c>
      <c r="F121" t="str">
        <f>ToJsonArray(supplementary_offering_legacyid[[#Headers],[offeringid]:[mode]],supplementary_offering_legacyid[[#This Row],[offeringid]:[mode]])</f>
        <v>{"offeringid":"910001236","name":"Voz-TD-12000s_910001236","mode":"N"}</v>
      </c>
      <c r="G121" t="str">
        <f>ToJsonArray(supplementary_offering_legacyid[[#This Row],[Semilla04]],supplementary_offering_legacyid[[#This Row],[Json]])</f>
        <v>{"100012-36":{"offeringid":"910001236","name":"Voz-TD-12000s_910001236","mode":"N"}}</v>
      </c>
    </row>
    <row r="122" spans="1:7" x14ac:dyDescent="0.25">
      <c r="A122" s="60" t="s">
        <v>2498</v>
      </c>
      <c r="B122" t="str">
        <f>findKey(supplementary_offering_legacyid[[#This Row],[Produccion]])</f>
        <v>100012-37</v>
      </c>
      <c r="C122" s="61" t="s">
        <v>2499</v>
      </c>
      <c r="D122" t="s">
        <v>2500</v>
      </c>
      <c r="E122" t="s">
        <v>2329</v>
      </c>
      <c r="F122" t="str">
        <f>ToJsonArray(supplementary_offering_legacyid[[#Headers],[offeringid]:[mode]],supplementary_offering_legacyid[[#This Row],[offeringid]:[mode]])</f>
        <v>{"offeringid":"910001237","name":"Voz-TD-30000s_910001237","mode":"N"}</v>
      </c>
      <c r="G122" t="str">
        <f>ToJsonArray(supplementary_offering_legacyid[[#This Row],[Semilla04]],supplementary_offering_legacyid[[#This Row],[Json]])</f>
        <v>{"100012-37":{"offeringid":"910001237","name":"Voz-TD-30000s_910001237","mode":"N"}}</v>
      </c>
    </row>
    <row r="123" spans="1:7" x14ac:dyDescent="0.25">
      <c r="A123" s="60" t="s">
        <v>2501</v>
      </c>
      <c r="B123" t="str">
        <f>findKey(supplementary_offering_legacyid[[#This Row],[Produccion]])</f>
        <v>100012-38</v>
      </c>
      <c r="C123" s="61" t="s">
        <v>2502</v>
      </c>
      <c r="D123" t="s">
        <v>2503</v>
      </c>
      <c r="E123" t="s">
        <v>2329</v>
      </c>
      <c r="F123" t="str">
        <f>ToJsonArray(supplementary_offering_legacyid[[#Headers],[offeringid]:[mode]],supplementary_offering_legacyid[[#This Row],[offeringid]:[mode]])</f>
        <v>{"offeringid":"910001238","name":"Voz-TD-48000s_910001238","mode":"N"}</v>
      </c>
      <c r="G123" t="str">
        <f>ToJsonArray(supplementary_offering_legacyid[[#This Row],[Semilla04]],supplementary_offering_legacyid[[#This Row],[Json]])</f>
        <v>{"100012-38":{"offeringid":"910001238","name":"Voz-TD-48000s_910001238","mode":"N"}}</v>
      </c>
    </row>
    <row r="124" spans="1:7" x14ac:dyDescent="0.25">
      <c r="A124" s="60" t="s">
        <v>2504</v>
      </c>
      <c r="B124" t="str">
        <f>findKey(supplementary_offering_legacyid[[#This Row],[Produccion]])</f>
        <v>100012-39</v>
      </c>
      <c r="C124" s="61" t="s">
        <v>2505</v>
      </c>
      <c r="D124" t="s">
        <v>2506</v>
      </c>
      <c r="E124" t="s">
        <v>2329</v>
      </c>
      <c r="F124" t="str">
        <f>ToJsonArray(supplementary_offering_legacyid[[#Headers],[offeringid]:[mode]],supplementary_offering_legacyid[[#This Row],[offeringid]:[mode]])</f>
        <v>{"offeringid":"910001239","name":"Voz-TD-72000s_910001239","mode":"N"}</v>
      </c>
      <c r="G124" t="str">
        <f>ToJsonArray(supplementary_offering_legacyid[[#This Row],[Semilla04]],supplementary_offering_legacyid[[#This Row],[Json]])</f>
        <v>{"100012-39":{"offeringid":"910001239","name":"Voz-TD-72000s_910001239","mode":"N"}}</v>
      </c>
    </row>
    <row r="125" spans="1:7" x14ac:dyDescent="0.25">
      <c r="A125" s="60" t="s">
        <v>2507</v>
      </c>
      <c r="B125" t="str">
        <f>findKey(supplementary_offering_legacyid[[#This Row],[Produccion]])</f>
        <v>100012-40</v>
      </c>
      <c r="C125" s="61" t="s">
        <v>2508</v>
      </c>
      <c r="D125" t="s">
        <v>2509</v>
      </c>
      <c r="E125" t="s">
        <v>2329</v>
      </c>
      <c r="F125" t="str">
        <f>ToJsonArray(supplementary_offering_legacyid[[#Headers],[offeringid]:[mode]],supplementary_offering_legacyid[[#This Row],[offeringid]:[mode]])</f>
        <v>{"offeringid":"910001240","name":"Voz-TD-2678400s_910001240","mode":"N"}</v>
      </c>
      <c r="G125" t="str">
        <f>ToJsonArray(supplementary_offering_legacyid[[#This Row],[Semilla04]],supplementary_offering_legacyid[[#This Row],[Json]])</f>
        <v>{"100012-40":{"offeringid":"910001240","name":"Voz-TD-2678400s_910001240","mode":"N"}}</v>
      </c>
    </row>
    <row r="126" spans="1:7" x14ac:dyDescent="0.25">
      <c r="A126" s="60" t="s">
        <v>2510</v>
      </c>
      <c r="B126" t="str">
        <f>findKey(supplementary_offering_legacyid[[#This Row],[Produccion]])</f>
        <v>100012-41</v>
      </c>
      <c r="C126" s="61" t="s">
        <v>2511</v>
      </c>
      <c r="D126" t="s">
        <v>2512</v>
      </c>
      <c r="E126" t="s">
        <v>2329</v>
      </c>
      <c r="F126" t="str">
        <f>ToJsonArray(supplementary_offering_legacyid[[#Headers],[offeringid]:[mode]],supplementary_offering_legacyid[[#This Row],[offeringid]:[mode]])</f>
        <v>{"offeringid":"910001241","name":"Voz-TD-2678400s_910001241","mode":"N"}</v>
      </c>
      <c r="G126" t="str">
        <f>ToJsonArray(supplementary_offering_legacyid[[#This Row],[Semilla04]],supplementary_offering_legacyid[[#This Row],[Json]])</f>
        <v>{"100012-41":{"offeringid":"910001241","name":"Voz-TD-2678400s_910001241","mode":"N"}}</v>
      </c>
    </row>
    <row r="127" spans="1:7" x14ac:dyDescent="0.25">
      <c r="A127" s="60" t="s">
        <v>2513</v>
      </c>
      <c r="B127" t="str">
        <f>findKey(supplementary_offering_legacyid[[#This Row],[Produccion]])</f>
        <v>100012-42</v>
      </c>
      <c r="C127" s="61" t="s">
        <v>2514</v>
      </c>
      <c r="D127" t="s">
        <v>2515</v>
      </c>
      <c r="E127" t="s">
        <v>2329</v>
      </c>
      <c r="F127" t="str">
        <f>ToJsonArray(supplementary_offering_legacyid[[#Headers],[offeringid]:[mode]],supplementary_offering_legacyid[[#This Row],[offeringid]:[mode]])</f>
        <v>{"offeringid":"910001242","name":"Voz-TD-15000s_910001242","mode":"N"}</v>
      </c>
      <c r="G127" t="str">
        <f>ToJsonArray(supplementary_offering_legacyid[[#This Row],[Semilla04]],supplementary_offering_legacyid[[#This Row],[Json]])</f>
        <v>{"100012-42":{"offeringid":"910001242","name":"Voz-TD-15000s_910001242","mode":"N"}}</v>
      </c>
    </row>
    <row r="128" spans="1:7" x14ac:dyDescent="0.25">
      <c r="A128" s="60" t="s">
        <v>2516</v>
      </c>
      <c r="B128" t="str">
        <f>findKey(supplementary_offering_legacyid[[#This Row],[Produccion]])</f>
        <v>100012-43</v>
      </c>
      <c r="C128" s="61" t="s">
        <v>2517</v>
      </c>
      <c r="D128" t="s">
        <v>2518</v>
      </c>
      <c r="E128" t="s">
        <v>2329</v>
      </c>
      <c r="F128" t="str">
        <f>ToJsonArray(supplementary_offering_legacyid[[#Headers],[offeringid]:[mode]],supplementary_offering_legacyid[[#This Row],[offeringid]:[mode]])</f>
        <v>{"offeringid":"910001243","name":"Voz-TD-24000s_910001243","mode":"N"}</v>
      </c>
      <c r="G128" t="str">
        <f>ToJsonArray(supplementary_offering_legacyid[[#This Row],[Semilla04]],supplementary_offering_legacyid[[#This Row],[Json]])</f>
        <v>{"100012-43":{"offeringid":"910001243","name":"Voz-TD-24000s_910001243","mode":"N"}}</v>
      </c>
    </row>
    <row r="129" spans="1:7" x14ac:dyDescent="0.25">
      <c r="A129" s="60" t="s">
        <v>2519</v>
      </c>
      <c r="B129" t="str">
        <f>findKey(supplementary_offering_legacyid[[#This Row],[Produccion]])</f>
        <v>100012-44</v>
      </c>
      <c r="C129" s="61" t="s">
        <v>2520</v>
      </c>
      <c r="D129" t="s">
        <v>2521</v>
      </c>
      <c r="E129" t="s">
        <v>2329</v>
      </c>
      <c r="F129" t="str">
        <f>ToJsonArray(supplementary_offering_legacyid[[#Headers],[offeringid]:[mode]],supplementary_offering_legacyid[[#This Row],[offeringid]:[mode]])</f>
        <v>{"offeringid":"910001244","name":"Voz-TD-45000s_910001244","mode":"N"}</v>
      </c>
      <c r="G129" t="str">
        <f>ToJsonArray(supplementary_offering_legacyid[[#This Row],[Semilla04]],supplementary_offering_legacyid[[#This Row],[Json]])</f>
        <v>{"100012-44":{"offeringid":"910001244","name":"Voz-TD-45000s_910001244","mode":"N"}}</v>
      </c>
    </row>
    <row r="130" spans="1:7" x14ac:dyDescent="0.25">
      <c r="A130" s="60" t="s">
        <v>2522</v>
      </c>
      <c r="B130" t="str">
        <f>findKey(supplementary_offering_legacyid[[#This Row],[Produccion]])</f>
        <v>100012-45</v>
      </c>
      <c r="C130" s="61" t="s">
        <v>2523</v>
      </c>
      <c r="D130" t="s">
        <v>2524</v>
      </c>
      <c r="E130" t="s">
        <v>2329</v>
      </c>
      <c r="F130" t="str">
        <f>ToJsonArray(supplementary_offering_legacyid[[#Headers],[offeringid]:[mode]],supplementary_offering_legacyid[[#This Row],[offeringid]:[mode]])</f>
        <v>{"offeringid":"910001245","name":"Voz-TD-54000s_910001245","mode":"N"}</v>
      </c>
      <c r="G130" t="str">
        <f>ToJsonArray(supplementary_offering_legacyid[[#This Row],[Semilla04]],supplementary_offering_legacyid[[#This Row],[Json]])</f>
        <v>{"100012-45":{"offeringid":"910001245","name":"Voz-TD-54000s_910001245","mode":"N"}}</v>
      </c>
    </row>
    <row r="131" spans="1:7" x14ac:dyDescent="0.25">
      <c r="A131" s="60" t="s">
        <v>2525</v>
      </c>
      <c r="B131" t="str">
        <f>findKey(supplementary_offering_legacyid[[#This Row],[Produccion]])</f>
        <v>100012-46</v>
      </c>
      <c r="C131" s="61" t="s">
        <v>2526</v>
      </c>
      <c r="D131" t="s">
        <v>2527</v>
      </c>
      <c r="E131" t="s">
        <v>2329</v>
      </c>
      <c r="F131" t="str">
        <f>ToJsonArray(supplementary_offering_legacyid[[#Headers],[offeringid]:[mode]],supplementary_offering_legacyid[[#This Row],[offeringid]:[mode]])</f>
        <v>{"offeringid":"910001246","name":"Voz-TD-84000s_910001246","mode":"N"}</v>
      </c>
      <c r="G131" t="str">
        <f>ToJsonArray(supplementary_offering_legacyid[[#This Row],[Semilla04]],supplementary_offering_legacyid[[#This Row],[Json]])</f>
        <v>{"100012-46":{"offeringid":"910001246","name":"Voz-TD-84000s_910001246","mode":"N"}}</v>
      </c>
    </row>
    <row r="132" spans="1:7" x14ac:dyDescent="0.25">
      <c r="A132" s="60" t="s">
        <v>2528</v>
      </c>
      <c r="B132" t="str">
        <f>findKey(supplementary_offering_legacyid[[#This Row],[Produccion]])</f>
        <v>100012-47</v>
      </c>
      <c r="C132" s="61" t="s">
        <v>2529</v>
      </c>
      <c r="D132" t="s">
        <v>2530</v>
      </c>
      <c r="E132" t="s">
        <v>2329</v>
      </c>
      <c r="F132" t="str">
        <f>ToJsonArray(supplementary_offering_legacyid[[#Headers],[offeringid]:[mode]],supplementary_offering_legacyid[[#This Row],[offeringid]:[mode]])</f>
        <v>{"offeringid":"910001247","name":"Voz-TD-Ilimitado_910001247","mode":"N"}</v>
      </c>
      <c r="G132" t="str">
        <f>ToJsonArray(supplementary_offering_legacyid[[#This Row],[Semilla04]],supplementary_offering_legacyid[[#This Row],[Json]])</f>
        <v>{"100012-47":{"offeringid":"910001247","name":"Voz-TD-Ilimitado_910001247","mode":"N"}}</v>
      </c>
    </row>
    <row r="133" spans="1:7" x14ac:dyDescent="0.25">
      <c r="A133" s="60" t="s">
        <v>2531</v>
      </c>
      <c r="B133" t="str">
        <f>findKey(supplementary_offering_legacyid[[#This Row],[Produccion]])</f>
        <v>100012-48</v>
      </c>
      <c r="C133" s="61" t="s">
        <v>2532</v>
      </c>
      <c r="D133" t="s">
        <v>2533</v>
      </c>
      <c r="E133" t="s">
        <v>2329</v>
      </c>
      <c r="F133" t="str">
        <f>ToJsonArray(supplementary_offering_legacyid[[#Headers],[offeringid]:[mode]],supplementary_offering_legacyid[[#This Row],[offeringid]:[mode]])</f>
        <v>{"offeringid":"910001248","name":"Voz-TD-Ilimitado_910001248","mode":"N"}</v>
      </c>
      <c r="G133" t="str">
        <f>ToJsonArray(supplementary_offering_legacyid[[#This Row],[Semilla04]],supplementary_offering_legacyid[[#This Row],[Json]])</f>
        <v>{"100012-48":{"offeringid":"910001248","name":"Voz-TD-Ilimitado_910001248","mode":"N"}}</v>
      </c>
    </row>
    <row r="134" spans="1:7" x14ac:dyDescent="0.25">
      <c r="A134" s="60" t="s">
        <v>2534</v>
      </c>
      <c r="B134" t="str">
        <f>findKey(supplementary_offering_legacyid[[#This Row],[Produccion]])</f>
        <v>100012-49</v>
      </c>
      <c r="C134" s="61" t="s">
        <v>2535</v>
      </c>
      <c r="D134" t="s">
        <v>2536</v>
      </c>
      <c r="E134" t="s">
        <v>2329</v>
      </c>
      <c r="F134" t="str">
        <f>ToJsonArray(supplementary_offering_legacyid[[#Headers],[offeringid]:[mode]],supplementary_offering_legacyid[[#This Row],[offeringid]:[mode]])</f>
        <v>{"offeringid":"910001249","name":"Voz-TD-Ilimitado_910001249","mode":"N"}</v>
      </c>
      <c r="G134" t="str">
        <f>ToJsonArray(supplementary_offering_legacyid[[#This Row],[Semilla04]],supplementary_offering_legacyid[[#This Row],[Json]])</f>
        <v>{"100012-49":{"offeringid":"910001249","name":"Voz-TD-Ilimitado_910001249","mode":"N"}}</v>
      </c>
    </row>
    <row r="135" spans="1:7" x14ac:dyDescent="0.25">
      <c r="A135" s="60" t="s">
        <v>2537</v>
      </c>
      <c r="B135" t="str">
        <f>findKey(supplementary_offering_legacyid[[#This Row],[Produccion]])</f>
        <v>100012-50</v>
      </c>
      <c r="C135" s="61" t="s">
        <v>2538</v>
      </c>
      <c r="D135" t="s">
        <v>2539</v>
      </c>
      <c r="E135" t="s">
        <v>2329</v>
      </c>
      <c r="F135" t="str">
        <f>ToJsonArray(supplementary_offering_legacyid[[#Headers],[offeringid]:[mode]],supplementary_offering_legacyid[[#This Row],[offeringid]:[mode]])</f>
        <v>{"offeringid":"910001250","name":"Voz-TD-Ilimitado_910001250","mode":"N"}</v>
      </c>
      <c r="G135" t="str">
        <f>ToJsonArray(supplementary_offering_legacyid[[#This Row],[Semilla04]],supplementary_offering_legacyid[[#This Row],[Json]])</f>
        <v>{"100012-50":{"offeringid":"910001250","name":"Voz-TD-Ilimitado_910001250","mode":"N"}}</v>
      </c>
    </row>
    <row r="136" spans="1:7" x14ac:dyDescent="0.25">
      <c r="A136" s="60" t="s">
        <v>2540</v>
      </c>
      <c r="B136" t="str">
        <f>findKey(supplementary_offering_legacyid[[#This Row],[Produccion]])</f>
        <v>100012-51</v>
      </c>
      <c r="C136" s="61" t="s">
        <v>2541</v>
      </c>
      <c r="D136" t="s">
        <v>2542</v>
      </c>
      <c r="E136" t="s">
        <v>2329</v>
      </c>
      <c r="F136" t="str">
        <f>ToJsonArray(supplementary_offering_legacyid[[#Headers],[offeringid]:[mode]],supplementary_offering_legacyid[[#This Row],[offeringid]:[mode]])</f>
        <v>{"offeringid":"910001251","name":"Voz-TD-Ilimitado_910001251","mode":"N"}</v>
      </c>
      <c r="G136" t="str">
        <f>ToJsonArray(supplementary_offering_legacyid[[#This Row],[Semilla04]],supplementary_offering_legacyid[[#This Row],[Json]])</f>
        <v>{"100012-51":{"offeringid":"910001251","name":"Voz-TD-Ilimitado_910001251","mode":"N"}}</v>
      </c>
    </row>
    <row r="137" spans="1:7" x14ac:dyDescent="0.25">
      <c r="A137" s="60" t="s">
        <v>2543</v>
      </c>
      <c r="B137" t="str">
        <f>findKey(supplementary_offering_legacyid[[#This Row],[Produccion]])</f>
        <v>100012-52</v>
      </c>
      <c r="C137" s="61" t="s">
        <v>2544</v>
      </c>
      <c r="D137" t="s">
        <v>2545</v>
      </c>
      <c r="E137" t="s">
        <v>2329</v>
      </c>
      <c r="F137" t="str">
        <f>ToJsonArray(supplementary_offering_legacyid[[#Headers],[offeringid]:[mode]],supplementary_offering_legacyid[[#This Row],[offeringid]:[mode]])</f>
        <v>{"offeringid":"910001252","name":"Voz-TD-Ilimitado_910001252","mode":"N"}</v>
      </c>
      <c r="G137" t="str">
        <f>ToJsonArray(supplementary_offering_legacyid[[#This Row],[Semilla04]],supplementary_offering_legacyid[[#This Row],[Json]])</f>
        <v>{"100012-52":{"offeringid":"910001252","name":"Voz-TD-Ilimitado_910001252","mode":"N"}}</v>
      </c>
    </row>
    <row r="138" spans="1:7" x14ac:dyDescent="0.25">
      <c r="A138" s="60" t="s">
        <v>2546</v>
      </c>
      <c r="B138" t="str">
        <f>findKey(supplementary_offering_legacyid[[#This Row],[Produccion]])</f>
        <v>100012-53</v>
      </c>
      <c r="C138" s="61" t="s">
        <v>2547</v>
      </c>
      <c r="D138" t="s">
        <v>2548</v>
      </c>
      <c r="E138" t="s">
        <v>2329</v>
      </c>
      <c r="F138" t="str">
        <f>ToJsonArray(supplementary_offering_legacyid[[#Headers],[offeringid]:[mode]],supplementary_offering_legacyid[[#This Row],[offeringid]:[mode]])</f>
        <v>{"offeringid":"910001253","name":"Voz-TD-Ilimitado_910001253","mode":"N"}</v>
      </c>
      <c r="G138" t="str">
        <f>ToJsonArray(supplementary_offering_legacyid[[#This Row],[Semilla04]],supplementary_offering_legacyid[[#This Row],[Json]])</f>
        <v>{"100012-53":{"offeringid":"910001253","name":"Voz-TD-Ilimitado_910001253","mode":"N"}}</v>
      </c>
    </row>
    <row r="139" spans="1:7" x14ac:dyDescent="0.25">
      <c r="A139" s="60" t="s">
        <v>2549</v>
      </c>
      <c r="B139" t="str">
        <f>findKey(supplementary_offering_legacyid[[#This Row],[Produccion]])</f>
        <v>100012-54</v>
      </c>
      <c r="C139" s="61" t="s">
        <v>2550</v>
      </c>
      <c r="D139" t="s">
        <v>2551</v>
      </c>
      <c r="E139" t="s">
        <v>2329</v>
      </c>
      <c r="F139" t="str">
        <f>ToJsonArray(supplementary_offering_legacyid[[#Headers],[offeringid]:[mode]],supplementary_offering_legacyid[[#This Row],[offeringid]:[mode]])</f>
        <v>{"offeringid":"910001254","name":"Voz-TD-Ilimitado_910001254","mode":"N"}</v>
      </c>
      <c r="G139" t="str">
        <f>ToJsonArray(supplementary_offering_legacyid[[#This Row],[Semilla04]],supplementary_offering_legacyid[[#This Row],[Json]])</f>
        <v>{"100012-54":{"offeringid":"910001254","name":"Voz-TD-Ilimitado_910001254","mode":"N"}}</v>
      </c>
    </row>
    <row r="140" spans="1:7" x14ac:dyDescent="0.25">
      <c r="A140" s="60" t="s">
        <v>2552</v>
      </c>
      <c r="B140" t="str">
        <f>findKey(supplementary_offering_legacyid[[#This Row],[Produccion]])</f>
        <v>100012-55</v>
      </c>
      <c r="C140" s="61" t="s">
        <v>2553</v>
      </c>
      <c r="D140" t="s">
        <v>2554</v>
      </c>
      <c r="E140" t="s">
        <v>2329</v>
      </c>
      <c r="F140" t="str">
        <f>ToJsonArray(supplementary_offering_legacyid[[#Headers],[offeringid]:[mode]],supplementary_offering_legacyid[[#This Row],[offeringid]:[mode]])</f>
        <v>{"offeringid":"910001255","name":"Voz-TD-Ilimitado_910001255","mode":"N"}</v>
      </c>
      <c r="G140" t="str">
        <f>ToJsonArray(supplementary_offering_legacyid[[#This Row],[Semilla04]],supplementary_offering_legacyid[[#This Row],[Json]])</f>
        <v>{"100012-55":{"offeringid":"910001255","name":"Voz-TD-Ilimitado_910001255","mode":"N"}}</v>
      </c>
    </row>
    <row r="141" spans="1:7" x14ac:dyDescent="0.25">
      <c r="A141" s="60" t="s">
        <v>2555</v>
      </c>
      <c r="B141" t="str">
        <f>findKey(supplementary_offering_legacyid[[#This Row],[Produccion]])</f>
        <v>100012-56</v>
      </c>
      <c r="C141" s="61" t="s">
        <v>2556</v>
      </c>
      <c r="D141" t="s">
        <v>2557</v>
      </c>
      <c r="E141" t="s">
        <v>2329</v>
      </c>
      <c r="F141" t="str">
        <f>ToJsonArray(supplementary_offering_legacyid[[#Headers],[offeringid]:[mode]],supplementary_offering_legacyid[[#This Row],[offeringid]:[mode]])</f>
        <v>{"offeringid":"910001256","name":"Voz-TD-Ilimitado_910001256","mode":"N"}</v>
      </c>
      <c r="G141" t="str">
        <f>ToJsonArray(supplementary_offering_legacyid[[#This Row],[Semilla04]],supplementary_offering_legacyid[[#This Row],[Json]])</f>
        <v>{"100012-56":{"offeringid":"910001256","name":"Voz-TD-Ilimitado_910001256","mode":"N"}}</v>
      </c>
    </row>
    <row r="142" spans="1:7" x14ac:dyDescent="0.25">
      <c r="A142" s="60" t="s">
        <v>2558</v>
      </c>
      <c r="B142" t="str">
        <f>findKey(supplementary_offering_legacyid[[#This Row],[Produccion]])</f>
        <v>100012-57</v>
      </c>
      <c r="C142" s="61" t="s">
        <v>2559</v>
      </c>
      <c r="D142" t="s">
        <v>2560</v>
      </c>
      <c r="E142" t="s">
        <v>2329</v>
      </c>
      <c r="F142" t="str">
        <f>ToJsonArray(supplementary_offering_legacyid[[#Headers],[offeringid]:[mode]],supplementary_offering_legacyid[[#This Row],[offeringid]:[mode]])</f>
        <v>{"offeringid":"910001257","name":"Voz-TD-Ilimitado_910001257","mode":"N"}</v>
      </c>
      <c r="G142" t="str">
        <f>ToJsonArray(supplementary_offering_legacyid[[#This Row],[Semilla04]],supplementary_offering_legacyid[[#This Row],[Json]])</f>
        <v>{"100012-57":{"offeringid":"910001257","name":"Voz-TD-Ilimitado_910001257","mode":"N"}}</v>
      </c>
    </row>
    <row r="143" spans="1:7" x14ac:dyDescent="0.25">
      <c r="A143" s="60" t="s">
        <v>2561</v>
      </c>
      <c r="B143" t="str">
        <f>findKey(supplementary_offering_legacyid[[#This Row],[Produccion]])</f>
        <v>100012-58</v>
      </c>
      <c r="C143" s="61" t="s">
        <v>2562</v>
      </c>
      <c r="D143" t="s">
        <v>2563</v>
      </c>
      <c r="E143" t="s">
        <v>2329</v>
      </c>
      <c r="F143" t="str">
        <f>ToJsonArray(supplementary_offering_legacyid[[#Headers],[offeringid]:[mode]],supplementary_offering_legacyid[[#This Row],[offeringid]:[mode]])</f>
        <v>{"offeringid":"910001258","name":"Voz-TD-Ilimitado_910001258","mode":"N"}</v>
      </c>
      <c r="G143" t="str">
        <f>ToJsonArray(supplementary_offering_legacyid[[#This Row],[Semilla04]],supplementary_offering_legacyid[[#This Row],[Json]])</f>
        <v>{"100012-58":{"offeringid":"910001258","name":"Voz-TD-Ilimitado_910001258","mode":"N"}}</v>
      </c>
    </row>
    <row r="144" spans="1:7" x14ac:dyDescent="0.25">
      <c r="A144" s="60" t="s">
        <v>2564</v>
      </c>
      <c r="B144" t="str">
        <f>findKey(supplementary_offering_legacyid[[#This Row],[Produccion]])</f>
        <v>100012-59</v>
      </c>
      <c r="C144" s="61" t="s">
        <v>2565</v>
      </c>
      <c r="D144" t="s">
        <v>2566</v>
      </c>
      <c r="E144" t="s">
        <v>2329</v>
      </c>
      <c r="F144" t="str">
        <f>ToJsonArray(supplementary_offering_legacyid[[#Headers],[offeringid]:[mode]],supplementary_offering_legacyid[[#This Row],[offeringid]:[mode]])</f>
        <v>{"offeringid":"910001259","name":"Voz-TD-Ilimitado_910001259","mode":"N"}</v>
      </c>
      <c r="G144" t="str">
        <f>ToJsonArray(supplementary_offering_legacyid[[#This Row],[Semilla04]],supplementary_offering_legacyid[[#This Row],[Json]])</f>
        <v>{"100012-59":{"offeringid":"910001259","name":"Voz-TD-Ilimitado_910001259","mode":"N"}}</v>
      </c>
    </row>
    <row r="145" spans="1:7" x14ac:dyDescent="0.25">
      <c r="A145" s="60" t="s">
        <v>2567</v>
      </c>
      <c r="B145" t="str">
        <f>findKey(supplementary_offering_legacyid[[#This Row],[Produccion]])</f>
        <v>100012-60</v>
      </c>
      <c r="C145" s="61" t="s">
        <v>2568</v>
      </c>
      <c r="D145" t="s">
        <v>2569</v>
      </c>
      <c r="E145" t="s">
        <v>2329</v>
      </c>
      <c r="F145" t="str">
        <f>ToJsonArray(supplementary_offering_legacyid[[#Headers],[offeringid]:[mode]],supplementary_offering_legacyid[[#This Row],[offeringid]:[mode]])</f>
        <v>{"offeringid":"910001260","name":"Voz-TD-15000s_910001260","mode":"N"}</v>
      </c>
      <c r="G145" t="str">
        <f>ToJsonArray(supplementary_offering_legacyid[[#This Row],[Semilla04]],supplementary_offering_legacyid[[#This Row],[Json]])</f>
        <v>{"100012-60":{"offeringid":"910001260","name":"Voz-TD-15000s_910001260","mode":"N"}}</v>
      </c>
    </row>
    <row r="146" spans="1:7" x14ac:dyDescent="0.25">
      <c r="A146" s="60" t="s">
        <v>2570</v>
      </c>
      <c r="B146" t="str">
        <f>findKey(supplementary_offering_legacyid[[#This Row],[Produccion]])</f>
        <v>100012-61</v>
      </c>
      <c r="C146" s="61" t="s">
        <v>2571</v>
      </c>
      <c r="D146" t="s">
        <v>2572</v>
      </c>
      <c r="E146" t="s">
        <v>2329</v>
      </c>
      <c r="F146" t="str">
        <f>ToJsonArray(supplementary_offering_legacyid[[#Headers],[offeringid]:[mode]],supplementary_offering_legacyid[[#This Row],[offeringid]:[mode]])</f>
        <v>{"offeringid":"910001261","name":"Voz-TD-24000s_910001261","mode":"N"}</v>
      </c>
      <c r="G146" t="str">
        <f>ToJsonArray(supplementary_offering_legacyid[[#This Row],[Semilla04]],supplementary_offering_legacyid[[#This Row],[Json]])</f>
        <v>{"100012-61":{"offeringid":"910001261","name":"Voz-TD-24000s_910001261","mode":"N"}}</v>
      </c>
    </row>
    <row r="147" spans="1:7" x14ac:dyDescent="0.25">
      <c r="A147" s="60" t="s">
        <v>2573</v>
      </c>
      <c r="B147" t="str">
        <f>findKey(supplementary_offering_legacyid[[#This Row],[Produccion]])</f>
        <v>100012-62</v>
      </c>
      <c r="C147" s="61" t="s">
        <v>2574</v>
      </c>
      <c r="D147" t="s">
        <v>2575</v>
      </c>
      <c r="E147" t="s">
        <v>2329</v>
      </c>
      <c r="F147" t="str">
        <f>ToJsonArray(supplementary_offering_legacyid[[#Headers],[offeringid]:[mode]],supplementary_offering_legacyid[[#This Row],[offeringid]:[mode]])</f>
        <v>{"offeringid":"910001262","name":"Voz-TD-45000s_910001262","mode":"N"}</v>
      </c>
      <c r="G147" t="str">
        <f>ToJsonArray(supplementary_offering_legacyid[[#This Row],[Semilla04]],supplementary_offering_legacyid[[#This Row],[Json]])</f>
        <v>{"100012-62":{"offeringid":"910001262","name":"Voz-TD-45000s_910001262","mode":"N"}}</v>
      </c>
    </row>
    <row r="148" spans="1:7" x14ac:dyDescent="0.25">
      <c r="A148" s="60" t="s">
        <v>2576</v>
      </c>
      <c r="B148" t="str">
        <f>findKey(supplementary_offering_legacyid[[#This Row],[Produccion]])</f>
        <v>100012-63</v>
      </c>
      <c r="C148" s="61" t="s">
        <v>2577</v>
      </c>
      <c r="D148" t="s">
        <v>2578</v>
      </c>
      <c r="E148" t="s">
        <v>2329</v>
      </c>
      <c r="F148" t="str">
        <f>ToJsonArray(supplementary_offering_legacyid[[#Headers],[offeringid]:[mode]],supplementary_offering_legacyid[[#This Row],[offeringid]:[mode]])</f>
        <v>{"offeringid":"910001263","name":"Voz-TD-54000s_910001263","mode":"N"}</v>
      </c>
      <c r="G148" t="str">
        <f>ToJsonArray(supplementary_offering_legacyid[[#This Row],[Semilla04]],supplementary_offering_legacyid[[#This Row],[Json]])</f>
        <v>{"100012-63":{"offeringid":"910001263","name":"Voz-TD-54000s_910001263","mode":"N"}}</v>
      </c>
    </row>
    <row r="149" spans="1:7" x14ac:dyDescent="0.25">
      <c r="A149" s="60" t="s">
        <v>2579</v>
      </c>
      <c r="B149" t="str">
        <f>findKey(supplementary_offering_legacyid[[#This Row],[Produccion]])</f>
        <v>100012-64</v>
      </c>
      <c r="C149" s="61" t="s">
        <v>2580</v>
      </c>
      <c r="D149" t="s">
        <v>2581</v>
      </c>
      <c r="E149" t="s">
        <v>2329</v>
      </c>
      <c r="F149" t="str">
        <f>ToJsonArray(supplementary_offering_legacyid[[#Headers],[offeringid]:[mode]],supplementary_offering_legacyid[[#This Row],[offeringid]:[mode]])</f>
        <v>{"offeringid":"910001264","name":"Voz-TD-Ilimitado_910001264","mode":"N"}</v>
      </c>
      <c r="G149" t="str">
        <f>ToJsonArray(supplementary_offering_legacyid[[#This Row],[Semilla04]],supplementary_offering_legacyid[[#This Row],[Json]])</f>
        <v>{"100012-64":{"offeringid":"910001264","name":"Voz-TD-Ilimitado_910001264","mode":"N"}}</v>
      </c>
    </row>
    <row r="150" spans="1:7" x14ac:dyDescent="0.25">
      <c r="A150" s="60" t="s">
        <v>2582</v>
      </c>
      <c r="B150" t="str">
        <f>findKey(supplementary_offering_legacyid[[#This Row],[Produccion]])</f>
        <v>100012-71</v>
      </c>
      <c r="C150" s="61" t="s">
        <v>2583</v>
      </c>
      <c r="D150" t="s">
        <v>2584</v>
      </c>
      <c r="E150" t="s">
        <v>2329</v>
      </c>
      <c r="F150" t="str">
        <f>ToJsonArray(supplementary_offering_legacyid[[#Headers],[offeringid]:[mode]],supplementary_offering_legacyid[[#This Row],[offeringid]:[mode]])</f>
        <v>{"offeringid":"910001271","name":"Voz-TD-12000s_910001271","mode":"N"}</v>
      </c>
      <c r="G150" t="str">
        <f>ToJsonArray(supplementary_offering_legacyid[[#This Row],[Semilla04]],supplementary_offering_legacyid[[#This Row],[Json]])</f>
        <v>{"100012-71":{"offeringid":"910001271","name":"Voz-TD-12000s_910001271","mode":"N"}}</v>
      </c>
    </row>
    <row r="151" spans="1:7" x14ac:dyDescent="0.25">
      <c r="A151" s="60" t="s">
        <v>2585</v>
      </c>
      <c r="B151" t="str">
        <f>findKey(supplementary_offering_legacyid[[#This Row],[Produccion]])</f>
        <v>100012-72</v>
      </c>
      <c r="C151" s="61" t="s">
        <v>2586</v>
      </c>
      <c r="D151" t="s">
        <v>2587</v>
      </c>
      <c r="E151" t="s">
        <v>2329</v>
      </c>
      <c r="F151" t="str">
        <f>ToJsonArray(supplementary_offering_legacyid[[#Headers],[offeringid]:[mode]],supplementary_offering_legacyid[[#This Row],[offeringid]:[mode]])</f>
        <v>{"offeringid":"910001272","name":"Voz-TD-12000s_910001272","mode":"N"}</v>
      </c>
      <c r="G151" t="str">
        <f>ToJsonArray(supplementary_offering_legacyid[[#This Row],[Semilla04]],supplementary_offering_legacyid[[#This Row],[Json]])</f>
        <v>{"100012-72":{"offeringid":"910001272","name":"Voz-TD-12000s_910001272","mode":"N"}}</v>
      </c>
    </row>
    <row r="152" spans="1:7" x14ac:dyDescent="0.25">
      <c r="A152" s="60" t="s">
        <v>2588</v>
      </c>
      <c r="B152" t="str">
        <f>findKey(supplementary_offering_legacyid[[#This Row],[Produccion]])</f>
        <v>100012-73</v>
      </c>
      <c r="C152" s="61" t="s">
        <v>2589</v>
      </c>
      <c r="D152" t="s">
        <v>2590</v>
      </c>
      <c r="E152" t="s">
        <v>2329</v>
      </c>
      <c r="F152" t="str">
        <f>ToJsonArray(supplementary_offering_legacyid[[#Headers],[offeringid]:[mode]],supplementary_offering_legacyid[[#This Row],[offeringid]:[mode]])</f>
        <v>{"offeringid":"910001273","name":"Voz-TD-12000s_910001273","mode":"N"}</v>
      </c>
      <c r="G152" t="str">
        <f>ToJsonArray(supplementary_offering_legacyid[[#This Row],[Semilla04]],supplementary_offering_legacyid[[#This Row],[Json]])</f>
        <v>{"100012-73":{"offeringid":"910001273","name":"Voz-TD-12000s_910001273","mode":"N"}}</v>
      </c>
    </row>
    <row r="153" spans="1:7" x14ac:dyDescent="0.25">
      <c r="A153" s="60" t="s">
        <v>2591</v>
      </c>
      <c r="B153" t="str">
        <f>findKey(supplementary_offering_legacyid[[#This Row],[Produccion]])</f>
        <v>100012-74</v>
      </c>
      <c r="C153" s="61" t="s">
        <v>2592</v>
      </c>
      <c r="D153" t="s">
        <v>2593</v>
      </c>
      <c r="E153" t="s">
        <v>2329</v>
      </c>
      <c r="F153" t="str">
        <f>ToJsonArray(supplementary_offering_legacyid[[#Headers],[offeringid]:[mode]],supplementary_offering_legacyid[[#This Row],[offeringid]:[mode]])</f>
        <v>{"offeringid":"910001274","name":"Voz-TD-12000s_910001274","mode":"N"}</v>
      </c>
      <c r="G153" t="str">
        <f>ToJsonArray(supplementary_offering_legacyid[[#This Row],[Semilla04]],supplementary_offering_legacyid[[#This Row],[Json]])</f>
        <v>{"100012-74":{"offeringid":"910001274","name":"Voz-TD-12000s_910001274","mode":"N"}}</v>
      </c>
    </row>
    <row r="154" spans="1:7" x14ac:dyDescent="0.25">
      <c r="A154" s="60" t="s">
        <v>2594</v>
      </c>
      <c r="B154" t="str">
        <f>findKey(supplementary_offering_legacyid[[#This Row],[Produccion]])</f>
        <v>100012-75</v>
      </c>
      <c r="C154" s="61" t="s">
        <v>2595</v>
      </c>
      <c r="D154" t="s">
        <v>2596</v>
      </c>
      <c r="E154" t="s">
        <v>2329</v>
      </c>
      <c r="F154" t="str">
        <f>ToJsonArray(supplementary_offering_legacyid[[#Headers],[offeringid]:[mode]],supplementary_offering_legacyid[[#This Row],[offeringid]:[mode]])</f>
        <v>{"offeringid":"910001275","name":"Voz-TD-12000s_910001275","mode":"N"}</v>
      </c>
      <c r="G154" t="str">
        <f>ToJsonArray(supplementary_offering_legacyid[[#This Row],[Semilla04]],supplementary_offering_legacyid[[#This Row],[Json]])</f>
        <v>{"100012-75":{"offeringid":"910001275","name":"Voz-TD-12000s_910001275","mode":"N"}}</v>
      </c>
    </row>
    <row r="155" spans="1:7" x14ac:dyDescent="0.25">
      <c r="A155" s="60" t="s">
        <v>2597</v>
      </c>
      <c r="B155" t="str">
        <f>findKey(supplementary_offering_legacyid[[#This Row],[Produccion]])</f>
        <v>100101-00</v>
      </c>
      <c r="C155" s="61" t="s">
        <v>2598</v>
      </c>
      <c r="D155" t="s">
        <v>2599</v>
      </c>
      <c r="E155" t="s">
        <v>2189</v>
      </c>
      <c r="F155" t="str">
        <f>ToJsonArray(supplementary_offering_legacyid[[#Headers],[offeringid]:[mode]],supplementary_offering_legacyid[[#This Row],[offeringid]:[mode]])</f>
        <v>{"offeringid":"910010100","name":"Voz - OnNet - Regalo 0_910010100","mode":"I"}</v>
      </c>
      <c r="G155" t="str">
        <f>ToJsonArray(supplementary_offering_legacyid[[#This Row],[Semilla04]],supplementary_offering_legacyid[[#This Row],[Json]])</f>
        <v>{"100101-00":{"offeringid":"910010100","name":"Voz - OnNet - Regalo 0_910010100","mode":"I"}}</v>
      </c>
    </row>
    <row r="156" spans="1:7" x14ac:dyDescent="0.25">
      <c r="A156" s="60" t="s">
        <v>2600</v>
      </c>
      <c r="B156" t="str">
        <f>findKey(supplementary_offering_legacyid[[#This Row],[Produccion]])</f>
        <v>100149-11</v>
      </c>
      <c r="C156" s="61" t="s">
        <v>2601</v>
      </c>
      <c r="D156" t="s">
        <v>2602</v>
      </c>
      <c r="E156" t="s">
        <v>2329</v>
      </c>
      <c r="F156" t="str">
        <f>ToJsonArray(supplementary_offering_legacyid[[#Headers],[offeringid]:[mode]],supplementary_offering_legacyid[[#This Row],[offeringid]:[mode]])</f>
        <v>{"offeringid":"910014911","name":"Voz-LDI G1y2-600s_910014911","mode":"N"}</v>
      </c>
      <c r="G156" t="str">
        <f>ToJsonArray(supplementary_offering_legacyid[[#This Row],[Semilla04]],supplementary_offering_legacyid[[#This Row],[Json]])</f>
        <v>{"100149-11":{"offeringid":"910014911","name":"Voz-LDI G1y2-600s_910014911","mode":"N"}}</v>
      </c>
    </row>
    <row r="157" spans="1:7" x14ac:dyDescent="0.25">
      <c r="A157" s="60" t="s">
        <v>2603</v>
      </c>
      <c r="B157" t="str">
        <f>findKey(supplementary_offering_legacyid[[#This Row],[Produccion]])</f>
        <v>200001-14</v>
      </c>
      <c r="C157" s="61" t="s">
        <v>2604</v>
      </c>
      <c r="D157" t="s">
        <v>2605</v>
      </c>
      <c r="E157" t="s">
        <v>2329</v>
      </c>
      <c r="F157" t="str">
        <f>ToJsonArray(supplementary_offering_legacyid[[#Headers],[offeringid]:[mode]],supplementary_offering_legacyid[[#This Row],[offeringid]:[mode]])</f>
        <v>{"offeringid":"920000114","name":"Data 5Gb_920000114","mode":"N"}</v>
      </c>
      <c r="G157" t="str">
        <f>ToJsonArray(supplementary_offering_legacyid[[#This Row],[Semilla04]],supplementary_offering_legacyid[[#This Row],[Json]])</f>
        <v>{"200001-14":{"offeringid":"920000114","name":"Data 5Gb_920000114","mode":"N"}}</v>
      </c>
    </row>
    <row r="158" spans="1:7" x14ac:dyDescent="0.25">
      <c r="A158" s="60" t="s">
        <v>2606</v>
      </c>
      <c r="B158" t="str">
        <f>findKey(supplementary_offering_legacyid[[#This Row],[Produccion]])</f>
        <v>200001-20</v>
      </c>
      <c r="C158" s="61" t="s">
        <v>2607</v>
      </c>
      <c r="D158" t="s">
        <v>2608</v>
      </c>
      <c r="E158" t="s">
        <v>2329</v>
      </c>
      <c r="F158" t="str">
        <f>ToJsonArray(supplementary_offering_legacyid[[#Headers],[offeringid]:[mode]],supplementary_offering_legacyid[[#This Row],[offeringid]:[mode]])</f>
        <v>{"offeringid":"920000120","name":"Data 2.5Gb_920000120","mode":"N"}</v>
      </c>
      <c r="G158" t="str">
        <f>ToJsonArray(supplementary_offering_legacyid[[#This Row],[Semilla04]],supplementary_offering_legacyid[[#This Row],[Json]])</f>
        <v>{"200001-20":{"offeringid":"920000120","name":"Data 2.5Gb_920000120","mode":"N"}}</v>
      </c>
    </row>
    <row r="159" spans="1:7" x14ac:dyDescent="0.25">
      <c r="A159" s="60" t="s">
        <v>2609</v>
      </c>
      <c r="B159" t="str">
        <f>findKey(supplementary_offering_legacyid[[#This Row],[Produccion]])</f>
        <v>200001-22</v>
      </c>
      <c r="C159" s="61" t="s">
        <v>2610</v>
      </c>
      <c r="D159" t="s">
        <v>2611</v>
      </c>
      <c r="E159" t="s">
        <v>2329</v>
      </c>
      <c r="F159" t="str">
        <f>ToJsonArray(supplementary_offering_legacyid[[#Headers],[offeringid]:[mode]],supplementary_offering_legacyid[[#This Row],[offeringid]:[mode]])</f>
        <v>{"offeringid":"920000122","name":"Data 6Gb_920000122","mode":"N"}</v>
      </c>
      <c r="G159" t="str">
        <f>ToJsonArray(supplementary_offering_legacyid[[#This Row],[Semilla04]],supplementary_offering_legacyid[[#This Row],[Json]])</f>
        <v>{"200001-22":{"offeringid":"920000122","name":"Data 6Gb_920000122","mode":"N"}}</v>
      </c>
    </row>
    <row r="160" spans="1:7" x14ac:dyDescent="0.25">
      <c r="A160" s="60" t="s">
        <v>2612</v>
      </c>
      <c r="B160" t="str">
        <f>findKey(supplementary_offering_legacyid[[#This Row],[Produccion]])</f>
        <v>200001-23</v>
      </c>
      <c r="C160" s="61" t="s">
        <v>2613</v>
      </c>
      <c r="D160" t="s">
        <v>2614</v>
      </c>
      <c r="E160" t="s">
        <v>2329</v>
      </c>
      <c r="F160" t="str">
        <f>ToJsonArray(supplementary_offering_legacyid[[#Headers],[offeringid]:[mode]],supplementary_offering_legacyid[[#This Row],[offeringid]:[mode]])</f>
        <v>{"offeringid":"920000123","name":"Data 8Gb_920000123","mode":"N"}</v>
      </c>
      <c r="G160" t="str">
        <f>ToJsonArray(supplementary_offering_legacyid[[#This Row],[Semilla04]],supplementary_offering_legacyid[[#This Row],[Json]])</f>
        <v>{"200001-23":{"offeringid":"920000123","name":"Data 8Gb_920000123","mode":"N"}}</v>
      </c>
    </row>
    <row r="161" spans="1:7" x14ac:dyDescent="0.25">
      <c r="A161" s="60" t="s">
        <v>2615</v>
      </c>
      <c r="B161" t="str">
        <f>findKey(supplementary_offering_legacyid[[#This Row],[Produccion]])</f>
        <v>200001-28</v>
      </c>
      <c r="C161" s="61" t="s">
        <v>2616</v>
      </c>
      <c r="D161" t="s">
        <v>2617</v>
      </c>
      <c r="E161" t="s">
        <v>2329</v>
      </c>
      <c r="F161" t="str">
        <f>ToJsonArray(supplementary_offering_legacyid[[#Headers],[offeringid]:[mode]],supplementary_offering_legacyid[[#This Row],[offeringid]:[mode]])</f>
        <v>{"offeringid":"920000128","name":"Data 1GB_920000128","mode":"N"}</v>
      </c>
      <c r="G161" t="str">
        <f>ToJsonArray(supplementary_offering_legacyid[[#This Row],[Semilla04]],supplementary_offering_legacyid[[#This Row],[Json]])</f>
        <v>{"200001-28":{"offeringid":"920000128","name":"Data 1GB_920000128","mode":"N"}}</v>
      </c>
    </row>
    <row r="162" spans="1:7" x14ac:dyDescent="0.25">
      <c r="A162" s="60" t="s">
        <v>2618</v>
      </c>
      <c r="B162" t="str">
        <f>findKey(supplementary_offering_legacyid[[#This Row],[Produccion]])</f>
        <v>200001-29</v>
      </c>
      <c r="C162" s="61" t="s">
        <v>2619</v>
      </c>
      <c r="D162" t="s">
        <v>2620</v>
      </c>
      <c r="E162" t="s">
        <v>2329</v>
      </c>
      <c r="F162" t="str">
        <f>ToJsonArray(supplementary_offering_legacyid[[#Headers],[offeringid]:[mode]],supplementary_offering_legacyid[[#This Row],[offeringid]:[mode]])</f>
        <v>{"offeringid":"920000129","name":"Data 1.5GB_920000129","mode":"N"}</v>
      </c>
      <c r="G162" t="str">
        <f>ToJsonArray(supplementary_offering_legacyid[[#This Row],[Semilla04]],supplementary_offering_legacyid[[#This Row],[Json]])</f>
        <v>{"200001-29":{"offeringid":"920000129","name":"Data 1.5GB_920000129","mode":"N"}}</v>
      </c>
    </row>
    <row r="163" spans="1:7" x14ac:dyDescent="0.25">
      <c r="A163" s="60" t="s">
        <v>2621</v>
      </c>
      <c r="B163" t="str">
        <f>findKey(supplementary_offering_legacyid[[#This Row],[Produccion]])</f>
        <v>200001-30</v>
      </c>
      <c r="C163" s="61" t="s">
        <v>2622</v>
      </c>
      <c r="D163" t="s">
        <v>2623</v>
      </c>
      <c r="E163" t="s">
        <v>2329</v>
      </c>
      <c r="F163" t="str">
        <f>ToJsonArray(supplementary_offering_legacyid[[#Headers],[offeringid]:[mode]],supplementary_offering_legacyid[[#This Row],[offeringid]:[mode]])</f>
        <v>{"offeringid":"920000130","name":"Data 2.5GB_920000130","mode":"N"}</v>
      </c>
      <c r="G163" t="str">
        <f>ToJsonArray(supplementary_offering_legacyid[[#This Row],[Semilla04]],supplementary_offering_legacyid[[#This Row],[Json]])</f>
        <v>{"200001-30":{"offeringid":"920000130","name":"Data 2.5GB_920000130","mode":"N"}}</v>
      </c>
    </row>
    <row r="164" spans="1:7" x14ac:dyDescent="0.25">
      <c r="A164" s="60" t="s">
        <v>2624</v>
      </c>
      <c r="B164" t="str">
        <f>findKey(supplementary_offering_legacyid[[#This Row],[Produccion]])</f>
        <v>200001-34</v>
      </c>
      <c r="C164" s="61" t="s">
        <v>2625</v>
      </c>
      <c r="D164" t="s">
        <v>2626</v>
      </c>
      <c r="E164" t="s">
        <v>2329</v>
      </c>
      <c r="F164" t="str">
        <f>ToJsonArray(supplementary_offering_legacyid[[#Headers],[offeringid]:[mode]],supplementary_offering_legacyid[[#This Row],[offeringid]:[mode]])</f>
        <v>{"offeringid":"920000134","name":"Data 4.2GB_920000134","mode":"N"}</v>
      </c>
      <c r="G164" t="str">
        <f>ToJsonArray(supplementary_offering_legacyid[[#This Row],[Semilla04]],supplementary_offering_legacyid[[#This Row],[Json]])</f>
        <v>{"200001-34":{"offeringid":"920000134","name":"Data 4.2GB_920000134","mode":"N"}}</v>
      </c>
    </row>
    <row r="165" spans="1:7" x14ac:dyDescent="0.25">
      <c r="A165" s="60" t="s">
        <v>2627</v>
      </c>
      <c r="B165" t="str">
        <f>findKey(supplementary_offering_legacyid[[#This Row],[Produccion]])</f>
        <v>200001-35</v>
      </c>
      <c r="C165" s="61" t="s">
        <v>2628</v>
      </c>
      <c r="D165" t="s">
        <v>2629</v>
      </c>
      <c r="E165" t="s">
        <v>2329</v>
      </c>
      <c r="F165" t="str">
        <f>ToJsonArray(supplementary_offering_legacyid[[#Headers],[offeringid]:[mode]],supplementary_offering_legacyid[[#This Row],[offeringid]:[mode]])</f>
        <v>{"offeringid":"920000135","name":"Data 5.2GB_920000135","mode":"N"}</v>
      </c>
      <c r="G165" t="str">
        <f>ToJsonArray(supplementary_offering_legacyid[[#This Row],[Semilla04]],supplementary_offering_legacyid[[#This Row],[Json]])</f>
        <v>{"200001-35":{"offeringid":"920000135","name":"Data 5.2GB_920000135","mode":"N"}}</v>
      </c>
    </row>
    <row r="166" spans="1:7" x14ac:dyDescent="0.25">
      <c r="A166" s="60" t="s">
        <v>2630</v>
      </c>
      <c r="B166" t="str">
        <f>findKey(supplementary_offering_legacyid[[#This Row],[Produccion]])</f>
        <v>200001-36</v>
      </c>
      <c r="C166" s="61" t="s">
        <v>2631</v>
      </c>
      <c r="D166" t="s">
        <v>2632</v>
      </c>
      <c r="E166" t="s">
        <v>2329</v>
      </c>
      <c r="F166" t="str">
        <f>ToJsonArray(supplementary_offering_legacyid[[#Headers],[offeringid]:[mode]],supplementary_offering_legacyid[[#This Row],[offeringid]:[mode]])</f>
        <v>{"offeringid":"920000136","name":"Data 3.5GB_920000136","mode":"N"}</v>
      </c>
      <c r="G166" t="str">
        <f>ToJsonArray(supplementary_offering_legacyid[[#This Row],[Semilla04]],supplementary_offering_legacyid[[#This Row],[Json]])</f>
        <v>{"200001-36":{"offeringid":"920000136","name":"Data 3.5GB_920000136","mode":"N"}}</v>
      </c>
    </row>
    <row r="167" spans="1:7" x14ac:dyDescent="0.25">
      <c r="A167" s="60" t="s">
        <v>2633</v>
      </c>
      <c r="B167" t="str">
        <f>findKey(supplementary_offering_legacyid[[#This Row],[Produccion]])</f>
        <v>200001-37</v>
      </c>
      <c r="C167" s="61" t="s">
        <v>2634</v>
      </c>
      <c r="D167" t="s">
        <v>2635</v>
      </c>
      <c r="E167" t="s">
        <v>2329</v>
      </c>
      <c r="F167" t="str">
        <f>ToJsonArray(supplementary_offering_legacyid[[#Headers],[offeringid]:[mode]],supplementary_offering_legacyid[[#This Row],[offeringid]:[mode]])</f>
        <v>{"offeringid":"920000137","name":"Data 2 GB_920000137","mode":"N"}</v>
      </c>
      <c r="G167" t="str">
        <f>ToJsonArray(supplementary_offering_legacyid[[#This Row],[Semilla04]],supplementary_offering_legacyid[[#This Row],[Json]])</f>
        <v>{"200001-37":{"offeringid":"920000137","name":"Data 2 GB_920000137","mode":"N"}}</v>
      </c>
    </row>
    <row r="168" spans="1:7" x14ac:dyDescent="0.25">
      <c r="A168" s="60" t="s">
        <v>2636</v>
      </c>
      <c r="B168" t="str">
        <f>findKey(supplementary_offering_legacyid[[#This Row],[Produccion]])</f>
        <v>200001-48</v>
      </c>
      <c r="C168" s="61" t="s">
        <v>2637</v>
      </c>
      <c r="D168" t="s">
        <v>2638</v>
      </c>
      <c r="E168" t="s">
        <v>2329</v>
      </c>
      <c r="F168" t="str">
        <f>ToJsonArray(supplementary_offering_legacyid[[#Headers],[offeringid]:[mode]],supplementary_offering_legacyid[[#This Row],[offeringid]:[mode]])</f>
        <v>{"offeringid":"920000148","name":"Data Unlimited_920000148","mode":"N"}</v>
      </c>
      <c r="G168" t="str">
        <f>ToJsonArray(supplementary_offering_legacyid[[#This Row],[Semilla04]],supplementary_offering_legacyid[[#This Row],[Json]])</f>
        <v>{"200001-48":{"offeringid":"920000148","name":"Data Unlimited_920000148","mode":"N"}}</v>
      </c>
    </row>
    <row r="169" spans="1:7" x14ac:dyDescent="0.25">
      <c r="A169" s="60" t="s">
        <v>2639</v>
      </c>
      <c r="B169" t="str">
        <f>findKey(supplementary_offering_legacyid[[#This Row],[Produccion]])</f>
        <v>200001-52</v>
      </c>
      <c r="C169" s="61" t="s">
        <v>2640</v>
      </c>
      <c r="D169" t="s">
        <v>2641</v>
      </c>
      <c r="E169" t="s">
        <v>2329</v>
      </c>
      <c r="F169" t="str">
        <f>ToJsonArray(supplementary_offering_legacyid[[#Headers],[offeringid]:[mode]],supplementary_offering_legacyid[[#This Row],[offeringid]:[mode]])</f>
        <v>{"offeringid":"920000152","name":"Data 500 MB_920000152","mode":"N"}</v>
      </c>
      <c r="G169" t="str">
        <f>ToJsonArray(supplementary_offering_legacyid[[#This Row],[Semilla04]],supplementary_offering_legacyid[[#This Row],[Json]])</f>
        <v>{"200001-52":{"offeringid":"920000152","name":"Data 500 MB_920000152","mode":"N"}}</v>
      </c>
    </row>
    <row r="170" spans="1:7" x14ac:dyDescent="0.25">
      <c r="A170" s="60" t="s">
        <v>2642</v>
      </c>
      <c r="B170" t="str">
        <f>findKey(supplementary_offering_legacyid[[#This Row],[Produccion]])</f>
        <v>200001-54</v>
      </c>
      <c r="C170" s="61" t="s">
        <v>2643</v>
      </c>
      <c r="D170" t="s">
        <v>2644</v>
      </c>
      <c r="E170" t="s">
        <v>2329</v>
      </c>
      <c r="F170" t="str">
        <f>ToJsonArray(supplementary_offering_legacyid[[#Headers],[offeringid]:[mode]],supplementary_offering_legacyid[[#This Row],[offeringid]:[mode]])</f>
        <v>{"offeringid":"920000154","name":"Data 1 GB_920000154","mode":"N"}</v>
      </c>
      <c r="G170" t="str">
        <f>ToJsonArray(supplementary_offering_legacyid[[#This Row],[Semilla04]],supplementary_offering_legacyid[[#This Row],[Json]])</f>
        <v>{"200001-54":{"offeringid":"920000154","name":"Data 1 GB_920000154","mode":"N"}}</v>
      </c>
    </row>
    <row r="171" spans="1:7" x14ac:dyDescent="0.25">
      <c r="A171" s="60" t="s">
        <v>2645</v>
      </c>
      <c r="B171" t="str">
        <f>findKey(supplementary_offering_legacyid[[#This Row],[Produccion]])</f>
        <v>200001-55</v>
      </c>
      <c r="C171" s="61" t="s">
        <v>2646</v>
      </c>
      <c r="D171" t="s">
        <v>2647</v>
      </c>
      <c r="E171" t="s">
        <v>2329</v>
      </c>
      <c r="F171" t="str">
        <f>ToJsonArray(supplementary_offering_legacyid[[#Headers],[offeringid]:[mode]],supplementary_offering_legacyid[[#This Row],[offeringid]:[mode]])</f>
        <v>{"offeringid":"920000155","name":"Data 1 GB_920000155","mode":"N"}</v>
      </c>
      <c r="G171" t="str">
        <f>ToJsonArray(supplementary_offering_legacyid[[#This Row],[Semilla04]],supplementary_offering_legacyid[[#This Row],[Json]])</f>
        <v>{"200001-55":{"offeringid":"920000155","name":"Data 1 GB_920000155","mode":"N"}}</v>
      </c>
    </row>
    <row r="172" spans="1:7" x14ac:dyDescent="0.25">
      <c r="A172" s="60" t="s">
        <v>2648</v>
      </c>
      <c r="B172" t="str">
        <f>findKey(supplementary_offering_legacyid[[#This Row],[Produccion]])</f>
        <v>200001-56</v>
      </c>
      <c r="C172" s="61" t="s">
        <v>2649</v>
      </c>
      <c r="D172" t="s">
        <v>2650</v>
      </c>
      <c r="E172" t="s">
        <v>2329</v>
      </c>
      <c r="F172" t="str">
        <f>ToJsonArray(supplementary_offering_legacyid[[#Headers],[offeringid]:[mode]],supplementary_offering_legacyid[[#This Row],[offeringid]:[mode]])</f>
        <v>{"offeringid":"920000156","name":"Data 1.5GB_920000156","mode":"N"}</v>
      </c>
      <c r="G172" t="str">
        <f>ToJsonArray(supplementary_offering_legacyid[[#This Row],[Semilla04]],supplementary_offering_legacyid[[#This Row],[Json]])</f>
        <v>{"200001-56":{"offeringid":"920000156","name":"Data 1.5GB_920000156","mode":"N"}}</v>
      </c>
    </row>
    <row r="173" spans="1:7" x14ac:dyDescent="0.25">
      <c r="A173" s="60" t="s">
        <v>2651</v>
      </c>
      <c r="B173" t="str">
        <f>findKey(supplementary_offering_legacyid[[#This Row],[Produccion]])</f>
        <v>200001-58</v>
      </c>
      <c r="C173" s="61" t="s">
        <v>2652</v>
      </c>
      <c r="D173" t="s">
        <v>2653</v>
      </c>
      <c r="E173" t="s">
        <v>2329</v>
      </c>
      <c r="F173" t="str">
        <f>ToJsonArray(supplementary_offering_legacyid[[#Headers],[offeringid]:[mode]],supplementary_offering_legacyid[[#This Row],[offeringid]:[mode]])</f>
        <v>{"offeringid":"920000158","name":"Data 2GB_920000158","mode":"N"}</v>
      </c>
      <c r="G173" t="str">
        <f>ToJsonArray(supplementary_offering_legacyid[[#This Row],[Semilla04]],supplementary_offering_legacyid[[#This Row],[Json]])</f>
        <v>{"200001-58":{"offeringid":"920000158","name":"Data 2GB_920000158","mode":"N"}}</v>
      </c>
    </row>
    <row r="174" spans="1:7" x14ac:dyDescent="0.25">
      <c r="A174" s="60" t="s">
        <v>2654</v>
      </c>
      <c r="B174" t="str">
        <f>findKey(supplementary_offering_legacyid[[#This Row],[Produccion]])</f>
        <v>200001-60</v>
      </c>
      <c r="C174" s="61" t="s">
        <v>2655</v>
      </c>
      <c r="D174" t="s">
        <v>2656</v>
      </c>
      <c r="E174" t="s">
        <v>2329</v>
      </c>
      <c r="F174" t="str">
        <f>ToJsonArray(supplementary_offering_legacyid[[#Headers],[offeringid]:[mode]],supplementary_offering_legacyid[[#This Row],[offeringid]:[mode]])</f>
        <v>{"offeringid":"920000160","name":"Data 2GB_920000160","mode":"N"}</v>
      </c>
      <c r="G174" t="str">
        <f>ToJsonArray(supplementary_offering_legacyid[[#This Row],[Semilla04]],supplementary_offering_legacyid[[#This Row],[Json]])</f>
        <v>{"200001-60":{"offeringid":"920000160","name":"Data 2GB_920000160","mode":"N"}}</v>
      </c>
    </row>
    <row r="175" spans="1:7" x14ac:dyDescent="0.25">
      <c r="A175" s="60" t="s">
        <v>2657</v>
      </c>
      <c r="B175" t="str">
        <f>findKey(supplementary_offering_legacyid[[#This Row],[Produccion]])</f>
        <v>200001-61</v>
      </c>
      <c r="C175" s="61" t="s">
        <v>2658</v>
      </c>
      <c r="D175" t="s">
        <v>2659</v>
      </c>
      <c r="E175" t="s">
        <v>2329</v>
      </c>
      <c r="F175" t="str">
        <f>ToJsonArray(supplementary_offering_legacyid[[#Headers],[offeringid]:[mode]],supplementary_offering_legacyid[[#This Row],[offeringid]:[mode]])</f>
        <v>{"offeringid":"920000161","name":"Data 3GB_920000161","mode":"N"}</v>
      </c>
      <c r="G175" t="str">
        <f>ToJsonArray(supplementary_offering_legacyid[[#This Row],[Semilla04]],supplementary_offering_legacyid[[#This Row],[Json]])</f>
        <v>{"200001-61":{"offeringid":"920000161","name":"Data 3GB_920000161","mode":"N"}}</v>
      </c>
    </row>
    <row r="176" spans="1:7" x14ac:dyDescent="0.25">
      <c r="A176" s="60" t="s">
        <v>2660</v>
      </c>
      <c r="B176" t="str">
        <f>findKey(supplementary_offering_legacyid[[#This Row],[Produccion]])</f>
        <v>200001-62</v>
      </c>
      <c r="C176" s="61" t="s">
        <v>2661</v>
      </c>
      <c r="D176" t="s">
        <v>2662</v>
      </c>
      <c r="E176" t="s">
        <v>2329</v>
      </c>
      <c r="F176" t="str">
        <f>ToJsonArray(supplementary_offering_legacyid[[#Headers],[offeringid]:[mode]],supplementary_offering_legacyid[[#This Row],[offeringid]:[mode]])</f>
        <v>{"offeringid":"920000162","name":"Data 2.5GB_920000162","mode":"N"}</v>
      </c>
      <c r="G176" t="str">
        <f>ToJsonArray(supplementary_offering_legacyid[[#This Row],[Semilla04]],supplementary_offering_legacyid[[#This Row],[Json]])</f>
        <v>{"200001-62":{"offeringid":"920000162","name":"Data 2.5GB_920000162","mode":"N"}}</v>
      </c>
    </row>
    <row r="177" spans="1:7" x14ac:dyDescent="0.25">
      <c r="A177" s="60" t="s">
        <v>2663</v>
      </c>
      <c r="B177" t="str">
        <f>findKey(supplementary_offering_legacyid[[#This Row],[Produccion]])</f>
        <v>200001-65</v>
      </c>
      <c r="C177" s="61" t="s">
        <v>2664</v>
      </c>
      <c r="D177" t="s">
        <v>2665</v>
      </c>
      <c r="E177" t="s">
        <v>2329</v>
      </c>
      <c r="F177" t="str">
        <f>ToJsonArray(supplementary_offering_legacyid[[#Headers],[offeringid]:[mode]],supplementary_offering_legacyid[[#This Row],[offeringid]:[mode]])</f>
        <v>{"offeringid":"920000165","name":"Data 3.5GB_920000165","mode":"N"}</v>
      </c>
      <c r="G177" t="str">
        <f>ToJsonArray(supplementary_offering_legacyid[[#This Row],[Semilla04]],supplementary_offering_legacyid[[#This Row],[Json]])</f>
        <v>{"200001-65":{"offeringid":"920000165","name":"Data 3.5GB_920000165","mode":"N"}}</v>
      </c>
    </row>
    <row r="178" spans="1:7" x14ac:dyDescent="0.25">
      <c r="A178" s="60" t="s">
        <v>2666</v>
      </c>
      <c r="B178" t="str">
        <f>findKey(supplementary_offering_legacyid[[#This Row],[Produccion]])</f>
        <v>200001-66</v>
      </c>
      <c r="C178" s="61" t="s">
        <v>2667</v>
      </c>
      <c r="D178" t="s">
        <v>2668</v>
      </c>
      <c r="E178" t="s">
        <v>2329</v>
      </c>
      <c r="F178" t="str">
        <f>ToJsonArray(supplementary_offering_legacyid[[#Headers],[offeringid]:[mode]],supplementary_offering_legacyid[[#This Row],[offeringid]:[mode]])</f>
        <v>{"offeringid":"920000166","name":"Data 3GB_920000166","mode":"N"}</v>
      </c>
      <c r="G178" t="str">
        <f>ToJsonArray(supplementary_offering_legacyid[[#This Row],[Semilla04]],supplementary_offering_legacyid[[#This Row],[Json]])</f>
        <v>{"200001-66":{"offeringid":"920000166","name":"Data 3GB_920000166","mode":"N"}}</v>
      </c>
    </row>
    <row r="179" spans="1:7" x14ac:dyDescent="0.25">
      <c r="A179" s="60" t="s">
        <v>2669</v>
      </c>
      <c r="B179" t="str">
        <f>findKey(supplementary_offering_legacyid[[#This Row],[Produccion]])</f>
        <v>200001-68</v>
      </c>
      <c r="C179" s="61" t="s">
        <v>2670</v>
      </c>
      <c r="D179" t="s">
        <v>2671</v>
      </c>
      <c r="E179" t="s">
        <v>2329</v>
      </c>
      <c r="F179" t="str">
        <f>ToJsonArray(supplementary_offering_legacyid[[#Headers],[offeringid]:[mode]],supplementary_offering_legacyid[[#This Row],[offeringid]:[mode]])</f>
        <v>{"offeringid":"920000168","name":"Data 4GB_920000168","mode":"N"}</v>
      </c>
      <c r="G179" t="str">
        <f>ToJsonArray(supplementary_offering_legacyid[[#This Row],[Semilla04]],supplementary_offering_legacyid[[#This Row],[Json]])</f>
        <v>{"200001-68":{"offeringid":"920000168","name":"Data 4GB_920000168","mode":"N"}}</v>
      </c>
    </row>
    <row r="180" spans="1:7" x14ac:dyDescent="0.25">
      <c r="A180" s="60" t="s">
        <v>2672</v>
      </c>
      <c r="B180" t="str">
        <f>findKey(supplementary_offering_legacyid[[#This Row],[Produccion]])</f>
        <v>200001-69</v>
      </c>
      <c r="C180" s="61" t="s">
        <v>2673</v>
      </c>
      <c r="D180" t="s">
        <v>2674</v>
      </c>
      <c r="E180" t="s">
        <v>2329</v>
      </c>
      <c r="F180" t="str">
        <f>ToJsonArray(supplementary_offering_legacyid[[#Headers],[offeringid]:[mode]],supplementary_offering_legacyid[[#This Row],[offeringid]:[mode]])</f>
        <v>{"offeringid":"920000169","name":"Data 4GB_920000169","mode":"N"}</v>
      </c>
      <c r="G180" t="str">
        <f>ToJsonArray(supplementary_offering_legacyid[[#This Row],[Semilla04]],supplementary_offering_legacyid[[#This Row],[Json]])</f>
        <v>{"200001-69":{"offeringid":"920000169","name":"Data 4GB_920000169","mode":"N"}}</v>
      </c>
    </row>
    <row r="181" spans="1:7" x14ac:dyDescent="0.25">
      <c r="A181" s="60" t="s">
        <v>2675</v>
      </c>
      <c r="B181" t="str">
        <f>findKey(supplementary_offering_legacyid[[#This Row],[Produccion]])</f>
        <v>200001-70</v>
      </c>
      <c r="C181" s="61" t="s">
        <v>2676</v>
      </c>
      <c r="D181" t="s">
        <v>2677</v>
      </c>
      <c r="E181" t="s">
        <v>2329</v>
      </c>
      <c r="F181" t="str">
        <f>ToJsonArray(supplementary_offering_legacyid[[#Headers],[offeringid]:[mode]],supplementary_offering_legacyid[[#This Row],[offeringid]:[mode]])</f>
        <v>{"offeringid":"920000170","name":"Data 5GB_920000170","mode":"N"}</v>
      </c>
      <c r="G181" t="str">
        <f>ToJsonArray(supplementary_offering_legacyid[[#This Row],[Semilla04]],supplementary_offering_legacyid[[#This Row],[Json]])</f>
        <v>{"200001-70":{"offeringid":"920000170","name":"Data 5GB_920000170","mode":"N"}}</v>
      </c>
    </row>
    <row r="182" spans="1:7" x14ac:dyDescent="0.25">
      <c r="A182" s="60" t="s">
        <v>2678</v>
      </c>
      <c r="B182" t="str">
        <f>findKey(supplementary_offering_legacyid[[#This Row],[Produccion]])</f>
        <v>200001-71</v>
      </c>
      <c r="C182" s="61" t="s">
        <v>2679</v>
      </c>
      <c r="D182" t="s">
        <v>2680</v>
      </c>
      <c r="E182" t="s">
        <v>2329</v>
      </c>
      <c r="F182" t="str">
        <f>ToJsonArray(supplementary_offering_legacyid[[#Headers],[offeringid]:[mode]],supplementary_offering_legacyid[[#This Row],[offeringid]:[mode]])</f>
        <v>{"offeringid":"920000171","name":"Data 5.5GB_920000171","mode":"N"}</v>
      </c>
      <c r="G182" t="str">
        <f>ToJsonArray(supplementary_offering_legacyid[[#This Row],[Semilla04]],supplementary_offering_legacyid[[#This Row],[Json]])</f>
        <v>{"200001-71":{"offeringid":"920000171","name":"Data 5.5GB_920000171","mode":"N"}}</v>
      </c>
    </row>
    <row r="183" spans="1:7" x14ac:dyDescent="0.25">
      <c r="A183" s="60" t="s">
        <v>2681</v>
      </c>
      <c r="B183" t="str">
        <f>findKey(supplementary_offering_legacyid[[#This Row],[Produccion]])</f>
        <v>200001-72</v>
      </c>
      <c r="C183" s="61" t="s">
        <v>2682</v>
      </c>
      <c r="D183" t="s">
        <v>2683</v>
      </c>
      <c r="E183" t="s">
        <v>2329</v>
      </c>
      <c r="F183" t="str">
        <f>ToJsonArray(supplementary_offering_legacyid[[#Headers],[offeringid]:[mode]],supplementary_offering_legacyid[[#This Row],[offeringid]:[mode]])</f>
        <v>{"offeringid":"920000172","name":"Data 6.5GB_920000172","mode":"N"}</v>
      </c>
      <c r="G183" t="str">
        <f>ToJsonArray(supplementary_offering_legacyid[[#This Row],[Semilla04]],supplementary_offering_legacyid[[#This Row],[Json]])</f>
        <v>{"200001-72":{"offeringid":"920000172","name":"Data 6.5GB_920000172","mode":"N"}}</v>
      </c>
    </row>
    <row r="184" spans="1:7" x14ac:dyDescent="0.25">
      <c r="A184" s="60" t="s">
        <v>2684</v>
      </c>
      <c r="B184" t="str">
        <f>findKey(supplementary_offering_legacyid[[#This Row],[Produccion]])</f>
        <v>200001-74</v>
      </c>
      <c r="C184" s="61" t="s">
        <v>2685</v>
      </c>
      <c r="D184" t="s">
        <v>2686</v>
      </c>
      <c r="E184" t="s">
        <v>2329</v>
      </c>
      <c r="F184" t="str">
        <f>ToJsonArray(supplementary_offering_legacyid[[#Headers],[offeringid]:[mode]],supplementary_offering_legacyid[[#This Row],[offeringid]:[mode]])</f>
        <v>{"offeringid":"920000174","name":"Data 800MB_920000174","mode":"N"}</v>
      </c>
      <c r="G184" t="str">
        <f>ToJsonArray(supplementary_offering_legacyid[[#This Row],[Semilla04]],supplementary_offering_legacyid[[#This Row],[Json]])</f>
        <v>{"200001-74":{"offeringid":"920000174","name":"Data 800MB_920000174","mode":"N"}}</v>
      </c>
    </row>
    <row r="185" spans="1:7" x14ac:dyDescent="0.25">
      <c r="A185" s="60" t="s">
        <v>2687</v>
      </c>
      <c r="B185" t="str">
        <f>findKey(supplementary_offering_legacyid[[#This Row],[Produccion]])</f>
        <v>200001-75</v>
      </c>
      <c r="C185" s="61" t="s">
        <v>2688</v>
      </c>
      <c r="D185" t="s">
        <v>2689</v>
      </c>
      <c r="E185" t="s">
        <v>2329</v>
      </c>
      <c r="F185" t="str">
        <f>ToJsonArray(supplementary_offering_legacyid[[#Headers],[offeringid]:[mode]],supplementary_offering_legacyid[[#This Row],[offeringid]:[mode]])</f>
        <v>{"offeringid":"920000175","name":"Data 1.5GB_920000175","mode":"N"}</v>
      </c>
      <c r="G185" t="str">
        <f>ToJsonArray(supplementary_offering_legacyid[[#This Row],[Semilla04]],supplementary_offering_legacyid[[#This Row],[Json]])</f>
        <v>{"200001-75":{"offeringid":"920000175","name":"Data 1.5GB_920000175","mode":"N"}}</v>
      </c>
    </row>
    <row r="186" spans="1:7" x14ac:dyDescent="0.25">
      <c r="A186" s="60" t="s">
        <v>2690</v>
      </c>
      <c r="B186" t="str">
        <f>findKey(supplementary_offering_legacyid[[#This Row],[Produccion]])</f>
        <v>200001-76</v>
      </c>
      <c r="C186" s="61" t="s">
        <v>2691</v>
      </c>
      <c r="D186" t="s">
        <v>2692</v>
      </c>
      <c r="E186" t="s">
        <v>2329</v>
      </c>
      <c r="F186" t="str">
        <f>ToJsonArray(supplementary_offering_legacyid[[#Headers],[offeringid]:[mode]],supplementary_offering_legacyid[[#This Row],[offeringid]:[mode]])</f>
        <v>{"offeringid":"920000176","name":"Data 2GB_920000176","mode":"N"}</v>
      </c>
      <c r="G186" t="str">
        <f>ToJsonArray(supplementary_offering_legacyid[[#This Row],[Semilla04]],supplementary_offering_legacyid[[#This Row],[Json]])</f>
        <v>{"200001-76":{"offeringid":"920000176","name":"Data 2GB_920000176","mode":"N"}}</v>
      </c>
    </row>
    <row r="187" spans="1:7" x14ac:dyDescent="0.25">
      <c r="A187" s="60" t="s">
        <v>2693</v>
      </c>
      <c r="B187" t="str">
        <f>findKey(supplementary_offering_legacyid[[#This Row],[Produccion]])</f>
        <v>200001-77</v>
      </c>
      <c r="C187" s="61" t="s">
        <v>2694</v>
      </c>
      <c r="D187" t="s">
        <v>2695</v>
      </c>
      <c r="E187" t="s">
        <v>2329</v>
      </c>
      <c r="F187" t="str">
        <f>ToJsonArray(supplementary_offering_legacyid[[#Headers],[offeringid]:[mode]],supplementary_offering_legacyid[[#This Row],[offeringid]:[mode]])</f>
        <v>{"offeringid":"920000177","name":"Data 2.5GB_920000177","mode":"N"}</v>
      </c>
      <c r="G187" t="str">
        <f>ToJsonArray(supplementary_offering_legacyid[[#This Row],[Semilla04]],supplementary_offering_legacyid[[#This Row],[Json]])</f>
        <v>{"200001-77":{"offeringid":"920000177","name":"Data 2.5GB_920000177","mode":"N"}}</v>
      </c>
    </row>
    <row r="188" spans="1:7" x14ac:dyDescent="0.25">
      <c r="A188" s="60" t="s">
        <v>2696</v>
      </c>
      <c r="B188" t="str">
        <f>findKey(supplementary_offering_legacyid[[#This Row],[Produccion]])</f>
        <v>200001-78</v>
      </c>
      <c r="C188" s="61" t="s">
        <v>2697</v>
      </c>
      <c r="D188" t="s">
        <v>2698</v>
      </c>
      <c r="E188" t="s">
        <v>2329</v>
      </c>
      <c r="F188" t="str">
        <f>ToJsonArray(supplementary_offering_legacyid[[#Headers],[offeringid]:[mode]],supplementary_offering_legacyid[[#This Row],[offeringid]:[mode]])</f>
        <v>{"offeringid":"920000178","name":"Data 3GB_920000178","mode":"N"}</v>
      </c>
      <c r="G188" t="str">
        <f>ToJsonArray(supplementary_offering_legacyid[[#This Row],[Semilla04]],supplementary_offering_legacyid[[#This Row],[Json]])</f>
        <v>{"200001-78":{"offeringid":"920000178","name":"Data 3GB_920000178","mode":"N"}}</v>
      </c>
    </row>
    <row r="189" spans="1:7" x14ac:dyDescent="0.25">
      <c r="A189" s="60" t="s">
        <v>2699</v>
      </c>
      <c r="B189" t="str">
        <f>findKey(supplementary_offering_legacyid[[#This Row],[Produccion]])</f>
        <v>200001-79</v>
      </c>
      <c r="C189" s="61" t="s">
        <v>2700</v>
      </c>
      <c r="D189" t="s">
        <v>2701</v>
      </c>
      <c r="E189" t="s">
        <v>2329</v>
      </c>
      <c r="F189" t="str">
        <f>ToJsonArray(supplementary_offering_legacyid[[#Headers],[offeringid]:[mode]],supplementary_offering_legacyid[[#This Row],[offeringid]:[mode]])</f>
        <v>{"offeringid":"920000179","name":"Data 3.5GB_920000179","mode":"N"}</v>
      </c>
      <c r="G189" t="str">
        <f>ToJsonArray(supplementary_offering_legacyid[[#This Row],[Semilla04]],supplementary_offering_legacyid[[#This Row],[Json]])</f>
        <v>{"200001-79":{"offeringid":"920000179","name":"Data 3.5GB_920000179","mode":"N"}}</v>
      </c>
    </row>
    <row r="190" spans="1:7" x14ac:dyDescent="0.25">
      <c r="A190" s="60" t="s">
        <v>2702</v>
      </c>
      <c r="B190" t="str">
        <f>findKey(supplementary_offering_legacyid[[#This Row],[Produccion]])</f>
        <v>200001-80</v>
      </c>
      <c r="C190" s="61" t="s">
        <v>2703</v>
      </c>
      <c r="D190" t="s">
        <v>2704</v>
      </c>
      <c r="E190" t="s">
        <v>2329</v>
      </c>
      <c r="F190" t="str">
        <f>ToJsonArray(supplementary_offering_legacyid[[#Headers],[offeringid]:[mode]],supplementary_offering_legacyid[[#This Row],[offeringid]:[mode]])</f>
        <v>{"offeringid":"920000180","name":"Data 4GB_920000180","mode":"N"}</v>
      </c>
      <c r="G190" t="str">
        <f>ToJsonArray(supplementary_offering_legacyid[[#This Row],[Semilla04]],supplementary_offering_legacyid[[#This Row],[Json]])</f>
        <v>{"200001-80":{"offeringid":"920000180","name":"Data 4GB_920000180","mode":"N"}}</v>
      </c>
    </row>
    <row r="191" spans="1:7" x14ac:dyDescent="0.25">
      <c r="A191" s="60" t="s">
        <v>2705</v>
      </c>
      <c r="B191" t="str">
        <f>findKey(supplementary_offering_legacyid[[#This Row],[Produccion]])</f>
        <v>200001-81</v>
      </c>
      <c r="C191" s="61" t="s">
        <v>2706</v>
      </c>
      <c r="D191" t="s">
        <v>2707</v>
      </c>
      <c r="E191" t="s">
        <v>2329</v>
      </c>
      <c r="F191" t="str">
        <f>ToJsonArray(supplementary_offering_legacyid[[#Headers],[offeringid]:[mode]],supplementary_offering_legacyid[[#This Row],[offeringid]:[mode]])</f>
        <v>{"offeringid":"920000181","name":"Data 4.5GB_920000181","mode":"N"}</v>
      </c>
      <c r="G191" t="str">
        <f>ToJsonArray(supplementary_offering_legacyid[[#This Row],[Semilla04]],supplementary_offering_legacyid[[#This Row],[Json]])</f>
        <v>{"200001-81":{"offeringid":"920000181","name":"Data 4.5GB_920000181","mode":"N"}}</v>
      </c>
    </row>
    <row r="192" spans="1:7" x14ac:dyDescent="0.25">
      <c r="A192" s="60" t="s">
        <v>2708</v>
      </c>
      <c r="B192" t="str">
        <f>findKey(supplementary_offering_legacyid[[#This Row],[Produccion]])</f>
        <v>200001-82</v>
      </c>
      <c r="C192" s="61" t="s">
        <v>2709</v>
      </c>
      <c r="D192" t="s">
        <v>2710</v>
      </c>
      <c r="E192" t="s">
        <v>2329</v>
      </c>
      <c r="F192" t="str">
        <f>ToJsonArray(supplementary_offering_legacyid[[#Headers],[offeringid]:[mode]],supplementary_offering_legacyid[[#This Row],[offeringid]:[mode]])</f>
        <v>{"offeringid":"920000182","name":"Data 5GB_920000182","mode":"N"}</v>
      </c>
      <c r="G192" t="str">
        <f>ToJsonArray(supplementary_offering_legacyid[[#This Row],[Semilla04]],supplementary_offering_legacyid[[#This Row],[Json]])</f>
        <v>{"200001-82":{"offeringid":"920000182","name":"Data 5GB_920000182","mode":"N"}}</v>
      </c>
    </row>
    <row r="193" spans="1:7" x14ac:dyDescent="0.25">
      <c r="A193" s="60" t="s">
        <v>2711</v>
      </c>
      <c r="B193" t="str">
        <f>findKey(supplementary_offering_legacyid[[#This Row],[Produccion]])</f>
        <v>200001-91</v>
      </c>
      <c r="C193" s="61" t="s">
        <v>2712</v>
      </c>
      <c r="D193" t="s">
        <v>2713</v>
      </c>
      <c r="E193" t="s">
        <v>2329</v>
      </c>
      <c r="F193" t="str">
        <f>ToJsonArray(supplementary_offering_legacyid[[#Headers],[offeringid]:[mode]],supplementary_offering_legacyid[[#This Row],[offeringid]:[mode]])</f>
        <v>{"offeringid":"920000191","name":"Data 3.5GB_920000191","mode":"N"}</v>
      </c>
      <c r="G193" t="str">
        <f>ToJsonArray(supplementary_offering_legacyid[[#This Row],[Semilla04]],supplementary_offering_legacyid[[#This Row],[Json]])</f>
        <v>{"200001-91":{"offeringid":"920000191","name":"Data 3.5GB_920000191","mode":"N"}}</v>
      </c>
    </row>
    <row r="194" spans="1:7" x14ac:dyDescent="0.25">
      <c r="A194" s="60" t="s">
        <v>2714</v>
      </c>
      <c r="B194" t="str">
        <f>findKey(supplementary_offering_legacyid[[#This Row],[Produccion]])</f>
        <v>200001-92</v>
      </c>
      <c r="C194" s="61" t="s">
        <v>2715</v>
      </c>
      <c r="D194" t="s">
        <v>2716</v>
      </c>
      <c r="E194" t="s">
        <v>2329</v>
      </c>
      <c r="F194" t="str">
        <f>ToJsonArray(supplementary_offering_legacyid[[#Headers],[offeringid]:[mode]],supplementary_offering_legacyid[[#This Row],[offeringid]:[mode]])</f>
        <v>{"offeringid":"920000192","name":"Data 4.5GB_920000192","mode":"N"}</v>
      </c>
      <c r="G194" t="str">
        <f>ToJsonArray(supplementary_offering_legacyid[[#This Row],[Semilla04]],supplementary_offering_legacyid[[#This Row],[Json]])</f>
        <v>{"200001-92":{"offeringid":"920000192","name":"Data 4.5GB_920000192","mode":"N"}}</v>
      </c>
    </row>
    <row r="195" spans="1:7" x14ac:dyDescent="0.25">
      <c r="A195" s="60" t="s">
        <v>2717</v>
      </c>
      <c r="B195" t="str">
        <f>findKey(supplementary_offering_legacyid[[#This Row],[Produccion]])</f>
        <v>200001-93</v>
      </c>
      <c r="C195" s="61" t="s">
        <v>2718</v>
      </c>
      <c r="D195" t="s">
        <v>2719</v>
      </c>
      <c r="E195" t="s">
        <v>2329</v>
      </c>
      <c r="F195" t="str">
        <f>ToJsonArray(supplementary_offering_legacyid[[#Headers],[offeringid]:[mode]],supplementary_offering_legacyid[[#This Row],[offeringid]:[mode]])</f>
        <v>{"offeringid":"920000193","name":"Data 7GB_920000193","mode":"N"}</v>
      </c>
      <c r="G195" t="str">
        <f>ToJsonArray(supplementary_offering_legacyid[[#This Row],[Semilla04]],supplementary_offering_legacyid[[#This Row],[Json]])</f>
        <v>{"200001-93":{"offeringid":"920000193","name":"Data 7GB_920000193","mode":"N"}}</v>
      </c>
    </row>
    <row r="196" spans="1:7" x14ac:dyDescent="0.25">
      <c r="A196" s="60" t="s">
        <v>2720</v>
      </c>
      <c r="B196" t="str">
        <f>findKey(supplementary_offering_legacyid[[#This Row],[Produccion]])</f>
        <v>200001-95</v>
      </c>
      <c r="C196" s="61" t="s">
        <v>2721</v>
      </c>
      <c r="D196" t="s">
        <v>2722</v>
      </c>
      <c r="E196" t="s">
        <v>2329</v>
      </c>
      <c r="F196" t="str">
        <f>ToJsonArray(supplementary_offering_legacyid[[#Headers],[offeringid]:[mode]],supplementary_offering_legacyid[[#This Row],[offeringid]:[mode]])</f>
        <v>{"offeringid":"920000195","name":"Data 5.5GB_920000195","mode":"N"}</v>
      </c>
      <c r="G196" t="str">
        <f>ToJsonArray(supplementary_offering_legacyid[[#This Row],[Semilla04]],supplementary_offering_legacyid[[#This Row],[Json]])</f>
        <v>{"200001-95":{"offeringid":"920000195","name":"Data 5.5GB_920000195","mode":"N"}}</v>
      </c>
    </row>
    <row r="197" spans="1:7" x14ac:dyDescent="0.25">
      <c r="A197" s="60" t="s">
        <v>2723</v>
      </c>
      <c r="B197" t="str">
        <f>findKey(supplementary_offering_legacyid[[#This Row],[Produccion]])</f>
        <v>200001-96</v>
      </c>
      <c r="C197" s="61" t="s">
        <v>2724</v>
      </c>
      <c r="D197" t="s">
        <v>2725</v>
      </c>
      <c r="E197" t="s">
        <v>2329</v>
      </c>
      <c r="F197" t="str">
        <f>ToJsonArray(supplementary_offering_legacyid[[#Headers],[offeringid]:[mode]],supplementary_offering_legacyid[[#This Row],[offeringid]:[mode]])</f>
        <v>{"offeringid":"920000196","name":"Data 1.5GB_920000196","mode":"N"}</v>
      </c>
      <c r="G197" t="str">
        <f>ToJsonArray(supplementary_offering_legacyid[[#This Row],[Semilla04]],supplementary_offering_legacyid[[#This Row],[Json]])</f>
        <v>{"200001-96":{"offeringid":"920000196","name":"Data 1.5GB_920000196","mode":"N"}}</v>
      </c>
    </row>
    <row r="198" spans="1:7" x14ac:dyDescent="0.25">
      <c r="A198" s="60" t="s">
        <v>2726</v>
      </c>
      <c r="B198" t="str">
        <f>findKey(supplementary_offering_legacyid[[#This Row],[Produccion]])</f>
        <v>200001-97</v>
      </c>
      <c r="C198" s="61" t="s">
        <v>2727</v>
      </c>
      <c r="D198" t="s">
        <v>2728</v>
      </c>
      <c r="E198" t="s">
        <v>2329</v>
      </c>
      <c r="F198" t="str">
        <f>ToJsonArray(supplementary_offering_legacyid[[#Headers],[offeringid]:[mode]],supplementary_offering_legacyid[[#This Row],[offeringid]:[mode]])</f>
        <v>{"offeringid":"920000197","name":"Data 2.5GB_920000197","mode":"N"}</v>
      </c>
      <c r="G198" t="str">
        <f>ToJsonArray(supplementary_offering_legacyid[[#This Row],[Semilla04]],supplementary_offering_legacyid[[#This Row],[Json]])</f>
        <v>{"200001-97":{"offeringid":"920000197","name":"Data 2.5GB_920000197","mode":"N"}}</v>
      </c>
    </row>
    <row r="199" spans="1:7" x14ac:dyDescent="0.25">
      <c r="A199" s="60" t="s">
        <v>2729</v>
      </c>
      <c r="B199" t="str">
        <f>findKey(supplementary_offering_legacyid[[#This Row],[Produccion]])</f>
        <v>200001-98</v>
      </c>
      <c r="C199" s="61" t="s">
        <v>2730</v>
      </c>
      <c r="D199" t="s">
        <v>2731</v>
      </c>
      <c r="E199" t="s">
        <v>2329</v>
      </c>
      <c r="F199" t="str">
        <f>ToJsonArray(supplementary_offering_legacyid[[#Headers],[offeringid]:[mode]],supplementary_offering_legacyid[[#This Row],[offeringid]:[mode]])</f>
        <v>{"offeringid":"920000198","name":"Data 3GB_920000198","mode":"N"}</v>
      </c>
      <c r="G199" t="str">
        <f>ToJsonArray(supplementary_offering_legacyid[[#This Row],[Semilla04]],supplementary_offering_legacyid[[#This Row],[Json]])</f>
        <v>{"200001-98":{"offeringid":"920000198","name":"Data 3GB_920000198","mode":"N"}}</v>
      </c>
    </row>
    <row r="200" spans="1:7" x14ac:dyDescent="0.25">
      <c r="A200" s="60" t="s">
        <v>2732</v>
      </c>
      <c r="B200" t="str">
        <f>findKey(supplementary_offering_legacyid[[#This Row],[Produccion]])</f>
        <v>200001-99</v>
      </c>
      <c r="C200" s="61" t="s">
        <v>2733</v>
      </c>
      <c r="D200" t="s">
        <v>2734</v>
      </c>
      <c r="E200" t="s">
        <v>2329</v>
      </c>
      <c r="F200" t="str">
        <f>ToJsonArray(supplementary_offering_legacyid[[#Headers],[offeringid]:[mode]],supplementary_offering_legacyid[[#This Row],[offeringid]:[mode]])</f>
        <v>{"offeringid":"920000199","name":"Data 4GB_920000199","mode":"N"}</v>
      </c>
      <c r="G200" t="str">
        <f>ToJsonArray(supplementary_offering_legacyid[[#This Row],[Semilla04]],supplementary_offering_legacyid[[#This Row],[Json]])</f>
        <v>{"200001-99":{"offeringid":"920000199","name":"Data 4GB_920000199","mode":"N"}}</v>
      </c>
    </row>
    <row r="201" spans="1:7" x14ac:dyDescent="0.25">
      <c r="A201" s="60" t="s">
        <v>2735</v>
      </c>
      <c r="B201" t="str">
        <f>findKey(supplementary_offering_legacyid[[#This Row],[Produccion]])</f>
        <v>200003-01</v>
      </c>
      <c r="C201" s="61" t="s">
        <v>2736</v>
      </c>
      <c r="D201" t="s">
        <v>2737</v>
      </c>
      <c r="E201" t="s">
        <v>2329</v>
      </c>
      <c r="F201" t="str">
        <f>ToJsonArray(supplementary_offering_legacyid[[#Headers],[offeringid]:[mode]],supplementary_offering_legacyid[[#This Row],[offeringid]:[mode]])</f>
        <v>{"offeringid":"920000301","name":"BlackBerry Total_920000301","mode":"N"}</v>
      </c>
      <c r="G201" t="str">
        <f>ToJsonArray(supplementary_offering_legacyid[[#This Row],[Semilla04]],supplementary_offering_legacyid[[#This Row],[Json]])</f>
        <v>{"200003-01":{"offeringid":"920000301","name":"BlackBerry Total_920000301","mode":"N"}}</v>
      </c>
    </row>
    <row r="202" spans="1:7" x14ac:dyDescent="0.25">
      <c r="A202" s="60" t="s">
        <v>2738</v>
      </c>
      <c r="B202" t="str">
        <f>findKey(supplementary_offering_legacyid[[#This Row],[Produccion]])</f>
        <v>200003-06</v>
      </c>
      <c r="C202" s="61" t="s">
        <v>2739</v>
      </c>
      <c r="D202" t="s">
        <v>2740</v>
      </c>
      <c r="E202" t="s">
        <v>2329</v>
      </c>
      <c r="F202" t="str">
        <f>ToJsonArray(supplementary_offering_legacyid[[#Headers],[offeringid]:[mode]],supplementary_offering_legacyid[[#This Row],[offeringid]:[mode]])</f>
        <v>{"offeringid":"920000306","name":"BlackBerry Social_920000306","mode":"N"}</v>
      </c>
      <c r="G202" t="str">
        <f>ToJsonArray(supplementary_offering_legacyid[[#This Row],[Semilla04]],supplementary_offering_legacyid[[#This Row],[Json]])</f>
        <v>{"200003-06":{"offeringid":"920000306","name":"BlackBerry Social_920000306","mode":"N"}}</v>
      </c>
    </row>
    <row r="203" spans="1:7" x14ac:dyDescent="0.25">
      <c r="A203" s="60" t="s">
        <v>2741</v>
      </c>
      <c r="B203" t="str">
        <f>findKey(supplementary_offering_legacyid[[#This Row],[Produccion]])</f>
        <v>200005-03</v>
      </c>
      <c r="C203" s="61" t="s">
        <v>2742</v>
      </c>
      <c r="D203" t="s">
        <v>2743</v>
      </c>
      <c r="E203" t="s">
        <v>2329</v>
      </c>
      <c r="F203" t="str">
        <f>ToJsonArray(supplementary_offering_legacyid[[#Headers],[offeringid]:[mode]],supplementary_offering_legacyid[[#This Row],[offeringid]:[mode]])</f>
        <v>{"offeringid":"920000503","name":"DPI Chat_920000503","mode":"N"}</v>
      </c>
      <c r="G203" t="str">
        <f>ToJsonArray(supplementary_offering_legacyid[[#This Row],[Semilla04]],supplementary_offering_legacyid[[#This Row],[Json]])</f>
        <v>{"200005-03":{"offeringid":"920000503","name":"DPI Chat_920000503","mode":"N"}}</v>
      </c>
    </row>
    <row r="204" spans="1:7" x14ac:dyDescent="0.25">
      <c r="A204" s="60" t="s">
        <v>2744</v>
      </c>
      <c r="B204" t="str">
        <f>findKey(supplementary_offering_legacyid[[#This Row],[Produccion]])</f>
        <v>200005-07</v>
      </c>
      <c r="C204" s="61" t="s">
        <v>2745</v>
      </c>
      <c r="D204" t="s">
        <v>2746</v>
      </c>
      <c r="E204" t="s">
        <v>2329</v>
      </c>
      <c r="F204" t="str">
        <f>ToJsonArray(supplementary_offering_legacyid[[#Headers],[offeringid]:[mode]],supplementary_offering_legacyid[[#This Row],[offeringid]:[mode]])</f>
        <v>{"offeringid":"920000507","name":"DPI Chat + Redes sociales_920000507","mode":"N"}</v>
      </c>
      <c r="G204" t="str">
        <f>ToJsonArray(supplementary_offering_legacyid[[#This Row],[Semilla04]],supplementary_offering_legacyid[[#This Row],[Json]])</f>
        <v>{"200005-07":{"offeringid":"920000507","name":"DPI Chat + Redes sociales_920000507","mode":"N"}}</v>
      </c>
    </row>
    <row r="205" spans="1:7" x14ac:dyDescent="0.25">
      <c r="A205" s="60" t="s">
        <v>2747</v>
      </c>
      <c r="B205" t="str">
        <f>findKey(supplementary_offering_legacyid[[#This Row],[Produccion]])</f>
        <v>200005-09</v>
      </c>
      <c r="C205" s="61" t="s">
        <v>2748</v>
      </c>
      <c r="D205" t="s">
        <v>2749</v>
      </c>
      <c r="E205" t="s">
        <v>2329</v>
      </c>
      <c r="F205" t="str">
        <f>ToJsonArray(supplementary_offering_legacyid[[#Headers],[offeringid]:[mode]],supplementary_offering_legacyid[[#This Row],[offeringid]:[mode]])</f>
        <v>{"offeringid":"920000509","name":"DPI Chat + Mail_920000509","mode":"N"}</v>
      </c>
      <c r="G205" t="str">
        <f>ToJsonArray(supplementary_offering_legacyid[[#This Row],[Semilla04]],supplementary_offering_legacyid[[#This Row],[Json]])</f>
        <v>{"200005-09":{"offeringid":"920000509","name":"DPI Chat + Mail_920000509","mode":"N"}}</v>
      </c>
    </row>
    <row r="206" spans="1:7" x14ac:dyDescent="0.25">
      <c r="A206" s="60" t="s">
        <v>2750</v>
      </c>
      <c r="B206" t="str">
        <f>findKey(supplementary_offering_legacyid[[#This Row],[Produccion]])</f>
        <v>200007-09</v>
      </c>
      <c r="C206" s="61" t="s">
        <v>2751</v>
      </c>
      <c r="D206" t="s">
        <v>2752</v>
      </c>
      <c r="E206" t="s">
        <v>2329</v>
      </c>
      <c r="F206" t="str">
        <f>ToJsonArray(supplementary_offering_legacyid[[#Headers],[offeringid]:[mode]],supplementary_offering_legacyid[[#This Row],[offeringid]:[mode]])</f>
        <v>{"offeringid":"920000709","name":"Deezer 5 Gb_920000709","mode":"N"}</v>
      </c>
      <c r="G206" t="str">
        <f>ToJsonArray(supplementary_offering_legacyid[[#This Row],[Semilla04]],supplementary_offering_legacyid[[#This Row],[Json]])</f>
        <v>{"200007-09":{"offeringid":"920000709","name":"Deezer 5 Gb_920000709","mode":"N"}}</v>
      </c>
    </row>
    <row r="207" spans="1:7" x14ac:dyDescent="0.25">
      <c r="A207" s="60" t="s">
        <v>2753</v>
      </c>
      <c r="B207" t="str">
        <f>findKey(supplementary_offering_legacyid[[#This Row],[Produccion]])</f>
        <v>200008-08</v>
      </c>
      <c r="C207" s="61" t="s">
        <v>2754</v>
      </c>
      <c r="D207" t="s">
        <v>2755</v>
      </c>
      <c r="E207" t="s">
        <v>2329</v>
      </c>
      <c r="F207" t="str">
        <f>ToJsonArray(supplementary_offering_legacyid[[#Headers],[offeringid]:[mode]],supplementary_offering_legacyid[[#This Row],[offeringid]:[mode]])</f>
        <v>{"offeringid":"920000808","name":"Smart 5GB_920000808","mode":"N"}</v>
      </c>
      <c r="G207" t="str">
        <f>ToJsonArray(supplementary_offering_legacyid[[#This Row],[Semilla04]],supplementary_offering_legacyid[[#This Row],[Json]])</f>
        <v>{"200008-08":{"offeringid":"920000808","name":"Smart 5GB_920000808","mode":"N"}}</v>
      </c>
    </row>
    <row r="208" spans="1:7" x14ac:dyDescent="0.25">
      <c r="A208" s="60" t="s">
        <v>2756</v>
      </c>
      <c r="B208" t="str">
        <f>findKey(supplementary_offering_legacyid[[#This Row],[Produccion]])</f>
        <v>200008-11</v>
      </c>
      <c r="C208" s="61" t="s">
        <v>2757</v>
      </c>
      <c r="D208" t="s">
        <v>2758</v>
      </c>
      <c r="E208" t="s">
        <v>2329</v>
      </c>
      <c r="F208" t="str">
        <f>ToJsonArray(supplementary_offering_legacyid[[#Headers],[offeringid]:[mode]],supplementary_offering_legacyid[[#This Row],[offeringid]:[mode]])</f>
        <v>{"offeringid":"920000811","name":"Smart sin datos_920000811","mode":"N"}</v>
      </c>
      <c r="G208" t="str">
        <f>ToJsonArray(supplementary_offering_legacyid[[#This Row],[Semilla04]],supplementary_offering_legacyid[[#This Row],[Json]])</f>
        <v>{"200008-11":{"offeringid":"920000811","name":"Smart sin datos_920000811","mode":"N"}}</v>
      </c>
    </row>
    <row r="209" spans="1:7" x14ac:dyDescent="0.25">
      <c r="A209" s="60" t="s">
        <v>2759</v>
      </c>
      <c r="B209" t="str">
        <f>findKey(supplementary_offering_legacyid[[#This Row],[Produccion]])</f>
        <v>200008-15</v>
      </c>
      <c r="C209" s="61" t="s">
        <v>2760</v>
      </c>
      <c r="D209" t="s">
        <v>2761</v>
      </c>
      <c r="E209" t="s">
        <v>2329</v>
      </c>
      <c r="F209" t="str">
        <f>ToJsonArray(supplementary_offering_legacyid[[#Headers],[offeringid]:[mode]],supplementary_offering_legacyid[[#This Row],[offeringid]:[mode]])</f>
        <v>{"offeringid":"920000815","name":"Smart sin navegacion_920000815","mode":"N"}</v>
      </c>
      <c r="G209" t="str">
        <f>ToJsonArray(supplementary_offering_legacyid[[#This Row],[Semilla04]],supplementary_offering_legacyid[[#This Row],[Json]])</f>
        <v>{"200008-15":{"offeringid":"920000815","name":"Smart sin navegacion_920000815","mode":"N"}}</v>
      </c>
    </row>
    <row r="210" spans="1:7" x14ac:dyDescent="0.25">
      <c r="A210" s="60" t="s">
        <v>2762</v>
      </c>
      <c r="B210" t="str">
        <f>findKey(supplementary_offering_legacyid[[#This Row],[Produccion]])</f>
        <v>200008-16</v>
      </c>
      <c r="C210" s="61" t="s">
        <v>2763</v>
      </c>
      <c r="D210" t="s">
        <v>2764</v>
      </c>
      <c r="E210" t="s">
        <v>2329</v>
      </c>
      <c r="F210" t="str">
        <f>ToJsonArray(supplementary_offering_legacyid[[#Headers],[offeringid]:[mode]],supplementary_offering_legacyid[[#This Row],[offeringid]:[mode]])</f>
        <v>{"offeringid":"920000816","name":"Smart sin navegacion_920000816","mode":"N"}</v>
      </c>
      <c r="G210" t="str">
        <f>ToJsonArray(supplementary_offering_legacyid[[#This Row],[Semilla04]],supplementary_offering_legacyid[[#This Row],[Json]])</f>
        <v>{"200008-16":{"offeringid":"920000816","name":"Smart sin navegacion_920000816","mode":"N"}}</v>
      </c>
    </row>
    <row r="211" spans="1:7" x14ac:dyDescent="0.25">
      <c r="A211" s="60" t="s">
        <v>2765</v>
      </c>
      <c r="B211" t="str">
        <f>findKey(supplementary_offering_legacyid[[#This Row],[Produccion]])</f>
        <v>200008-17</v>
      </c>
      <c r="C211" s="61" t="s">
        <v>2766</v>
      </c>
      <c r="D211" t="s">
        <v>2767</v>
      </c>
      <c r="E211" t="s">
        <v>2329</v>
      </c>
      <c r="F211" t="str">
        <f>ToJsonArray(supplementary_offering_legacyid[[#Headers],[offeringid]:[mode]],supplementary_offering_legacyid[[#This Row],[offeringid]:[mode]])</f>
        <v>{"offeringid":"920000817","name":"Smart cero pesos_920000817","mode":"N"}</v>
      </c>
      <c r="G211" t="str">
        <f>ToJsonArray(supplementary_offering_legacyid[[#This Row],[Semilla04]],supplementary_offering_legacyid[[#This Row],[Json]])</f>
        <v>{"200008-17":{"offeringid":"920000817","name":"Smart cero pesos_920000817","mode":"N"}}</v>
      </c>
    </row>
    <row r="212" spans="1:7" x14ac:dyDescent="0.25">
      <c r="A212" s="60" t="s">
        <v>2768</v>
      </c>
      <c r="B212" t="str">
        <f>findKey(supplementary_offering_legacyid[[#This Row],[Produccion]])</f>
        <v>200008-18</v>
      </c>
      <c r="C212" s="61" t="s">
        <v>2769</v>
      </c>
      <c r="D212" t="s">
        <v>2770</v>
      </c>
      <c r="E212" t="s">
        <v>2329</v>
      </c>
      <c r="F212" t="str">
        <f>ToJsonArray(supplementary_offering_legacyid[[#Headers],[offeringid]:[mode]],supplementary_offering_legacyid[[#This Row],[offeringid]:[mode]])</f>
        <v>{"offeringid":"920000818","name":"Smart 49_920000818","mode":"N"}</v>
      </c>
      <c r="G212" t="str">
        <f>ToJsonArray(supplementary_offering_legacyid[[#This Row],[Semilla04]],supplementary_offering_legacyid[[#This Row],[Json]])</f>
        <v>{"200008-18":{"offeringid":"920000818","name":"Smart 49_920000818","mode":"N"}}</v>
      </c>
    </row>
    <row r="213" spans="1:7" x14ac:dyDescent="0.25">
      <c r="A213" s="60" t="s">
        <v>2771</v>
      </c>
      <c r="B213" t="str">
        <f>findKey(supplementary_offering_legacyid[[#This Row],[Produccion]])</f>
        <v>200008-19</v>
      </c>
      <c r="C213" s="61" t="s">
        <v>2772</v>
      </c>
      <c r="D213" t="s">
        <v>2773</v>
      </c>
      <c r="E213" t="s">
        <v>2329</v>
      </c>
      <c r="F213" t="str">
        <f>ToJsonArray(supplementary_offering_legacyid[[#Headers],[offeringid]:[mode]],supplementary_offering_legacyid[[#This Row],[offeringid]:[mode]])</f>
        <v>{"offeringid":"920000819","name":"Smart 50_920000819","mode":"N"}</v>
      </c>
      <c r="G213" t="str">
        <f>ToJsonArray(supplementary_offering_legacyid[[#This Row],[Semilla04]],supplementary_offering_legacyid[[#This Row],[Json]])</f>
        <v>{"200008-19":{"offeringid":"920000819","name":"Smart 50_920000819","mode":"N"}}</v>
      </c>
    </row>
    <row r="214" spans="1:7" x14ac:dyDescent="0.25">
      <c r="A214" s="60" t="s">
        <v>2774</v>
      </c>
      <c r="B214" t="str">
        <f>findKey(supplementary_offering_legacyid[[#This Row],[Produccion]])</f>
        <v>200008-20</v>
      </c>
      <c r="C214" s="61" t="s">
        <v>2775</v>
      </c>
      <c r="D214" t="s">
        <v>2776</v>
      </c>
      <c r="E214" t="s">
        <v>2329</v>
      </c>
      <c r="F214" t="str">
        <f>ToJsonArray(supplementary_offering_legacyid[[#Headers],[offeringid]:[mode]],supplementary_offering_legacyid[[#This Row],[offeringid]:[mode]])</f>
        <v>{"offeringid":"920000820","name":"Smart 51_920000820","mode":"N"}</v>
      </c>
      <c r="G214" t="str">
        <f>ToJsonArray(supplementary_offering_legacyid[[#This Row],[Semilla04]],supplementary_offering_legacyid[[#This Row],[Json]])</f>
        <v>{"200008-20":{"offeringid":"920000820","name":"Smart 51_920000820","mode":"N"}}</v>
      </c>
    </row>
    <row r="215" spans="1:7" x14ac:dyDescent="0.25">
      <c r="A215" s="60" t="s">
        <v>2777</v>
      </c>
      <c r="B215" t="str">
        <f>findKey(supplementary_offering_legacyid[[#This Row],[Produccion]])</f>
        <v>200008-21</v>
      </c>
      <c r="C215" s="61" t="s">
        <v>2778</v>
      </c>
      <c r="D215" t="s">
        <v>2779</v>
      </c>
      <c r="E215" t="s">
        <v>2329</v>
      </c>
      <c r="F215" t="str">
        <f>ToJsonArray(supplementary_offering_legacyid[[#Headers],[offeringid]:[mode]],supplementary_offering_legacyid[[#This Row],[offeringid]:[mode]])</f>
        <v>{"offeringid":"920000821","name":"Smart sin navegacion_920000821","mode":"N"}</v>
      </c>
      <c r="G215" t="str">
        <f>ToJsonArray(supplementary_offering_legacyid[[#This Row],[Semilla04]],supplementary_offering_legacyid[[#This Row],[Json]])</f>
        <v>{"200008-21":{"offeringid":"920000821","name":"Smart sin navegacion_920000821","mode":"N"}}</v>
      </c>
    </row>
    <row r="216" spans="1:7" x14ac:dyDescent="0.25">
      <c r="A216" s="60" t="s">
        <v>2780</v>
      </c>
      <c r="B216" t="str">
        <f>findKey(supplementary_offering_legacyid[[#This Row],[Produccion]])</f>
        <v>200008-22</v>
      </c>
      <c r="C216" s="61" t="s">
        <v>2781</v>
      </c>
      <c r="D216" t="s">
        <v>2782</v>
      </c>
      <c r="E216" t="s">
        <v>2329</v>
      </c>
      <c r="F216" t="str">
        <f>ToJsonArray(supplementary_offering_legacyid[[#Headers],[offeringid]:[mode]],supplementary_offering_legacyid[[#This Row],[offeringid]:[mode]])</f>
        <v>{"offeringid":"920000822","name":"Smart sin navegacion_920000822","mode":"N"}</v>
      </c>
      <c r="G216" t="str">
        <f>ToJsonArray(supplementary_offering_legacyid[[#This Row],[Semilla04]],supplementary_offering_legacyid[[#This Row],[Json]])</f>
        <v>{"200008-22":{"offeringid":"920000822","name":"Smart sin navegacion_920000822","mode":"N"}}</v>
      </c>
    </row>
    <row r="217" spans="1:7" x14ac:dyDescent="0.25">
      <c r="A217" s="60" t="s">
        <v>2783</v>
      </c>
      <c r="B217" t="str">
        <f>findKey(supplementary_offering_legacyid[[#This Row],[Produccion]])</f>
        <v>200008-23</v>
      </c>
      <c r="C217" s="61" t="s">
        <v>2784</v>
      </c>
      <c r="D217" t="s">
        <v>2785</v>
      </c>
      <c r="E217" t="s">
        <v>2329</v>
      </c>
      <c r="F217" t="str">
        <f>ToJsonArray(supplementary_offering_legacyid[[#Headers],[offeringid]:[mode]],supplementary_offering_legacyid[[#This Row],[offeringid]:[mode]])</f>
        <v>{"offeringid":"920000823","name":"Smart sin navegacion_920000823","mode":"N"}</v>
      </c>
      <c r="G217" t="str">
        <f>ToJsonArray(supplementary_offering_legacyid[[#This Row],[Semilla04]],supplementary_offering_legacyid[[#This Row],[Json]])</f>
        <v>{"200008-23":{"offeringid":"920000823","name":"Smart sin navegacion_920000823","mode":"N"}}</v>
      </c>
    </row>
    <row r="218" spans="1:7" x14ac:dyDescent="0.25">
      <c r="A218" s="60" t="s">
        <v>2786</v>
      </c>
      <c r="B218" t="str">
        <f>findKey(supplementary_offering_legacyid[[#This Row],[Produccion]])</f>
        <v>200008-24</v>
      </c>
      <c r="C218" s="61" t="s">
        <v>2787</v>
      </c>
      <c r="D218" t="s">
        <v>2788</v>
      </c>
      <c r="E218" t="s">
        <v>2329</v>
      </c>
      <c r="F218" t="str">
        <f>ToJsonArray(supplementary_offering_legacyid[[#Headers],[offeringid]:[mode]],supplementary_offering_legacyid[[#This Row],[offeringid]:[mode]])</f>
        <v>{"offeringid":"920000824","name":"Smart sin navegacion_920000824","mode":"N"}</v>
      </c>
      <c r="G218" t="str">
        <f>ToJsonArray(supplementary_offering_legacyid[[#This Row],[Semilla04]],supplementary_offering_legacyid[[#This Row],[Json]])</f>
        <v>{"200008-24":{"offeringid":"920000824","name":"Smart sin navegacion_920000824","mode":"N"}}</v>
      </c>
    </row>
    <row r="219" spans="1:7" x14ac:dyDescent="0.25">
      <c r="A219" s="60" t="s">
        <v>2789</v>
      </c>
      <c r="B219" t="str">
        <f>findKey(supplementary_offering_legacyid[[#This Row],[Produccion]])</f>
        <v>200008-25</v>
      </c>
      <c r="C219" s="61" t="s">
        <v>2790</v>
      </c>
      <c r="D219" t="s">
        <v>2791</v>
      </c>
      <c r="E219" t="s">
        <v>2329</v>
      </c>
      <c r="F219" t="str">
        <f>ToJsonArray(supplementary_offering_legacyid[[#Headers],[offeringid]:[mode]],supplementary_offering_legacyid[[#This Row],[offeringid]:[mode]])</f>
        <v>{"offeringid":"920000825","name":"Smart sin navegacion_920000825","mode":"N"}</v>
      </c>
      <c r="G219" t="str">
        <f>ToJsonArray(supplementary_offering_legacyid[[#This Row],[Semilla04]],supplementary_offering_legacyid[[#This Row],[Json]])</f>
        <v>{"200008-25":{"offeringid":"920000825","name":"Smart sin navegacion_920000825","mode":"N"}}</v>
      </c>
    </row>
    <row r="220" spans="1:7" x14ac:dyDescent="0.25">
      <c r="A220" s="60" t="s">
        <v>2792</v>
      </c>
      <c r="B220" t="str">
        <f>findKey(supplementary_offering_legacyid[[#This Row],[Produccion]])</f>
        <v>200008-26</v>
      </c>
      <c r="C220" s="61" t="s">
        <v>2793</v>
      </c>
      <c r="D220" t="s">
        <v>2794</v>
      </c>
      <c r="E220" t="s">
        <v>2329</v>
      </c>
      <c r="F220" t="str">
        <f>ToJsonArray(supplementary_offering_legacyid[[#Headers],[offeringid]:[mode]],supplementary_offering_legacyid[[#This Row],[offeringid]:[mode]])</f>
        <v>{"offeringid":"920000826","name":"Smart sin navegacion_920000826","mode":"N"}</v>
      </c>
      <c r="G220" t="str">
        <f>ToJsonArray(supplementary_offering_legacyid[[#This Row],[Semilla04]],supplementary_offering_legacyid[[#This Row],[Json]])</f>
        <v>{"200008-26":{"offeringid":"920000826","name":"Smart sin navegacion_920000826","mode":"N"}}</v>
      </c>
    </row>
    <row r="221" spans="1:7" x14ac:dyDescent="0.25">
      <c r="A221" s="60" t="s">
        <v>2795</v>
      </c>
      <c r="B221" t="str">
        <f>findKey(supplementary_offering_legacyid[[#This Row],[Produccion]])</f>
        <v>200008-27</v>
      </c>
      <c r="C221" s="61" t="s">
        <v>2796</v>
      </c>
      <c r="D221" t="s">
        <v>2797</v>
      </c>
      <c r="E221" t="s">
        <v>2329</v>
      </c>
      <c r="F221" t="str">
        <f>ToJsonArray(supplementary_offering_legacyid[[#Headers],[offeringid]:[mode]],supplementary_offering_legacyid[[#This Row],[offeringid]:[mode]])</f>
        <v>{"offeringid":"920000827","name":"Smart sin navegacion_920000827","mode":"N"}</v>
      </c>
      <c r="G221" t="str">
        <f>ToJsonArray(supplementary_offering_legacyid[[#This Row],[Semilla04]],supplementary_offering_legacyid[[#This Row],[Json]])</f>
        <v>{"200008-27":{"offeringid":"920000827","name":"Smart sin navegacion_920000827","mode":"N"}}</v>
      </c>
    </row>
    <row r="222" spans="1:7" x14ac:dyDescent="0.25">
      <c r="A222" s="60" t="s">
        <v>2798</v>
      </c>
      <c r="B222" t="str">
        <f>findKey(supplementary_offering_legacyid[[#This Row],[Produccion]])</f>
        <v>200008-28</v>
      </c>
      <c r="C222" s="61" t="s">
        <v>2799</v>
      </c>
      <c r="D222" t="s">
        <v>2800</v>
      </c>
      <c r="E222" t="s">
        <v>2329</v>
      </c>
      <c r="F222" t="str">
        <f>ToJsonArray(supplementary_offering_legacyid[[#Headers],[offeringid]:[mode]],supplementary_offering_legacyid[[#This Row],[offeringid]:[mode]])</f>
        <v>{"offeringid":"920000828","name":"Smart sin navegacion_920000828","mode":"N"}</v>
      </c>
      <c r="G222" t="str">
        <f>ToJsonArray(supplementary_offering_legacyid[[#This Row],[Semilla04]],supplementary_offering_legacyid[[#This Row],[Json]])</f>
        <v>{"200008-28":{"offeringid":"920000828","name":"Smart sin navegacion_920000828","mode":"N"}}</v>
      </c>
    </row>
    <row r="223" spans="1:7" x14ac:dyDescent="0.25">
      <c r="A223" s="60" t="s">
        <v>2801</v>
      </c>
      <c r="B223" t="str">
        <f>findKey(supplementary_offering_legacyid[[#This Row],[Produccion]])</f>
        <v>200008-29</v>
      </c>
      <c r="C223" s="61" t="s">
        <v>2802</v>
      </c>
      <c r="D223" t="s">
        <v>2803</v>
      </c>
      <c r="E223" t="s">
        <v>2329</v>
      </c>
      <c r="F223" t="str">
        <f>ToJsonArray(supplementary_offering_legacyid[[#Headers],[offeringid]:[mode]],supplementary_offering_legacyid[[#This Row],[offeringid]:[mode]])</f>
        <v>{"offeringid":"920000829","name":"Smart sin navegacion_920000829","mode":"N"}</v>
      </c>
      <c r="G223" t="str">
        <f>ToJsonArray(supplementary_offering_legacyid[[#This Row],[Semilla04]],supplementary_offering_legacyid[[#This Row],[Json]])</f>
        <v>{"200008-29":{"offeringid":"920000829","name":"Smart sin navegacion_920000829","mode":"N"}}</v>
      </c>
    </row>
    <row r="224" spans="1:7" x14ac:dyDescent="0.25">
      <c r="A224" s="60" t="s">
        <v>2804</v>
      </c>
      <c r="B224" t="str">
        <f>findKey(supplementary_offering_legacyid[[#This Row],[Produccion]])</f>
        <v>200008-30</v>
      </c>
      <c r="C224" s="61" t="s">
        <v>2805</v>
      </c>
      <c r="D224" t="s">
        <v>2806</v>
      </c>
      <c r="E224" t="s">
        <v>2329</v>
      </c>
      <c r="F224" t="str">
        <f>ToJsonArray(supplementary_offering_legacyid[[#Headers],[offeringid]:[mode]],supplementary_offering_legacyid[[#This Row],[offeringid]:[mode]])</f>
        <v>{"offeringid":"920000830","name":"Smart sin navegacion_920000830","mode":"N"}</v>
      </c>
      <c r="G224" t="str">
        <f>ToJsonArray(supplementary_offering_legacyid[[#This Row],[Semilla04]],supplementary_offering_legacyid[[#This Row],[Json]])</f>
        <v>{"200008-30":{"offeringid":"920000830","name":"Smart sin navegacion_920000830","mode":"N"}}</v>
      </c>
    </row>
    <row r="225" spans="1:7" x14ac:dyDescent="0.25">
      <c r="A225" s="60" t="s">
        <v>2807</v>
      </c>
      <c r="B225" t="str">
        <f>findKey(supplementary_offering_legacyid[[#This Row],[Produccion]])</f>
        <v>200008-31</v>
      </c>
      <c r="C225" s="61" t="s">
        <v>2808</v>
      </c>
      <c r="D225" t="s">
        <v>2809</v>
      </c>
      <c r="E225" t="s">
        <v>2329</v>
      </c>
      <c r="F225" t="str">
        <f>ToJsonArray(supplementary_offering_legacyid[[#Headers],[offeringid]:[mode]],supplementary_offering_legacyid[[#This Row],[offeringid]:[mode]])</f>
        <v>{"offeringid":"920000831","name":"Smart sin navegacion_920000831","mode":"N"}</v>
      </c>
      <c r="G225" t="str">
        <f>ToJsonArray(supplementary_offering_legacyid[[#This Row],[Semilla04]],supplementary_offering_legacyid[[#This Row],[Json]])</f>
        <v>{"200008-31":{"offeringid":"920000831","name":"Smart sin navegacion_920000831","mode":"N"}}</v>
      </c>
    </row>
    <row r="226" spans="1:7" x14ac:dyDescent="0.25">
      <c r="A226" s="60" t="s">
        <v>2810</v>
      </c>
      <c r="B226" t="str">
        <f>findKey(supplementary_offering_legacyid[[#This Row],[Produccion]])</f>
        <v>200008-32</v>
      </c>
      <c r="C226" s="61" t="s">
        <v>2811</v>
      </c>
      <c r="D226" t="s">
        <v>2812</v>
      </c>
      <c r="E226" t="s">
        <v>2329</v>
      </c>
      <c r="F226" t="str">
        <f>ToJsonArray(supplementary_offering_legacyid[[#Headers],[offeringid]:[mode]],supplementary_offering_legacyid[[#This Row],[offeringid]:[mode]])</f>
        <v>{"offeringid":"920000832","name":"Smart sin navegacion_920000832","mode":"N"}</v>
      </c>
      <c r="G226" t="str">
        <f>ToJsonArray(supplementary_offering_legacyid[[#This Row],[Semilla04]],supplementary_offering_legacyid[[#This Row],[Json]])</f>
        <v>{"200008-32":{"offeringid":"920000832","name":"Smart sin navegacion_920000832","mode":"N"}}</v>
      </c>
    </row>
    <row r="227" spans="1:7" x14ac:dyDescent="0.25">
      <c r="A227" s="60" t="s">
        <v>2813</v>
      </c>
      <c r="B227" t="str">
        <f>findKey(supplementary_offering_legacyid[[#This Row],[Produccion]])</f>
        <v>200008-33</v>
      </c>
      <c r="C227" s="61" t="s">
        <v>2814</v>
      </c>
      <c r="D227" t="s">
        <v>2815</v>
      </c>
      <c r="E227" t="s">
        <v>2329</v>
      </c>
      <c r="F227" t="str">
        <f>ToJsonArray(supplementary_offering_legacyid[[#Headers],[offeringid]:[mode]],supplementary_offering_legacyid[[#This Row],[offeringid]:[mode]])</f>
        <v>{"offeringid":"920000833","name":"Smart sin navegacion_920000833","mode":"N"}</v>
      </c>
      <c r="G227" t="str">
        <f>ToJsonArray(supplementary_offering_legacyid[[#This Row],[Semilla04]],supplementary_offering_legacyid[[#This Row],[Json]])</f>
        <v>{"200008-33":{"offeringid":"920000833","name":"Smart sin navegacion_920000833","mode":"N"}}</v>
      </c>
    </row>
    <row r="228" spans="1:7" x14ac:dyDescent="0.25">
      <c r="A228" s="60" t="s">
        <v>2816</v>
      </c>
      <c r="B228" t="str">
        <f>findKey(supplementary_offering_legacyid[[#This Row],[Produccion]])</f>
        <v>200008-34</v>
      </c>
      <c r="C228" s="61" t="s">
        <v>2817</v>
      </c>
      <c r="D228" t="s">
        <v>2818</v>
      </c>
      <c r="E228" t="s">
        <v>2329</v>
      </c>
      <c r="F228" t="str">
        <f>ToJsonArray(supplementary_offering_legacyid[[#Headers],[offeringid]:[mode]],supplementary_offering_legacyid[[#This Row],[offeringid]:[mode]])</f>
        <v>{"offeringid":"920000834","name":"Smart sin navegacion_920000834","mode":"N"}</v>
      </c>
      <c r="G228" t="str">
        <f>ToJsonArray(supplementary_offering_legacyid[[#This Row],[Semilla04]],supplementary_offering_legacyid[[#This Row],[Json]])</f>
        <v>{"200008-34":{"offeringid":"920000834","name":"Smart sin navegacion_920000834","mode":"N"}}</v>
      </c>
    </row>
    <row r="229" spans="1:7" x14ac:dyDescent="0.25">
      <c r="A229" s="60" t="s">
        <v>2819</v>
      </c>
      <c r="B229" t="str">
        <f>findKey(supplementary_offering_legacyid[[#This Row],[Produccion]])</f>
        <v>200008-35</v>
      </c>
      <c r="C229" s="61" t="s">
        <v>2820</v>
      </c>
      <c r="D229" t="s">
        <v>2821</v>
      </c>
      <c r="E229" t="s">
        <v>2329</v>
      </c>
      <c r="F229" t="str">
        <f>ToJsonArray(supplementary_offering_legacyid[[#Headers],[offeringid]:[mode]],supplementary_offering_legacyid[[#This Row],[offeringid]:[mode]])</f>
        <v>{"offeringid":"920000835","name":"Smart sin navegacion_920000835","mode":"N"}</v>
      </c>
      <c r="G229" t="str">
        <f>ToJsonArray(supplementary_offering_legacyid[[#This Row],[Semilla04]],supplementary_offering_legacyid[[#This Row],[Json]])</f>
        <v>{"200008-35":{"offeringid":"920000835","name":"Smart sin navegacion_920000835","mode":"N"}}</v>
      </c>
    </row>
    <row r="230" spans="1:7" x14ac:dyDescent="0.25">
      <c r="A230" s="60" t="s">
        <v>2822</v>
      </c>
      <c r="B230" t="str">
        <f>findKey(supplementary_offering_legacyid[[#This Row],[Produccion]])</f>
        <v>200008-36</v>
      </c>
      <c r="C230" s="61" t="s">
        <v>2823</v>
      </c>
      <c r="D230" t="s">
        <v>2824</v>
      </c>
      <c r="E230" t="s">
        <v>2329</v>
      </c>
      <c r="F230" t="str">
        <f>ToJsonArray(supplementary_offering_legacyid[[#Headers],[offeringid]:[mode]],supplementary_offering_legacyid[[#This Row],[offeringid]:[mode]])</f>
        <v>{"offeringid":"920000836","name":"Smart sin navegacion_920000836","mode":"N"}</v>
      </c>
      <c r="G230" t="str">
        <f>ToJsonArray(supplementary_offering_legacyid[[#This Row],[Semilla04]],supplementary_offering_legacyid[[#This Row],[Json]])</f>
        <v>{"200008-36":{"offeringid":"920000836","name":"Smart sin navegacion_920000836","mode":"N"}}</v>
      </c>
    </row>
    <row r="231" spans="1:7" x14ac:dyDescent="0.25">
      <c r="A231" s="60" t="s">
        <v>2825</v>
      </c>
      <c r="B231" t="str">
        <f>findKey(supplementary_offering_legacyid[[#This Row],[Produccion]])</f>
        <v>200008-37</v>
      </c>
      <c r="C231" s="61" t="s">
        <v>2826</v>
      </c>
      <c r="D231" t="s">
        <v>2827</v>
      </c>
      <c r="E231" t="s">
        <v>2329</v>
      </c>
      <c r="F231" t="str">
        <f>ToJsonArray(supplementary_offering_legacyid[[#Headers],[offeringid]:[mode]],supplementary_offering_legacyid[[#This Row],[offeringid]:[mode]])</f>
        <v>{"offeringid":"920000837","name":"Smart sin navegacion_920000837","mode":"N"}</v>
      </c>
      <c r="G231" t="str">
        <f>ToJsonArray(supplementary_offering_legacyid[[#This Row],[Semilla04]],supplementary_offering_legacyid[[#This Row],[Json]])</f>
        <v>{"200008-37":{"offeringid":"920000837","name":"Smart sin navegacion_920000837","mode":"N"}}</v>
      </c>
    </row>
    <row r="232" spans="1:7" x14ac:dyDescent="0.25">
      <c r="A232" s="60" t="s">
        <v>2828</v>
      </c>
      <c r="B232" t="str">
        <f>findKey(supplementary_offering_legacyid[[#This Row],[Produccion]])</f>
        <v>200008-38</v>
      </c>
      <c r="C232" s="61" t="s">
        <v>2829</v>
      </c>
      <c r="D232" t="s">
        <v>2830</v>
      </c>
      <c r="E232" t="s">
        <v>2329</v>
      </c>
      <c r="F232" t="str">
        <f>ToJsonArray(supplementary_offering_legacyid[[#Headers],[offeringid]:[mode]],supplementary_offering_legacyid[[#This Row],[offeringid]:[mode]])</f>
        <v>{"offeringid":"920000838","name":"Smart sin navegacion_920000838","mode":"N"}</v>
      </c>
      <c r="G232" t="str">
        <f>ToJsonArray(supplementary_offering_legacyid[[#This Row],[Semilla04]],supplementary_offering_legacyid[[#This Row],[Json]])</f>
        <v>{"200008-38":{"offeringid":"920000838","name":"Smart sin navegacion_920000838","mode":"N"}}</v>
      </c>
    </row>
    <row r="233" spans="1:7" x14ac:dyDescent="0.25">
      <c r="A233" s="60" t="s">
        <v>2831</v>
      </c>
      <c r="B233" t="str">
        <f>findKey(supplementary_offering_legacyid[[#This Row],[Produccion]])</f>
        <v>200008-39</v>
      </c>
      <c r="C233" s="61" t="s">
        <v>2832</v>
      </c>
      <c r="D233" t="s">
        <v>2833</v>
      </c>
      <c r="E233" t="s">
        <v>2329</v>
      </c>
      <c r="F233" t="str">
        <f>ToJsonArray(supplementary_offering_legacyid[[#Headers],[offeringid]:[mode]],supplementary_offering_legacyid[[#This Row],[offeringid]:[mode]])</f>
        <v>{"offeringid":"920000839","name":"Smart sin navegacion_920000839","mode":"N"}</v>
      </c>
      <c r="G233" t="str">
        <f>ToJsonArray(supplementary_offering_legacyid[[#This Row],[Semilla04]],supplementary_offering_legacyid[[#This Row],[Json]])</f>
        <v>{"200008-39":{"offeringid":"920000839","name":"Smart sin navegacion_920000839","mode":"N"}}</v>
      </c>
    </row>
    <row r="234" spans="1:7" x14ac:dyDescent="0.25">
      <c r="A234" s="60" t="s">
        <v>2834</v>
      </c>
      <c r="B234" t="str">
        <f>findKey(supplementary_offering_legacyid[[#This Row],[Produccion]])</f>
        <v>200008-40</v>
      </c>
      <c r="C234" s="61" t="s">
        <v>2835</v>
      </c>
      <c r="D234" t="s">
        <v>2836</v>
      </c>
      <c r="E234" t="s">
        <v>2329</v>
      </c>
      <c r="F234" t="str">
        <f>ToJsonArray(supplementary_offering_legacyid[[#Headers],[offeringid]:[mode]],supplementary_offering_legacyid[[#This Row],[offeringid]:[mode]])</f>
        <v>{"offeringid":"920000840","name":"Smart sin navegacion_920000840","mode":"N"}</v>
      </c>
      <c r="G234" t="str">
        <f>ToJsonArray(supplementary_offering_legacyid[[#This Row],[Semilla04]],supplementary_offering_legacyid[[#This Row],[Json]])</f>
        <v>{"200008-40":{"offeringid":"920000840","name":"Smart sin navegacion_920000840","mode":"N"}}</v>
      </c>
    </row>
    <row r="235" spans="1:7" x14ac:dyDescent="0.25">
      <c r="A235" s="60" t="s">
        <v>2837</v>
      </c>
      <c r="B235" t="str">
        <f>findKey(supplementary_offering_legacyid[[#This Row],[Produccion]])</f>
        <v>200008-41</v>
      </c>
      <c r="C235" s="61" t="s">
        <v>2838</v>
      </c>
      <c r="D235" t="s">
        <v>2839</v>
      </c>
      <c r="E235" t="s">
        <v>2329</v>
      </c>
      <c r="F235" t="str">
        <f>ToJsonArray(supplementary_offering_legacyid[[#Headers],[offeringid]:[mode]],supplementary_offering_legacyid[[#This Row],[offeringid]:[mode]])</f>
        <v>{"offeringid":"920000841","name":"Smart sin navegacion_920000841","mode":"N"}</v>
      </c>
      <c r="G235" t="str">
        <f>ToJsonArray(supplementary_offering_legacyid[[#This Row],[Semilla04]],supplementary_offering_legacyid[[#This Row],[Json]])</f>
        <v>{"200008-41":{"offeringid":"920000841","name":"Smart sin navegacion_920000841","mode":"N"}}</v>
      </c>
    </row>
    <row r="236" spans="1:7" x14ac:dyDescent="0.25">
      <c r="A236" s="60" t="s">
        <v>2840</v>
      </c>
      <c r="B236" t="str">
        <f>findKey(supplementary_offering_legacyid[[#This Row],[Produccion]])</f>
        <v>200008-42</v>
      </c>
      <c r="C236" s="61" t="s">
        <v>2841</v>
      </c>
      <c r="D236" t="s">
        <v>2842</v>
      </c>
      <c r="E236" t="s">
        <v>2329</v>
      </c>
      <c r="F236" t="str">
        <f>ToJsonArray(supplementary_offering_legacyid[[#Headers],[offeringid]:[mode]],supplementary_offering_legacyid[[#This Row],[offeringid]:[mode]])</f>
        <v>{"offeringid":"920000842","name":"Smart sin navegacion_920000842","mode":"N"}</v>
      </c>
      <c r="G236" t="str">
        <f>ToJsonArray(supplementary_offering_legacyid[[#This Row],[Semilla04]],supplementary_offering_legacyid[[#This Row],[Json]])</f>
        <v>{"200008-42":{"offeringid":"920000842","name":"Smart sin navegacion_920000842","mode":"N"}}</v>
      </c>
    </row>
    <row r="237" spans="1:7" x14ac:dyDescent="0.25">
      <c r="A237" s="60" t="s">
        <v>2843</v>
      </c>
      <c r="B237" t="str">
        <f>findKey(supplementary_offering_legacyid[[#This Row],[Produccion]])</f>
        <v>200008-43</v>
      </c>
      <c r="C237" s="61" t="s">
        <v>2844</v>
      </c>
      <c r="D237" t="s">
        <v>2845</v>
      </c>
      <c r="E237" t="s">
        <v>2329</v>
      </c>
      <c r="F237" t="str">
        <f>ToJsonArray(supplementary_offering_legacyid[[#Headers],[offeringid]:[mode]],supplementary_offering_legacyid[[#This Row],[offeringid]:[mode]])</f>
        <v>{"offeringid":"920000843","name":"Smart sin navegacion_920000843","mode":"N"}</v>
      </c>
      <c r="G237" t="str">
        <f>ToJsonArray(supplementary_offering_legacyid[[#This Row],[Semilla04]],supplementary_offering_legacyid[[#This Row],[Json]])</f>
        <v>{"200008-43":{"offeringid":"920000843","name":"Smart sin navegacion_920000843","mode":"N"}}</v>
      </c>
    </row>
    <row r="238" spans="1:7" x14ac:dyDescent="0.25">
      <c r="A238" s="60" t="s">
        <v>2846</v>
      </c>
      <c r="B238" t="str">
        <f>findKey(supplementary_offering_legacyid[[#This Row],[Produccion]])</f>
        <v>200011-01</v>
      </c>
      <c r="C238" s="61" t="s">
        <v>2847</v>
      </c>
      <c r="D238" t="s">
        <v>2848</v>
      </c>
      <c r="E238" t="s">
        <v>2329</v>
      </c>
      <c r="F238" t="str">
        <f>ToJsonArray(supplementary_offering_legacyid[[#Headers],[offeringid]:[mode]],supplementary_offering_legacyid[[#This Row],[offeringid]:[mode]])</f>
        <v>{"offeringid":"920001101","name":"Data 5GB_920001101","mode":"N"}</v>
      </c>
      <c r="G238" t="str">
        <f>ToJsonArray(supplementary_offering_legacyid[[#This Row],[Semilla04]],supplementary_offering_legacyid[[#This Row],[Json]])</f>
        <v>{"200011-01":{"offeringid":"920001101","name":"Data 5GB_920001101","mode":"N"}}</v>
      </c>
    </row>
    <row r="239" spans="1:7" x14ac:dyDescent="0.25">
      <c r="A239" s="60" t="s">
        <v>2849</v>
      </c>
      <c r="B239" t="str">
        <f>findKey(supplementary_offering_legacyid[[#This Row],[Produccion]])</f>
        <v>200011-02</v>
      </c>
      <c r="C239" s="61" t="s">
        <v>2850</v>
      </c>
      <c r="D239" t="s">
        <v>2851</v>
      </c>
      <c r="E239" t="s">
        <v>2329</v>
      </c>
      <c r="F239" t="str">
        <f>ToJsonArray(supplementary_offering_legacyid[[#Headers],[offeringid]:[mode]],supplementary_offering_legacyid[[#This Row],[offeringid]:[mode]])</f>
        <v>{"offeringid":"920001102","name":"Data 6GB_920001102","mode":"N"}</v>
      </c>
      <c r="G239" t="str">
        <f>ToJsonArray(supplementary_offering_legacyid[[#This Row],[Semilla04]],supplementary_offering_legacyid[[#This Row],[Json]])</f>
        <v>{"200011-02":{"offeringid":"920001102","name":"Data 6GB_920001102","mode":"N"}}</v>
      </c>
    </row>
    <row r="240" spans="1:7" x14ac:dyDescent="0.25">
      <c r="A240" s="60" t="s">
        <v>2852</v>
      </c>
      <c r="B240" t="str">
        <f>findKey(supplementary_offering_legacyid[[#This Row],[Produccion]])</f>
        <v>200011-03</v>
      </c>
      <c r="C240" s="61" t="s">
        <v>2853</v>
      </c>
      <c r="D240" t="s">
        <v>2854</v>
      </c>
      <c r="E240" t="s">
        <v>2329</v>
      </c>
      <c r="F240" t="str">
        <f>ToJsonArray(supplementary_offering_legacyid[[#Headers],[offeringid]:[mode]],supplementary_offering_legacyid[[#This Row],[offeringid]:[mode]])</f>
        <v>{"offeringid":"920001103","name":"Data 8GB_920001103","mode":"N"}</v>
      </c>
      <c r="G240" t="str">
        <f>ToJsonArray(supplementary_offering_legacyid[[#This Row],[Semilla04]],supplementary_offering_legacyid[[#This Row],[Json]])</f>
        <v>{"200011-03":{"offeringid":"920001103","name":"Data 8GB_920001103","mode":"N"}}</v>
      </c>
    </row>
    <row r="241" spans="1:7" x14ac:dyDescent="0.25">
      <c r="A241" s="60" t="s">
        <v>2855</v>
      </c>
      <c r="B241" t="str">
        <f>findKey(supplementary_offering_legacyid[[#This Row],[Produccion]])</f>
        <v>200011-06</v>
      </c>
      <c r="C241" s="61" t="s">
        <v>2856</v>
      </c>
      <c r="D241" t="s">
        <v>2857</v>
      </c>
      <c r="E241" t="s">
        <v>2329</v>
      </c>
      <c r="F241" t="str">
        <f>ToJsonArray(supplementary_offering_legacyid[[#Headers],[offeringid]:[mode]],supplementary_offering_legacyid[[#This Row],[offeringid]:[mode]])</f>
        <v>{"offeringid":"920001106","name":"Data WhatsFace_920001106","mode":"N"}</v>
      </c>
      <c r="G241" t="str">
        <f>ToJsonArray(supplementary_offering_legacyid[[#This Row],[Semilla04]],supplementary_offering_legacyid[[#This Row],[Json]])</f>
        <v>{"200011-06":{"offeringid":"920001106","name":"Data WhatsFace_920001106","mode":"N"}}</v>
      </c>
    </row>
    <row r="242" spans="1:7" x14ac:dyDescent="0.25">
      <c r="A242" s="60" t="s">
        <v>2858</v>
      </c>
      <c r="B242" t="str">
        <f>findKey(supplementary_offering_legacyid[[#This Row],[Produccion]])</f>
        <v>200011-12</v>
      </c>
      <c r="C242" s="61" t="s">
        <v>2859</v>
      </c>
      <c r="D242" t="s">
        <v>2860</v>
      </c>
      <c r="E242" t="s">
        <v>2329</v>
      </c>
      <c r="F242" t="str">
        <f>ToJsonArray(supplementary_offering_legacyid[[#Headers],[offeringid]:[mode]],supplementary_offering_legacyid[[#This Row],[offeringid]:[mode]])</f>
        <v>{"offeringid":"920001112","name":"Data WhatsFace_920001112","mode":"N"}</v>
      </c>
      <c r="G242" t="str">
        <f>ToJsonArray(supplementary_offering_legacyid[[#This Row],[Semilla04]],supplementary_offering_legacyid[[#This Row],[Json]])</f>
        <v>{"200011-12":{"offeringid":"920001112","name":"Data WhatsFace_920001112","mode":"N"}}</v>
      </c>
    </row>
    <row r="243" spans="1:7" x14ac:dyDescent="0.25">
      <c r="A243" s="60" t="s">
        <v>2861</v>
      </c>
      <c r="B243" t="str">
        <f>findKey(supplementary_offering_legacyid[[#This Row],[Produccion]])</f>
        <v>200011-13</v>
      </c>
      <c r="C243" s="61" t="s">
        <v>2862</v>
      </c>
      <c r="D243" t="s">
        <v>2863</v>
      </c>
      <c r="E243" t="s">
        <v>2329</v>
      </c>
      <c r="F243" t="str">
        <f>ToJsonArray(supplementary_offering_legacyid[[#Headers],[offeringid]:[mode]],supplementary_offering_legacyid[[#This Row],[offeringid]:[mode]])</f>
        <v>{"offeringid":"920001113","name":"Data 800MB_920001113","mode":"N"}</v>
      </c>
      <c r="G243" t="str">
        <f>ToJsonArray(supplementary_offering_legacyid[[#This Row],[Semilla04]],supplementary_offering_legacyid[[#This Row],[Json]])</f>
        <v>{"200011-13":{"offeringid":"920001113","name":"Data 800MB_920001113","mode":"N"}}</v>
      </c>
    </row>
    <row r="244" spans="1:7" x14ac:dyDescent="0.25">
      <c r="A244" s="60" t="s">
        <v>2864</v>
      </c>
      <c r="B244" t="str">
        <f>findKey(supplementary_offering_legacyid[[#This Row],[Produccion]])</f>
        <v>200011-14</v>
      </c>
      <c r="C244" s="61" t="s">
        <v>2865</v>
      </c>
      <c r="D244" t="s">
        <v>2866</v>
      </c>
      <c r="E244" t="s">
        <v>2329</v>
      </c>
      <c r="F244" t="str">
        <f>ToJsonArray(supplementary_offering_legacyid[[#Headers],[offeringid]:[mode]],supplementary_offering_legacyid[[#This Row],[offeringid]:[mode]])</f>
        <v>{"offeringid":"920001114","name":"Data 1.5GB_920001114","mode":"N"}</v>
      </c>
      <c r="G244" t="str">
        <f>ToJsonArray(supplementary_offering_legacyid[[#This Row],[Semilla04]],supplementary_offering_legacyid[[#This Row],[Json]])</f>
        <v>{"200011-14":{"offeringid":"920001114","name":"Data 1.5GB_920001114","mode":"N"}}</v>
      </c>
    </row>
    <row r="245" spans="1:7" x14ac:dyDescent="0.25">
      <c r="A245" s="60" t="s">
        <v>2867</v>
      </c>
      <c r="B245" t="str">
        <f>findKey(supplementary_offering_legacyid[[#This Row],[Produccion]])</f>
        <v>200011-15</v>
      </c>
      <c r="C245" s="61" t="s">
        <v>2868</v>
      </c>
      <c r="D245" t="s">
        <v>2869</v>
      </c>
      <c r="E245" t="s">
        <v>2329</v>
      </c>
      <c r="F245" t="str">
        <f>ToJsonArray(supplementary_offering_legacyid[[#Headers],[offeringid]:[mode]],supplementary_offering_legacyid[[#This Row],[offeringid]:[mode]])</f>
        <v>{"offeringid":"920001115","name":"Data 2.5GB_920001115","mode":"N"}</v>
      </c>
      <c r="G245" t="str">
        <f>ToJsonArray(supplementary_offering_legacyid[[#This Row],[Semilla04]],supplementary_offering_legacyid[[#This Row],[Json]])</f>
        <v>{"200011-15":{"offeringid":"920001115","name":"Data 2.5GB_920001115","mode":"N"}}</v>
      </c>
    </row>
    <row r="246" spans="1:7" x14ac:dyDescent="0.25">
      <c r="A246" s="60" t="s">
        <v>2870</v>
      </c>
      <c r="B246" t="str">
        <f>findKey(supplementary_offering_legacyid[[#This Row],[Produccion]])</f>
        <v>200011-16</v>
      </c>
      <c r="C246" s="61" t="s">
        <v>2871</v>
      </c>
      <c r="D246" t="s">
        <v>2872</v>
      </c>
      <c r="E246" t="s">
        <v>2329</v>
      </c>
      <c r="F246" t="str">
        <f>ToJsonArray(supplementary_offering_legacyid[[#Headers],[offeringid]:[mode]],supplementary_offering_legacyid[[#This Row],[offeringid]:[mode]])</f>
        <v>{"offeringid":"920001116","name":"Data 3.5GB_920001116","mode":"N"}</v>
      </c>
      <c r="G246" t="str">
        <f>ToJsonArray(supplementary_offering_legacyid[[#This Row],[Semilla04]],supplementary_offering_legacyid[[#This Row],[Json]])</f>
        <v>{"200011-16":{"offeringid":"920001116","name":"Data 3.5GB_920001116","mode":"N"}}</v>
      </c>
    </row>
    <row r="247" spans="1:7" x14ac:dyDescent="0.25">
      <c r="A247" s="60" t="s">
        <v>2873</v>
      </c>
      <c r="B247" t="str">
        <f>findKey(supplementary_offering_legacyid[[#This Row],[Produccion]])</f>
        <v>200011-17</v>
      </c>
      <c r="C247" s="61" t="s">
        <v>2874</v>
      </c>
      <c r="D247" t="s">
        <v>2875</v>
      </c>
      <c r="E247" t="s">
        <v>2329</v>
      </c>
      <c r="F247" t="str">
        <f>ToJsonArray(supplementary_offering_legacyid[[#Headers],[offeringid]:[mode]],supplementary_offering_legacyid[[#This Row],[offeringid]:[mode]])</f>
        <v>{"offeringid":"920001117","name":"Data 4GB_920001117","mode":"N"}</v>
      </c>
      <c r="G247" t="str">
        <f>ToJsonArray(supplementary_offering_legacyid[[#This Row],[Semilla04]],supplementary_offering_legacyid[[#This Row],[Json]])</f>
        <v>{"200011-17":{"offeringid":"920001117","name":"Data 4GB_920001117","mode":"N"}}</v>
      </c>
    </row>
    <row r="248" spans="1:7" x14ac:dyDescent="0.25">
      <c r="A248" s="60" t="s">
        <v>2876</v>
      </c>
      <c r="B248" t="str">
        <f>findKey(supplementary_offering_legacyid[[#This Row],[Produccion]])</f>
        <v>200011-18</v>
      </c>
      <c r="C248" s="61" t="s">
        <v>2877</v>
      </c>
      <c r="D248" t="s">
        <v>2878</v>
      </c>
      <c r="E248" t="s">
        <v>2329</v>
      </c>
      <c r="F248" t="str">
        <f>ToJsonArray(supplementary_offering_legacyid[[#Headers],[offeringid]:[mode]],supplementary_offering_legacyid[[#This Row],[offeringid]:[mode]])</f>
        <v>{"offeringid":"920001118","name":"Data 6GB_920001118","mode":"N"}</v>
      </c>
      <c r="G248" t="str">
        <f>ToJsonArray(supplementary_offering_legacyid[[#This Row],[Semilla04]],supplementary_offering_legacyid[[#This Row],[Json]])</f>
        <v>{"200011-18":{"offeringid":"920001118","name":"Data 6GB_920001118","mode":"N"}}</v>
      </c>
    </row>
    <row r="249" spans="1:7" x14ac:dyDescent="0.25">
      <c r="A249" s="60" t="s">
        <v>2879</v>
      </c>
      <c r="B249" t="str">
        <f>findKey(supplementary_offering_legacyid[[#This Row],[Produccion]])</f>
        <v>200011-19</v>
      </c>
      <c r="C249" s="61" t="s">
        <v>2880</v>
      </c>
      <c r="D249" t="s">
        <v>2881</v>
      </c>
      <c r="E249" t="s">
        <v>2329</v>
      </c>
      <c r="F249" t="str">
        <f>ToJsonArray(supplementary_offering_legacyid[[#Headers],[offeringid]:[mode]],supplementary_offering_legacyid[[#This Row],[offeringid]:[mode]])</f>
        <v>{"offeringid":"920001119","name":"Data 8GB_920001119","mode":"N"}</v>
      </c>
      <c r="G249" t="str">
        <f>ToJsonArray(supplementary_offering_legacyid[[#This Row],[Semilla04]],supplementary_offering_legacyid[[#This Row],[Json]])</f>
        <v>{"200011-19":{"offeringid":"920001119","name":"Data 8GB_920001119","mode":"N"}}</v>
      </c>
    </row>
    <row r="250" spans="1:7" x14ac:dyDescent="0.25">
      <c r="A250" s="60" t="s">
        <v>2882</v>
      </c>
      <c r="B250" t="str">
        <f>findKey(supplementary_offering_legacyid[[#This Row],[Produccion]])</f>
        <v>200011-20</v>
      </c>
      <c r="C250" s="61" t="s">
        <v>2883</v>
      </c>
      <c r="D250" t="s">
        <v>2884</v>
      </c>
      <c r="E250" t="s">
        <v>2329</v>
      </c>
      <c r="F250" t="str">
        <f>ToJsonArray(supplementary_offering_legacyid[[#Headers],[offeringid]:[mode]],supplementary_offering_legacyid[[#This Row],[offeringid]:[mode]])</f>
        <v>{"offeringid":"920001120","name":"Data 10GB_920001120","mode":"N"}</v>
      </c>
      <c r="G250" t="str">
        <f>ToJsonArray(supplementary_offering_legacyid[[#This Row],[Semilla04]],supplementary_offering_legacyid[[#This Row],[Json]])</f>
        <v>{"200011-20":{"offeringid":"920001120","name":"Data 10GB_920001120","mode":"N"}}</v>
      </c>
    </row>
    <row r="251" spans="1:7" x14ac:dyDescent="0.25">
      <c r="A251" s="60" t="s">
        <v>2885</v>
      </c>
      <c r="B251" t="str">
        <f>findKey(supplementary_offering_legacyid[[#This Row],[Produccion]])</f>
        <v>200011-21</v>
      </c>
      <c r="C251" s="61" t="s">
        <v>2886</v>
      </c>
      <c r="D251" t="s">
        <v>2887</v>
      </c>
      <c r="E251" t="s">
        <v>2329</v>
      </c>
      <c r="F251" t="str">
        <f>ToJsonArray(supplementary_offering_legacyid[[#Headers],[offeringid]:[mode]],supplementary_offering_legacyid[[#This Row],[offeringid]:[mode]])</f>
        <v>{"offeringid":"920001121","name":"Data 12GB_920001121","mode":"N"}</v>
      </c>
      <c r="G251" t="str">
        <f>ToJsonArray(supplementary_offering_legacyid[[#This Row],[Semilla04]],supplementary_offering_legacyid[[#This Row],[Json]])</f>
        <v>{"200011-21":{"offeringid":"920001121","name":"Data 12GB_920001121","mode":"N"}}</v>
      </c>
    </row>
    <row r="252" spans="1:7" x14ac:dyDescent="0.25">
      <c r="A252" s="60" t="s">
        <v>2888</v>
      </c>
      <c r="B252" t="str">
        <f>findKey(supplementary_offering_legacyid[[#This Row],[Produccion]])</f>
        <v>200011-22</v>
      </c>
      <c r="C252" s="61" t="s">
        <v>2889</v>
      </c>
      <c r="D252" t="s">
        <v>2890</v>
      </c>
      <c r="E252" t="s">
        <v>2329</v>
      </c>
      <c r="F252" t="str">
        <f>ToJsonArray(supplementary_offering_legacyid[[#Headers],[offeringid]:[mode]],supplementary_offering_legacyid[[#This Row],[offeringid]:[mode]])</f>
        <v>{"offeringid":"920001122","name":"Data WhatsApp_920001122","mode":"N"}</v>
      </c>
      <c r="G252" t="str">
        <f>ToJsonArray(supplementary_offering_legacyid[[#This Row],[Semilla04]],supplementary_offering_legacyid[[#This Row],[Json]])</f>
        <v>{"200011-22":{"offeringid":"920001122","name":"Data WhatsApp_920001122","mode":"N"}}</v>
      </c>
    </row>
    <row r="253" spans="1:7" x14ac:dyDescent="0.25">
      <c r="A253" s="60" t="s">
        <v>2891</v>
      </c>
      <c r="B253" t="str">
        <f>findKey(supplementary_offering_legacyid[[#This Row],[Produccion]])</f>
        <v>200011-23</v>
      </c>
      <c r="C253" s="61" t="s">
        <v>2892</v>
      </c>
      <c r="D253" t="s">
        <v>2893</v>
      </c>
      <c r="E253" t="s">
        <v>2329</v>
      </c>
      <c r="F253" t="str">
        <f>ToJsonArray(supplementary_offering_legacyid[[#Headers],[offeringid]:[mode]],supplementary_offering_legacyid[[#This Row],[offeringid]:[mode]])</f>
        <v>{"offeringid":"920001123","name":"Data WhatsFace_920001123","mode":"N"}</v>
      </c>
      <c r="G253" t="str">
        <f>ToJsonArray(supplementary_offering_legacyid[[#This Row],[Semilla04]],supplementary_offering_legacyid[[#This Row],[Json]])</f>
        <v>{"200011-23":{"offeringid":"920001123","name":"Data WhatsFace_920001123","mode":"N"}}</v>
      </c>
    </row>
    <row r="254" spans="1:7" x14ac:dyDescent="0.25">
      <c r="A254" s="60" t="s">
        <v>2894</v>
      </c>
      <c r="B254" t="str">
        <f>findKey(supplementary_offering_legacyid[[#This Row],[Produccion]])</f>
        <v>200011-26</v>
      </c>
      <c r="C254" s="61" t="s">
        <v>2895</v>
      </c>
      <c r="D254" t="s">
        <v>2896</v>
      </c>
      <c r="E254" t="s">
        <v>2329</v>
      </c>
      <c r="F254" t="str">
        <f>ToJsonArray(supplementary_offering_legacyid[[#Headers],[offeringid]:[mode]],supplementary_offering_legacyid[[#This Row],[offeringid]:[mode]])</f>
        <v>{"offeringid":"920001126","name":"Data Unlimited_920001126","mode":"N"}</v>
      </c>
      <c r="G254" t="str">
        <f>ToJsonArray(supplementary_offering_legacyid[[#This Row],[Semilla04]],supplementary_offering_legacyid[[#This Row],[Json]])</f>
        <v>{"200011-26":{"offeringid":"920001126","name":"Data Unlimited_920001126","mode":"N"}}</v>
      </c>
    </row>
    <row r="255" spans="1:7" x14ac:dyDescent="0.25">
      <c r="A255" s="60" t="s">
        <v>2897</v>
      </c>
      <c r="B255" t="str">
        <f>findKey(supplementary_offering_legacyid[[#This Row],[Produccion]])</f>
        <v>200011-29</v>
      </c>
      <c r="C255" s="61" t="s">
        <v>2898</v>
      </c>
      <c r="D255" t="s">
        <v>2899</v>
      </c>
      <c r="E255" t="s">
        <v>2329</v>
      </c>
      <c r="F255" t="str">
        <f>ToJsonArray(supplementary_offering_legacyid[[#Headers],[offeringid]:[mode]],supplementary_offering_legacyid[[#This Row],[offeringid]:[mode]])</f>
        <v>{"offeringid":"920001129","name":"Data 2.5GB WhatsFace_920001129","mode":"N"}</v>
      </c>
      <c r="G255" t="str">
        <f>ToJsonArray(supplementary_offering_legacyid[[#This Row],[Semilla04]],supplementary_offering_legacyid[[#This Row],[Json]])</f>
        <v>{"200011-29":{"offeringid":"920001129","name":"Data 2.5GB WhatsFace_920001129","mode":"N"}}</v>
      </c>
    </row>
    <row r="256" spans="1:7" x14ac:dyDescent="0.25">
      <c r="A256" s="60" t="s">
        <v>2900</v>
      </c>
      <c r="B256" t="str">
        <f>findKey(supplementary_offering_legacyid[[#This Row],[Produccion]])</f>
        <v>200011-30</v>
      </c>
      <c r="C256" s="61" t="s">
        <v>2901</v>
      </c>
      <c r="D256" t="s">
        <v>2902</v>
      </c>
      <c r="E256" t="s">
        <v>2329</v>
      </c>
      <c r="F256" t="str">
        <f>ToJsonArray(supplementary_offering_legacyid[[#Headers],[offeringid]:[mode]],supplementary_offering_legacyid[[#This Row],[offeringid]:[mode]])</f>
        <v>{"offeringid":"920001130","name":"Data 3.5GB WhatsFace_920001130","mode":"N"}</v>
      </c>
      <c r="G256" t="str">
        <f>ToJsonArray(supplementary_offering_legacyid[[#This Row],[Semilla04]],supplementary_offering_legacyid[[#This Row],[Json]])</f>
        <v>{"200011-30":{"offeringid":"920001130","name":"Data 3.5GB WhatsFace_920001130","mode":"N"}}</v>
      </c>
    </row>
    <row r="257" spans="1:7" x14ac:dyDescent="0.25">
      <c r="A257" s="60" t="s">
        <v>2903</v>
      </c>
      <c r="B257" t="str">
        <f>findKey(supplementary_offering_legacyid[[#This Row],[Produccion]])</f>
        <v>200011-31</v>
      </c>
      <c r="C257" s="61" t="s">
        <v>2904</v>
      </c>
      <c r="D257" t="s">
        <v>2905</v>
      </c>
      <c r="E257" t="s">
        <v>2329</v>
      </c>
      <c r="F257" t="str">
        <f>ToJsonArray(supplementary_offering_legacyid[[#Headers],[offeringid]:[mode]],supplementary_offering_legacyid[[#This Row],[offeringid]:[mode]])</f>
        <v>{"offeringid":"920001131","name":"Data 7GB WhatsFace_920001131","mode":"N"}</v>
      </c>
      <c r="G257" t="str">
        <f>ToJsonArray(supplementary_offering_legacyid[[#This Row],[Semilla04]],supplementary_offering_legacyid[[#This Row],[Json]])</f>
        <v>{"200011-31":{"offeringid":"920001131","name":"Data 7GB WhatsFace_920001131","mode":"N"}}</v>
      </c>
    </row>
    <row r="258" spans="1:7" x14ac:dyDescent="0.25">
      <c r="A258" s="60" t="s">
        <v>2906</v>
      </c>
      <c r="B258" t="str">
        <f>findKey(supplementary_offering_legacyid[[#This Row],[Produccion]])</f>
        <v>200011-48</v>
      </c>
      <c r="C258" s="61" t="s">
        <v>2907</v>
      </c>
      <c r="D258" t="s">
        <v>2908</v>
      </c>
      <c r="E258" t="s">
        <v>2329</v>
      </c>
      <c r="F258" t="str">
        <f>ToJsonArray(supplementary_offering_legacyid[[#Headers],[offeringid]:[mode]],supplementary_offering_legacyid[[#This Row],[offeringid]:[mode]])</f>
        <v>{"offeringid":"920001148","name":"Data 800MB_920001148","mode":"N"}</v>
      </c>
      <c r="G258" t="str">
        <f>ToJsonArray(supplementary_offering_legacyid[[#This Row],[Semilla04]],supplementary_offering_legacyid[[#This Row],[Json]])</f>
        <v>{"200011-48":{"offeringid":"920001148","name":"Data 800MB_920001148","mode":"N"}}</v>
      </c>
    </row>
    <row r="259" spans="1:7" x14ac:dyDescent="0.25">
      <c r="A259" s="60" t="s">
        <v>2909</v>
      </c>
      <c r="B259" t="str">
        <f>findKey(supplementary_offering_legacyid[[#This Row],[Produccion]])</f>
        <v>200011-49</v>
      </c>
      <c r="C259" s="61" t="s">
        <v>2910</v>
      </c>
      <c r="D259" t="s">
        <v>2911</v>
      </c>
      <c r="E259" t="s">
        <v>2329</v>
      </c>
      <c r="F259" t="str">
        <f>ToJsonArray(supplementary_offering_legacyid[[#Headers],[offeringid]:[mode]],supplementary_offering_legacyid[[#This Row],[offeringid]:[mode]])</f>
        <v>{"offeringid":"920001149","name":"Data 1.5GB_920001149","mode":"N"}</v>
      </c>
      <c r="G259" t="str">
        <f>ToJsonArray(supplementary_offering_legacyid[[#This Row],[Semilla04]],supplementary_offering_legacyid[[#This Row],[Json]])</f>
        <v>{"200011-49":{"offeringid":"920001149","name":"Data 1.5GB_920001149","mode":"N"}}</v>
      </c>
    </row>
    <row r="260" spans="1:7" x14ac:dyDescent="0.25">
      <c r="A260" s="60" t="s">
        <v>2912</v>
      </c>
      <c r="B260" t="str">
        <f>findKey(supplementary_offering_legacyid[[#This Row],[Produccion]])</f>
        <v>200011-50</v>
      </c>
      <c r="C260" s="61" t="s">
        <v>2913</v>
      </c>
      <c r="D260" t="s">
        <v>2914</v>
      </c>
      <c r="E260" t="s">
        <v>2329</v>
      </c>
      <c r="F260" t="str">
        <f>ToJsonArray(supplementary_offering_legacyid[[#Headers],[offeringid]:[mode]],supplementary_offering_legacyid[[#This Row],[offeringid]:[mode]])</f>
        <v>{"offeringid":"920001150","name":"Data 2.5GB_920001150","mode":"N"}</v>
      </c>
      <c r="G260" t="str">
        <f>ToJsonArray(supplementary_offering_legacyid[[#This Row],[Semilla04]],supplementary_offering_legacyid[[#This Row],[Json]])</f>
        <v>{"200011-50":{"offeringid":"920001150","name":"Data 2.5GB_920001150","mode":"N"}}</v>
      </c>
    </row>
    <row r="261" spans="1:7" x14ac:dyDescent="0.25">
      <c r="A261" s="60" t="s">
        <v>2915</v>
      </c>
      <c r="B261" t="str">
        <f>findKey(supplementary_offering_legacyid[[#This Row],[Produccion]])</f>
        <v>200011-51</v>
      </c>
      <c r="C261" s="61" t="s">
        <v>2916</v>
      </c>
      <c r="D261" t="s">
        <v>2917</v>
      </c>
      <c r="E261" t="s">
        <v>2329</v>
      </c>
      <c r="F261" t="str">
        <f>ToJsonArray(supplementary_offering_legacyid[[#Headers],[offeringid]:[mode]],supplementary_offering_legacyid[[#This Row],[offeringid]:[mode]])</f>
        <v>{"offeringid":"920001151","name":"Data 3.5GB_920001151","mode":"N"}</v>
      </c>
      <c r="G261" t="str">
        <f>ToJsonArray(supplementary_offering_legacyid[[#This Row],[Semilla04]],supplementary_offering_legacyid[[#This Row],[Json]])</f>
        <v>{"200011-51":{"offeringid":"920001151","name":"Data 3.5GB_920001151","mode":"N"}}</v>
      </c>
    </row>
    <row r="262" spans="1:7" x14ac:dyDescent="0.25">
      <c r="A262" s="60" t="s">
        <v>2918</v>
      </c>
      <c r="B262" t="str">
        <f>findKey(supplementary_offering_legacyid[[#This Row],[Produccion]])</f>
        <v>200011-52</v>
      </c>
      <c r="C262" s="61" t="s">
        <v>2919</v>
      </c>
      <c r="D262" t="s">
        <v>2920</v>
      </c>
      <c r="E262" t="s">
        <v>2329</v>
      </c>
      <c r="F262" t="str">
        <f>ToJsonArray(supplementary_offering_legacyid[[#Headers],[offeringid]:[mode]],supplementary_offering_legacyid[[#This Row],[offeringid]:[mode]])</f>
        <v>{"offeringid":"920001152","name":"Data 4GB_920001152","mode":"N"}</v>
      </c>
      <c r="G262" t="str">
        <f>ToJsonArray(supplementary_offering_legacyid[[#This Row],[Semilla04]],supplementary_offering_legacyid[[#This Row],[Json]])</f>
        <v>{"200011-52":{"offeringid":"920001152","name":"Data 4GB_920001152","mode":"N"}}</v>
      </c>
    </row>
    <row r="263" spans="1:7" x14ac:dyDescent="0.25">
      <c r="A263" s="60" t="s">
        <v>2921</v>
      </c>
      <c r="B263" t="str">
        <f>findKey(supplementary_offering_legacyid[[#This Row],[Produccion]])</f>
        <v>200011-53</v>
      </c>
      <c r="C263" s="61" t="s">
        <v>2922</v>
      </c>
      <c r="D263" t="s">
        <v>2923</v>
      </c>
      <c r="E263" t="s">
        <v>2329</v>
      </c>
      <c r="F263" t="str">
        <f>ToJsonArray(supplementary_offering_legacyid[[#Headers],[offeringid]:[mode]],supplementary_offering_legacyid[[#This Row],[offeringid]:[mode]])</f>
        <v>{"offeringid":"920001153","name":"Data 7GB_920001153","mode":"N"}</v>
      </c>
      <c r="G263" t="str">
        <f>ToJsonArray(supplementary_offering_legacyid[[#This Row],[Semilla04]],supplementary_offering_legacyid[[#This Row],[Json]])</f>
        <v>{"200011-53":{"offeringid":"920001153","name":"Data 7GB_920001153","mode":"N"}}</v>
      </c>
    </row>
    <row r="264" spans="1:7" x14ac:dyDescent="0.25">
      <c r="A264" s="60" t="s">
        <v>2924</v>
      </c>
      <c r="B264" t="str">
        <f>findKey(supplementary_offering_legacyid[[#This Row],[Produccion]])</f>
        <v>200011-54</v>
      </c>
      <c r="C264" s="61" t="s">
        <v>2925</v>
      </c>
      <c r="D264" t="s">
        <v>2926</v>
      </c>
      <c r="E264" t="s">
        <v>2329</v>
      </c>
      <c r="F264" t="str">
        <f>ToJsonArray(supplementary_offering_legacyid[[#Headers],[offeringid]:[mode]],supplementary_offering_legacyid[[#This Row],[offeringid]:[mode]])</f>
        <v>{"offeringid":"920001154","name":"Data 1GB_920001154","mode":"N"}</v>
      </c>
      <c r="G264" t="str">
        <f>ToJsonArray(supplementary_offering_legacyid[[#This Row],[Semilla04]],supplementary_offering_legacyid[[#This Row],[Json]])</f>
        <v>{"200011-54":{"offeringid":"920001154","name":"Data 1GB_920001154","mode":"N"}}</v>
      </c>
    </row>
    <row r="265" spans="1:7" x14ac:dyDescent="0.25">
      <c r="A265" s="60" t="s">
        <v>2927</v>
      </c>
      <c r="B265" t="str">
        <f>findKey(supplementary_offering_legacyid[[#This Row],[Produccion]])</f>
        <v>200011-55</v>
      </c>
      <c r="C265" s="61" t="s">
        <v>2928</v>
      </c>
      <c r="D265" t="s">
        <v>2929</v>
      </c>
      <c r="E265" t="s">
        <v>2329</v>
      </c>
      <c r="F265" t="str">
        <f>ToJsonArray(supplementary_offering_legacyid[[#Headers],[offeringid]:[mode]],supplementary_offering_legacyid[[#This Row],[offeringid]:[mode]])</f>
        <v>{"offeringid":"920001155","name":"Data 1GB_920001155","mode":"N"}</v>
      </c>
      <c r="G265" t="str">
        <f>ToJsonArray(supplementary_offering_legacyid[[#This Row],[Semilla04]],supplementary_offering_legacyid[[#This Row],[Json]])</f>
        <v>{"200011-55":{"offeringid":"920001155","name":"Data 1GB_920001155","mode":"N"}}</v>
      </c>
    </row>
    <row r="266" spans="1:7" x14ac:dyDescent="0.25">
      <c r="A266" s="60" t="s">
        <v>2930</v>
      </c>
      <c r="B266" t="str">
        <f>findKey(supplementary_offering_legacyid[[#This Row],[Produccion]])</f>
        <v>200011-56</v>
      </c>
      <c r="C266" s="61" t="s">
        <v>2931</v>
      </c>
      <c r="D266" t="s">
        <v>2932</v>
      </c>
      <c r="E266" t="s">
        <v>2329</v>
      </c>
      <c r="F266" t="str">
        <f>ToJsonArray(supplementary_offering_legacyid[[#Headers],[offeringid]:[mode]],supplementary_offering_legacyid[[#This Row],[offeringid]:[mode]])</f>
        <v>{"offeringid":"920001156","name":"Data 3GB_920001156","mode":"N"}</v>
      </c>
      <c r="G266" t="str">
        <f>ToJsonArray(supplementary_offering_legacyid[[#This Row],[Semilla04]],supplementary_offering_legacyid[[#This Row],[Json]])</f>
        <v>{"200011-56":{"offeringid":"920001156","name":"Data 3GB_920001156","mode":"N"}}</v>
      </c>
    </row>
    <row r="267" spans="1:7" x14ac:dyDescent="0.25">
      <c r="A267" s="60" t="s">
        <v>2933</v>
      </c>
      <c r="B267" t="str">
        <f>findKey(supplementary_offering_legacyid[[#This Row],[Produccion]])</f>
        <v>200011-57</v>
      </c>
      <c r="C267" s="61" t="s">
        <v>2934</v>
      </c>
      <c r="D267" t="s">
        <v>2935</v>
      </c>
      <c r="E267" t="s">
        <v>2329</v>
      </c>
      <c r="F267" t="str">
        <f>ToJsonArray(supplementary_offering_legacyid[[#Headers],[offeringid]:[mode]],supplementary_offering_legacyid[[#This Row],[offeringid]:[mode]])</f>
        <v>{"offeringid":"920001157","name":"Data 3GB_920001157","mode":"N"}</v>
      </c>
      <c r="G267" t="str">
        <f>ToJsonArray(supplementary_offering_legacyid[[#This Row],[Semilla04]],supplementary_offering_legacyid[[#This Row],[Json]])</f>
        <v>{"200011-57":{"offeringid":"920001157","name":"Data 3GB_920001157","mode":"N"}}</v>
      </c>
    </row>
    <row r="268" spans="1:7" x14ac:dyDescent="0.25">
      <c r="A268" s="60" t="s">
        <v>2936</v>
      </c>
      <c r="B268" t="str">
        <f>findKey(supplementary_offering_legacyid[[#This Row],[Produccion]])</f>
        <v>200011-58</v>
      </c>
      <c r="C268" s="61" t="s">
        <v>2937</v>
      </c>
      <c r="D268" t="s">
        <v>2938</v>
      </c>
      <c r="E268" t="s">
        <v>2329</v>
      </c>
      <c r="F268" t="str">
        <f>ToJsonArray(supplementary_offering_legacyid[[#Headers],[offeringid]:[mode]],supplementary_offering_legacyid[[#This Row],[offeringid]:[mode]])</f>
        <v>{"offeringid":"920001158","name":"Data 5GB_920001158","mode":"N"}</v>
      </c>
      <c r="G268" t="str">
        <f>ToJsonArray(supplementary_offering_legacyid[[#This Row],[Semilla04]],supplementary_offering_legacyid[[#This Row],[Json]])</f>
        <v>{"200011-58":{"offeringid":"920001158","name":"Data 5GB_920001158","mode":"N"}}</v>
      </c>
    </row>
    <row r="269" spans="1:7" x14ac:dyDescent="0.25">
      <c r="A269" s="60" t="s">
        <v>2939</v>
      </c>
      <c r="B269" t="str">
        <f>findKey(supplementary_offering_legacyid[[#This Row],[Produccion]])</f>
        <v>200011-59</v>
      </c>
      <c r="C269" s="61" t="s">
        <v>2940</v>
      </c>
      <c r="D269" t="s">
        <v>2941</v>
      </c>
      <c r="E269" t="s">
        <v>2329</v>
      </c>
      <c r="F269" t="str">
        <f>ToJsonArray(supplementary_offering_legacyid[[#Headers],[offeringid]:[mode]],supplementary_offering_legacyid[[#This Row],[offeringid]:[mode]])</f>
        <v>{"offeringid":"920001159","name":"Data 5GB_920001159","mode":"N"}</v>
      </c>
      <c r="G269" t="str">
        <f>ToJsonArray(supplementary_offering_legacyid[[#This Row],[Semilla04]],supplementary_offering_legacyid[[#This Row],[Json]])</f>
        <v>{"200011-59":{"offeringid":"920001159","name":"Data 5GB_920001159","mode":"N"}}</v>
      </c>
    </row>
    <row r="270" spans="1:7" x14ac:dyDescent="0.25">
      <c r="A270" s="60" t="s">
        <v>2942</v>
      </c>
      <c r="B270" t="str">
        <f>findKey(supplementary_offering_legacyid[[#This Row],[Produccion]])</f>
        <v>200011-60</v>
      </c>
      <c r="C270" s="61" t="s">
        <v>2943</v>
      </c>
      <c r="D270" t="s">
        <v>2944</v>
      </c>
      <c r="E270" t="s">
        <v>2329</v>
      </c>
      <c r="F270" t="str">
        <f>ToJsonArray(supplementary_offering_legacyid[[#Headers],[offeringid]:[mode]],supplementary_offering_legacyid[[#This Row],[offeringid]:[mode]])</f>
        <v>{"offeringid":"920001160","name":"Data 8GB_920001160","mode":"N"}</v>
      </c>
      <c r="G270" t="str">
        <f>ToJsonArray(supplementary_offering_legacyid[[#This Row],[Semilla04]],supplementary_offering_legacyid[[#This Row],[Json]])</f>
        <v>{"200011-60":{"offeringid":"920001160","name":"Data 8GB_920001160","mode":"N"}}</v>
      </c>
    </row>
    <row r="271" spans="1:7" x14ac:dyDescent="0.25">
      <c r="A271" s="60" t="s">
        <v>2945</v>
      </c>
      <c r="B271" t="str">
        <f>findKey(supplementary_offering_legacyid[[#This Row],[Produccion]])</f>
        <v>200011-61</v>
      </c>
      <c r="C271" s="61" t="s">
        <v>2946</v>
      </c>
      <c r="D271" t="s">
        <v>2947</v>
      </c>
      <c r="E271" t="s">
        <v>2329</v>
      </c>
      <c r="F271" t="str">
        <f>ToJsonArray(supplementary_offering_legacyid[[#Headers],[offeringid]:[mode]],supplementary_offering_legacyid[[#This Row],[offeringid]:[mode]])</f>
        <v>{"offeringid":"920001161","name":"Data 10GB_920001161","mode":"N"}</v>
      </c>
      <c r="G271" t="str">
        <f>ToJsonArray(supplementary_offering_legacyid[[#This Row],[Semilla04]],supplementary_offering_legacyid[[#This Row],[Json]])</f>
        <v>{"200011-61":{"offeringid":"920001161","name":"Data 10GB_920001161","mode":"N"}}</v>
      </c>
    </row>
    <row r="272" spans="1:7" x14ac:dyDescent="0.25">
      <c r="A272" s="60" t="s">
        <v>2948</v>
      </c>
      <c r="B272" t="str">
        <f>findKey(supplementary_offering_legacyid[[#This Row],[Produccion]])</f>
        <v>200011-62</v>
      </c>
      <c r="C272" s="61" t="s">
        <v>2949</v>
      </c>
      <c r="D272" t="s">
        <v>2950</v>
      </c>
      <c r="E272" t="s">
        <v>2329</v>
      </c>
      <c r="F272" t="str">
        <f>ToJsonArray(supplementary_offering_legacyid[[#Headers],[offeringid]:[mode]],supplementary_offering_legacyid[[#This Row],[offeringid]:[mode]])</f>
        <v>{"offeringid":"920001162","name":"Data 15GB_920001162","mode":"N"}</v>
      </c>
      <c r="G272" t="str">
        <f>ToJsonArray(supplementary_offering_legacyid[[#This Row],[Semilla04]],supplementary_offering_legacyid[[#This Row],[Json]])</f>
        <v>{"200011-62":{"offeringid":"920001162","name":"Data 15GB_920001162","mode":"N"}}</v>
      </c>
    </row>
    <row r="273" spans="1:7" x14ac:dyDescent="0.25">
      <c r="A273" s="60" t="s">
        <v>2951</v>
      </c>
      <c r="B273" t="str">
        <f>findKey(supplementary_offering_legacyid[[#This Row],[Produccion]])</f>
        <v>200011-63</v>
      </c>
      <c r="C273" s="61" t="s">
        <v>2952</v>
      </c>
      <c r="D273" t="s">
        <v>2953</v>
      </c>
      <c r="E273" t="s">
        <v>2329</v>
      </c>
      <c r="F273" t="str">
        <f>ToJsonArray(supplementary_offering_legacyid[[#Headers],[offeringid]:[mode]],supplementary_offering_legacyid[[#This Row],[offeringid]:[mode]])</f>
        <v>{"offeringid":"920001163","name":"Data 20GB_920001163","mode":"N"}</v>
      </c>
      <c r="G273" t="str">
        <f>ToJsonArray(supplementary_offering_legacyid[[#This Row],[Semilla04]],supplementary_offering_legacyid[[#This Row],[Json]])</f>
        <v>{"200011-63":{"offeringid":"920001163","name":"Data 20GB_920001163","mode":"N"}}</v>
      </c>
    </row>
    <row r="274" spans="1:7" x14ac:dyDescent="0.25">
      <c r="A274" s="60" t="s">
        <v>2954</v>
      </c>
      <c r="B274" t="str">
        <f>findKey(supplementary_offering_legacyid[[#This Row],[Produccion]])</f>
        <v>200011-65</v>
      </c>
      <c r="C274" s="61" t="s">
        <v>2955</v>
      </c>
      <c r="D274" t="s">
        <v>2956</v>
      </c>
      <c r="E274" t="s">
        <v>2329</v>
      </c>
      <c r="F274" t="str">
        <f>ToJsonArray(supplementary_offering_legacyid[[#Headers],[offeringid]:[mode]],supplementary_offering_legacyid[[#This Row],[offeringid]:[mode]])</f>
        <v>{"offeringid":"920001165","name":"Data 1TB_920001165","mode":"N"}</v>
      </c>
      <c r="G274" t="str">
        <f>ToJsonArray(supplementary_offering_legacyid[[#This Row],[Semilla04]],supplementary_offering_legacyid[[#This Row],[Json]])</f>
        <v>{"200011-65":{"offeringid":"920001165","name":"Data 1TB_920001165","mode":"N"}}</v>
      </c>
    </row>
    <row r="275" spans="1:7" x14ac:dyDescent="0.25">
      <c r="A275" s="60" t="s">
        <v>2957</v>
      </c>
      <c r="B275" t="str">
        <f>findKey(supplementary_offering_legacyid[[#This Row],[Produccion]])</f>
        <v>200011-66</v>
      </c>
      <c r="C275" s="61" t="s">
        <v>2958</v>
      </c>
      <c r="D275" t="s">
        <v>2959</v>
      </c>
      <c r="E275" t="s">
        <v>2329</v>
      </c>
      <c r="F275" t="str">
        <f>ToJsonArray(supplementary_offering_legacyid[[#Headers],[offeringid]:[mode]],supplementary_offering_legacyid[[#This Row],[offeringid]:[mode]])</f>
        <v>{"offeringid":"920001166","name":"Data 0.8GB_920001166","mode":"N"}</v>
      </c>
      <c r="G275" t="str">
        <f>ToJsonArray(supplementary_offering_legacyid[[#This Row],[Semilla04]],supplementary_offering_legacyid[[#This Row],[Json]])</f>
        <v>{"200011-66":{"offeringid":"920001166","name":"Data 0.8GB_920001166","mode":"N"}}</v>
      </c>
    </row>
    <row r="276" spans="1:7" x14ac:dyDescent="0.25">
      <c r="A276" s="60" t="s">
        <v>2960</v>
      </c>
      <c r="B276" t="str">
        <f>findKey(supplementary_offering_legacyid[[#This Row],[Produccion]])</f>
        <v>200011-67</v>
      </c>
      <c r="C276" s="61" t="s">
        <v>2961</v>
      </c>
      <c r="D276" t="s">
        <v>2962</v>
      </c>
      <c r="E276" t="s">
        <v>2329</v>
      </c>
      <c r="F276" t="str">
        <f>ToJsonArray(supplementary_offering_legacyid[[#Headers],[offeringid]:[mode]],supplementary_offering_legacyid[[#This Row],[offeringid]:[mode]])</f>
        <v>{"offeringid":"920001167","name":"Data 1.5GB_920001167","mode":"N"}</v>
      </c>
      <c r="G276" t="str">
        <f>ToJsonArray(supplementary_offering_legacyid[[#This Row],[Semilla04]],supplementary_offering_legacyid[[#This Row],[Json]])</f>
        <v>{"200011-67":{"offeringid":"920001167","name":"Data 1.5GB_920001167","mode":"N"}}</v>
      </c>
    </row>
    <row r="277" spans="1:7" x14ac:dyDescent="0.25">
      <c r="A277" s="60" t="s">
        <v>2963</v>
      </c>
      <c r="B277" t="str">
        <f>findKey(supplementary_offering_legacyid[[#This Row],[Produccion]])</f>
        <v>200011-68</v>
      </c>
      <c r="C277" s="61" t="s">
        <v>2964</v>
      </c>
      <c r="D277" t="s">
        <v>2965</v>
      </c>
      <c r="E277" t="s">
        <v>2329</v>
      </c>
      <c r="F277" t="str">
        <f>ToJsonArray(supplementary_offering_legacyid[[#Headers],[offeringid]:[mode]],supplementary_offering_legacyid[[#This Row],[offeringid]:[mode]])</f>
        <v>{"offeringid":"920001168","name":"Data 2.5GB_920001168","mode":"N"}</v>
      </c>
      <c r="G277" t="str">
        <f>ToJsonArray(supplementary_offering_legacyid[[#This Row],[Semilla04]],supplementary_offering_legacyid[[#This Row],[Json]])</f>
        <v>{"200011-68":{"offeringid":"920001168","name":"Data 2.5GB_920001168","mode":"N"}}</v>
      </c>
    </row>
    <row r="278" spans="1:7" x14ac:dyDescent="0.25">
      <c r="A278" s="60" t="s">
        <v>2966</v>
      </c>
      <c r="B278" t="str">
        <f>findKey(supplementary_offering_legacyid[[#This Row],[Produccion]])</f>
        <v>200011-69</v>
      </c>
      <c r="C278" s="61" t="s">
        <v>2967</v>
      </c>
      <c r="D278" t="s">
        <v>2968</v>
      </c>
      <c r="E278" t="s">
        <v>2329</v>
      </c>
      <c r="F278" t="str">
        <f>ToJsonArray(supplementary_offering_legacyid[[#Headers],[offeringid]:[mode]],supplementary_offering_legacyid[[#This Row],[offeringid]:[mode]])</f>
        <v>{"offeringid":"920001169","name":"Data 3GB_920001169","mode":"N"}</v>
      </c>
      <c r="G278" t="str">
        <f>ToJsonArray(supplementary_offering_legacyid[[#This Row],[Semilla04]],supplementary_offering_legacyid[[#This Row],[Json]])</f>
        <v>{"200011-69":{"offeringid":"920001169","name":"Data 3GB_920001169","mode":"N"}}</v>
      </c>
    </row>
    <row r="279" spans="1:7" x14ac:dyDescent="0.25">
      <c r="A279" s="60" t="s">
        <v>2969</v>
      </c>
      <c r="B279" t="str">
        <f>findKey(supplementary_offering_legacyid[[#This Row],[Produccion]])</f>
        <v>200011-70</v>
      </c>
      <c r="C279" s="61" t="s">
        <v>2970</v>
      </c>
      <c r="D279" t="s">
        <v>2971</v>
      </c>
      <c r="E279" t="s">
        <v>2329</v>
      </c>
      <c r="F279" t="str">
        <f>ToJsonArray(supplementary_offering_legacyid[[#Headers],[offeringid]:[mode]],supplementary_offering_legacyid[[#This Row],[offeringid]:[mode]])</f>
        <v>{"offeringid":"920001170","name":"Data 3.5GB_920001170","mode":"N"}</v>
      </c>
      <c r="G279" t="str">
        <f>ToJsonArray(supplementary_offering_legacyid[[#This Row],[Semilla04]],supplementary_offering_legacyid[[#This Row],[Json]])</f>
        <v>{"200011-70":{"offeringid":"920001170","name":"Data 3.5GB_920001170","mode":"N"}}</v>
      </c>
    </row>
    <row r="280" spans="1:7" x14ac:dyDescent="0.25">
      <c r="A280" s="60" t="s">
        <v>2972</v>
      </c>
      <c r="B280" t="str">
        <f>findKey(supplementary_offering_legacyid[[#This Row],[Produccion]])</f>
        <v>200011-71</v>
      </c>
      <c r="C280" s="61" t="s">
        <v>2973</v>
      </c>
      <c r="D280" t="s">
        <v>2974</v>
      </c>
      <c r="E280" t="s">
        <v>2329</v>
      </c>
      <c r="F280" t="str">
        <f>ToJsonArray(supplementary_offering_legacyid[[#Headers],[offeringid]:[mode]],supplementary_offering_legacyid[[#This Row],[offeringid]:[mode]])</f>
        <v>{"offeringid":"920001171","name":"Data 4GB_920001171","mode":"N"}</v>
      </c>
      <c r="G280" t="str">
        <f>ToJsonArray(supplementary_offering_legacyid[[#This Row],[Semilla04]],supplementary_offering_legacyid[[#This Row],[Json]])</f>
        <v>{"200011-71":{"offeringid":"920001171","name":"Data 4GB_920001171","mode":"N"}}</v>
      </c>
    </row>
    <row r="281" spans="1:7" x14ac:dyDescent="0.25">
      <c r="A281" s="60" t="s">
        <v>2975</v>
      </c>
      <c r="B281" t="str">
        <f>findKey(supplementary_offering_legacyid[[#This Row],[Produccion]])</f>
        <v>200011-72</v>
      </c>
      <c r="C281" s="61" t="s">
        <v>2976</v>
      </c>
      <c r="D281" t="s">
        <v>2977</v>
      </c>
      <c r="E281" t="s">
        <v>2329</v>
      </c>
      <c r="F281" t="str">
        <f>ToJsonArray(supplementary_offering_legacyid[[#Headers],[offeringid]:[mode]],supplementary_offering_legacyid[[#This Row],[offeringid]:[mode]])</f>
        <v>{"offeringid":"920001172","name":"Data 5GB_920001172","mode":"N"}</v>
      </c>
      <c r="G281" t="str">
        <f>ToJsonArray(supplementary_offering_legacyid[[#This Row],[Semilla04]],supplementary_offering_legacyid[[#This Row],[Json]])</f>
        <v>{"200011-72":{"offeringid":"920001172","name":"Data 5GB_920001172","mode":"N"}}</v>
      </c>
    </row>
    <row r="282" spans="1:7" x14ac:dyDescent="0.25">
      <c r="A282" s="60" t="s">
        <v>2978</v>
      </c>
      <c r="B282" t="str">
        <f>findKey(supplementary_offering_legacyid[[#This Row],[Produccion]])</f>
        <v>200011-73</v>
      </c>
      <c r="C282" s="61" t="s">
        <v>2979</v>
      </c>
      <c r="D282" t="s">
        <v>2980</v>
      </c>
      <c r="E282" t="s">
        <v>2329</v>
      </c>
      <c r="F282" t="str">
        <f>ToJsonArray(supplementary_offering_legacyid[[#Headers],[offeringid]:[mode]],supplementary_offering_legacyid[[#This Row],[offeringid]:[mode]])</f>
        <v>{"offeringid":"920001173","name":"Data 6.5GB_920001173","mode":"N"}</v>
      </c>
      <c r="G282" t="str">
        <f>ToJsonArray(supplementary_offering_legacyid[[#This Row],[Semilla04]],supplementary_offering_legacyid[[#This Row],[Json]])</f>
        <v>{"200011-73":{"offeringid":"920001173","name":"Data 6.5GB_920001173","mode":"N"}}</v>
      </c>
    </row>
    <row r="283" spans="1:7" x14ac:dyDescent="0.25">
      <c r="A283" s="60" t="s">
        <v>2981</v>
      </c>
      <c r="B283" t="str">
        <f>findKey(supplementary_offering_legacyid[[#This Row],[Produccion]])</f>
        <v>200011-74</v>
      </c>
      <c r="C283" s="61" t="s">
        <v>2982</v>
      </c>
      <c r="D283" t="s">
        <v>2983</v>
      </c>
      <c r="E283" t="s">
        <v>2329</v>
      </c>
      <c r="F283" t="str">
        <f>ToJsonArray(supplementary_offering_legacyid[[#Headers],[offeringid]:[mode]],supplementary_offering_legacyid[[#This Row],[offeringid]:[mode]])</f>
        <v>{"offeringid":"920001174","name":"Data 7GB_920001174","mode":"N"}</v>
      </c>
      <c r="G283" t="str">
        <f>ToJsonArray(supplementary_offering_legacyid[[#This Row],[Semilla04]],supplementary_offering_legacyid[[#This Row],[Json]])</f>
        <v>{"200011-74":{"offeringid":"920001174","name":"Data 7GB_920001174","mode":"N"}}</v>
      </c>
    </row>
    <row r="284" spans="1:7" x14ac:dyDescent="0.25">
      <c r="A284" s="60" t="s">
        <v>2984</v>
      </c>
      <c r="B284" t="str">
        <f>findKey(supplementary_offering_legacyid[[#This Row],[Produccion]])</f>
        <v>200011-75</v>
      </c>
      <c r="C284" s="61" t="s">
        <v>2985</v>
      </c>
      <c r="D284" t="s">
        <v>2986</v>
      </c>
      <c r="E284" t="s">
        <v>2329</v>
      </c>
      <c r="F284" t="str">
        <f>ToJsonArray(supplementary_offering_legacyid[[#Headers],[offeringid]:[mode]],supplementary_offering_legacyid[[#This Row],[offeringid]:[mode]])</f>
        <v>{"offeringid":"920001175","name":"Data 8GB_920001175","mode":"N"}</v>
      </c>
      <c r="G284" t="str">
        <f>ToJsonArray(supplementary_offering_legacyid[[#This Row],[Semilla04]],supplementary_offering_legacyid[[#This Row],[Json]])</f>
        <v>{"200011-75":{"offeringid":"920001175","name":"Data 8GB_920001175","mode":"N"}}</v>
      </c>
    </row>
    <row r="285" spans="1:7" x14ac:dyDescent="0.25">
      <c r="A285" s="60" t="s">
        <v>2987</v>
      </c>
      <c r="B285" t="str">
        <f>findKey(supplementary_offering_legacyid[[#This Row],[Produccion]])</f>
        <v>200011-76</v>
      </c>
      <c r="C285" s="61" t="s">
        <v>2988</v>
      </c>
      <c r="D285" t="s">
        <v>2989</v>
      </c>
      <c r="E285" t="s">
        <v>2329</v>
      </c>
      <c r="F285" t="str">
        <f>ToJsonArray(supplementary_offering_legacyid[[#Headers],[offeringid]:[mode]],supplementary_offering_legacyid[[#This Row],[offeringid]:[mode]])</f>
        <v>{"offeringid":"920001176","name":"Data 9GB_920001176","mode":"N"}</v>
      </c>
      <c r="G285" t="str">
        <f>ToJsonArray(supplementary_offering_legacyid[[#This Row],[Semilla04]],supplementary_offering_legacyid[[#This Row],[Json]])</f>
        <v>{"200011-76":{"offeringid":"920001176","name":"Data 9GB_920001176","mode":"N"}}</v>
      </c>
    </row>
    <row r="286" spans="1:7" x14ac:dyDescent="0.25">
      <c r="A286" s="60" t="s">
        <v>2990</v>
      </c>
      <c r="B286" t="str">
        <f>findKey(supplementary_offering_legacyid[[#This Row],[Produccion]])</f>
        <v>200011-77</v>
      </c>
      <c r="C286" s="61" t="s">
        <v>2991</v>
      </c>
      <c r="D286" t="s">
        <v>2992</v>
      </c>
      <c r="E286" t="s">
        <v>2329</v>
      </c>
      <c r="F286" t="str">
        <f>ToJsonArray(supplementary_offering_legacyid[[#Headers],[offeringid]:[mode]],supplementary_offering_legacyid[[#This Row],[offeringid]:[mode]])</f>
        <v>{"offeringid":"920001177","name":"Data 10GB_920001177","mode":"N"}</v>
      </c>
      <c r="G286" t="str">
        <f>ToJsonArray(supplementary_offering_legacyid[[#This Row],[Semilla04]],supplementary_offering_legacyid[[#This Row],[Json]])</f>
        <v>{"200011-77":{"offeringid":"920001177","name":"Data 10GB_920001177","mode":"N"}}</v>
      </c>
    </row>
    <row r="287" spans="1:7" x14ac:dyDescent="0.25">
      <c r="A287" s="60" t="s">
        <v>2993</v>
      </c>
      <c r="B287" t="str">
        <f>findKey(supplementary_offering_legacyid[[#This Row],[Produccion]])</f>
        <v>200011-78</v>
      </c>
      <c r="C287" s="61" t="s">
        <v>2994</v>
      </c>
      <c r="D287" t="s">
        <v>2995</v>
      </c>
      <c r="E287" t="s">
        <v>2329</v>
      </c>
      <c r="F287" t="str">
        <f>ToJsonArray(supplementary_offering_legacyid[[#Headers],[offeringid]:[mode]],supplementary_offering_legacyid[[#This Row],[offeringid]:[mode]])</f>
        <v>{"offeringid":"920001178","name":"Data 11GB_920001178","mode":"N"}</v>
      </c>
      <c r="G287" t="str">
        <f>ToJsonArray(supplementary_offering_legacyid[[#This Row],[Semilla04]],supplementary_offering_legacyid[[#This Row],[Json]])</f>
        <v>{"200011-78":{"offeringid":"920001178","name":"Data 11GB_920001178","mode":"N"}}</v>
      </c>
    </row>
    <row r="288" spans="1:7" x14ac:dyDescent="0.25">
      <c r="A288" s="60" t="s">
        <v>2996</v>
      </c>
      <c r="B288" t="str">
        <f>findKey(supplementary_offering_legacyid[[#This Row],[Produccion]])</f>
        <v>200011-79</v>
      </c>
      <c r="C288" s="61" t="s">
        <v>2997</v>
      </c>
      <c r="D288" t="s">
        <v>2998</v>
      </c>
      <c r="E288" t="s">
        <v>2329</v>
      </c>
      <c r="F288" t="str">
        <f>ToJsonArray(supplementary_offering_legacyid[[#Headers],[offeringid]:[mode]],supplementary_offering_legacyid[[#This Row],[offeringid]:[mode]])</f>
        <v>{"offeringid":"920001179","name":"Data 12GB_920001179","mode":"N"}</v>
      </c>
      <c r="G288" t="str">
        <f>ToJsonArray(supplementary_offering_legacyid[[#This Row],[Semilla04]],supplementary_offering_legacyid[[#This Row],[Json]])</f>
        <v>{"200011-79":{"offeringid":"920001179","name":"Data 12GB_920001179","mode":"N"}}</v>
      </c>
    </row>
    <row r="289" spans="1:7" x14ac:dyDescent="0.25">
      <c r="A289" s="60" t="s">
        <v>2999</v>
      </c>
      <c r="B289" t="str">
        <f>findKey(supplementary_offering_legacyid[[#This Row],[Produccion]])</f>
        <v>200011-80</v>
      </c>
      <c r="C289" s="61" t="s">
        <v>3000</v>
      </c>
      <c r="D289" t="s">
        <v>3001</v>
      </c>
      <c r="E289" t="s">
        <v>2329</v>
      </c>
      <c r="F289" t="str">
        <f>ToJsonArray(supplementary_offering_legacyid[[#Headers],[offeringid]:[mode]],supplementary_offering_legacyid[[#This Row],[offeringid]:[mode]])</f>
        <v>{"offeringid":"920001180","name":"Data 15GB_920001180","mode":"N"}</v>
      </c>
      <c r="G289" t="str">
        <f>ToJsonArray(supplementary_offering_legacyid[[#This Row],[Semilla04]],supplementary_offering_legacyid[[#This Row],[Json]])</f>
        <v>{"200011-80":{"offeringid":"920001180","name":"Data 15GB_920001180","mode":"N"}}</v>
      </c>
    </row>
    <row r="290" spans="1:7" x14ac:dyDescent="0.25">
      <c r="A290" s="60" t="s">
        <v>3002</v>
      </c>
      <c r="B290" t="str">
        <f>findKey(supplementary_offering_legacyid[[#This Row],[Produccion]])</f>
        <v>200011-83</v>
      </c>
      <c r="C290" s="61" t="s">
        <v>3003</v>
      </c>
      <c r="D290" t="s">
        <v>3004</v>
      </c>
      <c r="E290" t="s">
        <v>2329</v>
      </c>
      <c r="F290" t="str">
        <f>ToJsonArray(supplementary_offering_legacyid[[#Headers],[offeringid]:[mode]],supplementary_offering_legacyid[[#This Row],[offeringid]:[mode]])</f>
        <v>{"offeringid":"920001183","name":"Data 22GB_920001183","mode":"N"}</v>
      </c>
      <c r="G290" t="str">
        <f>ToJsonArray(supplementary_offering_legacyid[[#This Row],[Semilla04]],supplementary_offering_legacyid[[#This Row],[Json]])</f>
        <v>{"200011-83":{"offeringid":"920001183","name":"Data 22GB_920001183","mode":"N"}}</v>
      </c>
    </row>
    <row r="291" spans="1:7" x14ac:dyDescent="0.25">
      <c r="A291" s="60" t="s">
        <v>3005</v>
      </c>
      <c r="B291" t="str">
        <f>findKey(supplementary_offering_legacyid[[#This Row],[Produccion]])</f>
        <v>200011-84</v>
      </c>
      <c r="C291" s="61" t="s">
        <v>3006</v>
      </c>
      <c r="D291" t="s">
        <v>3007</v>
      </c>
      <c r="E291" t="s">
        <v>2329</v>
      </c>
      <c r="F291" t="str">
        <f>ToJsonArray(supplementary_offering_legacyid[[#Headers],[offeringid]:[mode]],supplementary_offering_legacyid[[#This Row],[offeringid]:[mode]])</f>
        <v>{"offeringid":"920001184","name":"Data 1GB_920001184","mode":"N"}</v>
      </c>
      <c r="G291" t="str">
        <f>ToJsonArray(supplementary_offering_legacyid[[#This Row],[Semilla04]],supplementary_offering_legacyid[[#This Row],[Json]])</f>
        <v>{"200011-84":{"offeringid":"920001184","name":"Data 1GB_920001184","mode":"N"}}</v>
      </c>
    </row>
    <row r="292" spans="1:7" x14ac:dyDescent="0.25">
      <c r="A292" s="60" t="s">
        <v>3008</v>
      </c>
      <c r="B292" t="str">
        <f>findKey(supplementary_offering_legacyid[[#This Row],[Produccion]])</f>
        <v>200011-85</v>
      </c>
      <c r="C292" s="61" t="s">
        <v>3009</v>
      </c>
      <c r="D292" t="s">
        <v>3010</v>
      </c>
      <c r="E292" t="s">
        <v>2329</v>
      </c>
      <c r="F292" t="str">
        <f>ToJsonArray(supplementary_offering_legacyid[[#Headers],[offeringid]:[mode]],supplementary_offering_legacyid[[#This Row],[offeringid]:[mode]])</f>
        <v>{"offeringid":"920001185","name":"Data 1.2GB_920001185","mode":"N"}</v>
      </c>
      <c r="G292" t="str">
        <f>ToJsonArray(supplementary_offering_legacyid[[#This Row],[Semilla04]],supplementary_offering_legacyid[[#This Row],[Json]])</f>
        <v>{"200011-85":{"offeringid":"920001185","name":"Data 1.2GB_920001185","mode":"N"}}</v>
      </c>
    </row>
    <row r="293" spans="1:7" x14ac:dyDescent="0.25">
      <c r="A293" s="60" t="s">
        <v>3011</v>
      </c>
      <c r="B293" t="str">
        <f>findKey(supplementary_offering_legacyid[[#This Row],[Produccion]])</f>
        <v>200011-86</v>
      </c>
      <c r="C293" s="61" t="s">
        <v>3012</v>
      </c>
      <c r="D293" t="s">
        <v>3013</v>
      </c>
      <c r="E293" t="s">
        <v>2329</v>
      </c>
      <c r="F293" t="str">
        <f>ToJsonArray(supplementary_offering_legacyid[[#Headers],[offeringid]:[mode]],supplementary_offering_legacyid[[#This Row],[offeringid]:[mode]])</f>
        <v>{"offeringid":"920001186","name":"Data 2.5GB_920001186","mode":"N"}</v>
      </c>
      <c r="G293" t="str">
        <f>ToJsonArray(supplementary_offering_legacyid[[#This Row],[Semilla04]],supplementary_offering_legacyid[[#This Row],[Json]])</f>
        <v>{"200011-86":{"offeringid":"920001186","name":"Data 2.5GB_920001186","mode":"N"}}</v>
      </c>
    </row>
    <row r="294" spans="1:7" x14ac:dyDescent="0.25">
      <c r="A294" s="60" t="s">
        <v>3014</v>
      </c>
      <c r="B294" t="str">
        <f>findKey(supplementary_offering_legacyid[[#This Row],[Produccion]])</f>
        <v>200011-87</v>
      </c>
      <c r="C294" s="61" t="s">
        <v>3015</v>
      </c>
      <c r="D294" t="s">
        <v>3016</v>
      </c>
      <c r="E294" t="s">
        <v>2329</v>
      </c>
      <c r="F294" t="str">
        <f>ToJsonArray(supplementary_offering_legacyid[[#Headers],[offeringid]:[mode]],supplementary_offering_legacyid[[#This Row],[offeringid]:[mode]])</f>
        <v>{"offeringid":"920001187","name":"Data 3.5GB_920001187","mode":"N"}</v>
      </c>
      <c r="G294" t="str">
        <f>ToJsonArray(supplementary_offering_legacyid[[#This Row],[Semilla04]],supplementary_offering_legacyid[[#This Row],[Json]])</f>
        <v>{"200011-87":{"offeringid":"920001187","name":"Data 3.5GB_920001187","mode":"N"}}</v>
      </c>
    </row>
    <row r="295" spans="1:7" x14ac:dyDescent="0.25">
      <c r="A295" s="60" t="s">
        <v>3017</v>
      </c>
      <c r="B295" t="str">
        <f>findKey(supplementary_offering_legacyid[[#This Row],[Produccion]])</f>
        <v>200011-88</v>
      </c>
      <c r="C295" s="61" t="s">
        <v>3018</v>
      </c>
      <c r="D295" t="s">
        <v>3019</v>
      </c>
      <c r="E295" t="s">
        <v>2329</v>
      </c>
      <c r="F295" t="str">
        <f>ToJsonArray(supplementary_offering_legacyid[[#Headers],[offeringid]:[mode]],supplementary_offering_legacyid[[#This Row],[offeringid]:[mode]])</f>
        <v>{"offeringid":"920001188","name":"Data 4GB_920001188","mode":"N"}</v>
      </c>
      <c r="G295" t="str">
        <f>ToJsonArray(supplementary_offering_legacyid[[#This Row],[Semilla04]],supplementary_offering_legacyid[[#This Row],[Json]])</f>
        <v>{"200011-88":{"offeringid":"920001188","name":"Data 4GB_920001188","mode":"N"}}</v>
      </c>
    </row>
    <row r="296" spans="1:7" x14ac:dyDescent="0.25">
      <c r="A296" s="60" t="s">
        <v>3020</v>
      </c>
      <c r="B296" t="str">
        <f>findKey(supplementary_offering_legacyid[[#This Row],[Produccion]])</f>
        <v>200011-89</v>
      </c>
      <c r="C296" s="61" t="s">
        <v>3021</v>
      </c>
      <c r="D296" t="s">
        <v>3022</v>
      </c>
      <c r="E296" t="s">
        <v>2329</v>
      </c>
      <c r="F296" t="str">
        <f>ToJsonArray(supplementary_offering_legacyid[[#Headers],[offeringid]:[mode]],supplementary_offering_legacyid[[#This Row],[offeringid]:[mode]])</f>
        <v>{"offeringid":"920001189","name":"Data 4.5GB_920001189","mode":"N"}</v>
      </c>
      <c r="G296" t="str">
        <f>ToJsonArray(supplementary_offering_legacyid[[#This Row],[Semilla04]],supplementary_offering_legacyid[[#This Row],[Json]])</f>
        <v>{"200011-89":{"offeringid":"920001189","name":"Data 4.5GB_920001189","mode":"N"}}</v>
      </c>
    </row>
    <row r="297" spans="1:7" x14ac:dyDescent="0.25">
      <c r="A297" s="60" t="s">
        <v>3023</v>
      </c>
      <c r="B297" t="str">
        <f>findKey(supplementary_offering_legacyid[[#This Row],[Produccion]])</f>
        <v>200011-90</v>
      </c>
      <c r="C297" s="61" t="s">
        <v>3024</v>
      </c>
      <c r="D297" t="s">
        <v>3025</v>
      </c>
      <c r="E297" t="s">
        <v>2329</v>
      </c>
      <c r="F297" t="str">
        <f>ToJsonArray(supplementary_offering_legacyid[[#Headers],[offeringid]:[mode]],supplementary_offering_legacyid[[#This Row],[offeringid]:[mode]])</f>
        <v>{"offeringid":"920001190","name":"Data 5.5GB_920001190","mode":"N"}</v>
      </c>
      <c r="G297" t="str">
        <f>ToJsonArray(supplementary_offering_legacyid[[#This Row],[Semilla04]],supplementary_offering_legacyid[[#This Row],[Json]])</f>
        <v>{"200011-90":{"offeringid":"920001190","name":"Data 5.5GB_920001190","mode":"N"}}</v>
      </c>
    </row>
    <row r="298" spans="1:7" x14ac:dyDescent="0.25">
      <c r="A298" s="60" t="s">
        <v>3026</v>
      </c>
      <c r="B298" t="str">
        <f>findKey(supplementary_offering_legacyid[[#This Row],[Produccion]])</f>
        <v>200011-91</v>
      </c>
      <c r="C298" s="61" t="s">
        <v>3027</v>
      </c>
      <c r="D298" t="s">
        <v>3028</v>
      </c>
      <c r="E298" t="s">
        <v>2329</v>
      </c>
      <c r="F298" t="str">
        <f>ToJsonArray(supplementary_offering_legacyid[[#Headers],[offeringid]:[mode]],supplementary_offering_legacyid[[#This Row],[offeringid]:[mode]])</f>
        <v>{"offeringid":"920001191","name":"Data 7GB_920001191","mode":"N"}</v>
      </c>
      <c r="G298" t="str">
        <f>ToJsonArray(supplementary_offering_legacyid[[#This Row],[Semilla04]],supplementary_offering_legacyid[[#This Row],[Json]])</f>
        <v>{"200011-91":{"offeringid":"920001191","name":"Data 7GB_920001191","mode":"N"}}</v>
      </c>
    </row>
    <row r="299" spans="1:7" x14ac:dyDescent="0.25">
      <c r="A299" s="60" t="s">
        <v>3029</v>
      </c>
      <c r="B299" t="str">
        <f>findKey(supplementary_offering_legacyid[[#This Row],[Produccion]])</f>
        <v>200011-92</v>
      </c>
      <c r="C299" s="61" t="s">
        <v>3030</v>
      </c>
      <c r="D299" t="s">
        <v>3031</v>
      </c>
      <c r="E299" t="s">
        <v>2329</v>
      </c>
      <c r="F299" t="str">
        <f>ToJsonArray(supplementary_offering_legacyid[[#Headers],[offeringid]:[mode]],supplementary_offering_legacyid[[#This Row],[offeringid]:[mode]])</f>
        <v>{"offeringid":"920001192","name":"Data 7.5GB_920001192","mode":"N"}</v>
      </c>
      <c r="G299" t="str">
        <f>ToJsonArray(supplementary_offering_legacyid[[#This Row],[Semilla04]],supplementary_offering_legacyid[[#This Row],[Json]])</f>
        <v>{"200011-92":{"offeringid":"920001192","name":"Data 7.5GB_920001192","mode":"N"}}</v>
      </c>
    </row>
    <row r="300" spans="1:7" x14ac:dyDescent="0.25">
      <c r="A300" s="60" t="s">
        <v>3032</v>
      </c>
      <c r="B300" t="str">
        <f>findKey(supplementary_offering_legacyid[[#This Row],[Produccion]])</f>
        <v>200011-93</v>
      </c>
      <c r="C300" s="61" t="s">
        <v>3033</v>
      </c>
      <c r="D300" t="s">
        <v>3034</v>
      </c>
      <c r="E300" t="s">
        <v>2329</v>
      </c>
      <c r="F300" t="str">
        <f>ToJsonArray(supplementary_offering_legacyid[[#Headers],[offeringid]:[mode]],supplementary_offering_legacyid[[#This Row],[offeringid]:[mode]])</f>
        <v>{"offeringid":"920001193","name":"Data 8.5GB_920001193","mode":"N"}</v>
      </c>
      <c r="G300" t="str">
        <f>ToJsonArray(supplementary_offering_legacyid[[#This Row],[Semilla04]],supplementary_offering_legacyid[[#This Row],[Json]])</f>
        <v>{"200011-93":{"offeringid":"920001193","name":"Data 8.5GB_920001193","mode":"N"}}</v>
      </c>
    </row>
    <row r="301" spans="1:7" x14ac:dyDescent="0.25">
      <c r="A301" s="60" t="s">
        <v>3035</v>
      </c>
      <c r="B301" t="str">
        <f>findKey(supplementary_offering_legacyid[[#This Row],[Produccion]])</f>
        <v>200011-94</v>
      </c>
      <c r="C301" s="61" t="s">
        <v>3036</v>
      </c>
      <c r="D301" t="s">
        <v>3037</v>
      </c>
      <c r="E301" t="s">
        <v>2329</v>
      </c>
      <c r="F301" t="str">
        <f>ToJsonArray(supplementary_offering_legacyid[[#Headers],[offeringid]:[mode]],supplementary_offering_legacyid[[#This Row],[offeringid]:[mode]])</f>
        <v>{"offeringid":"920001194","name":"Data 9.5GB_920001194","mode":"N"}</v>
      </c>
      <c r="G301" t="str">
        <f>ToJsonArray(supplementary_offering_legacyid[[#This Row],[Semilla04]],supplementary_offering_legacyid[[#This Row],[Json]])</f>
        <v>{"200011-94":{"offeringid":"920001194","name":"Data 9.5GB_920001194","mode":"N"}}</v>
      </c>
    </row>
    <row r="302" spans="1:7" x14ac:dyDescent="0.25">
      <c r="A302" s="60" t="s">
        <v>3038</v>
      </c>
      <c r="B302" t="str">
        <f>findKey(supplementary_offering_legacyid[[#This Row],[Produccion]])</f>
        <v>200011-95</v>
      </c>
      <c r="C302" s="61" t="s">
        <v>3039</v>
      </c>
      <c r="D302" t="s">
        <v>3040</v>
      </c>
      <c r="E302" t="s">
        <v>2329</v>
      </c>
      <c r="F302" t="str">
        <f>ToJsonArray(supplementary_offering_legacyid[[#Headers],[offeringid]:[mode]],supplementary_offering_legacyid[[#This Row],[offeringid]:[mode]])</f>
        <v>{"offeringid":"920001195","name":"Data 10.5GB_920001195","mode":"N"}</v>
      </c>
      <c r="G302" t="str">
        <f>ToJsonArray(supplementary_offering_legacyid[[#This Row],[Semilla04]],supplementary_offering_legacyid[[#This Row],[Json]])</f>
        <v>{"200011-95":{"offeringid":"920001195","name":"Data 10.5GB_920001195","mode":"N"}}</v>
      </c>
    </row>
    <row r="303" spans="1:7" x14ac:dyDescent="0.25">
      <c r="A303" s="60" t="s">
        <v>3041</v>
      </c>
      <c r="B303" t="str">
        <f>findKey(supplementary_offering_legacyid[[#This Row],[Produccion]])</f>
        <v>200011-96</v>
      </c>
      <c r="C303" s="61" t="s">
        <v>3042</v>
      </c>
      <c r="D303" t="s">
        <v>3043</v>
      </c>
      <c r="E303" t="s">
        <v>2329</v>
      </c>
      <c r="F303" t="str">
        <f>ToJsonArray(supplementary_offering_legacyid[[#Headers],[offeringid]:[mode]],supplementary_offering_legacyid[[#This Row],[offeringid]:[mode]])</f>
        <v>{"offeringid":"920001196","name":"Data 11.5GB_920001196","mode":"N"}</v>
      </c>
      <c r="G303" t="str">
        <f>ToJsonArray(supplementary_offering_legacyid[[#This Row],[Semilla04]],supplementary_offering_legacyid[[#This Row],[Json]])</f>
        <v>{"200011-96":{"offeringid":"920001196","name":"Data 11.5GB_920001196","mode":"N"}}</v>
      </c>
    </row>
    <row r="304" spans="1:7" x14ac:dyDescent="0.25">
      <c r="A304" s="60" t="s">
        <v>3044</v>
      </c>
      <c r="B304" t="str">
        <f>findKey(supplementary_offering_legacyid[[#This Row],[Produccion]])</f>
        <v>200011-97</v>
      </c>
      <c r="C304" s="61" t="s">
        <v>3045</v>
      </c>
      <c r="D304" t="s">
        <v>3046</v>
      </c>
      <c r="E304" t="s">
        <v>2329</v>
      </c>
      <c r="F304" t="str">
        <f>ToJsonArray(supplementary_offering_legacyid[[#Headers],[offeringid]:[mode]],supplementary_offering_legacyid[[#This Row],[offeringid]:[mode]])</f>
        <v>{"offeringid":"920001197","name":"Data 12.5GB_920001197","mode":"N"}</v>
      </c>
      <c r="G304" t="str">
        <f>ToJsonArray(supplementary_offering_legacyid[[#This Row],[Semilla04]],supplementary_offering_legacyid[[#This Row],[Json]])</f>
        <v>{"200011-97":{"offeringid":"920001197","name":"Data 12.5GB_920001197","mode":"N"}}</v>
      </c>
    </row>
    <row r="305" spans="1:7" x14ac:dyDescent="0.25">
      <c r="A305" s="60" t="s">
        <v>3047</v>
      </c>
      <c r="B305" t="str">
        <f>findKey(supplementary_offering_legacyid[[#This Row],[Produccion]])</f>
        <v>200011-98</v>
      </c>
      <c r="C305" s="61" t="s">
        <v>3048</v>
      </c>
      <c r="D305" t="s">
        <v>3049</v>
      </c>
      <c r="E305" t="s">
        <v>2329</v>
      </c>
      <c r="F305" t="str">
        <f>ToJsonArray(supplementary_offering_legacyid[[#Headers],[offeringid]:[mode]],supplementary_offering_legacyid[[#This Row],[offeringid]:[mode]])</f>
        <v>{"offeringid":"920001198","name":"Data 15.5GB_920001198","mode":"N"}</v>
      </c>
      <c r="G305" t="str">
        <f>ToJsonArray(supplementary_offering_legacyid[[#This Row],[Semilla04]],supplementary_offering_legacyid[[#This Row],[Json]])</f>
        <v>{"200011-98":{"offeringid":"920001198","name":"Data 15.5GB_920001198","mode":"N"}}</v>
      </c>
    </row>
    <row r="306" spans="1:7" x14ac:dyDescent="0.25">
      <c r="A306" s="60" t="s">
        <v>3050</v>
      </c>
      <c r="B306" t="str">
        <f>findKey(supplementary_offering_legacyid[[#This Row],[Produccion]])</f>
        <v>200021-03</v>
      </c>
      <c r="C306" s="61" t="s">
        <v>3051</v>
      </c>
      <c r="D306" t="s">
        <v>3052</v>
      </c>
      <c r="E306" t="s">
        <v>2329</v>
      </c>
      <c r="F306" t="str">
        <f>ToJsonArray(supplementary_offering_legacyid[[#Headers],[offeringid]:[mode]],supplementary_offering_legacyid[[#This Row],[offeringid]:[mode]])</f>
        <v>{"offeringid":"920002103","name":"Data 0.8GB_920002103","mode":"N"}</v>
      </c>
      <c r="G306" t="str">
        <f>ToJsonArray(supplementary_offering_legacyid[[#This Row],[Semilla04]],supplementary_offering_legacyid[[#This Row],[Json]])</f>
        <v>{"200021-03":{"offeringid":"920002103","name":"Data 0.8GB_920002103","mode":"N"}}</v>
      </c>
    </row>
    <row r="307" spans="1:7" x14ac:dyDescent="0.25">
      <c r="A307" s="60" t="s">
        <v>3053</v>
      </c>
      <c r="B307" t="str">
        <f>findKey(supplementary_offering_legacyid[[#This Row],[Produccion]])</f>
        <v>200021-04</v>
      </c>
      <c r="C307" s="61" t="s">
        <v>3054</v>
      </c>
      <c r="D307" t="s">
        <v>3055</v>
      </c>
      <c r="E307" t="s">
        <v>2329</v>
      </c>
      <c r="F307" t="str">
        <f>ToJsonArray(supplementary_offering_legacyid[[#Headers],[offeringid]:[mode]],supplementary_offering_legacyid[[#This Row],[offeringid]:[mode]])</f>
        <v>{"offeringid":"920002104","name":"Data 1.2GB_920002104","mode":"N"}</v>
      </c>
      <c r="G307" t="str">
        <f>ToJsonArray(supplementary_offering_legacyid[[#This Row],[Semilla04]],supplementary_offering_legacyid[[#This Row],[Json]])</f>
        <v>{"200021-04":{"offeringid":"920002104","name":"Data 1.2GB_920002104","mode":"N"}}</v>
      </c>
    </row>
    <row r="308" spans="1:7" x14ac:dyDescent="0.25">
      <c r="A308" s="60" t="s">
        <v>3056</v>
      </c>
      <c r="B308" t="str">
        <f>findKey(supplementary_offering_legacyid[[#This Row],[Produccion]])</f>
        <v>200021-05</v>
      </c>
      <c r="C308" s="61" t="s">
        <v>3057</v>
      </c>
      <c r="D308" t="s">
        <v>3058</v>
      </c>
      <c r="E308" t="s">
        <v>2329</v>
      </c>
      <c r="F308" t="str">
        <f>ToJsonArray(supplementary_offering_legacyid[[#Headers],[offeringid]:[mode]],supplementary_offering_legacyid[[#This Row],[offeringid]:[mode]])</f>
        <v>{"offeringid":"920002105","name":"Data 2.5GB_920002105","mode":"N"}</v>
      </c>
      <c r="G308" t="str">
        <f>ToJsonArray(supplementary_offering_legacyid[[#This Row],[Semilla04]],supplementary_offering_legacyid[[#This Row],[Json]])</f>
        <v>{"200021-05":{"offeringid":"920002105","name":"Data 2.5GB_920002105","mode":"N"}}</v>
      </c>
    </row>
    <row r="309" spans="1:7" x14ac:dyDescent="0.25">
      <c r="A309" s="60" t="s">
        <v>3059</v>
      </c>
      <c r="B309" t="str">
        <f>findKey(supplementary_offering_legacyid[[#This Row],[Produccion]])</f>
        <v>200021-06</v>
      </c>
      <c r="C309" s="61" t="s">
        <v>3060</v>
      </c>
      <c r="D309" t="s">
        <v>3061</v>
      </c>
      <c r="E309" t="s">
        <v>2329</v>
      </c>
      <c r="F309" t="str">
        <f>ToJsonArray(supplementary_offering_legacyid[[#Headers],[offeringid]:[mode]],supplementary_offering_legacyid[[#This Row],[offeringid]:[mode]])</f>
        <v>{"offeringid":"920002106","name":"Data 3.5GB_920002106","mode":"N"}</v>
      </c>
      <c r="G309" t="str">
        <f>ToJsonArray(supplementary_offering_legacyid[[#This Row],[Semilla04]],supplementary_offering_legacyid[[#This Row],[Json]])</f>
        <v>{"200021-06":{"offeringid":"920002106","name":"Data 3.5GB_920002106","mode":"N"}}</v>
      </c>
    </row>
    <row r="310" spans="1:7" x14ac:dyDescent="0.25">
      <c r="A310" s="60" t="s">
        <v>3062</v>
      </c>
      <c r="B310" t="str">
        <f>findKey(supplementary_offering_legacyid[[#This Row],[Produccion]])</f>
        <v>200021-07</v>
      </c>
      <c r="C310" s="61" t="s">
        <v>3063</v>
      </c>
      <c r="D310" t="s">
        <v>3064</v>
      </c>
      <c r="E310" t="s">
        <v>2329</v>
      </c>
      <c r="F310" t="str">
        <f>ToJsonArray(supplementary_offering_legacyid[[#Headers],[offeringid]:[mode]],supplementary_offering_legacyid[[#This Row],[offeringid]:[mode]])</f>
        <v>{"offeringid":"920002107","name":"Data 4GB_920002107","mode":"N"}</v>
      </c>
      <c r="G310" t="str">
        <f>ToJsonArray(supplementary_offering_legacyid[[#This Row],[Semilla04]],supplementary_offering_legacyid[[#This Row],[Json]])</f>
        <v>{"200021-07":{"offeringid":"920002107","name":"Data 4GB_920002107","mode":"N"}}</v>
      </c>
    </row>
    <row r="311" spans="1:7" x14ac:dyDescent="0.25">
      <c r="A311" s="60" t="s">
        <v>3065</v>
      </c>
      <c r="B311" t="str">
        <f>findKey(supplementary_offering_legacyid[[#This Row],[Produccion]])</f>
        <v>200021-08</v>
      </c>
      <c r="C311" s="61" t="s">
        <v>3066</v>
      </c>
      <c r="D311" t="s">
        <v>3067</v>
      </c>
      <c r="E311" t="s">
        <v>2329</v>
      </c>
      <c r="F311" t="str">
        <f>ToJsonArray(supplementary_offering_legacyid[[#Headers],[offeringid]:[mode]],supplementary_offering_legacyid[[#This Row],[offeringid]:[mode]])</f>
        <v>{"offeringid":"920002108","name":"Data 4.5GB_920002108","mode":"N"}</v>
      </c>
      <c r="G311" t="str">
        <f>ToJsonArray(supplementary_offering_legacyid[[#This Row],[Semilla04]],supplementary_offering_legacyid[[#This Row],[Json]])</f>
        <v>{"200021-08":{"offeringid":"920002108","name":"Data 4.5GB_920002108","mode":"N"}}</v>
      </c>
    </row>
    <row r="312" spans="1:7" x14ac:dyDescent="0.25">
      <c r="A312" s="60" t="s">
        <v>3068</v>
      </c>
      <c r="B312" t="str">
        <f>findKey(supplementary_offering_legacyid[[#This Row],[Produccion]])</f>
        <v>200021-09</v>
      </c>
      <c r="C312" s="61" t="s">
        <v>3069</v>
      </c>
      <c r="D312" t="s">
        <v>3070</v>
      </c>
      <c r="E312" t="s">
        <v>2329</v>
      </c>
      <c r="F312" t="str">
        <f>ToJsonArray(supplementary_offering_legacyid[[#Headers],[offeringid]:[mode]],supplementary_offering_legacyid[[#This Row],[offeringid]:[mode]])</f>
        <v>{"offeringid":"920002109","name":"Data 5.5GB_920002109","mode":"N"}</v>
      </c>
      <c r="G312" t="str">
        <f>ToJsonArray(supplementary_offering_legacyid[[#This Row],[Semilla04]],supplementary_offering_legacyid[[#This Row],[Json]])</f>
        <v>{"200021-09":{"offeringid":"920002109","name":"Data 5.5GB_920002109","mode":"N"}}</v>
      </c>
    </row>
    <row r="313" spans="1:7" x14ac:dyDescent="0.25">
      <c r="A313" s="60" t="s">
        <v>3071</v>
      </c>
      <c r="B313" t="str">
        <f>findKey(supplementary_offering_legacyid[[#This Row],[Produccion]])</f>
        <v>200021-10</v>
      </c>
      <c r="C313" s="61" t="s">
        <v>3072</v>
      </c>
      <c r="D313" t="s">
        <v>3073</v>
      </c>
      <c r="E313" t="s">
        <v>2329</v>
      </c>
      <c r="F313" t="str">
        <f>ToJsonArray(supplementary_offering_legacyid[[#Headers],[offeringid]:[mode]],supplementary_offering_legacyid[[#This Row],[offeringid]:[mode]])</f>
        <v>{"offeringid":"920002110","name":"Data 6.5GB_920002110","mode":"N"}</v>
      </c>
      <c r="G313" t="str">
        <f>ToJsonArray(supplementary_offering_legacyid[[#This Row],[Semilla04]],supplementary_offering_legacyid[[#This Row],[Json]])</f>
        <v>{"200021-10":{"offeringid":"920002110","name":"Data 6.5GB_920002110","mode":"N"}}</v>
      </c>
    </row>
    <row r="314" spans="1:7" x14ac:dyDescent="0.25">
      <c r="A314" s="60" t="s">
        <v>3074</v>
      </c>
      <c r="B314" t="str">
        <f>findKey(supplementary_offering_legacyid[[#This Row],[Produccion]])</f>
        <v>200021-11</v>
      </c>
      <c r="C314" s="61" t="s">
        <v>3075</v>
      </c>
      <c r="D314" t="s">
        <v>3076</v>
      </c>
      <c r="E314" t="s">
        <v>2329</v>
      </c>
      <c r="F314" t="str">
        <f>ToJsonArray(supplementary_offering_legacyid[[#Headers],[offeringid]:[mode]],supplementary_offering_legacyid[[#This Row],[offeringid]:[mode]])</f>
        <v>{"offeringid":"920002111","name":"Data 7.5GB_920002111","mode":"N"}</v>
      </c>
      <c r="G314" t="str">
        <f>ToJsonArray(supplementary_offering_legacyid[[#This Row],[Semilla04]],supplementary_offering_legacyid[[#This Row],[Json]])</f>
        <v>{"200021-11":{"offeringid":"920002111","name":"Data 7.5GB_920002111","mode":"N"}}</v>
      </c>
    </row>
    <row r="315" spans="1:7" x14ac:dyDescent="0.25">
      <c r="A315" s="60" t="s">
        <v>3077</v>
      </c>
      <c r="B315" t="str">
        <f>findKey(supplementary_offering_legacyid[[#This Row],[Produccion]])</f>
        <v>200021-12</v>
      </c>
      <c r="C315" s="61" t="s">
        <v>3078</v>
      </c>
      <c r="D315" t="s">
        <v>3079</v>
      </c>
      <c r="E315" t="s">
        <v>2329</v>
      </c>
      <c r="F315" t="str">
        <f>ToJsonArray(supplementary_offering_legacyid[[#Headers],[offeringid]:[mode]],supplementary_offering_legacyid[[#This Row],[offeringid]:[mode]])</f>
        <v>{"offeringid":"920002112","name":"Data 8.5GB_920002112","mode":"N"}</v>
      </c>
      <c r="G315" t="str">
        <f>ToJsonArray(supplementary_offering_legacyid[[#This Row],[Semilla04]],supplementary_offering_legacyid[[#This Row],[Json]])</f>
        <v>{"200021-12":{"offeringid":"920002112","name":"Data 8.5GB_920002112","mode":"N"}}</v>
      </c>
    </row>
    <row r="316" spans="1:7" x14ac:dyDescent="0.25">
      <c r="A316" s="60" t="s">
        <v>3080</v>
      </c>
      <c r="B316" t="str">
        <f>findKey(supplementary_offering_legacyid[[#This Row],[Produccion]])</f>
        <v>200021-13</v>
      </c>
      <c r="C316" s="61" t="s">
        <v>3081</v>
      </c>
      <c r="D316" t="s">
        <v>3082</v>
      </c>
      <c r="E316" t="s">
        <v>2329</v>
      </c>
      <c r="F316" t="str">
        <f>ToJsonArray(supplementary_offering_legacyid[[#Headers],[offeringid]:[mode]],supplementary_offering_legacyid[[#This Row],[offeringid]:[mode]])</f>
        <v>{"offeringid":"920002113","name":"Data 9GB_920002113","mode":"N"}</v>
      </c>
      <c r="G316" t="str">
        <f>ToJsonArray(supplementary_offering_legacyid[[#This Row],[Semilla04]],supplementary_offering_legacyid[[#This Row],[Json]])</f>
        <v>{"200021-13":{"offeringid":"920002113","name":"Data 9GB_920002113","mode":"N"}}</v>
      </c>
    </row>
    <row r="317" spans="1:7" x14ac:dyDescent="0.25">
      <c r="A317" s="60" t="s">
        <v>3083</v>
      </c>
      <c r="B317" t="str">
        <f>findKey(supplementary_offering_legacyid[[#This Row],[Produccion]])</f>
        <v>200021-14</v>
      </c>
      <c r="C317" s="61" t="s">
        <v>3084</v>
      </c>
      <c r="D317" t="s">
        <v>3085</v>
      </c>
      <c r="E317" t="s">
        <v>2329</v>
      </c>
      <c r="F317" t="str">
        <f>ToJsonArray(supplementary_offering_legacyid[[#Headers],[offeringid]:[mode]],supplementary_offering_legacyid[[#This Row],[offeringid]:[mode]])</f>
        <v>{"offeringid":"920002114","name":"Data 10GB_920002114","mode":"N"}</v>
      </c>
      <c r="G317" t="str">
        <f>ToJsonArray(supplementary_offering_legacyid[[#This Row],[Semilla04]],supplementary_offering_legacyid[[#This Row],[Json]])</f>
        <v>{"200021-14":{"offeringid":"920002114","name":"Data 10GB_920002114","mode":"N"}}</v>
      </c>
    </row>
    <row r="318" spans="1:7" x14ac:dyDescent="0.25">
      <c r="A318" s="60" t="s">
        <v>3086</v>
      </c>
      <c r="B318" t="str">
        <f>findKey(supplementary_offering_legacyid[[#This Row],[Produccion]])</f>
        <v>200021-15</v>
      </c>
      <c r="C318" s="61" t="s">
        <v>3087</v>
      </c>
      <c r="D318" t="s">
        <v>3088</v>
      </c>
      <c r="E318" t="s">
        <v>2329</v>
      </c>
      <c r="F318" t="str">
        <f>ToJsonArray(supplementary_offering_legacyid[[#Headers],[offeringid]:[mode]],supplementary_offering_legacyid[[#This Row],[offeringid]:[mode]])</f>
        <v>{"offeringid":"920002115","name":"Data 10.5GB_920002115","mode":"N"}</v>
      </c>
      <c r="G318" t="str">
        <f>ToJsonArray(supplementary_offering_legacyid[[#This Row],[Semilla04]],supplementary_offering_legacyid[[#This Row],[Json]])</f>
        <v>{"200021-15":{"offeringid":"920002115","name":"Data 10.5GB_920002115","mode":"N"}}</v>
      </c>
    </row>
    <row r="319" spans="1:7" x14ac:dyDescent="0.25">
      <c r="A319" s="60" t="s">
        <v>3089</v>
      </c>
      <c r="B319" t="str">
        <f>findKey(supplementary_offering_legacyid[[#This Row],[Produccion]])</f>
        <v>200021-16</v>
      </c>
      <c r="C319" s="61" t="s">
        <v>3090</v>
      </c>
      <c r="D319" t="s">
        <v>3091</v>
      </c>
      <c r="E319" t="s">
        <v>2329</v>
      </c>
      <c r="F319" t="str">
        <f>ToJsonArray(supplementary_offering_legacyid[[#Headers],[offeringid]:[mode]],supplementary_offering_legacyid[[#This Row],[offeringid]:[mode]])</f>
        <v>{"offeringid":"920002116","name":"Data 11.5GB_920002116","mode":"N"}</v>
      </c>
      <c r="G319" t="str">
        <f>ToJsonArray(supplementary_offering_legacyid[[#This Row],[Semilla04]],supplementary_offering_legacyid[[#This Row],[Json]])</f>
        <v>{"200021-16":{"offeringid":"920002116","name":"Data 11.5GB_920002116","mode":"N"}}</v>
      </c>
    </row>
    <row r="320" spans="1:7" x14ac:dyDescent="0.25">
      <c r="A320" s="60" t="s">
        <v>3092</v>
      </c>
      <c r="B320" t="str">
        <f>findKey(supplementary_offering_legacyid[[#This Row],[Produccion]])</f>
        <v>200021-17</v>
      </c>
      <c r="C320" s="61" t="s">
        <v>3093</v>
      </c>
      <c r="D320" t="s">
        <v>3094</v>
      </c>
      <c r="E320" t="s">
        <v>2329</v>
      </c>
      <c r="F320" t="str">
        <f>ToJsonArray(supplementary_offering_legacyid[[#Headers],[offeringid]:[mode]],supplementary_offering_legacyid[[#This Row],[offeringid]:[mode]])</f>
        <v>{"offeringid":"920002117","name":"Data 15GB_920002117","mode":"N"}</v>
      </c>
      <c r="G320" t="str">
        <f>ToJsonArray(supplementary_offering_legacyid[[#This Row],[Semilla04]],supplementary_offering_legacyid[[#This Row],[Json]])</f>
        <v>{"200021-17":{"offeringid":"920002117","name":"Data 15GB_920002117","mode":"N"}}</v>
      </c>
    </row>
    <row r="321" spans="1:7" x14ac:dyDescent="0.25">
      <c r="A321" s="60" t="s">
        <v>3095</v>
      </c>
      <c r="B321" t="str">
        <f>findKey(supplementary_offering_legacyid[[#This Row],[Produccion]])</f>
        <v>200021-18</v>
      </c>
      <c r="C321" s="61" t="s">
        <v>3096</v>
      </c>
      <c r="D321" t="s">
        <v>3097</v>
      </c>
      <c r="E321" t="s">
        <v>2329</v>
      </c>
      <c r="F321" t="str">
        <f>ToJsonArray(supplementary_offering_legacyid[[#Headers],[offeringid]:[mode]],supplementary_offering_legacyid[[#This Row],[offeringid]:[mode]])</f>
        <v>{"offeringid":"920002118","name":"Data 16GB_920002118","mode":"N"}</v>
      </c>
      <c r="G321" t="str">
        <f>ToJsonArray(supplementary_offering_legacyid[[#This Row],[Semilla04]],supplementary_offering_legacyid[[#This Row],[Json]])</f>
        <v>{"200021-18":{"offeringid":"920002118","name":"Data 16GB_920002118","mode":"N"}}</v>
      </c>
    </row>
    <row r="322" spans="1:7" x14ac:dyDescent="0.25">
      <c r="A322" s="60" t="s">
        <v>3098</v>
      </c>
      <c r="B322" t="str">
        <f>findKey(supplementary_offering_legacyid[[#This Row],[Produccion]])</f>
        <v>200021-19</v>
      </c>
      <c r="C322" s="61" t="s">
        <v>3099</v>
      </c>
      <c r="D322" t="s">
        <v>3100</v>
      </c>
      <c r="E322" t="s">
        <v>2329</v>
      </c>
      <c r="F322" t="str">
        <f>ToJsonArray(supplementary_offering_legacyid[[#Headers],[offeringid]:[mode]],supplementary_offering_legacyid[[#This Row],[offeringid]:[mode]])</f>
        <v>{"offeringid":"920002119","name":"Data 17GB_920002119","mode":"N"}</v>
      </c>
      <c r="G322" t="str">
        <f>ToJsonArray(supplementary_offering_legacyid[[#This Row],[Semilla04]],supplementary_offering_legacyid[[#This Row],[Json]])</f>
        <v>{"200021-19":{"offeringid":"920002119","name":"Data 17GB_920002119","mode":"N"}}</v>
      </c>
    </row>
    <row r="323" spans="1:7" x14ac:dyDescent="0.25">
      <c r="A323" s="60" t="s">
        <v>3101</v>
      </c>
      <c r="B323" t="str">
        <f>findKey(supplementary_offering_legacyid[[#This Row],[Produccion]])</f>
        <v>200021-20</v>
      </c>
      <c r="C323" s="61" t="s">
        <v>3102</v>
      </c>
      <c r="D323" t="s">
        <v>3103</v>
      </c>
      <c r="E323" t="s">
        <v>2329</v>
      </c>
      <c r="F323" t="str">
        <f>ToJsonArray(supplementary_offering_legacyid[[#Headers],[offeringid]:[mode]],supplementary_offering_legacyid[[#This Row],[offeringid]:[mode]])</f>
        <v>{"offeringid":"920002120","name":"Data 22GB_920002120","mode":"N"}</v>
      </c>
      <c r="G323" t="str">
        <f>ToJsonArray(supplementary_offering_legacyid[[#This Row],[Semilla04]],supplementary_offering_legacyid[[#This Row],[Json]])</f>
        <v>{"200021-20":{"offeringid":"920002120","name":"Data 22GB_920002120","mode":"N"}}</v>
      </c>
    </row>
    <row r="324" spans="1:7" x14ac:dyDescent="0.25">
      <c r="A324" s="60" t="s">
        <v>3104</v>
      </c>
      <c r="B324" t="str">
        <f>findKey(supplementary_offering_legacyid[[#This Row],[Produccion]])</f>
        <v>200021-21</v>
      </c>
      <c r="C324" s="61" t="s">
        <v>3105</v>
      </c>
      <c r="D324" t="s">
        <v>3106</v>
      </c>
      <c r="E324" t="s">
        <v>2329</v>
      </c>
      <c r="F324" t="str">
        <f>ToJsonArray(supplementary_offering_legacyid[[#Headers],[offeringid]:[mode]],supplementary_offering_legacyid[[#This Row],[offeringid]:[mode]])</f>
        <v>{"offeringid":"920002121","name":"Data 1GB_920002121","mode":"N"}</v>
      </c>
      <c r="G324" t="str">
        <f>ToJsonArray(supplementary_offering_legacyid[[#This Row],[Semilla04]],supplementary_offering_legacyid[[#This Row],[Json]])</f>
        <v>{"200021-21":{"offeringid":"920002121","name":"Data 1GB_920002121","mode":"N"}}</v>
      </c>
    </row>
    <row r="325" spans="1:7" x14ac:dyDescent="0.25">
      <c r="A325" s="60" t="s">
        <v>3107</v>
      </c>
      <c r="B325" t="str">
        <f>findKey(supplementary_offering_legacyid[[#This Row],[Produccion]])</f>
        <v>200021-22</v>
      </c>
      <c r="C325" s="61" t="s">
        <v>3108</v>
      </c>
      <c r="D325" t="s">
        <v>3109</v>
      </c>
      <c r="E325" t="s">
        <v>2329</v>
      </c>
      <c r="F325" t="str">
        <f>ToJsonArray(supplementary_offering_legacyid[[#Headers],[offeringid]:[mode]],supplementary_offering_legacyid[[#This Row],[offeringid]:[mode]])</f>
        <v>{"offeringid":"920002122","name":"Data 1.7GB_920002122","mode":"N"}</v>
      </c>
      <c r="G325" t="str">
        <f>ToJsonArray(supplementary_offering_legacyid[[#This Row],[Semilla04]],supplementary_offering_legacyid[[#This Row],[Json]])</f>
        <v>{"200021-22":{"offeringid":"920002122","name":"Data 1.7GB_920002122","mode":"N"}}</v>
      </c>
    </row>
    <row r="326" spans="1:7" x14ac:dyDescent="0.25">
      <c r="A326" s="60" t="s">
        <v>3110</v>
      </c>
      <c r="B326" t="str">
        <f>findKey(supplementary_offering_legacyid[[#This Row],[Produccion]])</f>
        <v>200021-23</v>
      </c>
      <c r="C326" s="61" t="s">
        <v>3111</v>
      </c>
      <c r="D326" t="s">
        <v>3112</v>
      </c>
      <c r="E326" t="s">
        <v>2329</v>
      </c>
      <c r="F326" t="str">
        <f>ToJsonArray(supplementary_offering_legacyid[[#Headers],[offeringid]:[mode]],supplementary_offering_legacyid[[#This Row],[offeringid]:[mode]])</f>
        <v>{"offeringid":"920002123","name":"Data 3.5GB_920002123","mode":"N"}</v>
      </c>
      <c r="G326" t="str">
        <f>ToJsonArray(supplementary_offering_legacyid[[#This Row],[Semilla04]],supplementary_offering_legacyid[[#This Row],[Json]])</f>
        <v>{"200021-23":{"offeringid":"920002123","name":"Data 3.5GB_920002123","mode":"N"}}</v>
      </c>
    </row>
    <row r="327" spans="1:7" x14ac:dyDescent="0.25">
      <c r="A327" s="60" t="s">
        <v>3113</v>
      </c>
      <c r="B327" t="str">
        <f>findKey(supplementary_offering_legacyid[[#This Row],[Produccion]])</f>
        <v>200021-24</v>
      </c>
      <c r="C327" s="61" t="s">
        <v>3114</v>
      </c>
      <c r="D327" t="s">
        <v>3115</v>
      </c>
      <c r="E327" t="s">
        <v>2329</v>
      </c>
      <c r="F327" t="str">
        <f>ToJsonArray(supplementary_offering_legacyid[[#Headers],[offeringid]:[mode]],supplementary_offering_legacyid[[#This Row],[offeringid]:[mode]])</f>
        <v>{"offeringid":"920002124","name":"Data 4.5GB_920002124","mode":"N"}</v>
      </c>
      <c r="G327" t="str">
        <f>ToJsonArray(supplementary_offering_legacyid[[#This Row],[Semilla04]],supplementary_offering_legacyid[[#This Row],[Json]])</f>
        <v>{"200021-24":{"offeringid":"920002124","name":"Data 4.5GB_920002124","mode":"N"}}</v>
      </c>
    </row>
    <row r="328" spans="1:7" x14ac:dyDescent="0.25">
      <c r="A328" s="60" t="s">
        <v>3116</v>
      </c>
      <c r="B328" t="str">
        <f>findKey(supplementary_offering_legacyid[[#This Row],[Produccion]])</f>
        <v>200021-25</v>
      </c>
      <c r="C328" s="61" t="s">
        <v>3117</v>
      </c>
      <c r="D328" t="s">
        <v>3118</v>
      </c>
      <c r="E328" t="s">
        <v>2329</v>
      </c>
      <c r="F328" t="str">
        <f>ToJsonArray(supplementary_offering_legacyid[[#Headers],[offeringid]:[mode]],supplementary_offering_legacyid[[#This Row],[offeringid]:[mode]])</f>
        <v>{"offeringid":"920002125","name":"Data 4.5GB_920002125","mode":"N"}</v>
      </c>
      <c r="G328" t="str">
        <f>ToJsonArray(supplementary_offering_legacyid[[#This Row],[Semilla04]],supplementary_offering_legacyid[[#This Row],[Json]])</f>
        <v>{"200021-25":{"offeringid":"920002125","name":"Data 4.5GB_920002125","mode":"N"}}</v>
      </c>
    </row>
    <row r="329" spans="1:7" x14ac:dyDescent="0.25">
      <c r="A329" s="60" t="s">
        <v>3119</v>
      </c>
      <c r="B329" t="str">
        <f>findKey(supplementary_offering_legacyid[[#This Row],[Produccion]])</f>
        <v>200021-26</v>
      </c>
      <c r="C329" s="61" t="s">
        <v>3120</v>
      </c>
      <c r="D329" t="s">
        <v>3121</v>
      </c>
      <c r="E329" t="s">
        <v>2329</v>
      </c>
      <c r="F329" t="str">
        <f>ToJsonArray(supplementary_offering_legacyid[[#Headers],[offeringid]:[mode]],supplementary_offering_legacyid[[#This Row],[offeringid]:[mode]])</f>
        <v>{"offeringid":"920002126","name":"Data 5.5GB_920002126","mode":"N"}</v>
      </c>
      <c r="G329" t="str">
        <f>ToJsonArray(supplementary_offering_legacyid[[#This Row],[Semilla04]],supplementary_offering_legacyid[[#This Row],[Json]])</f>
        <v>{"200021-26":{"offeringid":"920002126","name":"Data 5.5GB_920002126","mode":"N"}}</v>
      </c>
    </row>
    <row r="330" spans="1:7" x14ac:dyDescent="0.25">
      <c r="A330" s="60" t="s">
        <v>3122</v>
      </c>
      <c r="B330" t="str">
        <f>findKey(supplementary_offering_legacyid[[#This Row],[Produccion]])</f>
        <v>200021-27</v>
      </c>
      <c r="C330" s="61" t="s">
        <v>3123</v>
      </c>
      <c r="D330" t="s">
        <v>3124</v>
      </c>
      <c r="E330" t="s">
        <v>2329</v>
      </c>
      <c r="F330" t="str">
        <f>ToJsonArray(supplementary_offering_legacyid[[#Headers],[offeringid]:[mode]],supplementary_offering_legacyid[[#This Row],[offeringid]:[mode]])</f>
        <v>{"offeringid":"920002127","name":"Data 6.5GB_920002127","mode":"N"}</v>
      </c>
      <c r="G330" t="str">
        <f>ToJsonArray(supplementary_offering_legacyid[[#This Row],[Semilla04]],supplementary_offering_legacyid[[#This Row],[Json]])</f>
        <v>{"200021-27":{"offeringid":"920002127","name":"Data 6.5GB_920002127","mode":"N"}}</v>
      </c>
    </row>
    <row r="331" spans="1:7" x14ac:dyDescent="0.25">
      <c r="A331" s="60" t="s">
        <v>3125</v>
      </c>
      <c r="B331" t="str">
        <f>findKey(supplementary_offering_legacyid[[#This Row],[Produccion]])</f>
        <v>200021-28</v>
      </c>
      <c r="C331" s="61" t="s">
        <v>3126</v>
      </c>
      <c r="D331" t="s">
        <v>3127</v>
      </c>
      <c r="E331" t="s">
        <v>2329</v>
      </c>
      <c r="F331" t="str">
        <f>ToJsonArray(supplementary_offering_legacyid[[#Headers],[offeringid]:[mode]],supplementary_offering_legacyid[[#This Row],[offeringid]:[mode]])</f>
        <v>{"offeringid":"920002128","name":"Data 7.5GB_920002128","mode":"N"}</v>
      </c>
      <c r="G331" t="str">
        <f>ToJsonArray(supplementary_offering_legacyid[[#This Row],[Semilla04]],supplementary_offering_legacyid[[#This Row],[Json]])</f>
        <v>{"200021-28":{"offeringid":"920002128","name":"Data 7.5GB_920002128","mode":"N"}}</v>
      </c>
    </row>
    <row r="332" spans="1:7" x14ac:dyDescent="0.25">
      <c r="A332" s="60" t="s">
        <v>3128</v>
      </c>
      <c r="B332" t="str">
        <f>findKey(supplementary_offering_legacyid[[#This Row],[Produccion]])</f>
        <v>200021-29</v>
      </c>
      <c r="C332" s="61" t="s">
        <v>3129</v>
      </c>
      <c r="D332" t="s">
        <v>3130</v>
      </c>
      <c r="E332" t="s">
        <v>2329</v>
      </c>
      <c r="F332" t="str">
        <f>ToJsonArray(supplementary_offering_legacyid[[#Headers],[offeringid]:[mode]],supplementary_offering_legacyid[[#This Row],[offeringid]:[mode]])</f>
        <v>{"offeringid":"920002129","name":"Data 8.5GB_920002129","mode":"N"}</v>
      </c>
      <c r="G332" t="str">
        <f>ToJsonArray(supplementary_offering_legacyid[[#This Row],[Semilla04]],supplementary_offering_legacyid[[#This Row],[Json]])</f>
        <v>{"200021-29":{"offeringid":"920002129","name":"Data 8.5GB_920002129","mode":"N"}}</v>
      </c>
    </row>
    <row r="333" spans="1:7" x14ac:dyDescent="0.25">
      <c r="A333" s="60" t="s">
        <v>3131</v>
      </c>
      <c r="B333" t="str">
        <f>findKey(supplementary_offering_legacyid[[#This Row],[Produccion]])</f>
        <v>200021-30</v>
      </c>
      <c r="C333" s="61" t="s">
        <v>3132</v>
      </c>
      <c r="D333" t="s">
        <v>3133</v>
      </c>
      <c r="E333" t="s">
        <v>2329</v>
      </c>
      <c r="F333" t="str">
        <f>ToJsonArray(supplementary_offering_legacyid[[#Headers],[offeringid]:[mode]],supplementary_offering_legacyid[[#This Row],[offeringid]:[mode]])</f>
        <v>{"offeringid":"920002130","name":"Data 9.5GB_920002130","mode":"N"}</v>
      </c>
      <c r="G333" t="str">
        <f>ToJsonArray(supplementary_offering_legacyid[[#This Row],[Semilla04]],supplementary_offering_legacyid[[#This Row],[Json]])</f>
        <v>{"200021-30":{"offeringid":"920002130","name":"Data 9.5GB_920002130","mode":"N"}}</v>
      </c>
    </row>
    <row r="334" spans="1:7" x14ac:dyDescent="0.25">
      <c r="A334" s="60" t="s">
        <v>3134</v>
      </c>
      <c r="B334" t="str">
        <f>findKey(supplementary_offering_legacyid[[#This Row],[Produccion]])</f>
        <v>200021-31</v>
      </c>
      <c r="C334" s="61" t="s">
        <v>3135</v>
      </c>
      <c r="D334" t="s">
        <v>3136</v>
      </c>
      <c r="E334" t="s">
        <v>2329</v>
      </c>
      <c r="F334" t="str">
        <f>ToJsonArray(supplementary_offering_legacyid[[#Headers],[offeringid]:[mode]],supplementary_offering_legacyid[[#This Row],[offeringid]:[mode]])</f>
        <v>{"offeringid":"920002131","name":"Data 10GB_920002131","mode":"N"}</v>
      </c>
      <c r="G334" t="str">
        <f>ToJsonArray(supplementary_offering_legacyid[[#This Row],[Semilla04]],supplementary_offering_legacyid[[#This Row],[Json]])</f>
        <v>{"200021-31":{"offeringid":"920002131","name":"Data 10GB_920002131","mode":"N"}}</v>
      </c>
    </row>
    <row r="335" spans="1:7" x14ac:dyDescent="0.25">
      <c r="A335" s="60" t="s">
        <v>3137</v>
      </c>
      <c r="B335" t="str">
        <f>findKey(supplementary_offering_legacyid[[#This Row],[Produccion]])</f>
        <v>200021-32</v>
      </c>
      <c r="C335" s="61" t="s">
        <v>3138</v>
      </c>
      <c r="D335" t="s">
        <v>3139</v>
      </c>
      <c r="E335" t="s">
        <v>2329</v>
      </c>
      <c r="F335" t="str">
        <f>ToJsonArray(supplementary_offering_legacyid[[#Headers],[offeringid]:[mode]],supplementary_offering_legacyid[[#This Row],[offeringid]:[mode]])</f>
        <v>{"offeringid":"920002132","name":"Data 11GB_920002132","mode":"N"}</v>
      </c>
      <c r="G335" t="str">
        <f>ToJsonArray(supplementary_offering_legacyid[[#This Row],[Semilla04]],supplementary_offering_legacyid[[#This Row],[Json]])</f>
        <v>{"200021-32":{"offeringid":"920002132","name":"Data 11GB_920002132","mode":"N"}}</v>
      </c>
    </row>
    <row r="336" spans="1:7" x14ac:dyDescent="0.25">
      <c r="A336" s="60" t="s">
        <v>3140</v>
      </c>
      <c r="B336" t="str">
        <f>findKey(supplementary_offering_legacyid[[#This Row],[Produccion]])</f>
        <v>200021-33</v>
      </c>
      <c r="C336" s="61" t="s">
        <v>3141</v>
      </c>
      <c r="D336" t="s">
        <v>3142</v>
      </c>
      <c r="E336" t="s">
        <v>2329</v>
      </c>
      <c r="F336" t="str">
        <f>ToJsonArray(supplementary_offering_legacyid[[#Headers],[offeringid]:[mode]],supplementary_offering_legacyid[[#This Row],[offeringid]:[mode]])</f>
        <v>{"offeringid":"920002133","name":"Data 11.5GB_920002133","mode":"N"}</v>
      </c>
      <c r="G336" t="str">
        <f>ToJsonArray(supplementary_offering_legacyid[[#This Row],[Semilla04]],supplementary_offering_legacyid[[#This Row],[Json]])</f>
        <v>{"200021-33":{"offeringid":"920002133","name":"Data 11.5GB_920002133","mode":"N"}}</v>
      </c>
    </row>
    <row r="337" spans="1:7" x14ac:dyDescent="0.25">
      <c r="A337" s="60" t="s">
        <v>3143</v>
      </c>
      <c r="B337" t="str">
        <f>findKey(supplementary_offering_legacyid[[#This Row],[Produccion]])</f>
        <v>200021-34</v>
      </c>
      <c r="C337" s="61" t="s">
        <v>3144</v>
      </c>
      <c r="D337" t="s">
        <v>3145</v>
      </c>
      <c r="E337" t="s">
        <v>2329</v>
      </c>
      <c r="F337" t="str">
        <f>ToJsonArray(supplementary_offering_legacyid[[#Headers],[offeringid]:[mode]],supplementary_offering_legacyid[[#This Row],[offeringid]:[mode]])</f>
        <v>{"offeringid":"920002134","name":"Data 12.5GB_920002134","mode":"N"}</v>
      </c>
      <c r="G337" t="str">
        <f>ToJsonArray(supplementary_offering_legacyid[[#This Row],[Semilla04]],supplementary_offering_legacyid[[#This Row],[Json]])</f>
        <v>{"200021-34":{"offeringid":"920002134","name":"Data 12.5GB_920002134","mode":"N"}}</v>
      </c>
    </row>
    <row r="338" spans="1:7" x14ac:dyDescent="0.25">
      <c r="A338" s="60" t="s">
        <v>3146</v>
      </c>
      <c r="B338" t="str">
        <f>findKey(supplementary_offering_legacyid[[#This Row],[Produccion]])</f>
        <v>200021-46</v>
      </c>
      <c r="C338" s="61" t="s">
        <v>3147</v>
      </c>
      <c r="D338" t="s">
        <v>3148</v>
      </c>
      <c r="E338" t="s">
        <v>2329</v>
      </c>
      <c r="F338" t="str">
        <f>ToJsonArray(supplementary_offering_legacyid[[#Headers],[offeringid]:[mode]],supplementary_offering_legacyid[[#This Row],[offeringid]:[mode]])</f>
        <v>{"offeringid":"920002146","name":"Data 4.5GB_920002146","mode":"N"}</v>
      </c>
      <c r="G338" t="str">
        <f>ToJsonArray(supplementary_offering_legacyid[[#This Row],[Semilla04]],supplementary_offering_legacyid[[#This Row],[Json]])</f>
        <v>{"200021-46":{"offeringid":"920002146","name":"Data 4.5GB_920002146","mode":"N"}}</v>
      </c>
    </row>
    <row r="339" spans="1:7" x14ac:dyDescent="0.25">
      <c r="A339" s="60" t="s">
        <v>3149</v>
      </c>
      <c r="B339" t="str">
        <f>findKey(supplementary_offering_legacyid[[#This Row],[Produccion]])</f>
        <v>200101-01</v>
      </c>
      <c r="C339" s="61" t="s">
        <v>3150</v>
      </c>
      <c r="D339" t="s">
        <v>3151</v>
      </c>
      <c r="E339" t="s">
        <v>2189</v>
      </c>
      <c r="F339" t="str">
        <f>ToJsonArray(supplementary_offering_legacyid[[#Headers],[offeringid]:[mode]],supplementary_offering_legacyid[[#This Row],[offeringid]:[mode]])</f>
        <v>{"offeringid":"920010101","name":"Data - Regalo_920010101","mode":"I"}</v>
      </c>
      <c r="G339" t="str">
        <f>ToJsonArray(supplementary_offering_legacyid[[#This Row],[Semilla04]],supplementary_offering_legacyid[[#This Row],[Json]])</f>
        <v>{"200101-01":{"offeringid":"920010101","name":"Data - Regalo_920010101","mode":"I"}}</v>
      </c>
    </row>
    <row r="340" spans="1:7" x14ac:dyDescent="0.25">
      <c r="A340" s="60" t="s">
        <v>3152</v>
      </c>
      <c r="B340" t="str">
        <f>findKey(supplementary_offering_legacyid[[#This Row],[Produccion]])</f>
        <v>200103-01</v>
      </c>
      <c r="C340" s="61" t="s">
        <v>3153</v>
      </c>
      <c r="D340" t="s">
        <v>3154</v>
      </c>
      <c r="E340" t="s">
        <v>2189</v>
      </c>
      <c r="F340" t="str">
        <f>ToJsonArray(supplementary_offering_legacyid[[#Headers],[offeringid]:[mode]],supplementary_offering_legacyid[[#This Row],[offeringid]:[mode]])</f>
        <v>{"offeringid":"920010301","name":"BlackBerry Regalo_920010301","mode":"I"}</v>
      </c>
      <c r="G340" t="str">
        <f>ToJsonArray(supplementary_offering_legacyid[[#This Row],[Semilla04]],supplementary_offering_legacyid[[#This Row],[Json]])</f>
        <v>{"200103-01":{"offeringid":"920010301","name":"BlackBerry Regalo_920010301","mode":"I"}}</v>
      </c>
    </row>
    <row r="341" spans="1:7" x14ac:dyDescent="0.25">
      <c r="A341" s="60" t="s">
        <v>3155</v>
      </c>
      <c r="B341" t="str">
        <f>findKey(supplementary_offering_legacyid[[#This Row],[Produccion]])</f>
        <v>300301-15</v>
      </c>
      <c r="C341" s="61" t="s">
        <v>3156</v>
      </c>
      <c r="D341" t="s">
        <v>3157</v>
      </c>
      <c r="E341" t="s">
        <v>2329</v>
      </c>
      <c r="F341" t="str">
        <f>ToJsonArray(supplementary_offering_legacyid[[#Headers],[offeringid]:[mode]],supplementary_offering_legacyid[[#This Row],[offeringid]:[mode]])</f>
        <v>{"offeringid":"930030115","name":"Sms-OnNet-5000D_930030115","mode":"N"}</v>
      </c>
      <c r="G341" t="str">
        <f>ToJsonArray(supplementary_offering_legacyid[[#This Row],[Semilla04]],supplementary_offering_legacyid[[#This Row],[Json]])</f>
        <v>{"300301-15":{"offeringid":"930030115","name":"Sms-OnNet-5000D_930030115","mode":"N"}}</v>
      </c>
    </row>
    <row r="342" spans="1:7" x14ac:dyDescent="0.25">
      <c r="A342" s="60" t="s">
        <v>3158</v>
      </c>
      <c r="B342" t="str">
        <f>findKey(supplementary_offering_legacyid[[#This Row],[Produccion]])</f>
        <v>300302-18</v>
      </c>
      <c r="C342" s="61" t="s">
        <v>3159</v>
      </c>
      <c r="D342" t="s">
        <v>3160</v>
      </c>
      <c r="E342" t="s">
        <v>2329</v>
      </c>
      <c r="F342" t="str">
        <f>ToJsonArray(supplementary_offering_legacyid[[#Headers],[offeringid]:[mode]],supplementary_offering_legacyid[[#This Row],[offeringid]:[mode]])</f>
        <v>{"offeringid":"930030218","name":"Sms-TD-100_930030218","mode":"N"}</v>
      </c>
      <c r="G342" t="str">
        <f>ToJsonArray(supplementary_offering_legacyid[[#This Row],[Semilla04]],supplementary_offering_legacyid[[#This Row],[Json]])</f>
        <v>{"300302-18":{"offeringid":"930030218","name":"Sms-TD-100_930030218","mode":"N"}}</v>
      </c>
    </row>
    <row r="343" spans="1:7" x14ac:dyDescent="0.25">
      <c r="A343" s="60" t="s">
        <v>3161</v>
      </c>
      <c r="B343" t="str">
        <f>findKey(supplementary_offering_legacyid[[#This Row],[Produccion]])</f>
        <v>300302-21</v>
      </c>
      <c r="C343" s="61" t="s">
        <v>3162</v>
      </c>
      <c r="D343" t="s">
        <v>3163</v>
      </c>
      <c r="E343" t="s">
        <v>2329</v>
      </c>
      <c r="F343" t="str">
        <f>ToJsonArray(supplementary_offering_legacyid[[#Headers],[offeringid]:[mode]],supplementary_offering_legacyid[[#This Row],[offeringid]:[mode]])</f>
        <v>{"offeringid":"930030221","name":"Sms-TD-20_930030221","mode":"N"}</v>
      </c>
      <c r="G343" t="str">
        <f>ToJsonArray(supplementary_offering_legacyid[[#This Row],[Semilla04]],supplementary_offering_legacyid[[#This Row],[Json]])</f>
        <v>{"300302-21":{"offeringid":"930030221","name":"Sms-TD-20_930030221","mode":"N"}}</v>
      </c>
    </row>
    <row r="344" spans="1:7" x14ac:dyDescent="0.25">
      <c r="A344" s="60" t="s">
        <v>3164</v>
      </c>
      <c r="B344" t="str">
        <f>findKey(supplementary_offering_legacyid[[#This Row],[Produccion]])</f>
        <v>300302-25</v>
      </c>
      <c r="C344" s="61" t="s">
        <v>3165</v>
      </c>
      <c r="D344" t="s">
        <v>3166</v>
      </c>
      <c r="E344" t="s">
        <v>2329</v>
      </c>
      <c r="F344" t="str">
        <f>ToJsonArray(supplementary_offering_legacyid[[#Headers],[offeringid]:[mode]],supplementary_offering_legacyid[[#This Row],[offeringid]:[mode]])</f>
        <v>{"offeringid":"930030225","name":"Sms-TD-Ilimitado_930030225","mode":"N"}</v>
      </c>
      <c r="G344" t="str">
        <f>ToJsonArray(supplementary_offering_legacyid[[#This Row],[Semilla04]],supplementary_offering_legacyid[[#This Row],[Json]])</f>
        <v>{"300302-25":{"offeringid":"930030225","name":"Sms-TD-Ilimitado_930030225","mode":"N"}}</v>
      </c>
    </row>
    <row r="345" spans="1:7" x14ac:dyDescent="0.25">
      <c r="A345" s="60" t="s">
        <v>3167</v>
      </c>
      <c r="B345" t="str">
        <f>findKey(supplementary_offering_legacyid[[#This Row],[Produccion]])</f>
        <v>300302-26</v>
      </c>
      <c r="C345" s="61" t="s">
        <v>3168</v>
      </c>
      <c r="D345" t="s">
        <v>3169</v>
      </c>
      <c r="E345" t="s">
        <v>2329</v>
      </c>
      <c r="F345" t="str">
        <f>ToJsonArray(supplementary_offering_legacyid[[#Headers],[offeringid]:[mode]],supplementary_offering_legacyid[[#This Row],[offeringid]:[mode]])</f>
        <v>{"offeringid":"930030226","name":"Sms-TD-Ilimitado_930030226","mode":"N"}</v>
      </c>
      <c r="G345" t="str">
        <f>ToJsonArray(supplementary_offering_legacyid[[#This Row],[Semilla04]],supplementary_offering_legacyid[[#This Row],[Json]])</f>
        <v>{"300302-26":{"offeringid":"930030226","name":"Sms-TD-Ilimitado_930030226","mode":"N"}}</v>
      </c>
    </row>
    <row r="346" spans="1:7" x14ac:dyDescent="0.25">
      <c r="A346" s="60" t="s">
        <v>3170</v>
      </c>
      <c r="B346" t="str">
        <f>findKey(supplementary_offering_legacyid[[#This Row],[Produccion]])</f>
        <v>300302-28</v>
      </c>
      <c r="C346" s="61" t="s">
        <v>3171</v>
      </c>
      <c r="D346" t="s">
        <v>3172</v>
      </c>
      <c r="E346" t="s">
        <v>2329</v>
      </c>
      <c r="F346" t="str">
        <f>ToJsonArray(supplementary_offering_legacyid[[#Headers],[offeringid]:[mode]],supplementary_offering_legacyid[[#This Row],[offeringid]:[mode]])</f>
        <v>{"offeringid":"930030228","name":"Sms - Todo destino - 100_930030228","mode":"N"}</v>
      </c>
      <c r="G346" t="str">
        <f>ToJsonArray(supplementary_offering_legacyid[[#This Row],[Semilla04]],supplementary_offering_legacyid[[#This Row],[Json]])</f>
        <v>{"300302-28":{"offeringid":"930030228","name":"Sms - Todo destino - 100_930030228","mode":"N"}}</v>
      </c>
    </row>
    <row r="347" spans="1:7" x14ac:dyDescent="0.25">
      <c r="A347" s="60" t="s">
        <v>3173</v>
      </c>
      <c r="B347" t="str">
        <f>findKey(supplementary_offering_legacyid[[#This Row],[Produccion]])</f>
        <v>300302-29</v>
      </c>
      <c r="C347" s="61" t="s">
        <v>3174</v>
      </c>
      <c r="D347" t="s">
        <v>3175</v>
      </c>
      <c r="E347" t="s">
        <v>2329</v>
      </c>
      <c r="F347" t="str">
        <f>ToJsonArray(supplementary_offering_legacyid[[#Headers],[offeringid]:[mode]],supplementary_offering_legacyid[[#This Row],[offeringid]:[mode]])</f>
        <v>{"offeringid":"930030229","name":"Sms - Todo destino - 200_930030229","mode":"N"}</v>
      </c>
      <c r="G347" t="str">
        <f>ToJsonArray(supplementary_offering_legacyid[[#This Row],[Semilla04]],supplementary_offering_legacyid[[#This Row],[Json]])</f>
        <v>{"300302-29":{"offeringid":"930030229","name":"Sms - Todo destino - 200_930030229","mode":"N"}}</v>
      </c>
    </row>
    <row r="348" spans="1:7" x14ac:dyDescent="0.25">
      <c r="A348" s="60" t="s">
        <v>3176</v>
      </c>
      <c r="B348" t="str">
        <f>findKey(supplementary_offering_legacyid[[#This Row],[Produccion]])</f>
        <v>300302-30</v>
      </c>
      <c r="C348" s="61" t="s">
        <v>3177</v>
      </c>
      <c r="D348" t="s">
        <v>3178</v>
      </c>
      <c r="E348" t="s">
        <v>2329</v>
      </c>
      <c r="F348" t="str">
        <f>ToJsonArray(supplementary_offering_legacyid[[#Headers],[offeringid]:[mode]],supplementary_offering_legacyid[[#This Row],[offeringid]:[mode]])</f>
        <v>{"offeringid":"930030230","name":"Sms-TD-Ilimitado_930030230","mode":"N"}</v>
      </c>
      <c r="G348" t="str">
        <f>ToJsonArray(supplementary_offering_legacyid[[#This Row],[Semilla04]],supplementary_offering_legacyid[[#This Row],[Json]])</f>
        <v>{"300302-30":{"offeringid":"930030230","name":"Sms-TD-Ilimitado_930030230","mode":"N"}}</v>
      </c>
    </row>
    <row r="349" spans="1:7" x14ac:dyDescent="0.25">
      <c r="A349" s="60" t="s">
        <v>3179</v>
      </c>
      <c r="B349" t="str">
        <f>findKey(supplementary_offering_legacyid[[#This Row],[Produccion]])</f>
        <v>300302-32</v>
      </c>
      <c r="C349" s="61" t="s">
        <v>3180</v>
      </c>
      <c r="D349" t="s">
        <v>3181</v>
      </c>
      <c r="E349" t="s">
        <v>2329</v>
      </c>
      <c r="F349" t="str">
        <f>ToJsonArray(supplementary_offering_legacyid[[#Headers],[offeringid]:[mode]],supplementary_offering_legacyid[[#This Row],[offeringid]:[mode]])</f>
        <v>{"offeringid":"930030232","name":"Sms-TD-100_930030232","mode":"N"}</v>
      </c>
      <c r="G349" t="str">
        <f>ToJsonArray(supplementary_offering_legacyid[[#This Row],[Semilla04]],supplementary_offering_legacyid[[#This Row],[Json]])</f>
        <v>{"300302-32":{"offeringid":"930030232","name":"Sms-TD-100_930030232","mode":"N"}}</v>
      </c>
    </row>
    <row r="350" spans="1:7" x14ac:dyDescent="0.25">
      <c r="A350" s="60" t="s">
        <v>3182</v>
      </c>
      <c r="B350" t="str">
        <f>findKey(supplementary_offering_legacyid[[#This Row],[Produccion]])</f>
        <v>300302-33</v>
      </c>
      <c r="C350" s="61" t="s">
        <v>3183</v>
      </c>
      <c r="D350" t="s">
        <v>3184</v>
      </c>
      <c r="E350" t="s">
        <v>2329</v>
      </c>
      <c r="F350" t="str">
        <f>ToJsonArray(supplementary_offering_legacyid[[#Headers],[offeringid]:[mode]],supplementary_offering_legacyid[[#This Row],[offeringid]:[mode]])</f>
        <v>{"offeringid":"930030233","name":"Sms-TD-200_930030233","mode":"N"}</v>
      </c>
      <c r="G350" t="str">
        <f>ToJsonArray(supplementary_offering_legacyid[[#This Row],[Semilla04]],supplementary_offering_legacyid[[#This Row],[Json]])</f>
        <v>{"300302-33":{"offeringid":"930030233","name":"Sms-TD-200_930030233","mode":"N"}}</v>
      </c>
    </row>
    <row r="351" spans="1:7" x14ac:dyDescent="0.25">
      <c r="A351" s="60" t="s">
        <v>3185</v>
      </c>
      <c r="B351" t="str">
        <f>findKey(supplementary_offering_legacyid[[#This Row],[Produccion]])</f>
        <v>300302-34</v>
      </c>
      <c r="C351" s="61" t="s">
        <v>3186</v>
      </c>
      <c r="D351" t="s">
        <v>3187</v>
      </c>
      <c r="E351" t="s">
        <v>2329</v>
      </c>
      <c r="F351" t="str">
        <f>ToJsonArray(supplementary_offering_legacyid[[#Headers],[offeringid]:[mode]],supplementary_offering_legacyid[[#This Row],[offeringid]:[mode]])</f>
        <v>{"offeringid":"930030234","name":"Sms-TD-Ilimitado_930030234","mode":"N"}</v>
      </c>
      <c r="G351" t="str">
        <f>ToJsonArray(supplementary_offering_legacyid[[#This Row],[Semilla04]],supplementary_offering_legacyid[[#This Row],[Json]])</f>
        <v>{"300302-34":{"offeringid":"930030234","name":"Sms-TD-Ilimitado_930030234","mode":"N"}}</v>
      </c>
    </row>
    <row r="352" spans="1:7" x14ac:dyDescent="0.25">
      <c r="A352" s="60" t="s">
        <v>3188</v>
      </c>
      <c r="B352" t="str">
        <f>findKey(supplementary_offering_legacyid[[#This Row],[Produccion]])</f>
        <v>300302-35</v>
      </c>
      <c r="C352" s="61" t="s">
        <v>3189</v>
      </c>
      <c r="D352" t="s">
        <v>3190</v>
      </c>
      <c r="E352" t="s">
        <v>2329</v>
      </c>
      <c r="F352" t="str">
        <f>ToJsonArray(supplementary_offering_legacyid[[#Headers],[offeringid]:[mode]],supplementary_offering_legacyid[[#This Row],[offeringid]:[mode]])</f>
        <v>{"offeringid":"930030235","name":"Sms-TD-Ilimitado_930030235","mode":"N"}</v>
      </c>
      <c r="G352" t="str">
        <f>ToJsonArray(supplementary_offering_legacyid[[#This Row],[Semilla04]],supplementary_offering_legacyid[[#This Row],[Json]])</f>
        <v>{"300302-35":{"offeringid":"930030235","name":"Sms-TD-Ilimitado_930030235","mode":"N"}}</v>
      </c>
    </row>
    <row r="353" spans="1:7" x14ac:dyDescent="0.25">
      <c r="A353" s="60" t="s">
        <v>3191</v>
      </c>
      <c r="B353" t="str">
        <f>findKey(supplementary_offering_legacyid[[#This Row],[Produccion]])</f>
        <v>300302-36</v>
      </c>
      <c r="C353" s="61" t="s">
        <v>3192</v>
      </c>
      <c r="D353" t="s">
        <v>3193</v>
      </c>
      <c r="E353" t="s">
        <v>2329</v>
      </c>
      <c r="F353" t="str">
        <f>ToJsonArray(supplementary_offering_legacyid[[#Headers],[offeringid]:[mode]],supplementary_offering_legacyid[[#This Row],[offeringid]:[mode]])</f>
        <v>{"offeringid":"930030236","name":"Sms-TD-Ilimitado_930030236","mode":"N"}</v>
      </c>
      <c r="G353" t="str">
        <f>ToJsonArray(supplementary_offering_legacyid[[#This Row],[Semilla04]],supplementary_offering_legacyid[[#This Row],[Json]])</f>
        <v>{"300302-36":{"offeringid":"930030236","name":"Sms-TD-Ilimitado_930030236","mode":"N"}}</v>
      </c>
    </row>
    <row r="354" spans="1:7" x14ac:dyDescent="0.25">
      <c r="A354" s="60" t="s">
        <v>3194</v>
      </c>
      <c r="B354" t="str">
        <f>findKey(supplementary_offering_legacyid[[#This Row],[Produccion]])</f>
        <v>300302-37</v>
      </c>
      <c r="C354" s="61" t="s">
        <v>3195</v>
      </c>
      <c r="D354" t="s">
        <v>3196</v>
      </c>
      <c r="E354" t="s">
        <v>2329</v>
      </c>
      <c r="F354" t="str">
        <f>ToJsonArray(supplementary_offering_legacyid[[#Headers],[offeringid]:[mode]],supplementary_offering_legacyid[[#This Row],[offeringid]:[mode]])</f>
        <v>{"offeringid":"930030237","name":"Sms-TD-Ilimitado_930030237","mode":"N"}</v>
      </c>
      <c r="G354" t="str">
        <f>ToJsonArray(supplementary_offering_legacyid[[#This Row],[Semilla04]],supplementary_offering_legacyid[[#This Row],[Json]])</f>
        <v>{"300302-37":{"offeringid":"930030237","name":"Sms-TD-Ilimitado_930030237","mode":"N"}}</v>
      </c>
    </row>
    <row r="355" spans="1:7" x14ac:dyDescent="0.25">
      <c r="A355" s="60" t="s">
        <v>3197</v>
      </c>
      <c r="B355" t="str">
        <f>findKey(supplementary_offering_legacyid[[#This Row],[Produccion]])</f>
        <v>300302-40</v>
      </c>
      <c r="C355" s="61" t="s">
        <v>3198</v>
      </c>
      <c r="D355" t="s">
        <v>3199</v>
      </c>
      <c r="E355" t="s">
        <v>2329</v>
      </c>
      <c r="F355" t="str">
        <f>ToJsonArray(supplementary_offering_legacyid[[#Headers],[offeringid]:[mode]],supplementary_offering_legacyid[[#This Row],[offeringid]:[mode]])</f>
        <v>{"offeringid":"930030240","name":"Sms-TD-200_930030240","mode":"N"}</v>
      </c>
      <c r="G355" t="str">
        <f>ToJsonArray(supplementary_offering_legacyid[[#This Row],[Semilla04]],supplementary_offering_legacyid[[#This Row],[Json]])</f>
        <v>{"300302-40":{"offeringid":"930030240","name":"Sms-TD-200_930030240","mode":"N"}}</v>
      </c>
    </row>
    <row r="356" spans="1:7" x14ac:dyDescent="0.25">
      <c r="A356" s="60" t="s">
        <v>3200</v>
      </c>
      <c r="B356" t="str">
        <f>findKey(supplementary_offering_legacyid[[#This Row],[Produccion]])</f>
        <v>300302-41</v>
      </c>
      <c r="C356" s="61" t="s">
        <v>3201</v>
      </c>
      <c r="D356" t="s">
        <v>3202</v>
      </c>
      <c r="E356" t="s">
        <v>2329</v>
      </c>
      <c r="F356" t="str">
        <f>ToJsonArray(supplementary_offering_legacyid[[#Headers],[offeringid]:[mode]],supplementary_offering_legacyid[[#This Row],[offeringid]:[mode]])</f>
        <v>{"offeringid":"930030241","name":"Sms-TD-Ilimitado_930030241","mode":"N"}</v>
      </c>
      <c r="G356" t="str">
        <f>ToJsonArray(supplementary_offering_legacyid[[#This Row],[Semilla04]],supplementary_offering_legacyid[[#This Row],[Json]])</f>
        <v>{"300302-41":{"offeringid":"930030241","name":"Sms-TD-Ilimitado_930030241","mode":"N"}}</v>
      </c>
    </row>
    <row r="357" spans="1:7" x14ac:dyDescent="0.25">
      <c r="A357" s="60" t="s">
        <v>3203</v>
      </c>
      <c r="B357" t="str">
        <f>findKey(supplementary_offering_legacyid[[#This Row],[Produccion]])</f>
        <v>300302-42</v>
      </c>
      <c r="C357" s="61" t="s">
        <v>3204</v>
      </c>
      <c r="D357" t="s">
        <v>3205</v>
      </c>
      <c r="E357" t="s">
        <v>2329</v>
      </c>
      <c r="F357" t="str">
        <f>ToJsonArray(supplementary_offering_legacyid[[#Headers],[offeringid]:[mode]],supplementary_offering_legacyid[[#This Row],[offeringid]:[mode]])</f>
        <v>{"offeringid":"930030242","name":"Sms-TD-200_930030242","mode":"N"}</v>
      </c>
      <c r="G357" t="str">
        <f>ToJsonArray(supplementary_offering_legacyid[[#This Row],[Semilla04]],supplementary_offering_legacyid[[#This Row],[Json]])</f>
        <v>{"300302-42":{"offeringid":"930030242","name":"Sms-TD-200_930030242","mode":"N"}}</v>
      </c>
    </row>
    <row r="358" spans="1:7" x14ac:dyDescent="0.25">
      <c r="A358" s="60" t="s">
        <v>3206</v>
      </c>
      <c r="B358" t="str">
        <f>findKey(supplementary_offering_legacyid[[#This Row],[Produccion]])</f>
        <v>300302-43</v>
      </c>
      <c r="C358" s="61" t="s">
        <v>3207</v>
      </c>
      <c r="D358" t="s">
        <v>3208</v>
      </c>
      <c r="E358" t="s">
        <v>2329</v>
      </c>
      <c r="F358" t="str">
        <f>ToJsonArray(supplementary_offering_legacyid[[#Headers],[offeringid]:[mode]],supplementary_offering_legacyid[[#This Row],[offeringid]:[mode]])</f>
        <v>{"offeringid":"930030243","name":"Sms-TD-Ilimitado_930030243","mode":"N"}</v>
      </c>
      <c r="G358" t="str">
        <f>ToJsonArray(supplementary_offering_legacyid[[#This Row],[Semilla04]],supplementary_offering_legacyid[[#This Row],[Json]])</f>
        <v>{"300302-43":{"offeringid":"930030243","name":"Sms-TD-Ilimitado_930030243","mode":"N"}}</v>
      </c>
    </row>
    <row r="359" spans="1:7" x14ac:dyDescent="0.25">
      <c r="A359" s="60" t="s">
        <v>3209</v>
      </c>
      <c r="B359" t="str">
        <f>findKey(supplementary_offering_legacyid[[#This Row],[Produccion]])</f>
        <v>300302-44</v>
      </c>
      <c r="C359" s="61" t="s">
        <v>3210</v>
      </c>
      <c r="D359" t="s">
        <v>3211</v>
      </c>
      <c r="E359" t="s">
        <v>2329</v>
      </c>
      <c r="F359" t="str">
        <f>ToJsonArray(supplementary_offering_legacyid[[#Headers],[offeringid]:[mode]],supplementary_offering_legacyid[[#This Row],[offeringid]:[mode]])</f>
        <v>{"offeringid":"930030244","name":"Sms-TD-Ilimitado_930030244","mode":"N"}</v>
      </c>
      <c r="G359" t="str">
        <f>ToJsonArray(supplementary_offering_legacyid[[#This Row],[Semilla04]],supplementary_offering_legacyid[[#This Row],[Json]])</f>
        <v>{"300302-44":{"offeringid":"930030244","name":"Sms-TD-Ilimitado_930030244","mode":"N"}}</v>
      </c>
    </row>
    <row r="360" spans="1:7" x14ac:dyDescent="0.25">
      <c r="A360" s="60" t="s">
        <v>3212</v>
      </c>
      <c r="B360" t="str">
        <f>findKey(supplementary_offering_legacyid[[#This Row],[Produccion]])</f>
        <v>300302-45</v>
      </c>
      <c r="C360" s="61" t="s">
        <v>3213</v>
      </c>
      <c r="D360" t="s">
        <v>3214</v>
      </c>
      <c r="E360" t="s">
        <v>2329</v>
      </c>
      <c r="F360" t="str">
        <f>ToJsonArray(supplementary_offering_legacyid[[#Headers],[offeringid]:[mode]],supplementary_offering_legacyid[[#This Row],[offeringid]:[mode]])</f>
        <v>{"offeringid":"930030245","name":"Sms-TD-Ilimitado_930030245","mode":"N"}</v>
      </c>
      <c r="G360" t="str">
        <f>ToJsonArray(supplementary_offering_legacyid[[#This Row],[Semilla04]],supplementary_offering_legacyid[[#This Row],[Json]])</f>
        <v>{"300302-45":{"offeringid":"930030245","name":"Sms-TD-Ilimitado_930030245","mode":"N"}}</v>
      </c>
    </row>
    <row r="361" spans="1:7" x14ac:dyDescent="0.25">
      <c r="A361" s="60" t="s">
        <v>3215</v>
      </c>
      <c r="B361" t="str">
        <f>findKey(supplementary_offering_legacyid[[#This Row],[Produccion]])</f>
        <v>300302-46</v>
      </c>
      <c r="C361" s="61" t="s">
        <v>3216</v>
      </c>
      <c r="D361" t="s">
        <v>3217</v>
      </c>
      <c r="E361" t="s">
        <v>2329</v>
      </c>
      <c r="F361" t="str">
        <f>ToJsonArray(supplementary_offering_legacyid[[#Headers],[offeringid]:[mode]],supplementary_offering_legacyid[[#This Row],[offeringid]:[mode]])</f>
        <v>{"offeringid":"930030246","name":"Sms-TD-Ilimitado_930030246","mode":"N"}</v>
      </c>
      <c r="G361" t="str">
        <f>ToJsonArray(supplementary_offering_legacyid[[#This Row],[Semilla04]],supplementary_offering_legacyid[[#This Row],[Json]])</f>
        <v>{"300302-46":{"offeringid":"930030246","name":"Sms-TD-Ilimitado_930030246","mode":"N"}}</v>
      </c>
    </row>
    <row r="362" spans="1:7" x14ac:dyDescent="0.25">
      <c r="A362" s="60" t="s">
        <v>3218</v>
      </c>
      <c r="B362" t="str">
        <f>findKey(supplementary_offering_legacyid[[#This Row],[Produccion]])</f>
        <v>300302-47</v>
      </c>
      <c r="C362" s="61" t="s">
        <v>3219</v>
      </c>
      <c r="D362" t="s">
        <v>3220</v>
      </c>
      <c r="E362" t="s">
        <v>2329</v>
      </c>
      <c r="F362" t="str">
        <f>ToJsonArray(supplementary_offering_legacyid[[#Headers],[offeringid]:[mode]],supplementary_offering_legacyid[[#This Row],[offeringid]:[mode]])</f>
        <v>{"offeringid":"930030247","name":"Sms-TD-Ilimitado_930030247","mode":"N"}</v>
      </c>
      <c r="G362" t="str">
        <f>ToJsonArray(supplementary_offering_legacyid[[#This Row],[Semilla04]],supplementary_offering_legacyid[[#This Row],[Json]])</f>
        <v>{"300302-47":{"offeringid":"930030247","name":"Sms-TD-Ilimitado_930030247","mode":"N"}}</v>
      </c>
    </row>
    <row r="363" spans="1:7" x14ac:dyDescent="0.25">
      <c r="A363" s="60" t="s">
        <v>3221</v>
      </c>
      <c r="B363" t="str">
        <f>findKey(supplementary_offering_legacyid[[#This Row],[Produccion]])</f>
        <v>300302-48</v>
      </c>
      <c r="C363" s="61" t="s">
        <v>3222</v>
      </c>
      <c r="D363" t="s">
        <v>3223</v>
      </c>
      <c r="E363" t="s">
        <v>2329</v>
      </c>
      <c r="F363" t="str">
        <f>ToJsonArray(supplementary_offering_legacyid[[#Headers],[offeringid]:[mode]],supplementary_offering_legacyid[[#This Row],[offeringid]:[mode]])</f>
        <v>{"offeringid":"930030248","name":"Sms-TD-Ilimitado_930030248","mode":"N"}</v>
      </c>
      <c r="G363" t="str">
        <f>ToJsonArray(supplementary_offering_legacyid[[#This Row],[Semilla04]],supplementary_offering_legacyid[[#This Row],[Json]])</f>
        <v>{"300302-48":{"offeringid":"930030248","name":"Sms-TD-Ilimitado_930030248","mode":"N"}}</v>
      </c>
    </row>
    <row r="364" spans="1:7" x14ac:dyDescent="0.25">
      <c r="A364" s="60" t="s">
        <v>3224</v>
      </c>
      <c r="B364" t="str">
        <f>findKey(supplementary_offering_legacyid[[#This Row],[Produccion]])</f>
        <v>300302-49</v>
      </c>
      <c r="C364" s="61" t="s">
        <v>3225</v>
      </c>
      <c r="D364" t="s">
        <v>3226</v>
      </c>
      <c r="E364" t="s">
        <v>2329</v>
      </c>
      <c r="F364" t="str">
        <f>ToJsonArray(supplementary_offering_legacyid[[#Headers],[offeringid]:[mode]],supplementary_offering_legacyid[[#This Row],[offeringid]:[mode]])</f>
        <v>{"offeringid":"930030249","name":"Sms-TD-Ilimitado_930030249","mode":"N"}</v>
      </c>
      <c r="G364" t="str">
        <f>ToJsonArray(supplementary_offering_legacyid[[#This Row],[Semilla04]],supplementary_offering_legacyid[[#This Row],[Json]])</f>
        <v>{"300302-49":{"offeringid":"930030249","name":"Sms-TD-Ilimitado_930030249","mode":"N"}}</v>
      </c>
    </row>
    <row r="365" spans="1:7" x14ac:dyDescent="0.25">
      <c r="A365" s="60" t="s">
        <v>3227</v>
      </c>
      <c r="B365" t="str">
        <f>findKey(supplementary_offering_legacyid[[#This Row],[Produccion]])</f>
        <v>300302-50</v>
      </c>
      <c r="C365" s="61" t="s">
        <v>3228</v>
      </c>
      <c r="D365" t="s">
        <v>3229</v>
      </c>
      <c r="E365" t="s">
        <v>2329</v>
      </c>
      <c r="F365" t="str">
        <f>ToJsonArray(supplementary_offering_legacyid[[#Headers],[offeringid]:[mode]],supplementary_offering_legacyid[[#This Row],[offeringid]:[mode]])</f>
        <v>{"offeringid":"930030250","name":"Sms-TD-Ilimitado_930030250","mode":"N"}</v>
      </c>
      <c r="G365" t="str">
        <f>ToJsonArray(supplementary_offering_legacyid[[#This Row],[Semilla04]],supplementary_offering_legacyid[[#This Row],[Json]])</f>
        <v>{"300302-50":{"offeringid":"930030250","name":"Sms-TD-Ilimitado_930030250","mode":"N"}}</v>
      </c>
    </row>
    <row r="366" spans="1:7" x14ac:dyDescent="0.25">
      <c r="A366" s="60" t="s">
        <v>3230</v>
      </c>
      <c r="B366" t="str">
        <f>findKey(supplementary_offering_legacyid[[#This Row],[Produccion]])</f>
        <v>300302-51</v>
      </c>
      <c r="C366" s="61" t="s">
        <v>3231</v>
      </c>
      <c r="D366" t="s">
        <v>3232</v>
      </c>
      <c r="E366" t="s">
        <v>2329</v>
      </c>
      <c r="F366" t="str">
        <f>ToJsonArray(supplementary_offering_legacyid[[#Headers],[offeringid]:[mode]],supplementary_offering_legacyid[[#This Row],[offeringid]:[mode]])</f>
        <v>{"offeringid":"930030251","name":"Sms-TD-Ilimitado_930030251","mode":"N"}</v>
      </c>
      <c r="G366" t="str">
        <f>ToJsonArray(supplementary_offering_legacyid[[#This Row],[Semilla04]],supplementary_offering_legacyid[[#This Row],[Json]])</f>
        <v>{"300302-51":{"offeringid":"930030251","name":"Sms-TD-Ilimitado_930030251","mode":"N"}}</v>
      </c>
    </row>
    <row r="367" spans="1:7" x14ac:dyDescent="0.25">
      <c r="A367" s="60" t="s">
        <v>3233</v>
      </c>
      <c r="B367" t="str">
        <f>findKey(supplementary_offering_legacyid[[#This Row],[Produccion]])</f>
        <v>300302-52</v>
      </c>
      <c r="C367" s="61" t="s">
        <v>3234</v>
      </c>
      <c r="D367" t="s">
        <v>3235</v>
      </c>
      <c r="E367" t="s">
        <v>2329</v>
      </c>
      <c r="F367" t="str">
        <f>ToJsonArray(supplementary_offering_legacyid[[#Headers],[offeringid]:[mode]],supplementary_offering_legacyid[[#This Row],[offeringid]:[mode]])</f>
        <v>{"offeringid":"930030252","name":"Sms-TD-Ilimitado_930030252","mode":"N"}</v>
      </c>
      <c r="G367" t="str">
        <f>ToJsonArray(supplementary_offering_legacyid[[#This Row],[Semilla04]],supplementary_offering_legacyid[[#This Row],[Json]])</f>
        <v>{"300302-52":{"offeringid":"930030252","name":"Sms-TD-Ilimitado_930030252","mode":"N"}}</v>
      </c>
    </row>
    <row r="368" spans="1:7" x14ac:dyDescent="0.25">
      <c r="A368" s="60" t="s">
        <v>3236</v>
      </c>
      <c r="B368" t="str">
        <f>findKey(supplementary_offering_legacyid[[#This Row],[Produccion]])</f>
        <v>300302-53</v>
      </c>
      <c r="C368" s="61" t="s">
        <v>3237</v>
      </c>
      <c r="D368" t="s">
        <v>3238</v>
      </c>
      <c r="E368" t="s">
        <v>2329</v>
      </c>
      <c r="F368" t="str">
        <f>ToJsonArray(supplementary_offering_legacyid[[#Headers],[offeringid]:[mode]],supplementary_offering_legacyid[[#This Row],[offeringid]:[mode]])</f>
        <v>{"offeringid":"930030253","name":"Sms-TD-Ilimitado_930030253","mode":"N"}</v>
      </c>
      <c r="G368" t="str">
        <f>ToJsonArray(supplementary_offering_legacyid[[#This Row],[Semilla04]],supplementary_offering_legacyid[[#This Row],[Json]])</f>
        <v>{"300302-53":{"offeringid":"930030253","name":"Sms-TD-Ilimitado_930030253","mode":"N"}}</v>
      </c>
    </row>
    <row r="369" spans="1:7" x14ac:dyDescent="0.25">
      <c r="A369" s="60" t="s">
        <v>3239</v>
      </c>
      <c r="B369" t="str">
        <f>findKey(supplementary_offering_legacyid[[#This Row],[Produccion]])</f>
        <v>300302-54</v>
      </c>
      <c r="C369" s="61" t="s">
        <v>3240</v>
      </c>
      <c r="D369" t="s">
        <v>3241</v>
      </c>
      <c r="E369" t="s">
        <v>2329</v>
      </c>
      <c r="F369" t="str">
        <f>ToJsonArray(supplementary_offering_legacyid[[#Headers],[offeringid]:[mode]],supplementary_offering_legacyid[[#This Row],[offeringid]:[mode]])</f>
        <v>{"offeringid":"930030254","name":"Sms-TD-Ilimitado_930030254","mode":"N"}</v>
      </c>
      <c r="G369" t="str">
        <f>ToJsonArray(supplementary_offering_legacyid[[#This Row],[Semilla04]],supplementary_offering_legacyid[[#This Row],[Json]])</f>
        <v>{"300302-54":{"offeringid":"930030254","name":"Sms-TD-Ilimitado_930030254","mode":"N"}}</v>
      </c>
    </row>
    <row r="370" spans="1:7" x14ac:dyDescent="0.25">
      <c r="A370" s="60" t="s">
        <v>3242</v>
      </c>
      <c r="B370" t="str">
        <f>findKey(supplementary_offering_legacyid[[#This Row],[Produccion]])</f>
        <v>300302-55</v>
      </c>
      <c r="C370" s="61" t="s">
        <v>3243</v>
      </c>
      <c r="D370" t="s">
        <v>3244</v>
      </c>
      <c r="E370" t="s">
        <v>2329</v>
      </c>
      <c r="F370" t="str">
        <f>ToJsonArray(supplementary_offering_legacyid[[#Headers],[offeringid]:[mode]],supplementary_offering_legacyid[[#This Row],[offeringid]:[mode]])</f>
        <v>{"offeringid":"930030255","name":"Sms-TD-Ilimitado_930030255","mode":"N"}</v>
      </c>
      <c r="G370" t="str">
        <f>ToJsonArray(supplementary_offering_legacyid[[#This Row],[Semilla04]],supplementary_offering_legacyid[[#This Row],[Json]])</f>
        <v>{"300302-55":{"offeringid":"930030255","name":"Sms-TD-Ilimitado_930030255","mode":"N"}}</v>
      </c>
    </row>
    <row r="371" spans="1:7" x14ac:dyDescent="0.25">
      <c r="A371" s="60" t="s">
        <v>3245</v>
      </c>
      <c r="B371" t="str">
        <f>findKey(supplementary_offering_legacyid[[#This Row],[Produccion]])</f>
        <v>300302-56</v>
      </c>
      <c r="C371" s="61" t="s">
        <v>3246</v>
      </c>
      <c r="D371" t="s">
        <v>3247</v>
      </c>
      <c r="E371" t="s">
        <v>2329</v>
      </c>
      <c r="F371" t="str">
        <f>ToJsonArray(supplementary_offering_legacyid[[#Headers],[offeringid]:[mode]],supplementary_offering_legacyid[[#This Row],[offeringid]:[mode]])</f>
        <v>{"offeringid":"930030256","name":"Sms-TD-Ilimitado_930030256","mode":"N"}</v>
      </c>
      <c r="G371" t="str">
        <f>ToJsonArray(supplementary_offering_legacyid[[#This Row],[Semilla04]],supplementary_offering_legacyid[[#This Row],[Json]])</f>
        <v>{"300302-56":{"offeringid":"930030256","name":"Sms-TD-Ilimitado_930030256","mode":"N"}}</v>
      </c>
    </row>
    <row r="372" spans="1:7" x14ac:dyDescent="0.25">
      <c r="A372" s="60" t="s">
        <v>3248</v>
      </c>
      <c r="B372" t="str">
        <f>findKey(supplementary_offering_legacyid[[#This Row],[Produccion]])</f>
        <v>300302-57</v>
      </c>
      <c r="C372" s="61" t="s">
        <v>3249</v>
      </c>
      <c r="D372" t="s">
        <v>3250</v>
      </c>
      <c r="E372" t="s">
        <v>2329</v>
      </c>
      <c r="F372" t="str">
        <f>ToJsonArray(supplementary_offering_legacyid[[#Headers],[offeringid]:[mode]],supplementary_offering_legacyid[[#This Row],[offeringid]:[mode]])</f>
        <v>{"offeringid":"930030257","name":"Sms-TD-Ilimitado_930030257","mode":"N"}</v>
      </c>
      <c r="G372" t="str">
        <f>ToJsonArray(supplementary_offering_legacyid[[#This Row],[Semilla04]],supplementary_offering_legacyid[[#This Row],[Json]])</f>
        <v>{"300302-57":{"offeringid":"930030257","name":"Sms-TD-Ilimitado_930030257","mode":"N"}}</v>
      </c>
    </row>
    <row r="373" spans="1:7" x14ac:dyDescent="0.25">
      <c r="A373" s="60" t="s">
        <v>3251</v>
      </c>
      <c r="B373" t="str">
        <f>findKey(supplementary_offering_legacyid[[#This Row],[Produccion]])</f>
        <v>300302-58</v>
      </c>
      <c r="C373" s="61" t="s">
        <v>3252</v>
      </c>
      <c r="D373" t="s">
        <v>3253</v>
      </c>
      <c r="E373" t="s">
        <v>2329</v>
      </c>
      <c r="F373" t="str">
        <f>ToJsonArray(supplementary_offering_legacyid[[#Headers],[offeringid]:[mode]],supplementary_offering_legacyid[[#This Row],[offeringid]:[mode]])</f>
        <v>{"offeringid":"930030258","name":"Sms-TD-Ilimitado_930030258","mode":"N"}</v>
      </c>
      <c r="G373" t="str">
        <f>ToJsonArray(supplementary_offering_legacyid[[#This Row],[Semilla04]],supplementary_offering_legacyid[[#This Row],[Json]])</f>
        <v>{"300302-58":{"offeringid":"930030258","name":"Sms-TD-Ilimitado_930030258","mode":"N"}}</v>
      </c>
    </row>
    <row r="374" spans="1:7" x14ac:dyDescent="0.25">
      <c r="A374" s="60" t="s">
        <v>3254</v>
      </c>
      <c r="B374" t="str">
        <f>findKey(supplementary_offering_legacyid[[#This Row],[Produccion]])</f>
        <v>300302-59</v>
      </c>
      <c r="C374" s="61" t="s">
        <v>3255</v>
      </c>
      <c r="D374" t="s">
        <v>3256</v>
      </c>
      <c r="E374" t="s">
        <v>2329</v>
      </c>
      <c r="F374" t="str">
        <f>ToJsonArray(supplementary_offering_legacyid[[#Headers],[offeringid]:[mode]],supplementary_offering_legacyid[[#This Row],[offeringid]:[mode]])</f>
        <v>{"offeringid":"930030259","name":"Sms-TD-200_930030259","mode":"N"}</v>
      </c>
      <c r="G374" t="str">
        <f>ToJsonArray(supplementary_offering_legacyid[[#This Row],[Semilla04]],supplementary_offering_legacyid[[#This Row],[Json]])</f>
        <v>{"300302-59":{"offeringid":"930030259","name":"Sms-TD-200_930030259","mode":"N"}}</v>
      </c>
    </row>
    <row r="375" spans="1:7" x14ac:dyDescent="0.25">
      <c r="A375" s="60" t="s">
        <v>3257</v>
      </c>
      <c r="B375" t="str">
        <f>findKey(supplementary_offering_legacyid[[#This Row],[Produccion]])</f>
        <v>500000-23</v>
      </c>
      <c r="C375" s="61" t="s">
        <v>3258</v>
      </c>
      <c r="D375" t="s">
        <v>3259</v>
      </c>
      <c r="E375" t="s">
        <v>2329</v>
      </c>
      <c r="F375" t="str">
        <f>ToJsonArray(supplementary_offering_legacyid[[#Headers],[offeringid]:[mode]],supplementary_offering_legacyid[[#This Row],[offeringid]:[mode]])</f>
        <v>{"offeringid":"950000023","name":"Favorito 3b_950000023","mode":"N"}</v>
      </c>
      <c r="G375" t="str">
        <f>ToJsonArray(supplementary_offering_legacyid[[#This Row],[Semilla04]],supplementary_offering_legacyid[[#This Row],[Json]])</f>
        <v>{"500000-23":{"offeringid":"950000023","name":"Favorito 3b_950000023","mode":"N"}}</v>
      </c>
    </row>
    <row r="376" spans="1:7" x14ac:dyDescent="0.25">
      <c r="A376" s="60" t="s">
        <v>3260</v>
      </c>
      <c r="B376" t="str">
        <f>findKey(supplementary_offering_legacyid[[#This Row],[Produccion]])</f>
        <v>500000-33</v>
      </c>
      <c r="C376" s="61" t="s">
        <v>3261</v>
      </c>
      <c r="D376" t="s">
        <v>3262</v>
      </c>
      <c r="E376" t="s">
        <v>2329</v>
      </c>
      <c r="F376" t="str">
        <f>ToJsonArray(supplementary_offering_legacyid[[#Headers],[offeringid]:[mode]],supplementary_offering_legacyid[[#This Row],[offeringid]:[mode]])</f>
        <v>{"offeringid":"950000033","name":"Favorito 33_950000033","mode":"N"}</v>
      </c>
      <c r="G376" t="str">
        <f>ToJsonArray(supplementary_offering_legacyid[[#This Row],[Semilla04]],supplementary_offering_legacyid[[#This Row],[Json]])</f>
        <v>{"500000-33":{"offeringid":"950000033","name":"Favorito 33_950000033","mode":"N"}}</v>
      </c>
    </row>
    <row r="377" spans="1:7" x14ac:dyDescent="0.25">
      <c r="A377" s="60" t="s">
        <v>3263</v>
      </c>
      <c r="B377" t="str">
        <f>findKey(supplementary_offering_legacyid[[#This Row],[Produccion]])</f>
        <v>500000-34</v>
      </c>
      <c r="C377" s="61" t="s">
        <v>3264</v>
      </c>
      <c r="D377" t="s">
        <v>3265</v>
      </c>
      <c r="E377" t="s">
        <v>2329</v>
      </c>
      <c r="F377" t="str">
        <f>ToJsonArray(supplementary_offering_legacyid[[#Headers],[offeringid]:[mode]],supplementary_offering_legacyid[[#This Row],[offeringid]:[mode]])</f>
        <v>{"offeringid":"950000034","name":"Favorito 34_950000034","mode":"N"}</v>
      </c>
      <c r="G377" t="str">
        <f>ToJsonArray(supplementary_offering_legacyid[[#This Row],[Semilla04]],supplementary_offering_legacyid[[#This Row],[Json]])</f>
        <v>{"500000-34":{"offeringid":"950000034","name":"Favorito 34_950000034","mode":"N"}}</v>
      </c>
    </row>
    <row r="378" spans="1:7" x14ac:dyDescent="0.25">
      <c r="A378" s="60" t="s">
        <v>3266</v>
      </c>
      <c r="B378" t="str">
        <f>findKey(supplementary_offering_legacyid[[#This Row],[Produccion]])</f>
        <v>500000-36</v>
      </c>
      <c r="C378" s="61" t="s">
        <v>3267</v>
      </c>
      <c r="D378" t="s">
        <v>3268</v>
      </c>
      <c r="E378" t="s">
        <v>2329</v>
      </c>
      <c r="F378" t="str">
        <f>ToJsonArray(supplementary_offering_legacyid[[#Headers],[offeringid]:[mode]],supplementary_offering_legacyid[[#This Row],[offeringid]:[mode]])</f>
        <v>{"offeringid":"950000036","name":"Favorito 36_950000036","mode":"N"}</v>
      </c>
      <c r="G378" t="str">
        <f>ToJsonArray(supplementary_offering_legacyid[[#This Row],[Semilla04]],supplementary_offering_legacyid[[#This Row],[Json]])</f>
        <v>{"500000-36":{"offeringid":"950000036","name":"Favorito 36_950000036","mode":"N"}}</v>
      </c>
    </row>
    <row r="379" spans="1:7" x14ac:dyDescent="0.25">
      <c r="A379" s="60" t="s">
        <v>3269</v>
      </c>
      <c r="B379" t="str">
        <f>findKey(supplementary_offering_legacyid[[#This Row],[Produccion]])</f>
        <v>500000-57</v>
      </c>
      <c r="C379" s="61" t="s">
        <v>3270</v>
      </c>
      <c r="D379" t="s">
        <v>3271</v>
      </c>
      <c r="E379" t="s">
        <v>2329</v>
      </c>
      <c r="F379" t="str">
        <f>ToJsonArray(supplementary_offering_legacyid[[#Headers],[offeringid]:[mode]],supplementary_offering_legacyid[[#This Row],[offeringid]:[mode]])</f>
        <v>{"offeringid":"950000057","name":"Favorito 57_950000057","mode":"N"}</v>
      </c>
      <c r="G379" t="str">
        <f>ToJsonArray(supplementary_offering_legacyid[[#This Row],[Semilla04]],supplementary_offering_legacyid[[#This Row],[Json]])</f>
        <v>{"500000-57":{"offeringid":"950000057","name":"Favorito 57_950000057","mode":"N"}}</v>
      </c>
    </row>
    <row r="380" spans="1:7" x14ac:dyDescent="0.25">
      <c r="A380" s="60" t="s">
        <v>3272</v>
      </c>
      <c r="B380" t="str">
        <f>findKey(supplementary_offering_legacyid[[#This Row],[Produccion]])</f>
        <v>500000-58</v>
      </c>
      <c r="C380" s="61" t="s">
        <v>3273</v>
      </c>
      <c r="D380" t="s">
        <v>3274</v>
      </c>
      <c r="E380" t="s">
        <v>2329</v>
      </c>
      <c r="F380" t="str">
        <f>ToJsonArray(supplementary_offering_legacyid[[#Headers],[offeringid]:[mode]],supplementary_offering_legacyid[[#This Row],[offeringid]:[mode]])</f>
        <v>{"offeringid":"950000058","name":"Favorito 58_950000058","mode":"N"}</v>
      </c>
      <c r="G380" t="str">
        <f>ToJsonArray(supplementary_offering_legacyid[[#This Row],[Semilla04]],supplementary_offering_legacyid[[#This Row],[Json]])</f>
        <v>{"500000-58":{"offeringid":"950000058","name":"Favorito 58_950000058","mode":"N"}}</v>
      </c>
    </row>
    <row r="381" spans="1:7" x14ac:dyDescent="0.25">
      <c r="A381" s="60" t="s">
        <v>3275</v>
      </c>
      <c r="B381" t="str">
        <f>findKey(supplementary_offering_legacyid[[#This Row],[Produccion]])</f>
        <v>500000-59</v>
      </c>
      <c r="C381" s="61" t="s">
        <v>3276</v>
      </c>
      <c r="D381" t="s">
        <v>3277</v>
      </c>
      <c r="E381" t="s">
        <v>2329</v>
      </c>
      <c r="F381" t="str">
        <f>ToJsonArray(supplementary_offering_legacyid[[#Headers],[offeringid]:[mode]],supplementary_offering_legacyid[[#This Row],[offeringid]:[mode]])</f>
        <v>{"offeringid":"950000059","name":"Favorito 59_950000059","mode":"N"}</v>
      </c>
      <c r="G381" t="str">
        <f>ToJsonArray(supplementary_offering_legacyid[[#This Row],[Semilla04]],supplementary_offering_legacyid[[#This Row],[Json]])</f>
        <v>{"500000-59":{"offeringid":"950000059","name":"Favorito 59_950000059","mode":"N"}}</v>
      </c>
    </row>
    <row r="382" spans="1:7" x14ac:dyDescent="0.25">
      <c r="A382" s="60" t="s">
        <v>3278</v>
      </c>
      <c r="B382" t="str">
        <f>findKey(supplementary_offering_legacyid[[#This Row],[Produccion]])</f>
        <v>500000-60</v>
      </c>
      <c r="C382" s="61" t="s">
        <v>3279</v>
      </c>
      <c r="D382" t="s">
        <v>3280</v>
      </c>
      <c r="E382" t="s">
        <v>2329</v>
      </c>
      <c r="F382" t="str">
        <f>ToJsonArray(supplementary_offering_legacyid[[#Headers],[offeringid]:[mode]],supplementary_offering_legacyid[[#This Row],[offeringid]:[mode]])</f>
        <v>{"offeringid":"950000060","name":"Favorito 60_950000060","mode":"N"}</v>
      </c>
      <c r="G382" t="str">
        <f>ToJsonArray(supplementary_offering_legacyid[[#This Row],[Semilla04]],supplementary_offering_legacyid[[#This Row],[Json]])</f>
        <v>{"500000-60":{"offeringid":"950000060","name":"Favorito 60_950000060","mode":"N"}}</v>
      </c>
    </row>
    <row r="383" spans="1:7" x14ac:dyDescent="0.25">
      <c r="A383" s="60" t="s">
        <v>3281</v>
      </c>
      <c r="B383" t="str">
        <f>findKey(supplementary_offering_legacyid[[#This Row],[Produccion]])</f>
        <v>500000-61</v>
      </c>
      <c r="C383" s="61" t="s">
        <v>3282</v>
      </c>
      <c r="D383" t="s">
        <v>3283</v>
      </c>
      <c r="E383" t="s">
        <v>2329</v>
      </c>
      <c r="F383" t="str">
        <f>ToJsonArray(supplementary_offering_legacyid[[#Headers],[offeringid]:[mode]],supplementary_offering_legacyid[[#This Row],[offeringid]:[mode]])</f>
        <v>{"offeringid":"950000061","name":"Favorito 61_950000061","mode":"N"}</v>
      </c>
      <c r="G383" t="str">
        <f>ToJsonArray(supplementary_offering_legacyid[[#This Row],[Semilla04]],supplementary_offering_legacyid[[#This Row],[Json]])</f>
        <v>{"500000-61":{"offeringid":"950000061","name":"Favorito 61_950000061","mode":"N"}}</v>
      </c>
    </row>
    <row r="384" spans="1:7" x14ac:dyDescent="0.25">
      <c r="A384" s="60" t="s">
        <v>3284</v>
      </c>
      <c r="B384" t="str">
        <f>findKey(supplementary_offering_legacyid[[#This Row],[Produccion]])</f>
        <v>500000-62</v>
      </c>
      <c r="C384" s="61" t="s">
        <v>3285</v>
      </c>
      <c r="D384" t="s">
        <v>3286</v>
      </c>
      <c r="E384" t="s">
        <v>2329</v>
      </c>
      <c r="F384" t="str">
        <f>ToJsonArray(supplementary_offering_legacyid[[#Headers],[offeringid]:[mode]],supplementary_offering_legacyid[[#This Row],[offeringid]:[mode]])</f>
        <v>{"offeringid":"950000062","name":"Favorito 62_950000062","mode":"N"}</v>
      </c>
      <c r="G384" t="str">
        <f>ToJsonArray(supplementary_offering_legacyid[[#This Row],[Semilla04]],supplementary_offering_legacyid[[#This Row],[Json]])</f>
        <v>{"500000-62":{"offeringid":"950000062","name":"Favorito 62_950000062","mode":"N"}}</v>
      </c>
    </row>
    <row r="385" spans="1:7" x14ac:dyDescent="0.25">
      <c r="A385" s="60" t="s">
        <v>3287</v>
      </c>
      <c r="B385" t="str">
        <f>findKey(supplementary_offering_legacyid[[#This Row],[Produccion]])</f>
        <v>500000-63</v>
      </c>
      <c r="C385" s="61" t="s">
        <v>3288</v>
      </c>
      <c r="D385" t="s">
        <v>3289</v>
      </c>
      <c r="E385" t="s">
        <v>2329</v>
      </c>
      <c r="F385" t="str">
        <f>ToJsonArray(supplementary_offering_legacyid[[#Headers],[offeringid]:[mode]],supplementary_offering_legacyid[[#This Row],[offeringid]:[mode]])</f>
        <v>{"offeringid":"950000063","name":"Favorito 63_950000063","mode":"N"}</v>
      </c>
      <c r="G385" t="str">
        <f>ToJsonArray(supplementary_offering_legacyid[[#This Row],[Semilla04]],supplementary_offering_legacyid[[#This Row],[Json]])</f>
        <v>{"500000-63":{"offeringid":"950000063","name":"Favorito 63_950000063","mode":"N"}}</v>
      </c>
    </row>
    <row r="386" spans="1:7" x14ac:dyDescent="0.25">
      <c r="A386" s="60" t="s">
        <v>3290</v>
      </c>
      <c r="B386" t="str">
        <f>findKey(supplementary_offering_legacyid[[#This Row],[Produccion]])</f>
        <v>500000-64</v>
      </c>
      <c r="C386" s="61" t="s">
        <v>3291</v>
      </c>
      <c r="D386" t="s">
        <v>3292</v>
      </c>
      <c r="E386" t="s">
        <v>2329</v>
      </c>
      <c r="F386" t="str">
        <f>ToJsonArray(supplementary_offering_legacyid[[#Headers],[offeringid]:[mode]],supplementary_offering_legacyid[[#This Row],[offeringid]:[mode]])</f>
        <v>{"offeringid":"950000064","name":"Favorito 64_950000064","mode":"N"}</v>
      </c>
      <c r="G386" t="str">
        <f>ToJsonArray(supplementary_offering_legacyid[[#This Row],[Semilla04]],supplementary_offering_legacyid[[#This Row],[Json]])</f>
        <v>{"500000-64":{"offeringid":"950000064","name":"Favorito 64_950000064","mode":"N"}}</v>
      </c>
    </row>
    <row r="387" spans="1:7" x14ac:dyDescent="0.25">
      <c r="A387" s="60" t="s">
        <v>3293</v>
      </c>
      <c r="B387" t="str">
        <f>findKey(supplementary_offering_legacyid[[#This Row],[Produccion]])</f>
        <v>500000-65</v>
      </c>
      <c r="C387" s="61" t="s">
        <v>3294</v>
      </c>
      <c r="D387" t="s">
        <v>3295</v>
      </c>
      <c r="E387" t="s">
        <v>2329</v>
      </c>
      <c r="F387" t="str">
        <f>ToJsonArray(supplementary_offering_legacyid[[#Headers],[offeringid]:[mode]],supplementary_offering_legacyid[[#This Row],[offeringid]:[mode]])</f>
        <v>{"offeringid":"950000065","name":"Favorito 65_950000065","mode":"N"}</v>
      </c>
      <c r="G387" t="str">
        <f>ToJsonArray(supplementary_offering_legacyid[[#This Row],[Semilla04]],supplementary_offering_legacyid[[#This Row],[Json]])</f>
        <v>{"500000-65":{"offeringid":"950000065","name":"Favorito 65_950000065","mode":"N"}}</v>
      </c>
    </row>
    <row r="388" spans="1:7" x14ac:dyDescent="0.25">
      <c r="A388" s="60" t="s">
        <v>3296</v>
      </c>
      <c r="B388" t="str">
        <f>findKey(supplementary_offering_legacyid[[#This Row],[Produccion]])</f>
        <v>500000-67</v>
      </c>
      <c r="C388" s="61" t="s">
        <v>3297</v>
      </c>
      <c r="D388" t="s">
        <v>3298</v>
      </c>
      <c r="E388" t="s">
        <v>2329</v>
      </c>
      <c r="F388" t="str">
        <f>ToJsonArray(supplementary_offering_legacyid[[#Headers],[offeringid]:[mode]],supplementary_offering_legacyid[[#This Row],[offeringid]:[mode]])</f>
        <v>{"offeringid":"950000067","name":"Favorito 67_950000067","mode":"N"}</v>
      </c>
      <c r="G388" t="str">
        <f>ToJsonArray(supplementary_offering_legacyid[[#This Row],[Semilla04]],supplementary_offering_legacyid[[#This Row],[Json]])</f>
        <v>{"500000-67":{"offeringid":"950000067","name":"Favorito 67_950000067","mode":"N"}}</v>
      </c>
    </row>
    <row r="389" spans="1:7" x14ac:dyDescent="0.25">
      <c r="A389" s="60" t="s">
        <v>3299</v>
      </c>
      <c r="B389" t="str">
        <f>findKey(supplementary_offering_legacyid[[#This Row],[Produccion]])</f>
        <v>500000-68</v>
      </c>
      <c r="C389" s="61" t="s">
        <v>3300</v>
      </c>
      <c r="D389" t="s">
        <v>3301</v>
      </c>
      <c r="E389" t="s">
        <v>2329</v>
      </c>
      <c r="F389" t="str">
        <f>ToJsonArray(supplementary_offering_legacyid[[#Headers],[offeringid]:[mode]],supplementary_offering_legacyid[[#This Row],[offeringid]:[mode]])</f>
        <v>{"offeringid":"950000068","name":"Favorito 68_950000068","mode":"N"}</v>
      </c>
      <c r="G389" t="str">
        <f>ToJsonArray(supplementary_offering_legacyid[[#This Row],[Semilla04]],supplementary_offering_legacyid[[#This Row],[Json]])</f>
        <v>{"500000-68":{"offeringid":"950000068","name":"Favorito 68_950000068","mode":"N"}}</v>
      </c>
    </row>
    <row r="390" spans="1:7" x14ac:dyDescent="0.25">
      <c r="A390" s="60" t="s">
        <v>3302</v>
      </c>
      <c r="B390" t="str">
        <f>findKey(supplementary_offering_legacyid[[#This Row],[Produccion]])</f>
        <v>500000-69</v>
      </c>
      <c r="C390" s="61" t="s">
        <v>3303</v>
      </c>
      <c r="D390" t="s">
        <v>3304</v>
      </c>
      <c r="E390" t="s">
        <v>2329</v>
      </c>
      <c r="F390" t="str">
        <f>ToJsonArray(supplementary_offering_legacyid[[#Headers],[offeringid]:[mode]],supplementary_offering_legacyid[[#This Row],[offeringid]:[mode]])</f>
        <v>{"offeringid":"950000069","name":"Favorito 69_950000069","mode":"N"}</v>
      </c>
      <c r="G390" t="str">
        <f>ToJsonArray(supplementary_offering_legacyid[[#This Row],[Semilla04]],supplementary_offering_legacyid[[#This Row],[Json]])</f>
        <v>{"500000-69":{"offeringid":"950000069","name":"Favorito 69_950000069","mode":"N"}}</v>
      </c>
    </row>
    <row r="391" spans="1:7" x14ac:dyDescent="0.25">
      <c r="A391" s="60" t="s">
        <v>3305</v>
      </c>
      <c r="B391" t="str">
        <f>findKey(supplementary_offering_legacyid[[#This Row],[Produccion]])</f>
        <v>500000-70</v>
      </c>
      <c r="C391" s="61" t="s">
        <v>3306</v>
      </c>
      <c r="D391" t="s">
        <v>3307</v>
      </c>
      <c r="E391" t="s">
        <v>2329</v>
      </c>
      <c r="F391" t="str">
        <f>ToJsonArray(supplementary_offering_legacyid[[#Headers],[offeringid]:[mode]],supplementary_offering_legacyid[[#This Row],[offeringid]:[mode]])</f>
        <v>{"offeringid":"950000070","name":"Favorito 70_950000070","mode":"N"}</v>
      </c>
      <c r="G391" t="str">
        <f>ToJsonArray(supplementary_offering_legacyid[[#This Row],[Semilla04]],supplementary_offering_legacyid[[#This Row],[Json]])</f>
        <v>{"500000-70":{"offeringid":"950000070","name":"Favorito 70_950000070","mode":"N"}}</v>
      </c>
    </row>
    <row r="392" spans="1:7" x14ac:dyDescent="0.25">
      <c r="A392" s="60" t="s">
        <v>3308</v>
      </c>
      <c r="B392" t="str">
        <f>findKey(supplementary_offering_legacyid[[#This Row],[Produccion]])</f>
        <v>500000-71</v>
      </c>
      <c r="C392" s="61" t="s">
        <v>3309</v>
      </c>
      <c r="D392" t="s">
        <v>3310</v>
      </c>
      <c r="E392" t="s">
        <v>2329</v>
      </c>
      <c r="F392" t="str">
        <f>ToJsonArray(supplementary_offering_legacyid[[#Headers],[offeringid]:[mode]],supplementary_offering_legacyid[[#This Row],[offeringid]:[mode]])</f>
        <v>{"offeringid":"950000071","name":"Favorito 71_950000071","mode":"N"}</v>
      </c>
      <c r="G392" t="str">
        <f>ToJsonArray(supplementary_offering_legacyid[[#This Row],[Semilla04]],supplementary_offering_legacyid[[#This Row],[Json]])</f>
        <v>{"500000-71":{"offeringid":"950000071","name":"Favorito 71_950000071","mode":"N"}}</v>
      </c>
    </row>
    <row r="393" spans="1:7" x14ac:dyDescent="0.25">
      <c r="A393" s="60" t="s">
        <v>3311</v>
      </c>
      <c r="B393" t="str">
        <f>findKey(supplementary_offering_legacyid[[#This Row],[Produccion]])</f>
        <v>500000-72</v>
      </c>
      <c r="C393" s="61" t="s">
        <v>3312</v>
      </c>
      <c r="D393" t="s">
        <v>3313</v>
      </c>
      <c r="E393" t="s">
        <v>2329</v>
      </c>
      <c r="F393" t="str">
        <f>ToJsonArray(supplementary_offering_legacyid[[#Headers],[offeringid]:[mode]],supplementary_offering_legacyid[[#This Row],[offeringid]:[mode]])</f>
        <v>{"offeringid":"950000072","name":"Favorito 72_950000072","mode":"N"}</v>
      </c>
      <c r="G393" t="str">
        <f>ToJsonArray(supplementary_offering_legacyid[[#This Row],[Semilla04]],supplementary_offering_legacyid[[#This Row],[Json]])</f>
        <v>{"500000-72":{"offeringid":"950000072","name":"Favorito 72_950000072","mode":"N"}}</v>
      </c>
    </row>
    <row r="394" spans="1:7" x14ac:dyDescent="0.25">
      <c r="A394" s="60" t="s">
        <v>3314</v>
      </c>
      <c r="B394" t="str">
        <f>findKey(supplementary_offering_legacyid[[#This Row],[Produccion]])</f>
        <v>500000-73</v>
      </c>
      <c r="C394" s="61" t="s">
        <v>3315</v>
      </c>
      <c r="D394" t="s">
        <v>3316</v>
      </c>
      <c r="E394" t="s">
        <v>2329</v>
      </c>
      <c r="F394" t="str">
        <f>ToJsonArray(supplementary_offering_legacyid[[#Headers],[offeringid]:[mode]],supplementary_offering_legacyid[[#This Row],[offeringid]:[mode]])</f>
        <v>{"offeringid":"950000073","name":"Favorito 73_950000073","mode":"N"}</v>
      </c>
      <c r="G394" t="str">
        <f>ToJsonArray(supplementary_offering_legacyid[[#This Row],[Semilla04]],supplementary_offering_legacyid[[#This Row],[Json]])</f>
        <v>{"500000-73":{"offeringid":"950000073","name":"Favorito 73_950000073","mode":"N"}}</v>
      </c>
    </row>
    <row r="395" spans="1:7" x14ac:dyDescent="0.25">
      <c r="A395" s="60" t="s">
        <v>3317</v>
      </c>
      <c r="B395" t="str">
        <f>findKey(supplementary_offering_legacyid[[#This Row],[Produccion]])</f>
        <v>500000-75</v>
      </c>
      <c r="C395" s="61" t="s">
        <v>3318</v>
      </c>
      <c r="D395" t="s">
        <v>3319</v>
      </c>
      <c r="E395" t="s">
        <v>2329</v>
      </c>
      <c r="F395" t="str">
        <f>ToJsonArray(supplementary_offering_legacyid[[#Headers],[offeringid]:[mode]],supplementary_offering_legacyid[[#This Row],[offeringid]:[mode]])</f>
        <v>{"offeringid":"950000075","name":"Favorito 75_950000075","mode":"N"}</v>
      </c>
      <c r="G395" t="str">
        <f>ToJsonArray(supplementary_offering_legacyid[[#This Row],[Semilla04]],supplementary_offering_legacyid[[#This Row],[Json]])</f>
        <v>{"500000-75":{"offeringid":"950000075","name":"Favorito 75_950000075","mode":"N"}}</v>
      </c>
    </row>
    <row r="396" spans="1:7" x14ac:dyDescent="0.25">
      <c r="A396" s="60" t="s">
        <v>3320</v>
      </c>
      <c r="B396" t="str">
        <f>findKey(supplementary_offering_legacyid[[#This Row],[Produccion]])</f>
        <v>500000-77</v>
      </c>
      <c r="C396" s="61" t="s">
        <v>3321</v>
      </c>
      <c r="D396" t="s">
        <v>3322</v>
      </c>
      <c r="E396" t="s">
        <v>2329</v>
      </c>
      <c r="F396" t="str">
        <f>ToJsonArray(supplementary_offering_legacyid[[#Headers],[offeringid]:[mode]],supplementary_offering_legacyid[[#This Row],[offeringid]:[mode]])</f>
        <v>{"offeringid":"950000077","name":"Favorito 77_950000077","mode":"N"}</v>
      </c>
      <c r="G396" t="str">
        <f>ToJsonArray(supplementary_offering_legacyid[[#This Row],[Semilla04]],supplementary_offering_legacyid[[#This Row],[Json]])</f>
        <v>{"500000-77":{"offeringid":"950000077","name":"Favorito 77_950000077","mode":"N"}}</v>
      </c>
    </row>
    <row r="397" spans="1:7" x14ac:dyDescent="0.25">
      <c r="A397" s="60" t="s">
        <v>3323</v>
      </c>
      <c r="B397" t="str">
        <f>findKey(supplementary_offering_legacyid[[#This Row],[Produccion]])</f>
        <v>500000-81</v>
      </c>
      <c r="C397" s="61" t="s">
        <v>3324</v>
      </c>
      <c r="D397" t="s">
        <v>3325</v>
      </c>
      <c r="E397" t="s">
        <v>2329</v>
      </c>
      <c r="F397" t="str">
        <f>ToJsonArray(supplementary_offering_legacyid[[#Headers],[offeringid]:[mode]],supplementary_offering_legacyid[[#This Row],[offeringid]:[mode]])</f>
        <v>{"offeringid":"950000081","name":"Favorito 81_950000081","mode":"N"}</v>
      </c>
      <c r="G397" t="str">
        <f>ToJsonArray(supplementary_offering_legacyid[[#This Row],[Semilla04]],supplementary_offering_legacyid[[#This Row],[Json]])</f>
        <v>{"500000-81":{"offeringid":"950000081","name":"Favorito 81_950000081","mode":"N"}}</v>
      </c>
    </row>
    <row r="398" spans="1:7" x14ac:dyDescent="0.25">
      <c r="A398" s="60" t="s">
        <v>3326</v>
      </c>
      <c r="B398" t="str">
        <f>findKey(supplementary_offering_legacyid[[#This Row],[Produccion]])</f>
        <v>500000-82</v>
      </c>
      <c r="C398" s="61" t="s">
        <v>3327</v>
      </c>
      <c r="D398" t="s">
        <v>3328</v>
      </c>
      <c r="E398" t="s">
        <v>2329</v>
      </c>
      <c r="F398" t="str">
        <f>ToJsonArray(supplementary_offering_legacyid[[#Headers],[offeringid]:[mode]],supplementary_offering_legacyid[[#This Row],[offeringid]:[mode]])</f>
        <v>{"offeringid":"950000082","name":"Favorito 82_950000082","mode":"N"}</v>
      </c>
      <c r="G398" t="str">
        <f>ToJsonArray(supplementary_offering_legacyid[[#This Row],[Semilla04]],supplementary_offering_legacyid[[#This Row],[Json]])</f>
        <v>{"500000-82":{"offeringid":"950000082","name":"Favorito 82_950000082","mode":"N"}}</v>
      </c>
    </row>
    <row r="399" spans="1:7" x14ac:dyDescent="0.25">
      <c r="A399" s="60" t="s">
        <v>3329</v>
      </c>
      <c r="B399" t="str">
        <f>findKey(supplementary_offering_legacyid[[#This Row],[Produccion]])</f>
        <v>500000-85</v>
      </c>
      <c r="C399" s="61" t="s">
        <v>3330</v>
      </c>
      <c r="D399" t="s">
        <v>3331</v>
      </c>
      <c r="E399" t="s">
        <v>2329</v>
      </c>
      <c r="F399" t="str">
        <f>ToJsonArray(supplementary_offering_legacyid[[#Headers],[offeringid]:[mode]],supplementary_offering_legacyid[[#This Row],[offeringid]:[mode]])</f>
        <v>{"offeringid":"950000085","name":"Favorito 85_950000085","mode":"N"}</v>
      </c>
      <c r="G399" t="str">
        <f>ToJsonArray(supplementary_offering_legacyid[[#This Row],[Semilla04]],supplementary_offering_legacyid[[#This Row],[Json]])</f>
        <v>{"500000-85":{"offeringid":"950000085","name":"Favorito 85_950000085","mode":"N"}}</v>
      </c>
    </row>
    <row r="400" spans="1:7" x14ac:dyDescent="0.25">
      <c r="A400" s="60" t="s">
        <v>3332</v>
      </c>
      <c r="B400" t="str">
        <f>findKey(supplementary_offering_legacyid[[#This Row],[Produccion]])</f>
        <v>500000-86</v>
      </c>
      <c r="C400" s="61" t="s">
        <v>3333</v>
      </c>
      <c r="D400" t="s">
        <v>3334</v>
      </c>
      <c r="E400" t="s">
        <v>2329</v>
      </c>
      <c r="F400" t="str">
        <f>ToJsonArray(supplementary_offering_legacyid[[#Headers],[offeringid]:[mode]],supplementary_offering_legacyid[[#This Row],[offeringid]:[mode]])</f>
        <v>{"offeringid":"950000086","name":"Favorito 86_950000086","mode":"N"}</v>
      </c>
      <c r="G400" t="str">
        <f>ToJsonArray(supplementary_offering_legacyid[[#This Row],[Semilla04]],supplementary_offering_legacyid[[#This Row],[Json]])</f>
        <v>{"500000-86":{"offeringid":"950000086","name":"Favorito 86_950000086","mode":"N"}}</v>
      </c>
    </row>
    <row r="401" spans="1:7" x14ac:dyDescent="0.25">
      <c r="A401" s="60" t="s">
        <v>3335</v>
      </c>
      <c r="B401" t="str">
        <f>findKey(supplementary_offering_legacyid[[#This Row],[Produccion]])</f>
        <v>500000-87</v>
      </c>
      <c r="C401" s="61" t="s">
        <v>3336</v>
      </c>
      <c r="D401" t="s">
        <v>3337</v>
      </c>
      <c r="E401" t="s">
        <v>2329</v>
      </c>
      <c r="F401" t="str">
        <f>ToJsonArray(supplementary_offering_legacyid[[#Headers],[offeringid]:[mode]],supplementary_offering_legacyid[[#This Row],[offeringid]:[mode]])</f>
        <v>{"offeringid":"950000087","name":"Favorito 87_950000087","mode":"N"}</v>
      </c>
      <c r="G401" t="str">
        <f>ToJsonArray(supplementary_offering_legacyid[[#This Row],[Semilla04]],supplementary_offering_legacyid[[#This Row],[Json]])</f>
        <v>{"500000-87":{"offeringid":"950000087","name":"Favorito 87_950000087","mode":"N"}}</v>
      </c>
    </row>
    <row r="402" spans="1:7" x14ac:dyDescent="0.25">
      <c r="A402" s="60" t="s">
        <v>3338</v>
      </c>
      <c r="B402" t="str">
        <f>findKey(supplementary_offering_legacyid[[#This Row],[Produccion]])</f>
        <v>500000-89</v>
      </c>
      <c r="C402" s="61" t="s">
        <v>3339</v>
      </c>
      <c r="D402" t="s">
        <v>3340</v>
      </c>
      <c r="E402" t="s">
        <v>2329</v>
      </c>
      <c r="F402" t="str">
        <f>ToJsonArray(supplementary_offering_legacyid[[#Headers],[offeringid]:[mode]],supplementary_offering_legacyid[[#This Row],[offeringid]:[mode]])</f>
        <v>{"offeringid":"950000089","name":"Favorito 89_950000089","mode":"N"}</v>
      </c>
      <c r="G402" t="str">
        <f>ToJsonArray(supplementary_offering_legacyid[[#This Row],[Semilla04]],supplementary_offering_legacyid[[#This Row],[Json]])</f>
        <v>{"500000-89":{"offeringid":"950000089","name":"Favorito 89_950000089","mode":"N"}}</v>
      </c>
    </row>
    <row r="403" spans="1:7" x14ac:dyDescent="0.25">
      <c r="A403" s="60" t="s">
        <v>3341</v>
      </c>
      <c r="B403" t="str">
        <f>findKey(supplementary_offering_legacyid[[#This Row],[Produccion]])</f>
        <v>500000-90</v>
      </c>
      <c r="C403" s="61" t="s">
        <v>3342</v>
      </c>
      <c r="D403" t="s">
        <v>3343</v>
      </c>
      <c r="E403" t="s">
        <v>2329</v>
      </c>
      <c r="F403" t="str">
        <f>ToJsonArray(supplementary_offering_legacyid[[#Headers],[offeringid]:[mode]],supplementary_offering_legacyid[[#This Row],[offeringid]:[mode]])</f>
        <v>{"offeringid":"950000090","name":"Favorito 90_950000090","mode":"N"}</v>
      </c>
      <c r="G403" t="str">
        <f>ToJsonArray(supplementary_offering_legacyid[[#This Row],[Semilla04]],supplementary_offering_legacyid[[#This Row],[Json]])</f>
        <v>{"500000-90":{"offeringid":"950000090","name":"Favorito 90_950000090","mode":"N"}}</v>
      </c>
    </row>
    <row r="404" spans="1:7" x14ac:dyDescent="0.25">
      <c r="A404" s="60" t="s">
        <v>3344</v>
      </c>
      <c r="B404" t="str">
        <f>findKey(supplementary_offering_legacyid[[#This Row],[Produccion]])</f>
        <v>500000-91</v>
      </c>
      <c r="C404" s="61" t="s">
        <v>3345</v>
      </c>
      <c r="D404" t="s">
        <v>3346</v>
      </c>
      <c r="E404" t="s">
        <v>2329</v>
      </c>
      <c r="F404" t="str">
        <f>ToJsonArray(supplementary_offering_legacyid[[#Headers],[offeringid]:[mode]],supplementary_offering_legacyid[[#This Row],[offeringid]:[mode]])</f>
        <v>{"offeringid":"950000091","name":"Favorito 91_950000091","mode":"N"}</v>
      </c>
      <c r="G404" t="str">
        <f>ToJsonArray(supplementary_offering_legacyid[[#This Row],[Semilla04]],supplementary_offering_legacyid[[#This Row],[Json]])</f>
        <v>{"500000-91":{"offeringid":"950000091","name":"Favorito 91_950000091","mode":"N"}}</v>
      </c>
    </row>
    <row r="405" spans="1:7" x14ac:dyDescent="0.25">
      <c r="A405" s="60" t="s">
        <v>3347</v>
      </c>
      <c r="B405" t="str">
        <f>findKey(supplementary_offering_legacyid[[#This Row],[Produccion]])</f>
        <v>500000-92</v>
      </c>
      <c r="C405" s="61" t="s">
        <v>3348</v>
      </c>
      <c r="D405" t="s">
        <v>3349</v>
      </c>
      <c r="E405" t="s">
        <v>2329</v>
      </c>
      <c r="F405" t="str">
        <f>ToJsonArray(supplementary_offering_legacyid[[#Headers],[offeringid]:[mode]],supplementary_offering_legacyid[[#This Row],[offeringid]:[mode]])</f>
        <v>{"offeringid":"950000092","name":"Favorito 92_950000092","mode":"N"}</v>
      </c>
      <c r="G405" t="str">
        <f>ToJsonArray(supplementary_offering_legacyid[[#This Row],[Semilla04]],supplementary_offering_legacyid[[#This Row],[Json]])</f>
        <v>{"500000-92":{"offeringid":"950000092","name":"Favorito 92_950000092","mode":"N"}}</v>
      </c>
    </row>
    <row r="406" spans="1:7" x14ac:dyDescent="0.25">
      <c r="A406" s="60" t="s">
        <v>3350</v>
      </c>
      <c r="B406" t="str">
        <f>findKey(supplementary_offering_legacyid[[#This Row],[Produccion]])</f>
        <v>500001-01</v>
      </c>
      <c r="C406" s="61" t="s">
        <v>3351</v>
      </c>
      <c r="D406" t="s">
        <v>3352</v>
      </c>
      <c r="E406" t="s">
        <v>2329</v>
      </c>
      <c r="F406" t="str">
        <f>ToJsonArray(supplementary_offering_legacyid[[#Headers],[offeringid]:[mode]],supplementary_offering_legacyid[[#This Row],[offeringid]:[mode]])</f>
        <v>{"offeringid":"950000101","name":"Favorito Ilimitado 1_950000101","mode":"N"}</v>
      </c>
      <c r="G406" t="str">
        <f>ToJsonArray(supplementary_offering_legacyid[[#This Row],[Semilla04]],supplementary_offering_legacyid[[#This Row],[Json]])</f>
        <v>{"500001-01":{"offeringid":"950000101","name":"Favorito Ilimitado 1_950000101","mode":"N"}}</v>
      </c>
    </row>
    <row r="407" spans="1:7" x14ac:dyDescent="0.25">
      <c r="A407" s="60" t="s">
        <v>3353</v>
      </c>
      <c r="B407" t="str">
        <f>findKey(supplementary_offering_legacyid[[#This Row],[Produccion]])</f>
        <v>500001-62</v>
      </c>
      <c r="C407" s="61" t="s">
        <v>3354</v>
      </c>
      <c r="D407" t="s">
        <v>3355</v>
      </c>
      <c r="E407" t="s">
        <v>2329</v>
      </c>
      <c r="F407" t="str">
        <f>ToJsonArray(supplementary_offering_legacyid[[#Headers],[offeringid]:[mode]],supplementary_offering_legacyid[[#This Row],[offeringid]:[mode]])</f>
        <v>{"offeringid":"950000162","name":"Favorito TD 2678400s_950000162","mode":"N"}</v>
      </c>
      <c r="G407" t="str">
        <f>ToJsonArray(supplementary_offering_legacyid[[#This Row],[Semilla04]],supplementary_offering_legacyid[[#This Row],[Json]])</f>
        <v>{"500001-62":{"offeringid":"950000162","name":"Favorito TD 2678400s_950000162","mode":"N"}}</v>
      </c>
    </row>
    <row r="408" spans="1:7" x14ac:dyDescent="0.25">
      <c r="A408" s="60" t="s">
        <v>3356</v>
      </c>
      <c r="B408" t="str">
        <f>findKey(supplementary_offering_legacyid[[#This Row],[Produccion]])</f>
        <v>500001-63</v>
      </c>
      <c r="C408" s="61" t="s">
        <v>3357</v>
      </c>
      <c r="D408" t="s">
        <v>3358</v>
      </c>
      <c r="E408" t="s">
        <v>2329</v>
      </c>
      <c r="F408" t="str">
        <f>ToJsonArray(supplementary_offering_legacyid[[#Headers],[offeringid]:[mode]],supplementary_offering_legacyid[[#This Row],[offeringid]:[mode]])</f>
        <v>{"offeringid":"950000163","name":"Favorito TD 2678400s_950000163","mode":"N"}</v>
      </c>
      <c r="G408" t="str">
        <f>ToJsonArray(supplementary_offering_legacyid[[#This Row],[Semilla04]],supplementary_offering_legacyid[[#This Row],[Json]])</f>
        <v>{"500001-63":{"offeringid":"950000163","name":"Favorito TD 2678400s_950000163","mode":"N"}}</v>
      </c>
    </row>
    <row r="409" spans="1:7" x14ac:dyDescent="0.25">
      <c r="A409" s="60" t="s">
        <v>3359</v>
      </c>
      <c r="B409" t="str">
        <f>findKey(supplementary_offering_legacyid[[#This Row],[Produccion]])</f>
        <v>500001-65</v>
      </c>
      <c r="C409" s="61" t="s">
        <v>3360</v>
      </c>
      <c r="D409" t="s">
        <v>3361</v>
      </c>
      <c r="E409" t="s">
        <v>2329</v>
      </c>
      <c r="F409" t="str">
        <f>ToJsonArray(supplementary_offering_legacyid[[#Headers],[offeringid]:[mode]],supplementary_offering_legacyid[[#This Row],[offeringid]:[mode]])</f>
        <v>{"offeringid":"950000165","name":"Voz-TD-9000s_950000165","mode":"N"}</v>
      </c>
      <c r="G409" t="str">
        <f>ToJsonArray(supplementary_offering_legacyid[[#This Row],[Semilla04]],supplementary_offering_legacyid[[#This Row],[Json]])</f>
        <v>{"500001-65":{"offeringid":"950000165","name":"Voz-TD-9000s_950000165","mode":"N"}}</v>
      </c>
    </row>
    <row r="410" spans="1:7" x14ac:dyDescent="0.25">
      <c r="A410" s="60" t="s">
        <v>3362</v>
      </c>
      <c r="B410" t="str">
        <f>findKey(supplementary_offering_legacyid[[#This Row],[Produccion]])</f>
        <v>500001-66</v>
      </c>
      <c r="C410" s="61" t="s">
        <v>3363</v>
      </c>
      <c r="D410" t="s">
        <v>3364</v>
      </c>
      <c r="E410" t="s">
        <v>2329</v>
      </c>
      <c r="F410" t="str">
        <f>ToJsonArray(supplementary_offering_legacyid[[#Headers],[offeringid]:[mode]],supplementary_offering_legacyid[[#This Row],[offeringid]:[mode]])</f>
        <v>{"offeringid":"950000166","name":"Voz-TD-36000s_950000166","mode":"N"}</v>
      </c>
      <c r="G410" t="str">
        <f>ToJsonArray(supplementary_offering_legacyid[[#This Row],[Semilla04]],supplementary_offering_legacyid[[#This Row],[Json]])</f>
        <v>{"500001-66":{"offeringid":"950000166","name":"Voz-TD-36000s_950000166","mode":"N"}}</v>
      </c>
    </row>
    <row r="411" spans="1:7" x14ac:dyDescent="0.25">
      <c r="A411" s="60" t="s">
        <v>3365</v>
      </c>
      <c r="B411" t="str">
        <f>findKey(supplementary_offering_legacyid[[#This Row],[Produccion]])</f>
        <v>500001-68</v>
      </c>
      <c r="C411" s="61" t="s">
        <v>3366</v>
      </c>
      <c r="D411" t="s">
        <v>3367</v>
      </c>
      <c r="E411" t="s">
        <v>2329</v>
      </c>
      <c r="F411" t="str">
        <f>ToJsonArray(supplementary_offering_legacyid[[#Headers],[offeringid]:[mode]],supplementary_offering_legacyid[[#This Row],[offeringid]:[mode]])</f>
        <v>{"offeringid":"950000168","name":"Voz-TD-6000s_950000168","mode":"N"}</v>
      </c>
      <c r="G411" t="str">
        <f>ToJsonArray(supplementary_offering_legacyid[[#This Row],[Semilla04]],supplementary_offering_legacyid[[#This Row],[Json]])</f>
        <v>{"500001-68":{"offeringid":"950000168","name":"Voz-TD-6000s_950000168","mode":"N"}}</v>
      </c>
    </row>
    <row r="412" spans="1:7" x14ac:dyDescent="0.25">
      <c r="A412" s="60" t="s">
        <v>3368</v>
      </c>
      <c r="B412" t="str">
        <f>findKey(supplementary_offering_legacyid[[#This Row],[Produccion]])</f>
        <v>500001-70</v>
      </c>
      <c r="C412" s="61" t="s">
        <v>3369</v>
      </c>
      <c r="D412" t="s">
        <v>3370</v>
      </c>
      <c r="E412" t="s">
        <v>2329</v>
      </c>
      <c r="F412" t="str">
        <f>ToJsonArray(supplementary_offering_legacyid[[#Headers],[offeringid]:[mode]],supplementary_offering_legacyid[[#This Row],[offeringid]:[mode]])</f>
        <v>{"offeringid":"950000170","name":"Favorito Ilimitado 4_950000170","mode":"N"}</v>
      </c>
      <c r="G412" t="str">
        <f>ToJsonArray(supplementary_offering_legacyid[[#This Row],[Semilla04]],supplementary_offering_legacyid[[#This Row],[Json]])</f>
        <v>{"500001-70":{"offeringid":"950000170","name":"Favorito Ilimitado 4_950000170","mode":"N"}}</v>
      </c>
    </row>
    <row r="413" spans="1:7" x14ac:dyDescent="0.25">
      <c r="A413" s="60" t="s">
        <v>3371</v>
      </c>
      <c r="B413" t="str">
        <f>findKey(supplementary_offering_legacyid[[#This Row],[Produccion]])</f>
        <v>500001-71</v>
      </c>
      <c r="C413" s="61" t="s">
        <v>3372</v>
      </c>
      <c r="D413" t="s">
        <v>3373</v>
      </c>
      <c r="E413" t="s">
        <v>2329</v>
      </c>
      <c r="F413" t="str">
        <f>ToJsonArray(supplementary_offering_legacyid[[#Headers],[offeringid]:[mode]],supplementary_offering_legacyid[[#This Row],[offeringid]:[mode]])</f>
        <v>{"offeringid":"950000171","name":"Favorito Ilimitado 4_950000171","mode":"N"}</v>
      </c>
      <c r="G413" t="str">
        <f>ToJsonArray(supplementary_offering_legacyid[[#This Row],[Semilla04]],supplementary_offering_legacyid[[#This Row],[Json]])</f>
        <v>{"500001-71":{"offeringid":"950000171","name":"Favorito Ilimitado 4_950000171","mode":"N"}}</v>
      </c>
    </row>
    <row r="414" spans="1:7" x14ac:dyDescent="0.25">
      <c r="A414" s="60" t="s">
        <v>3374</v>
      </c>
      <c r="B414" t="str">
        <f>findKey(supplementary_offering_legacyid[[#This Row],[Produccion]])</f>
        <v>500001-72</v>
      </c>
      <c r="C414" s="61" t="s">
        <v>3375</v>
      </c>
      <c r="D414" t="s">
        <v>3376</v>
      </c>
      <c r="E414" t="s">
        <v>2329</v>
      </c>
      <c r="F414" t="str">
        <f>ToJsonArray(supplementary_offering_legacyid[[#Headers],[offeringid]:[mode]],supplementary_offering_legacyid[[#This Row],[offeringid]:[mode]])</f>
        <v>{"offeringid":"950000172","name":"Favorito Ilimitado 5_950000172","mode":"N"}</v>
      </c>
      <c r="G414" t="str">
        <f>ToJsonArray(supplementary_offering_legacyid[[#This Row],[Semilla04]],supplementary_offering_legacyid[[#This Row],[Json]])</f>
        <v>{"500001-72":{"offeringid":"950000172","name":"Favorito Ilimitado 5_950000172","mode":"N"}}</v>
      </c>
    </row>
    <row r="415" spans="1:7" x14ac:dyDescent="0.25">
      <c r="A415" s="60" t="s">
        <v>3377</v>
      </c>
      <c r="B415" t="str">
        <f>findKey(supplementary_offering_legacyid[[#This Row],[Produccion]])</f>
        <v>500001-73</v>
      </c>
      <c r="C415" s="61" t="s">
        <v>3378</v>
      </c>
      <c r="D415" t="s">
        <v>3379</v>
      </c>
      <c r="E415" t="s">
        <v>2329</v>
      </c>
      <c r="F415" t="str">
        <f>ToJsonArray(supplementary_offering_legacyid[[#Headers],[offeringid]:[mode]],supplementary_offering_legacyid[[#This Row],[offeringid]:[mode]])</f>
        <v>{"offeringid":"950000173","name":"Favorito Ilimitado 5_950000173","mode":"N"}</v>
      </c>
      <c r="G415" t="str">
        <f>ToJsonArray(supplementary_offering_legacyid[[#This Row],[Semilla04]],supplementary_offering_legacyid[[#This Row],[Json]])</f>
        <v>{"500001-73":{"offeringid":"950000173","name":"Favorito Ilimitado 5_950000173","mode":"N"}}</v>
      </c>
    </row>
    <row r="416" spans="1:7" x14ac:dyDescent="0.25">
      <c r="A416" s="60" t="s">
        <v>3380</v>
      </c>
      <c r="B416" t="str">
        <f>findKey(supplementary_offering_legacyid[[#This Row],[Produccion]])</f>
        <v>500003-01</v>
      </c>
      <c r="C416" s="61" t="s">
        <v>3381</v>
      </c>
      <c r="D416" t="s">
        <v>3382</v>
      </c>
      <c r="E416" t="s">
        <v>2329</v>
      </c>
      <c r="F416" t="str">
        <f>ToJsonArray(supplementary_offering_legacyid[[#Headers],[offeringid]:[mode]],supplementary_offering_legacyid[[#This Row],[offeringid]:[mode]])</f>
        <v>{"offeringid":"950000301","name":"Favorito Tigo 01_950000301","mode":"N"}</v>
      </c>
      <c r="G416" t="str">
        <f>ToJsonArray(supplementary_offering_legacyid[[#This Row],[Semilla04]],supplementary_offering_legacyid[[#This Row],[Json]])</f>
        <v>{"500003-01":{"offeringid":"950000301","name":"Favorito Tigo 01_950000301","mode":"N"}}</v>
      </c>
    </row>
    <row r="417" spans="1:7" x14ac:dyDescent="0.25">
      <c r="A417" s="60" t="s">
        <v>3383</v>
      </c>
      <c r="B417" t="str">
        <f>findKey(supplementary_offering_legacyid[[#This Row],[Produccion]])</f>
        <v>500003-02</v>
      </c>
      <c r="C417" s="61" t="s">
        <v>3384</v>
      </c>
      <c r="D417" t="s">
        <v>3385</v>
      </c>
      <c r="E417" t="s">
        <v>2329</v>
      </c>
      <c r="F417" t="str">
        <f>ToJsonArray(supplementary_offering_legacyid[[#Headers],[offeringid]:[mode]],supplementary_offering_legacyid[[#This Row],[offeringid]:[mode]])</f>
        <v>{"offeringid":"950000302","name":"Favorito Tigo 02_950000302","mode":"N"}</v>
      </c>
      <c r="G417" t="str">
        <f>ToJsonArray(supplementary_offering_legacyid[[#This Row],[Semilla04]],supplementary_offering_legacyid[[#This Row],[Json]])</f>
        <v>{"500003-02":{"offeringid":"950000302","name":"Favorito Tigo 02_950000302","mode":"N"}}</v>
      </c>
    </row>
    <row r="418" spans="1:7" x14ac:dyDescent="0.25">
      <c r="A418" s="60" t="s">
        <v>3386</v>
      </c>
      <c r="B418" t="str">
        <f>findKey(supplementary_offering_legacyid[[#This Row],[Produccion]])</f>
        <v>500003-03</v>
      </c>
      <c r="C418" s="61" t="s">
        <v>3387</v>
      </c>
      <c r="D418" t="s">
        <v>3388</v>
      </c>
      <c r="E418" t="s">
        <v>2329</v>
      </c>
      <c r="F418" t="str">
        <f>ToJsonArray(supplementary_offering_legacyid[[#Headers],[offeringid]:[mode]],supplementary_offering_legacyid[[#This Row],[offeringid]:[mode]])</f>
        <v>{"offeringid":"950000303","name":"Favorito Tigo 03_950000303","mode":"N"}</v>
      </c>
      <c r="G418" t="str">
        <f>ToJsonArray(supplementary_offering_legacyid[[#This Row],[Semilla04]],supplementary_offering_legacyid[[#This Row],[Json]])</f>
        <v>{"500003-03":{"offeringid":"950000303","name":"Favorito Tigo 03_950000303","mode":"N"}}</v>
      </c>
    </row>
    <row r="419" spans="1:7" x14ac:dyDescent="0.25">
      <c r="A419" s="60" t="s">
        <v>3389</v>
      </c>
      <c r="B419" t="str">
        <f>findKey(supplementary_offering_legacyid[[#This Row],[Produccion]])</f>
        <v>500003-04</v>
      </c>
      <c r="C419" s="61" t="s">
        <v>3390</v>
      </c>
      <c r="D419" t="s">
        <v>3391</v>
      </c>
      <c r="E419" t="s">
        <v>2329</v>
      </c>
      <c r="F419" t="str">
        <f>ToJsonArray(supplementary_offering_legacyid[[#Headers],[offeringid]:[mode]],supplementary_offering_legacyid[[#This Row],[offeringid]:[mode]])</f>
        <v>{"offeringid":"950000304","name":"Favorito Tigo 04_950000304","mode":"N"}</v>
      </c>
      <c r="G419" t="str">
        <f>ToJsonArray(supplementary_offering_legacyid[[#This Row],[Semilla04]],supplementary_offering_legacyid[[#This Row],[Json]])</f>
        <v>{"500003-04":{"offeringid":"950000304","name":"Favorito Tigo 04_950000304","mode":"N"}}</v>
      </c>
    </row>
    <row r="420" spans="1:7" x14ac:dyDescent="0.25">
      <c r="A420" s="60" t="s">
        <v>3392</v>
      </c>
      <c r="B420" t="str">
        <f>findKey(supplementary_offering_legacyid[[#This Row],[Produccion]])</f>
        <v>500003-05</v>
      </c>
      <c r="C420" s="61" t="s">
        <v>3393</v>
      </c>
      <c r="D420" t="s">
        <v>3394</v>
      </c>
      <c r="E420" t="s">
        <v>2329</v>
      </c>
      <c r="F420" t="str">
        <f>ToJsonArray(supplementary_offering_legacyid[[#Headers],[offeringid]:[mode]],supplementary_offering_legacyid[[#This Row],[offeringid]:[mode]])</f>
        <v>{"offeringid":"950000305","name":"Favorito Tigo 05_950000305","mode":"N"}</v>
      </c>
      <c r="G420" t="str">
        <f>ToJsonArray(supplementary_offering_legacyid[[#This Row],[Semilla04]],supplementary_offering_legacyid[[#This Row],[Json]])</f>
        <v>{"500003-05":{"offeringid":"950000305","name":"Favorito Tigo 05_950000305","mode":"N"}}</v>
      </c>
    </row>
    <row r="421" spans="1:7" x14ac:dyDescent="0.25">
      <c r="A421" s="60" t="s">
        <v>3395</v>
      </c>
      <c r="B421" t="str">
        <f>findKey(supplementary_offering_legacyid[[#This Row],[Produccion]])</f>
        <v>500003-06</v>
      </c>
      <c r="C421" s="61" t="s">
        <v>3396</v>
      </c>
      <c r="D421" t="s">
        <v>3397</v>
      </c>
      <c r="E421" t="s">
        <v>2329</v>
      </c>
      <c r="F421" t="str">
        <f>ToJsonArray(supplementary_offering_legacyid[[#Headers],[offeringid]:[mode]],supplementary_offering_legacyid[[#This Row],[offeringid]:[mode]])</f>
        <v>{"offeringid":"950000306","name":"Favorito Tigo 06_950000306","mode":"N"}</v>
      </c>
      <c r="G421" t="str">
        <f>ToJsonArray(supplementary_offering_legacyid[[#This Row],[Semilla04]],supplementary_offering_legacyid[[#This Row],[Json]])</f>
        <v>{"500003-06":{"offeringid":"950000306","name":"Favorito Tigo 06_950000306","mode":"N"}}</v>
      </c>
    </row>
    <row r="422" spans="1:7" x14ac:dyDescent="0.25">
      <c r="A422" s="60" t="s">
        <v>3398</v>
      </c>
      <c r="B422" t="str">
        <f>findKey(supplementary_offering_legacyid[[#This Row],[Produccion]])</f>
        <v>500003-08</v>
      </c>
      <c r="C422" s="61" t="s">
        <v>3399</v>
      </c>
      <c r="D422" t="s">
        <v>3400</v>
      </c>
      <c r="E422" t="s">
        <v>2329</v>
      </c>
      <c r="F422" t="str">
        <f>ToJsonArray(supplementary_offering_legacyid[[#Headers],[offeringid]:[mode]],supplementary_offering_legacyid[[#This Row],[offeringid]:[mode]])</f>
        <v>{"offeringid":"950000308","name":"Favorito Tigo 08_950000308","mode":"N"}</v>
      </c>
      <c r="G422" t="str">
        <f>ToJsonArray(supplementary_offering_legacyid[[#This Row],[Semilla04]],supplementary_offering_legacyid[[#This Row],[Json]])</f>
        <v>{"500003-08":{"offeringid":"950000308","name":"Favorito Tigo 08_950000308","mode":"N"}}</v>
      </c>
    </row>
    <row r="423" spans="1:7" x14ac:dyDescent="0.25">
      <c r="A423" s="60" t="s">
        <v>3401</v>
      </c>
      <c r="B423" t="str">
        <f>findKey(supplementary_offering_legacyid[[#This Row],[Produccion]])</f>
        <v>610000-01</v>
      </c>
      <c r="C423" s="61" t="s">
        <v>3402</v>
      </c>
      <c r="D423" t="s">
        <v>3403</v>
      </c>
      <c r="E423" t="s">
        <v>2329</v>
      </c>
      <c r="F423" t="str">
        <f>ToJsonArray(supplementary_offering_legacyid[[#Headers],[offeringid]:[mode]],supplementary_offering_legacyid[[#This Row],[offeringid]:[mode]])</f>
        <v>{"offeringid":"961000001","name":"Extra-Charge-4000_961000001","mode":"N"}</v>
      </c>
      <c r="G423" t="str">
        <f>ToJsonArray(supplementary_offering_legacyid[[#This Row],[Semilla04]],supplementary_offering_legacyid[[#This Row],[Json]])</f>
        <v>{"610000-01":{"offeringid":"961000001","name":"Extra-Charge-4000_961000001","mode":"N"}}</v>
      </c>
    </row>
    <row r="424" spans="1:7" x14ac:dyDescent="0.25">
      <c r="A424" s="60" t="s">
        <v>3404</v>
      </c>
      <c r="B424" t="str">
        <f>findKey(supplementary_offering_legacyid[[#This Row],[Produccion]])</f>
        <v>610000-02</v>
      </c>
      <c r="C424" s="61" t="s">
        <v>3405</v>
      </c>
      <c r="D424" t="s">
        <v>3406</v>
      </c>
      <c r="E424" t="s">
        <v>2329</v>
      </c>
      <c r="F424" t="str">
        <f>ToJsonArray(supplementary_offering_legacyid[[#Headers],[offeringid]:[mode]],supplementary_offering_legacyid[[#This Row],[offeringid]:[mode]])</f>
        <v>{"offeringid":"961000002","name":"Extra-Charge-6000_961000002","mode":"N"}</v>
      </c>
      <c r="G424" t="str">
        <f>ToJsonArray(supplementary_offering_legacyid[[#This Row],[Semilla04]],supplementary_offering_legacyid[[#This Row],[Json]])</f>
        <v>{"610000-02":{"offeringid":"961000002","name":"Extra-Charge-6000_961000002","mode":"N"}}</v>
      </c>
    </row>
    <row r="425" spans="1:7" x14ac:dyDescent="0.25">
      <c r="A425" s="60" t="s">
        <v>3407</v>
      </c>
      <c r="B425" t="str">
        <f>findKey(supplementary_offering_legacyid[[#This Row],[Produccion]])</f>
        <v>610000-03</v>
      </c>
      <c r="C425" s="61" t="s">
        <v>3408</v>
      </c>
      <c r="D425" t="s">
        <v>3409</v>
      </c>
      <c r="E425" t="s">
        <v>2329</v>
      </c>
      <c r="F425" t="str">
        <f>ToJsonArray(supplementary_offering_legacyid[[#Headers],[offeringid]:[mode]],supplementary_offering_legacyid[[#This Row],[offeringid]:[mode]])</f>
        <v>{"offeringid":"961000003","name":"Extra-Charge-9000_961000003","mode":"N"}</v>
      </c>
      <c r="G425" t="str">
        <f>ToJsonArray(supplementary_offering_legacyid[[#This Row],[Semilla04]],supplementary_offering_legacyid[[#This Row],[Json]])</f>
        <v>{"610000-03":{"offeringid":"961000003","name":"Extra-Charge-9000_961000003","mode":"N"}}</v>
      </c>
    </row>
    <row r="426" spans="1:7" x14ac:dyDescent="0.25">
      <c r="A426" s="60" t="s">
        <v>3410</v>
      </c>
      <c r="B426" t="str">
        <f>findKey(supplementary_offering_legacyid[[#This Row],[Produccion]])</f>
        <v>610000-04</v>
      </c>
      <c r="C426" s="61" t="s">
        <v>3411</v>
      </c>
      <c r="D426" t="s">
        <v>3412</v>
      </c>
      <c r="E426" t="s">
        <v>2329</v>
      </c>
      <c r="F426" t="str">
        <f>ToJsonArray(supplementary_offering_legacyid[[#Headers],[offeringid]:[mode]],supplementary_offering_legacyid[[#This Row],[offeringid]:[mode]])</f>
        <v>{"offeringid":"961000004","name":"Extra-Charge-7000_961000004","mode":"N"}</v>
      </c>
      <c r="G426" t="str">
        <f>ToJsonArray(supplementary_offering_legacyid[[#This Row],[Semilla04]],supplementary_offering_legacyid[[#This Row],[Json]])</f>
        <v>{"610000-04":{"offeringid":"961000004","name":"Extra-Charge-7000_961000004","mode":"N"}}</v>
      </c>
    </row>
    <row r="427" spans="1:7" x14ac:dyDescent="0.25">
      <c r="A427" s="60" t="s">
        <v>3413</v>
      </c>
      <c r="B427" t="str">
        <f>findKey(supplementary_offering_legacyid[[#This Row],[Produccion]])</f>
        <v>610000-05</v>
      </c>
      <c r="C427" s="61" t="s">
        <v>3414</v>
      </c>
      <c r="D427" t="s">
        <v>3415</v>
      </c>
      <c r="E427" t="s">
        <v>2329</v>
      </c>
      <c r="F427" t="str">
        <f>ToJsonArray(supplementary_offering_legacyid[[#Headers],[offeringid]:[mode]],supplementary_offering_legacyid[[#This Row],[offeringid]:[mode]])</f>
        <v>{"offeringid":"961000005","name":"Extra-Charge-13000_961000005","mode":"N"}</v>
      </c>
      <c r="G427" t="str">
        <f>ToJsonArray(supplementary_offering_legacyid[[#This Row],[Semilla04]],supplementary_offering_legacyid[[#This Row],[Json]])</f>
        <v>{"610000-05":{"offeringid":"961000005","name":"Extra-Charge-13000_961000005","mode":"N"}}</v>
      </c>
    </row>
    <row r="428" spans="1:7" x14ac:dyDescent="0.25">
      <c r="A428" s="60" t="s">
        <v>3416</v>
      </c>
      <c r="B428" t="str">
        <f>findKey(supplementary_offering_legacyid[[#This Row],[Produccion]])</f>
        <v>610000-06</v>
      </c>
      <c r="C428" s="61" t="s">
        <v>3417</v>
      </c>
      <c r="D428" t="s">
        <v>3418</v>
      </c>
      <c r="E428" t="s">
        <v>2329</v>
      </c>
      <c r="F428" t="str">
        <f>ToJsonArray(supplementary_offering_legacyid[[#Headers],[offeringid]:[mode]],supplementary_offering_legacyid[[#This Row],[offeringid]:[mode]])</f>
        <v>{"offeringid":"961000006","name":"Extra-Charge-10000_961000006","mode":"N"}</v>
      </c>
      <c r="G428" t="str">
        <f>ToJsonArray(supplementary_offering_legacyid[[#This Row],[Semilla04]],supplementary_offering_legacyid[[#This Row],[Json]])</f>
        <v>{"610000-06":{"offeringid":"961000006","name":"Extra-Charge-10000_961000006","mode":"N"}}</v>
      </c>
    </row>
    <row r="429" spans="1:7" x14ac:dyDescent="0.25">
      <c r="A429" s="60" t="s">
        <v>3419</v>
      </c>
      <c r="B429" t="str">
        <f>findKey(supplementary_offering_legacyid[[#This Row],[Produccion]])</f>
        <v>610000-07</v>
      </c>
      <c r="C429" s="61" t="s">
        <v>3420</v>
      </c>
      <c r="D429" t="s">
        <v>3421</v>
      </c>
      <c r="E429" t="s">
        <v>2329</v>
      </c>
      <c r="F429" t="str">
        <f>ToJsonArray(supplementary_offering_legacyid[[#Headers],[offeringid]:[mode]],supplementary_offering_legacyid[[#This Row],[offeringid]:[mode]])</f>
        <v>{"offeringid":"961000007","name":"Extra-Charge-2000_961000007","mode":"N"}</v>
      </c>
      <c r="G429" t="str">
        <f>ToJsonArray(supplementary_offering_legacyid[[#This Row],[Semilla04]],supplementary_offering_legacyid[[#This Row],[Json]])</f>
        <v>{"610000-07":{"offeringid":"961000007","name":"Extra-Charge-2000_961000007","mode":"N"}}</v>
      </c>
    </row>
    <row r="430" spans="1:7" x14ac:dyDescent="0.25">
      <c r="A430" s="60" t="s">
        <v>3422</v>
      </c>
      <c r="B430" t="str">
        <f>findKey(supplementary_offering_legacyid[[#This Row],[Produccion]])</f>
        <v>610000-08</v>
      </c>
      <c r="C430" s="61" t="s">
        <v>3423</v>
      </c>
      <c r="D430" t="s">
        <v>3424</v>
      </c>
      <c r="E430" t="s">
        <v>2329</v>
      </c>
      <c r="F430" t="str">
        <f>ToJsonArray(supplementary_offering_legacyid[[#Headers],[offeringid]:[mode]],supplementary_offering_legacyid[[#This Row],[offeringid]:[mode]])</f>
        <v>{"offeringid":"961000008","name":"Extra-Charge-3000_961000008","mode":"N"}</v>
      </c>
      <c r="G430" t="str">
        <f>ToJsonArray(supplementary_offering_legacyid[[#This Row],[Semilla04]],supplementary_offering_legacyid[[#This Row],[Json]])</f>
        <v>{"610000-08":{"offeringid":"961000008","name":"Extra-Charge-3000_961000008","mode":"N"}}</v>
      </c>
    </row>
    <row r="431" spans="1:7" x14ac:dyDescent="0.25">
      <c r="A431" s="60" t="s">
        <v>3425</v>
      </c>
      <c r="B431" t="str">
        <f>findKey(supplementary_offering_legacyid[[#This Row],[Produccion]])</f>
        <v>610000-09</v>
      </c>
      <c r="C431" s="61" t="s">
        <v>3426</v>
      </c>
      <c r="D431" t="s">
        <v>3427</v>
      </c>
      <c r="E431" t="s">
        <v>2329</v>
      </c>
      <c r="F431" t="str">
        <f>ToJsonArray(supplementary_offering_legacyid[[#Headers],[offeringid]:[mode]],supplementary_offering_legacyid[[#This Row],[offeringid]:[mode]])</f>
        <v>{"offeringid":"961000009","name":"Extra-Charge-8000_961000009","mode":"N"}</v>
      </c>
      <c r="G431" t="str">
        <f>ToJsonArray(supplementary_offering_legacyid[[#This Row],[Semilla04]],supplementary_offering_legacyid[[#This Row],[Json]])</f>
        <v>{"610000-09":{"offeringid":"961000009","name":"Extra-Charge-8000_961000009","mode":"N"}}</v>
      </c>
    </row>
    <row r="432" spans="1:7" x14ac:dyDescent="0.25">
      <c r="A432" s="60" t="s">
        <v>3428</v>
      </c>
      <c r="B432" t="str">
        <f>findKey(supplementary_offering_legacyid[[#This Row],[Produccion]])</f>
        <v>610000-10</v>
      </c>
      <c r="C432" s="61" t="s">
        <v>3429</v>
      </c>
      <c r="D432" t="s">
        <v>3430</v>
      </c>
      <c r="E432" t="s">
        <v>2329</v>
      </c>
      <c r="F432" t="str">
        <f>ToJsonArray(supplementary_offering_legacyid[[#Headers],[offeringid]:[mode]],supplementary_offering_legacyid[[#This Row],[offeringid]:[mode]])</f>
        <v>{"offeringid":"961000010","name":"Extra-Charge-12000_961000010","mode":"N"}</v>
      </c>
      <c r="G432" t="str">
        <f>ToJsonArray(supplementary_offering_legacyid[[#This Row],[Semilla04]],supplementary_offering_legacyid[[#This Row],[Json]])</f>
        <v>{"610000-10":{"offeringid":"961000010","name":"Extra-Charge-12000_961000010","mode":"N"}}</v>
      </c>
    </row>
    <row r="433" spans="1:7" x14ac:dyDescent="0.25">
      <c r="A433" s="60" t="s">
        <v>3431</v>
      </c>
      <c r="B433" t="str">
        <f>findKey(supplementary_offering_legacyid[[#This Row],[Produccion]])</f>
        <v>610000-11</v>
      </c>
      <c r="C433" s="61" t="s">
        <v>3432</v>
      </c>
      <c r="D433" t="s">
        <v>3433</v>
      </c>
      <c r="E433" t="s">
        <v>2329</v>
      </c>
      <c r="F433" t="str">
        <f>ToJsonArray(supplementary_offering_legacyid[[#Headers],[offeringid]:[mode]],supplementary_offering_legacyid[[#This Row],[offeringid]:[mode]])</f>
        <v>{"offeringid":"961000011","name":"Extra-Charge-17000_961000011","mode":"N"}</v>
      </c>
      <c r="G433" t="str">
        <f>ToJsonArray(supplementary_offering_legacyid[[#This Row],[Semilla04]],supplementary_offering_legacyid[[#This Row],[Json]])</f>
        <v>{"610000-11":{"offeringid":"961000011","name":"Extra-Charge-17000_961000011","mode":"N"}}</v>
      </c>
    </row>
    <row r="434" spans="1:7" x14ac:dyDescent="0.25">
      <c r="A434" s="60" t="s">
        <v>3434</v>
      </c>
      <c r="B434" t="str">
        <f>findKey(supplementary_offering_legacyid[[#This Row],[Produccion]])</f>
        <v>700000-08</v>
      </c>
      <c r="C434" s="61" t="s">
        <v>3435</v>
      </c>
      <c r="D434" t="s">
        <v>3436</v>
      </c>
      <c r="E434" t="s">
        <v>2329</v>
      </c>
      <c r="F434" t="str">
        <f>ToJsonArray(supplementary_offering_legacyid[[#Headers],[offeringid]:[mode]],supplementary_offering_legacyid[[#This Row],[offeringid]:[mode]])</f>
        <v>{"offeringid":"970000008","name":"Deezer 8.600_970000008","mode":"N"}</v>
      </c>
      <c r="G434" t="str">
        <f>ToJsonArray(supplementary_offering_legacyid[[#This Row],[Semilla04]],supplementary_offering_legacyid[[#This Row],[Json]])</f>
        <v>{"700000-08":{"offeringid":"970000008","name":"Deezer 8.600_970000008","mode":"N"}}</v>
      </c>
    </row>
    <row r="435" spans="1:7" x14ac:dyDescent="0.25">
      <c r="A435" s="60" t="s">
        <v>3437</v>
      </c>
      <c r="B435" t="str">
        <f>findKey(supplementary_offering_legacyid[[#This Row],[Produccion]])</f>
        <v>700000-25</v>
      </c>
      <c r="C435" s="61" t="s">
        <v>3438</v>
      </c>
      <c r="D435" t="s">
        <v>3439</v>
      </c>
      <c r="E435" t="s">
        <v>2329</v>
      </c>
      <c r="F435" t="str">
        <f>ToJsonArray(supplementary_offering_legacyid[[#Headers],[offeringid]:[mode]],supplementary_offering_legacyid[[#This Row],[offeringid]:[mode]])</f>
        <v>{"offeringid":"970000025","name":"Deezer2 15.900_970000025","mode":"N"}</v>
      </c>
      <c r="G435" t="str">
        <f>ToJsonArray(supplementary_offering_legacyid[[#This Row],[Semilla04]],supplementary_offering_legacyid[[#This Row],[Json]])</f>
        <v>{"700000-25":{"offeringid":"970000025","name":"Deezer2 15.900_970000025","mode":"N"}}</v>
      </c>
    </row>
    <row r="436" spans="1:7" x14ac:dyDescent="0.25">
      <c r="A436" s="60" t="s">
        <v>3440</v>
      </c>
      <c r="B436" t="str">
        <f>findKey(supplementary_offering_legacyid[[#This Row],[Produccion]])</f>
        <v>700000-27</v>
      </c>
      <c r="C436" s="61" t="s">
        <v>3441</v>
      </c>
      <c r="D436" t="s">
        <v>3442</v>
      </c>
      <c r="E436" t="s">
        <v>2329</v>
      </c>
      <c r="F436" t="str">
        <f>ToJsonArray(supplementary_offering_legacyid[[#Headers],[offeringid]:[mode]],supplementary_offering_legacyid[[#This Row],[offeringid]:[mode]])</f>
        <v>{"offeringid":"970000027","name":"Deezer2 11650_970000027","mode":"N"}</v>
      </c>
      <c r="G436" t="str">
        <f>ToJsonArray(supplementary_offering_legacyid[[#This Row],[Semilla04]],supplementary_offering_legacyid[[#This Row],[Json]])</f>
        <v>{"700000-27":{"offeringid":"970000027","name":"Deezer2 11650_970000027","mode":"N"}}</v>
      </c>
    </row>
    <row r="437" spans="1:7" x14ac:dyDescent="0.25">
      <c r="A437" s="60" t="s">
        <v>3443</v>
      </c>
      <c r="B437" t="str">
        <f>findKey(supplementary_offering_legacyid[[#This Row],[Produccion]])</f>
        <v>700000-28</v>
      </c>
      <c r="C437" s="61" t="s">
        <v>3444</v>
      </c>
      <c r="D437" t="s">
        <v>3445</v>
      </c>
      <c r="E437" t="s">
        <v>2329</v>
      </c>
      <c r="F437" t="str">
        <f>ToJsonArray(supplementary_offering_legacyid[[#Headers],[offeringid]:[mode]],supplementary_offering_legacyid[[#This Row],[offeringid]:[mode]])</f>
        <v>{"offeringid":"970000028","name":"Deezer2 11650_970000028","mode":"N"}</v>
      </c>
      <c r="G437" t="str">
        <f>ToJsonArray(supplementary_offering_legacyid[[#This Row],[Semilla04]],supplementary_offering_legacyid[[#This Row],[Json]])</f>
        <v>{"700000-28":{"offeringid":"970000028","name":"Deezer2 11650_970000028","mode":"N"}}</v>
      </c>
    </row>
    <row r="438" spans="1:7" x14ac:dyDescent="0.25">
      <c r="A438" s="60" t="s">
        <v>3446</v>
      </c>
      <c r="B438" t="str">
        <f>findKey(supplementary_offering_legacyid[[#This Row],[Produccion]])</f>
        <v>700000-33</v>
      </c>
      <c r="C438" s="61" t="s">
        <v>3447</v>
      </c>
      <c r="D438" t="s">
        <v>3448</v>
      </c>
      <c r="E438" t="s">
        <v>2329</v>
      </c>
      <c r="F438" t="str">
        <f>ToJsonArray(supplementary_offering_legacyid[[#Headers],[offeringid]:[mode]],supplementary_offering_legacyid[[#This Row],[offeringid]:[mode]])</f>
        <v>{"offeringid":"970000033","name":"Deezer2 11949_970000033","mode":"N"}</v>
      </c>
      <c r="G438" t="str">
        <f>ToJsonArray(supplementary_offering_legacyid[[#This Row],[Semilla04]],supplementary_offering_legacyid[[#This Row],[Json]])</f>
        <v>{"700000-33":{"offeringid":"970000033","name":"Deezer2 11949_970000033","mode":"N"}}</v>
      </c>
    </row>
    <row r="439" spans="1:7" x14ac:dyDescent="0.25">
      <c r="A439" s="60" t="s">
        <v>3449</v>
      </c>
      <c r="B439" t="str">
        <f>findKey(supplementary_offering_legacyid[[#This Row],[Produccion]])</f>
        <v>700000-34</v>
      </c>
      <c r="C439" s="61" t="s">
        <v>3450</v>
      </c>
      <c r="D439" t="s">
        <v>3451</v>
      </c>
      <c r="E439" t="s">
        <v>2329</v>
      </c>
      <c r="F439" t="str">
        <f>ToJsonArray(supplementary_offering_legacyid[[#Headers],[offeringid]:[mode]],supplementary_offering_legacyid[[#This Row],[offeringid]:[mode]])</f>
        <v>{"offeringid":"970000034","name":"Deezer2 11780_970000034","mode":"N"}</v>
      </c>
      <c r="G439" t="str">
        <f>ToJsonArray(supplementary_offering_legacyid[[#This Row],[Semilla04]],supplementary_offering_legacyid[[#This Row],[Json]])</f>
        <v>{"700000-34":{"offeringid":"970000034","name":"Deezer2 11780_970000034","mode":"N"}}</v>
      </c>
    </row>
    <row r="440" spans="1:7" x14ac:dyDescent="0.25">
      <c r="A440" s="60" t="s">
        <v>3452</v>
      </c>
      <c r="B440" t="str">
        <f>findKey(supplementary_offering_legacyid[[#This Row],[Produccion]])</f>
        <v>800000-31</v>
      </c>
      <c r="C440" s="61" t="s">
        <v>3453</v>
      </c>
      <c r="D440" t="s">
        <v>3454</v>
      </c>
      <c r="E440" t="s">
        <v>2329</v>
      </c>
      <c r="F440" t="str">
        <f>ToJsonArray(supplementary_offering_legacyid[[#Headers],[offeringid]:[mode]],supplementary_offering_legacyid[[#This Row],[offeringid]:[mode]])</f>
        <v>{"offeringid":"980000031","name":"SDP 11GB-2D_980000031","mode":"N"}</v>
      </c>
      <c r="G440" t="str">
        <f>ToJsonArray(supplementary_offering_legacyid[[#This Row],[Semilla04]],supplementary_offering_legacyid[[#This Row],[Json]])</f>
        <v>{"800000-31":{"offeringid":"980000031","name":"SDP 11GB-2D_980000031","mode":"N"}}</v>
      </c>
    </row>
    <row r="441" spans="1:7" x14ac:dyDescent="0.25">
      <c r="A441" s="60" t="s">
        <v>3455</v>
      </c>
      <c r="B441" t="str">
        <f>findKey(supplementary_offering_legacyid[[#This Row],[Produccion]])</f>
        <v>800000-32</v>
      </c>
      <c r="C441" s="61" t="s">
        <v>3456</v>
      </c>
      <c r="D441" t="s">
        <v>3457</v>
      </c>
      <c r="E441" t="s">
        <v>2329</v>
      </c>
      <c r="F441" t="str">
        <f>ToJsonArray(supplementary_offering_legacyid[[#Headers],[offeringid]:[mode]],supplementary_offering_legacyid[[#This Row],[offeringid]:[mode]])</f>
        <v>{"offeringid":"980000032","name":"SDP 11GB-2D_980000032","mode":"N"}</v>
      </c>
      <c r="G441" t="str">
        <f>ToJsonArray(supplementary_offering_legacyid[[#This Row],[Semilla04]],supplementary_offering_legacyid[[#This Row],[Json]])</f>
        <v>{"800000-32":{"offeringid":"980000032","name":"SDP 11GB-2D_980000032","mode":"N"}}</v>
      </c>
    </row>
    <row r="442" spans="1:7" x14ac:dyDescent="0.25">
      <c r="A442" s="60" t="s">
        <v>3458</v>
      </c>
      <c r="B442" t="str">
        <f>findKey(supplementary_offering_legacyid[[#This Row],[Produccion]])</f>
        <v>800000-33</v>
      </c>
      <c r="C442" s="61" t="s">
        <v>3459</v>
      </c>
      <c r="D442" t="s">
        <v>3460</v>
      </c>
      <c r="E442" t="s">
        <v>2329</v>
      </c>
      <c r="F442" t="str">
        <f>ToJsonArray(supplementary_offering_legacyid[[#Headers],[offeringid]:[mode]],supplementary_offering_legacyid[[#This Row],[offeringid]:[mode]])</f>
        <v>{"offeringid":"980000033","name":"SDP 11GB-2D_980000033","mode":"N"}</v>
      </c>
      <c r="G442" t="str">
        <f>ToJsonArray(supplementary_offering_legacyid[[#This Row],[Semilla04]],supplementary_offering_legacyid[[#This Row],[Json]])</f>
        <v>{"800000-33":{"offeringid":"980000033","name":"SDP 11GB-2D_980000033","mode":"N"}}</v>
      </c>
    </row>
    <row r="443" spans="1:7" x14ac:dyDescent="0.25">
      <c r="A443" s="60" t="s">
        <v>3461</v>
      </c>
      <c r="B443" t="str">
        <f>findKey(supplementary_offering_legacyid[[#This Row],[Produccion]])</f>
        <v>800000-34</v>
      </c>
      <c r="C443" s="61" t="s">
        <v>3462</v>
      </c>
      <c r="D443" t="s">
        <v>3463</v>
      </c>
      <c r="E443" t="s">
        <v>2329</v>
      </c>
      <c r="F443" t="str">
        <f>ToJsonArray(supplementary_offering_legacyid[[#Headers],[offeringid]:[mode]],supplementary_offering_legacyid[[#This Row],[offeringid]:[mode]])</f>
        <v>{"offeringid":"980000034","name":"SDP 11GB-2D_980000034","mode":"N"}</v>
      </c>
      <c r="G443" t="str">
        <f>ToJsonArray(supplementary_offering_legacyid[[#This Row],[Semilla04]],supplementary_offering_legacyid[[#This Row],[Json]])</f>
        <v>{"800000-34":{"offeringid":"980000034","name":"SDP 11GB-2D_980000034","mode":"N"}}</v>
      </c>
    </row>
    <row r="444" spans="1:7" x14ac:dyDescent="0.25">
      <c r="A444" s="60" t="s">
        <v>3464</v>
      </c>
      <c r="B444" t="str">
        <f>findKey(supplementary_offering_legacyid[[#This Row],[Produccion]])</f>
        <v>800000-35</v>
      </c>
      <c r="C444" s="61" t="s">
        <v>3465</v>
      </c>
      <c r="D444" t="s">
        <v>3466</v>
      </c>
      <c r="E444" t="s">
        <v>2329</v>
      </c>
      <c r="F444" t="str">
        <f>ToJsonArray(supplementary_offering_legacyid[[#Headers],[offeringid]:[mode]],supplementary_offering_legacyid[[#This Row],[offeringid]:[mode]])</f>
        <v>{"offeringid":"980000035","name":"SDP 11GB-2D_980000035","mode":"N"}</v>
      </c>
      <c r="G444" t="str">
        <f>ToJsonArray(supplementary_offering_legacyid[[#This Row],[Semilla04]],supplementary_offering_legacyid[[#This Row],[Json]])</f>
        <v>{"800000-35":{"offeringid":"980000035","name":"SDP 11GB-2D_980000035","mode":"N"}}</v>
      </c>
    </row>
    <row r="445" spans="1:7" x14ac:dyDescent="0.25">
      <c r="A445" s="60" t="s">
        <v>3467</v>
      </c>
      <c r="B445" t="str">
        <f>findKey(supplementary_offering_legacyid[[#This Row],[Produccion]])</f>
        <v>800000-36</v>
      </c>
      <c r="C445" s="61" t="s">
        <v>3468</v>
      </c>
      <c r="D445" t="s">
        <v>3469</v>
      </c>
      <c r="E445" t="s">
        <v>2329</v>
      </c>
      <c r="F445" t="str">
        <f>ToJsonArray(supplementary_offering_legacyid[[#Headers],[offeringid]:[mode]],supplementary_offering_legacyid[[#This Row],[offeringid]:[mode]])</f>
        <v>{"offeringid":"980000036","name":"SDP 11GB-2D_980000036","mode":"N"}</v>
      </c>
      <c r="G445" t="str">
        <f>ToJsonArray(supplementary_offering_legacyid[[#This Row],[Semilla04]],supplementary_offering_legacyid[[#This Row],[Json]])</f>
        <v>{"800000-36":{"offeringid":"980000036","name":"SDP 11GB-2D_980000036","mode":"N"}}</v>
      </c>
    </row>
    <row r="446" spans="1:7" x14ac:dyDescent="0.25">
      <c r="A446" s="60" t="s">
        <v>3470</v>
      </c>
      <c r="B446" t="str">
        <f>findKey(supplementary_offering_legacyid[[#This Row],[Produccion]])</f>
        <v>800000-37</v>
      </c>
      <c r="C446" s="61" t="s">
        <v>3471</v>
      </c>
      <c r="D446" t="s">
        <v>3472</v>
      </c>
      <c r="E446" t="s">
        <v>2329</v>
      </c>
      <c r="F446" t="str">
        <f>ToJsonArray(supplementary_offering_legacyid[[#Headers],[offeringid]:[mode]],supplementary_offering_legacyid[[#This Row],[offeringid]:[mode]])</f>
        <v>{"offeringid":"980000037","name":"SDP 11GB-3D_980000037","mode":"N"}</v>
      </c>
      <c r="G446" t="str">
        <f>ToJsonArray(supplementary_offering_legacyid[[#This Row],[Semilla04]],supplementary_offering_legacyid[[#This Row],[Json]])</f>
        <v>{"800000-37":{"offeringid":"980000037","name":"SDP 11GB-3D_980000037","mode":"N"}}</v>
      </c>
    </row>
    <row r="447" spans="1:7" x14ac:dyDescent="0.25">
      <c r="A447" s="60" t="s">
        <v>3473</v>
      </c>
      <c r="B447" t="str">
        <f>findKey(supplementary_offering_legacyid[[#This Row],[Produccion]])</f>
        <v>800000-38</v>
      </c>
      <c r="C447" s="61" t="s">
        <v>3474</v>
      </c>
      <c r="D447" t="s">
        <v>3475</v>
      </c>
      <c r="E447" t="s">
        <v>2329</v>
      </c>
      <c r="F447" t="str">
        <f>ToJsonArray(supplementary_offering_legacyid[[#Headers],[offeringid]:[mode]],supplementary_offering_legacyid[[#This Row],[offeringid]:[mode]])</f>
        <v>{"offeringid":"980000038","name":"SDP 11GB-2D_980000038","mode":"N"}</v>
      </c>
      <c r="G447" t="str">
        <f>ToJsonArray(supplementary_offering_legacyid[[#This Row],[Semilla04]],supplementary_offering_legacyid[[#This Row],[Json]])</f>
        <v>{"800000-38":{"offeringid":"980000038","name":"SDP 11GB-2D_980000038","mode":"N"}}</v>
      </c>
    </row>
    <row r="448" spans="1:7" x14ac:dyDescent="0.25">
      <c r="A448" s="60" t="s">
        <v>3476</v>
      </c>
      <c r="B448" t="str">
        <f>findKey(supplementary_offering_legacyid[[#This Row],[Produccion]])</f>
        <v>800000-39</v>
      </c>
      <c r="C448" s="61" t="s">
        <v>3477</v>
      </c>
      <c r="D448" t="s">
        <v>3478</v>
      </c>
      <c r="E448" t="s">
        <v>2329</v>
      </c>
      <c r="F448" t="str">
        <f>ToJsonArray(supplementary_offering_legacyid[[#Headers],[offeringid]:[mode]],supplementary_offering_legacyid[[#This Row],[offeringid]:[mode]])</f>
        <v>{"offeringid":"980000039","name":"SDP 11GB-3D_980000039","mode":"N"}</v>
      </c>
      <c r="G448" t="str">
        <f>ToJsonArray(supplementary_offering_legacyid[[#This Row],[Semilla04]],supplementary_offering_legacyid[[#This Row],[Json]])</f>
        <v>{"800000-39":{"offeringid":"980000039","name":"SDP 11GB-3D_980000039","mode":"N"}}</v>
      </c>
    </row>
    <row r="449" spans="1:7" x14ac:dyDescent="0.25">
      <c r="A449" s="60" t="s">
        <v>3479</v>
      </c>
      <c r="B449" t="str">
        <f>findKey(supplementary_offering_legacyid[[#This Row],[Produccion]])</f>
        <v>800000-40</v>
      </c>
      <c r="C449" s="61" t="s">
        <v>3480</v>
      </c>
      <c r="D449" t="s">
        <v>3481</v>
      </c>
      <c r="E449" t="s">
        <v>2329</v>
      </c>
      <c r="F449" t="str">
        <f>ToJsonArray(supplementary_offering_legacyid[[#Headers],[offeringid]:[mode]],supplementary_offering_legacyid[[#This Row],[offeringid]:[mode]])</f>
        <v>{"offeringid":"980000040","name":"SDP 11GB-2D_980000040","mode":"N"}</v>
      </c>
      <c r="G449" t="str">
        <f>ToJsonArray(supplementary_offering_legacyid[[#This Row],[Semilla04]],supplementary_offering_legacyid[[#This Row],[Json]])</f>
        <v>{"800000-40":{"offeringid":"980000040","name":"SDP 11GB-2D_980000040","mode":"N"}}</v>
      </c>
    </row>
    <row r="450" spans="1:7" x14ac:dyDescent="0.25">
      <c r="A450" s="60" t="s">
        <v>3482</v>
      </c>
      <c r="B450" t="str">
        <f>findKey(supplementary_offering_legacyid[[#This Row],[Produccion]])</f>
        <v>800000-41</v>
      </c>
      <c r="C450" s="61" t="s">
        <v>3483</v>
      </c>
      <c r="D450" t="s">
        <v>3484</v>
      </c>
      <c r="E450" t="s">
        <v>2329</v>
      </c>
      <c r="F450" t="str">
        <f>ToJsonArray(supplementary_offering_legacyid[[#Headers],[offeringid]:[mode]],supplementary_offering_legacyid[[#This Row],[offeringid]:[mode]])</f>
        <v>{"offeringid":"980000041","name":"SDP 11GB-4D_980000041","mode":"N"}</v>
      </c>
      <c r="G450" t="str">
        <f>ToJsonArray(supplementary_offering_legacyid[[#This Row],[Semilla04]],supplementary_offering_legacyid[[#This Row],[Json]])</f>
        <v>{"800000-41":{"offeringid":"980000041","name":"SDP 11GB-4D_980000041","mode":"N"}}</v>
      </c>
    </row>
    <row r="451" spans="1:7" x14ac:dyDescent="0.25">
      <c r="A451" s="60" t="s">
        <v>3485</v>
      </c>
      <c r="B451" t="str">
        <f>findKey(supplementary_offering_legacyid[[#This Row],[Produccion]])</f>
        <v>800000-44</v>
      </c>
      <c r="C451" s="61" t="s">
        <v>3486</v>
      </c>
      <c r="D451" t="s">
        <v>3487</v>
      </c>
      <c r="E451" t="s">
        <v>2329</v>
      </c>
      <c r="F451" t="str">
        <f>ToJsonArray(supplementary_offering_legacyid[[#Headers],[offeringid]:[mode]],supplementary_offering_legacyid[[#This Row],[offeringid]:[mode]])</f>
        <v>{"offeringid":"980000044","name":"SDP 6GB-2D_980000044","mode":"N"}</v>
      </c>
      <c r="G451" t="str">
        <f>ToJsonArray(supplementary_offering_legacyid[[#This Row],[Semilla04]],supplementary_offering_legacyid[[#This Row],[Json]])</f>
        <v>{"800000-44":{"offeringid":"980000044","name":"SDP 6GB-2D_980000044","mode":"N"}}</v>
      </c>
    </row>
    <row r="452" spans="1:7" x14ac:dyDescent="0.25">
      <c r="A452" s="60" t="s">
        <v>3488</v>
      </c>
      <c r="B452" t="str">
        <f>findKey(supplementary_offering_legacyid[[#This Row],[Produccion]])</f>
        <v>800000-45</v>
      </c>
      <c r="C452" s="61" t="s">
        <v>3489</v>
      </c>
      <c r="D452" t="s">
        <v>3490</v>
      </c>
      <c r="E452" t="s">
        <v>2329</v>
      </c>
      <c r="F452" t="str">
        <f>ToJsonArray(supplementary_offering_legacyid[[#Headers],[offeringid]:[mode]],supplementary_offering_legacyid[[#This Row],[offeringid]:[mode]])</f>
        <v>{"offeringid":"980000045","name":"SDP 6.5GB-2D_980000045","mode":"N"}</v>
      </c>
      <c r="G452" t="str">
        <f>ToJsonArray(supplementary_offering_legacyid[[#This Row],[Semilla04]],supplementary_offering_legacyid[[#This Row],[Json]])</f>
        <v>{"800000-45":{"offeringid":"980000045","name":"SDP 6.5GB-2D_980000045","mode":"N"}}</v>
      </c>
    </row>
    <row r="453" spans="1:7" x14ac:dyDescent="0.25">
      <c r="A453" s="60" t="s">
        <v>3491</v>
      </c>
      <c r="B453" t="str">
        <f>findKey(supplementary_offering_legacyid[[#This Row],[Produccion]])</f>
        <v>800000-46</v>
      </c>
      <c r="C453" s="61" t="s">
        <v>3492</v>
      </c>
      <c r="D453" t="s">
        <v>3493</v>
      </c>
      <c r="E453" t="s">
        <v>2329</v>
      </c>
      <c r="F453" t="str">
        <f>ToJsonArray(supplementary_offering_legacyid[[#Headers],[offeringid]:[mode]],supplementary_offering_legacyid[[#This Row],[offeringid]:[mode]])</f>
        <v>{"offeringid":"980000046","name":"SDP 10GB-3D_980000046","mode":"N"}</v>
      </c>
      <c r="G453" t="str">
        <f>ToJsonArray(supplementary_offering_legacyid[[#This Row],[Semilla04]],supplementary_offering_legacyid[[#This Row],[Json]])</f>
        <v>{"800000-46":{"offeringid":"980000046","name":"SDP 10GB-3D_980000046","mode":"N"}}</v>
      </c>
    </row>
    <row r="454" spans="1:7" x14ac:dyDescent="0.25">
      <c r="A454" s="60" t="s">
        <v>3494</v>
      </c>
      <c r="B454" t="str">
        <f>findKey(supplementary_offering_legacyid[[#This Row],[Produccion]])</f>
        <v>800000-47</v>
      </c>
      <c r="C454" s="61" t="s">
        <v>3495</v>
      </c>
      <c r="D454" t="s">
        <v>3496</v>
      </c>
      <c r="E454" t="s">
        <v>2329</v>
      </c>
      <c r="F454" t="str">
        <f>ToJsonArray(supplementary_offering_legacyid[[#Headers],[offeringid]:[mode]],supplementary_offering_legacyid[[#This Row],[offeringid]:[mode]])</f>
        <v>{"offeringid":"980000047","name":"SDP 13GB-4D_980000047","mode":"N"}</v>
      </c>
      <c r="G454" t="str">
        <f>ToJsonArray(supplementary_offering_legacyid[[#This Row],[Semilla04]],supplementary_offering_legacyid[[#This Row],[Json]])</f>
        <v>{"800000-47":{"offeringid":"980000047","name":"SDP 13GB-4D_980000047","mode":"N"}}</v>
      </c>
    </row>
    <row r="455" spans="1:7" x14ac:dyDescent="0.25">
      <c r="A455" s="60" t="s">
        <v>3497</v>
      </c>
      <c r="B455" t="str">
        <f>findKey(supplementary_offering_legacyid[[#This Row],[Produccion]])</f>
        <v>800000-48</v>
      </c>
      <c r="C455" s="61" t="s">
        <v>3498</v>
      </c>
      <c r="D455" t="s">
        <v>3499</v>
      </c>
      <c r="E455" t="s">
        <v>2329</v>
      </c>
      <c r="F455" t="str">
        <f>ToJsonArray(supplementary_offering_legacyid[[#Headers],[offeringid]:[mode]],supplementary_offering_legacyid[[#This Row],[offeringid]:[mode]])</f>
        <v>{"offeringid":"980000048","name":"SDP 14GB-4D_980000048","mode":"N"}</v>
      </c>
      <c r="G455" t="str">
        <f>ToJsonArray(supplementary_offering_legacyid[[#This Row],[Semilla04]],supplementary_offering_legacyid[[#This Row],[Json]])</f>
        <v>{"800000-48":{"offeringid":"980000048","name":"SDP 14GB-4D_980000048","mode":"N"}}</v>
      </c>
    </row>
    <row r="456" spans="1:7" x14ac:dyDescent="0.25">
      <c r="A456" s="60" t="s">
        <v>3500</v>
      </c>
      <c r="B456" t="str">
        <f>findKey(supplementary_offering_legacyid[[#This Row],[Produccion]])</f>
        <v>800000-49</v>
      </c>
      <c r="C456" s="61" t="s">
        <v>3501</v>
      </c>
      <c r="D456" t="s">
        <v>3502</v>
      </c>
      <c r="E456" t="s">
        <v>2329</v>
      </c>
      <c r="F456" t="str">
        <f>ToJsonArray(supplementary_offering_legacyid[[#Headers],[offeringid]:[mode]],supplementary_offering_legacyid[[#This Row],[offeringid]:[mode]])</f>
        <v>{"offeringid":"980000049","name":"SDP 15GB-5D_980000049","mode":"N"}</v>
      </c>
      <c r="G456" t="str">
        <f>ToJsonArray(supplementary_offering_legacyid[[#This Row],[Semilla04]],supplementary_offering_legacyid[[#This Row],[Json]])</f>
        <v>{"800000-49":{"offeringid":"980000049","name":"SDP 15GB-5D_980000049","mode":"N"}}</v>
      </c>
    </row>
    <row r="457" spans="1:7" x14ac:dyDescent="0.25">
      <c r="A457" s="60" t="s">
        <v>3503</v>
      </c>
      <c r="B457" t="str">
        <f>findKey(supplementary_offering_legacyid[[#This Row],[Produccion]])</f>
        <v>800000-50</v>
      </c>
      <c r="C457" s="61" t="s">
        <v>3504</v>
      </c>
      <c r="D457" t="s">
        <v>3505</v>
      </c>
      <c r="E457" t="s">
        <v>2329</v>
      </c>
      <c r="F457" t="str">
        <f>ToJsonArray(supplementary_offering_legacyid[[#Headers],[offeringid]:[mode]],supplementary_offering_legacyid[[#This Row],[offeringid]:[mode]])</f>
        <v>{"offeringid":"980000050","name":"SDP 8GB-2D_980000050","mode":"N"}</v>
      </c>
      <c r="G457" t="str">
        <f>ToJsonArray(supplementary_offering_legacyid[[#This Row],[Semilla04]],supplementary_offering_legacyid[[#This Row],[Json]])</f>
        <v>{"800000-50":{"offeringid":"980000050","name":"SDP 8GB-2D_980000050","mode":"N"}}</v>
      </c>
    </row>
    <row r="458" spans="1:7" x14ac:dyDescent="0.25">
      <c r="A458" s="60" t="s">
        <v>3506</v>
      </c>
      <c r="B458" t="str">
        <f>findKey(supplementary_offering_legacyid[[#This Row],[Produccion]])</f>
        <v>800000-51</v>
      </c>
      <c r="C458" s="61" t="s">
        <v>3507</v>
      </c>
      <c r="D458" t="s">
        <v>3508</v>
      </c>
      <c r="E458" t="s">
        <v>2329</v>
      </c>
      <c r="F458" t="str">
        <f>ToJsonArray(supplementary_offering_legacyid[[#Headers],[offeringid]:[mode]],supplementary_offering_legacyid[[#This Row],[offeringid]:[mode]])</f>
        <v>{"offeringid":"980000051","name":"SDP 10GB-2D_980000051","mode":"N"}</v>
      </c>
      <c r="G458" t="str">
        <f>ToJsonArray(supplementary_offering_legacyid[[#This Row],[Semilla04]],supplementary_offering_legacyid[[#This Row],[Json]])</f>
        <v>{"800000-51":{"offeringid":"980000051","name":"SDP 10GB-2D_980000051","mode":"N"}}</v>
      </c>
    </row>
    <row r="459" spans="1:7" x14ac:dyDescent="0.25">
      <c r="A459" s="60" t="s">
        <v>3509</v>
      </c>
      <c r="B459" t="str">
        <f>findKey(supplementary_offering_legacyid[[#This Row],[Produccion]])</f>
        <v>800000-52</v>
      </c>
      <c r="C459" s="61" t="s">
        <v>3510</v>
      </c>
      <c r="D459" t="s">
        <v>3511</v>
      </c>
      <c r="E459" t="s">
        <v>2329</v>
      </c>
      <c r="F459" t="str">
        <f>ToJsonArray(supplementary_offering_legacyid[[#Headers],[offeringid]:[mode]],supplementary_offering_legacyid[[#This Row],[offeringid]:[mode]])</f>
        <v>{"offeringid":"980000052","name":"SDP 7GB-2D_980000052","mode":"N"}</v>
      </c>
      <c r="G459" t="str">
        <f>ToJsonArray(supplementary_offering_legacyid[[#This Row],[Semilla04]],supplementary_offering_legacyid[[#This Row],[Json]])</f>
        <v>{"800000-52":{"offeringid":"980000052","name":"SDP 7GB-2D_980000052","mode":"N"}}</v>
      </c>
    </row>
    <row r="460" spans="1:7" x14ac:dyDescent="0.25">
      <c r="A460" s="60" t="s">
        <v>3512</v>
      </c>
      <c r="B460" t="str">
        <f>findKey(supplementary_offering_legacyid[[#This Row],[Produccion]])</f>
        <v>800000-53</v>
      </c>
      <c r="C460" s="61" t="s">
        <v>3513</v>
      </c>
      <c r="D460" t="s">
        <v>3514</v>
      </c>
      <c r="E460" t="s">
        <v>2329</v>
      </c>
      <c r="F460" t="str">
        <f>ToJsonArray(supplementary_offering_legacyid[[#Headers],[offeringid]:[mode]],supplementary_offering_legacyid[[#This Row],[offeringid]:[mode]])</f>
        <v>{"offeringid":"980000053","name":"SDP 8GB-2D_980000053","mode":"N"}</v>
      </c>
      <c r="G460" t="str">
        <f>ToJsonArray(supplementary_offering_legacyid[[#This Row],[Semilla04]],supplementary_offering_legacyid[[#This Row],[Json]])</f>
        <v>{"800000-53":{"offeringid":"980000053","name":"SDP 8GB-2D_980000053","mode":"N"}}</v>
      </c>
    </row>
    <row r="461" spans="1:7" x14ac:dyDescent="0.25">
      <c r="A461" s="60" t="s">
        <v>3515</v>
      </c>
      <c r="B461" t="str">
        <f>findKey(supplementary_offering_legacyid[[#This Row],[Produccion]])</f>
        <v>800000-71</v>
      </c>
      <c r="C461" s="61" t="s">
        <v>3516</v>
      </c>
      <c r="D461" t="s">
        <v>3517</v>
      </c>
      <c r="E461" t="s">
        <v>2329</v>
      </c>
      <c r="F461" t="str">
        <f>ToJsonArray(supplementary_offering_legacyid[[#Headers],[offeringid]:[mode]],supplementary_offering_legacyid[[#This Row],[offeringid]:[mode]])</f>
        <v>{"offeringid":"980000071","name":"SDP 15GB-3D_980000071","mode":"N"}</v>
      </c>
      <c r="G461" t="str">
        <f>ToJsonArray(supplementary_offering_legacyid[[#This Row],[Semilla04]],supplementary_offering_legacyid[[#This Row],[Json]])</f>
        <v>{"800000-71":{"offeringid":"980000071","name":"SDP 15GB-3D_980000071","mode":"N"}}</v>
      </c>
    </row>
    <row r="462" spans="1:7" x14ac:dyDescent="0.25">
      <c r="A462" s="60" t="s">
        <v>3518</v>
      </c>
      <c r="B462" t="str">
        <f>findKey(supplementary_offering_legacyid[[#This Row],[Produccion]])</f>
        <v>800000-88</v>
      </c>
      <c r="C462" s="61" t="s">
        <v>3519</v>
      </c>
      <c r="D462" t="s">
        <v>3520</v>
      </c>
      <c r="E462" t="s">
        <v>2329</v>
      </c>
      <c r="F462" t="str">
        <f>ToJsonArray(supplementary_offering_legacyid[[#Headers],[offeringid]:[mode]],supplementary_offering_legacyid[[#This Row],[offeringid]:[mode]])</f>
        <v>{"offeringid":"980000088","name":"SDP 6GB-2D_980000088","mode":"N"}</v>
      </c>
      <c r="G462" t="str">
        <f>ToJsonArray(supplementary_offering_legacyid[[#This Row],[Semilla04]],supplementary_offering_legacyid[[#This Row],[Json]])</f>
        <v>{"800000-88":{"offeringid":"980000088","name":"SDP 6GB-2D_980000088","mode":"N"}}</v>
      </c>
    </row>
    <row r="463" spans="1:7" x14ac:dyDescent="0.25">
      <c r="A463" s="60" t="s">
        <v>3521</v>
      </c>
      <c r="B463" t="str">
        <f>findKey(supplementary_offering_legacyid[[#This Row],[Produccion]])</f>
        <v>800000-89</v>
      </c>
      <c r="C463" s="61" t="s">
        <v>3522</v>
      </c>
      <c r="D463" t="s">
        <v>3523</v>
      </c>
      <c r="E463" t="s">
        <v>2329</v>
      </c>
      <c r="F463" t="str">
        <f>ToJsonArray(supplementary_offering_legacyid[[#Headers],[offeringid]:[mode]],supplementary_offering_legacyid[[#This Row],[offeringid]:[mode]])</f>
        <v>{"offeringid":"980000089","name":"SDP 8GB-2D_980000089","mode":"N"}</v>
      </c>
      <c r="G463" t="str">
        <f>ToJsonArray(supplementary_offering_legacyid[[#This Row],[Semilla04]],supplementary_offering_legacyid[[#This Row],[Json]])</f>
        <v>{"800000-89":{"offeringid":"980000089","name":"SDP 8GB-2D_980000089","mode":"N"}}</v>
      </c>
    </row>
    <row r="464" spans="1:7" x14ac:dyDescent="0.25">
      <c r="A464" s="60" t="s">
        <v>3524</v>
      </c>
      <c r="B464" t="str">
        <f>findKey(supplementary_offering_legacyid[[#This Row],[Produccion]])</f>
        <v>800000-90</v>
      </c>
      <c r="C464" s="61" t="s">
        <v>3525</v>
      </c>
      <c r="D464" t="s">
        <v>3526</v>
      </c>
      <c r="E464" t="s">
        <v>2329</v>
      </c>
      <c r="F464" t="str">
        <f>ToJsonArray(supplementary_offering_legacyid[[#Headers],[offeringid]:[mode]],supplementary_offering_legacyid[[#This Row],[offeringid]:[mode]])</f>
        <v>{"offeringid":"980000090","name":"SDP 8GB-3D_980000090","mode":"N"}</v>
      </c>
      <c r="G464" t="str">
        <f>ToJsonArray(supplementary_offering_legacyid[[#This Row],[Semilla04]],supplementary_offering_legacyid[[#This Row],[Json]])</f>
        <v>{"800000-90":{"offeringid":"980000090","name":"SDP 8GB-3D_980000090","mode":"N"}}</v>
      </c>
    </row>
    <row r="465" spans="1:7" x14ac:dyDescent="0.25">
      <c r="A465" s="60" t="s">
        <v>3527</v>
      </c>
      <c r="B465" t="str">
        <f>findKey(supplementary_offering_legacyid[[#This Row],[Produccion]])</f>
        <v>800000-91</v>
      </c>
      <c r="C465" s="61" t="s">
        <v>3528</v>
      </c>
      <c r="D465" t="s">
        <v>3529</v>
      </c>
      <c r="E465" t="s">
        <v>2329</v>
      </c>
      <c r="F465" t="str">
        <f>ToJsonArray(supplementary_offering_legacyid[[#Headers],[offeringid]:[mode]],supplementary_offering_legacyid[[#This Row],[offeringid]:[mode]])</f>
        <v>{"offeringid":"980000091","name":"SDP 10GB-3D_980000091","mode":"N"}</v>
      </c>
      <c r="G465" t="str">
        <f>ToJsonArray(supplementary_offering_legacyid[[#This Row],[Semilla04]],supplementary_offering_legacyid[[#This Row],[Json]])</f>
        <v>{"800000-91":{"offeringid":"980000091","name":"SDP 10GB-3D_980000091","mode":"N"}}</v>
      </c>
    </row>
    <row r="466" spans="1:7" x14ac:dyDescent="0.25">
      <c r="A466" s="60" t="s">
        <v>3530</v>
      </c>
      <c r="B466" t="str">
        <f>findKey(supplementary_offering_legacyid[[#This Row],[Produccion]])</f>
        <v>800000-92</v>
      </c>
      <c r="C466" s="61" t="s">
        <v>3531</v>
      </c>
      <c r="D466" t="s">
        <v>3532</v>
      </c>
      <c r="E466" t="s">
        <v>2329</v>
      </c>
      <c r="F466" t="str">
        <f>ToJsonArray(supplementary_offering_legacyid[[#Headers],[offeringid]:[mode]],supplementary_offering_legacyid[[#This Row],[offeringid]:[mode]])</f>
        <v>{"offeringid":"980000092","name":"SDP 12GB-3D_980000092","mode":"N"}</v>
      </c>
      <c r="G466" t="str">
        <f>ToJsonArray(supplementary_offering_legacyid[[#This Row],[Semilla04]],supplementary_offering_legacyid[[#This Row],[Json]])</f>
        <v>{"800000-92":{"offeringid":"980000092","name":"SDP 12GB-3D_980000092","mode":"N"}}</v>
      </c>
    </row>
    <row r="467" spans="1:7" x14ac:dyDescent="0.25">
      <c r="A467" s="60" t="s">
        <v>3533</v>
      </c>
      <c r="B467" t="str">
        <f>findKey(supplementary_offering_legacyid[[#This Row],[Produccion]])</f>
        <v>800000-93</v>
      </c>
      <c r="C467" s="61" t="s">
        <v>3534</v>
      </c>
      <c r="D467" t="s">
        <v>3535</v>
      </c>
      <c r="E467" t="s">
        <v>2329</v>
      </c>
      <c r="F467" t="str">
        <f>ToJsonArray(supplementary_offering_legacyid[[#Headers],[offeringid]:[mode]],supplementary_offering_legacyid[[#This Row],[offeringid]:[mode]])</f>
        <v>{"offeringid":"980000093","name":"SDP 20GB-5D_980000093","mode":"N"}</v>
      </c>
      <c r="G467" t="str">
        <f>ToJsonArray(supplementary_offering_legacyid[[#This Row],[Semilla04]],supplementary_offering_legacyid[[#This Row],[Json]])</f>
        <v>{"800000-93":{"offeringid":"980000093","name":"SDP 20GB-5D_980000093","mode":"N"}}</v>
      </c>
    </row>
    <row r="468" spans="1:7" x14ac:dyDescent="0.25">
      <c r="A468" s="60" t="s">
        <v>3536</v>
      </c>
      <c r="B468" t="str">
        <f>findKey(supplementary_offering_legacyid[[#This Row],[Produccion]])</f>
        <v>800000-94</v>
      </c>
      <c r="C468" s="61" t="s">
        <v>3537</v>
      </c>
      <c r="D468" t="s">
        <v>3538</v>
      </c>
      <c r="E468" t="s">
        <v>2329</v>
      </c>
      <c r="F468" t="str">
        <f>ToJsonArray(supplementary_offering_legacyid[[#Headers],[offeringid]:[mode]],supplementary_offering_legacyid[[#This Row],[offeringid]:[mode]])</f>
        <v>{"offeringid":"980000094","name":"SDP 6GB-2D_980000094","mode":"N"}</v>
      </c>
      <c r="G468" t="str">
        <f>ToJsonArray(supplementary_offering_legacyid[[#This Row],[Semilla04]],supplementary_offering_legacyid[[#This Row],[Json]])</f>
        <v>{"800000-94":{"offeringid":"980000094","name":"SDP 6GB-2D_980000094","mode":"N"}}</v>
      </c>
    </row>
    <row r="469" spans="1:7" x14ac:dyDescent="0.25">
      <c r="A469" s="60" t="s">
        <v>3539</v>
      </c>
      <c r="B469" t="str">
        <f>findKey(supplementary_offering_legacyid[[#This Row],[Produccion]])</f>
        <v>800000-95</v>
      </c>
      <c r="C469" s="61" t="s">
        <v>3540</v>
      </c>
      <c r="D469" t="s">
        <v>3541</v>
      </c>
      <c r="E469" t="s">
        <v>2329</v>
      </c>
      <c r="F469" t="str">
        <f>ToJsonArray(supplementary_offering_legacyid[[#Headers],[offeringid]:[mode]],supplementary_offering_legacyid[[#This Row],[offeringid]:[mode]])</f>
        <v>{"offeringid":"980000095","name":"SDP 8GB-2D_980000095","mode":"N"}</v>
      </c>
      <c r="G469" t="str">
        <f>ToJsonArray(supplementary_offering_legacyid[[#This Row],[Semilla04]],supplementary_offering_legacyid[[#This Row],[Json]])</f>
        <v>{"800000-95":{"offeringid":"980000095","name":"SDP 8GB-2D_980000095","mode":"N"}}</v>
      </c>
    </row>
    <row r="470" spans="1:7" x14ac:dyDescent="0.25">
      <c r="A470" s="60" t="s">
        <v>3542</v>
      </c>
      <c r="B470" t="str">
        <f>findKey(supplementary_offering_legacyid[[#This Row],[Produccion]])</f>
        <v>800000-96</v>
      </c>
      <c r="C470" s="61" t="s">
        <v>3543</v>
      </c>
      <c r="D470" t="s">
        <v>3544</v>
      </c>
      <c r="E470" t="s">
        <v>2329</v>
      </c>
      <c r="F470" t="str">
        <f>ToJsonArray(supplementary_offering_legacyid[[#Headers],[offeringid]:[mode]],supplementary_offering_legacyid[[#This Row],[offeringid]:[mode]])</f>
        <v>{"offeringid":"980000096","name":"SDP 8GB-3D_980000096","mode":"N"}</v>
      </c>
      <c r="G470" t="str">
        <f>ToJsonArray(supplementary_offering_legacyid[[#This Row],[Semilla04]],supplementary_offering_legacyid[[#This Row],[Json]])</f>
        <v>{"800000-96":{"offeringid":"980000096","name":"SDP 8GB-3D_980000096","mode":"N"}}</v>
      </c>
    </row>
    <row r="471" spans="1:7" x14ac:dyDescent="0.25">
      <c r="A471" s="60" t="s">
        <v>3545</v>
      </c>
      <c r="B471" t="str">
        <f>findKey(supplementary_offering_legacyid[[#This Row],[Produccion]])</f>
        <v>800000-97</v>
      </c>
      <c r="C471" s="61" t="s">
        <v>3546</v>
      </c>
      <c r="D471" t="s">
        <v>3547</v>
      </c>
      <c r="E471" t="s">
        <v>2329</v>
      </c>
      <c r="F471" t="str">
        <f>ToJsonArray(supplementary_offering_legacyid[[#Headers],[offeringid]:[mode]],supplementary_offering_legacyid[[#This Row],[offeringid]:[mode]])</f>
        <v>{"offeringid":"980000097","name":"SDP 10GB-3D_980000097","mode":"N"}</v>
      </c>
      <c r="G471" t="str">
        <f>ToJsonArray(supplementary_offering_legacyid[[#This Row],[Semilla04]],supplementary_offering_legacyid[[#This Row],[Json]])</f>
        <v>{"800000-97":{"offeringid":"980000097","name":"SDP 10GB-3D_980000097","mode":"N"}}</v>
      </c>
    </row>
    <row r="472" spans="1:7" x14ac:dyDescent="0.25">
      <c r="A472" s="60" t="s">
        <v>3548</v>
      </c>
      <c r="B472" t="str">
        <f>findKey(supplementary_offering_legacyid[[#This Row],[Produccion]])</f>
        <v>800000-98</v>
      </c>
      <c r="C472" s="61" t="s">
        <v>3549</v>
      </c>
      <c r="D472" t="s">
        <v>3550</v>
      </c>
      <c r="E472" t="s">
        <v>2329</v>
      </c>
      <c r="F472" t="str">
        <f>ToJsonArray(supplementary_offering_legacyid[[#Headers],[offeringid]:[mode]],supplementary_offering_legacyid[[#This Row],[offeringid]:[mode]])</f>
        <v>{"offeringid":"980000098","name":"SDP 12GB-3D_980000098","mode":"N"}</v>
      </c>
      <c r="G472" t="str">
        <f>ToJsonArray(supplementary_offering_legacyid[[#This Row],[Semilla04]],supplementary_offering_legacyid[[#This Row],[Json]])</f>
        <v>{"800000-98":{"offeringid":"980000098","name":"SDP 12GB-3D_980000098","mode":"N"}}</v>
      </c>
    </row>
    <row r="473" spans="1:7" x14ac:dyDescent="0.25">
      <c r="A473" s="60" t="s">
        <v>3551</v>
      </c>
      <c r="B473" t="str">
        <f>findKey(supplementary_offering_legacyid[[#This Row],[Produccion]])</f>
        <v>800000-99</v>
      </c>
      <c r="C473" s="61" t="s">
        <v>3552</v>
      </c>
      <c r="D473" t="s">
        <v>3553</v>
      </c>
      <c r="E473" t="s">
        <v>2329</v>
      </c>
      <c r="F473" t="str">
        <f>ToJsonArray(supplementary_offering_legacyid[[#Headers],[offeringid]:[mode]],supplementary_offering_legacyid[[#This Row],[offeringid]:[mode]])</f>
        <v>{"offeringid":"980000099","name":"SDP 20GB-5D_980000099","mode":"N"}</v>
      </c>
      <c r="G473" t="str">
        <f>ToJsonArray(supplementary_offering_legacyid[[#This Row],[Semilla04]],supplementary_offering_legacyid[[#This Row],[Json]])</f>
        <v>{"800000-99":{"offeringid":"980000099","name":"SDP 20GB-5D_980000099","mode":"N"}}</v>
      </c>
    </row>
    <row r="474" spans="1:7" x14ac:dyDescent="0.25">
      <c r="A474" s="60" t="s">
        <v>3554</v>
      </c>
      <c r="B474" t="str">
        <f>findKey(supplementary_offering_legacyid[[#This Row],[Produccion]])</f>
        <v>800010-00</v>
      </c>
      <c r="C474" s="61" t="s">
        <v>3555</v>
      </c>
      <c r="D474" t="s">
        <v>3556</v>
      </c>
      <c r="E474" t="s">
        <v>2329</v>
      </c>
      <c r="F474" t="str">
        <f>ToJsonArray(supplementary_offering_legacyid[[#Headers],[offeringid]:[mode]],supplementary_offering_legacyid[[#This Row],[offeringid]:[mode]])</f>
        <v>{"offeringid":"980001000","name":"SDP 7.5GB-2D_980001000","mode":"N"}</v>
      </c>
      <c r="G474" t="str">
        <f>ToJsonArray(supplementary_offering_legacyid[[#This Row],[Semilla04]],supplementary_offering_legacyid[[#This Row],[Json]])</f>
        <v>{"800010-00":{"offeringid":"980001000","name":"SDP 7.5GB-2D_980001000","mode":"N"}}</v>
      </c>
    </row>
    <row r="475" spans="1:7" x14ac:dyDescent="0.25">
      <c r="A475" s="60" t="s">
        <v>3557</v>
      </c>
      <c r="B475" t="str">
        <f>findKey(supplementary_offering_legacyid[[#This Row],[Produccion]])</f>
        <v>810001-05</v>
      </c>
      <c r="C475" s="61" t="s">
        <v>3558</v>
      </c>
      <c r="D475" t="s">
        <v>3559</v>
      </c>
      <c r="E475" t="s">
        <v>2329</v>
      </c>
      <c r="F475" t="str">
        <f>ToJsonArray(supplementary_offering_legacyid[[#Headers],[offeringid]:[mode]],supplementary_offering_legacyid[[#This Row],[offeringid]:[mode]])</f>
        <v>{"offeringid":"981000105","name":"SDP 90000TD-2D_981000105","mode":"N"}</v>
      </c>
      <c r="G475" t="str">
        <f>ToJsonArray(supplementary_offering_legacyid[[#This Row],[Semilla04]],supplementary_offering_legacyid[[#This Row],[Json]])</f>
        <v>{"810001-05":{"offeringid":"981000105","name":"SDP 90000TD-2D_981000105","mode":"N"}}</v>
      </c>
    </row>
    <row r="476" spans="1:7" x14ac:dyDescent="0.25">
      <c r="A476" s="60" t="s">
        <v>3560</v>
      </c>
      <c r="B476" t="str">
        <f>findKey(supplementary_offering_legacyid[[#This Row],[Produccion]])</f>
        <v>810001-06</v>
      </c>
      <c r="C476" s="61" t="s">
        <v>3561</v>
      </c>
      <c r="D476" t="s">
        <v>3562</v>
      </c>
      <c r="E476" t="s">
        <v>2329</v>
      </c>
      <c r="F476" t="str">
        <f>ToJsonArray(supplementary_offering_legacyid[[#Headers],[offeringid]:[mode]],supplementary_offering_legacyid[[#This Row],[offeringid]:[mode]])</f>
        <v>{"offeringid":"981000106","name":"SDP 120000TD-2D_981000106","mode":"N"}</v>
      </c>
      <c r="G476" t="str">
        <f>ToJsonArray(supplementary_offering_legacyid[[#This Row],[Semilla04]],supplementary_offering_legacyid[[#This Row],[Json]])</f>
        <v>{"810001-06":{"offeringid":"981000106","name":"SDP 120000TD-2D_981000106","mode":"N"}}</v>
      </c>
    </row>
    <row r="477" spans="1:7" x14ac:dyDescent="0.25">
      <c r="A477" s="60" t="s">
        <v>3563</v>
      </c>
      <c r="B477" t="str">
        <f>findKey(supplementary_offering_legacyid[[#This Row],[Produccion]])</f>
        <v>810001-07</v>
      </c>
      <c r="C477" s="61" t="s">
        <v>3564</v>
      </c>
      <c r="D477" t="s">
        <v>3565</v>
      </c>
      <c r="E477" t="s">
        <v>2329</v>
      </c>
      <c r="F477" t="str">
        <f>ToJsonArray(supplementary_offering_legacyid[[#Headers],[offeringid]:[mode]],supplementary_offering_legacyid[[#This Row],[offeringid]:[mode]])</f>
        <v>{"offeringid":"981000107","name":"SDP 180000TD-3D_981000107","mode":"N"}</v>
      </c>
      <c r="G477" t="str">
        <f>ToJsonArray(supplementary_offering_legacyid[[#This Row],[Semilla04]],supplementary_offering_legacyid[[#This Row],[Json]])</f>
        <v>{"810001-07":{"offeringid":"981000107","name":"SDP 180000TD-3D_981000107","mode":"N"}}</v>
      </c>
    </row>
    <row r="478" spans="1:7" x14ac:dyDescent="0.25">
      <c r="A478" s="60" t="s">
        <v>3566</v>
      </c>
      <c r="B478" t="str">
        <f>findKey(supplementary_offering_legacyid[[#This Row],[Produccion]])</f>
        <v>810001-08</v>
      </c>
      <c r="C478" s="61" t="s">
        <v>3567</v>
      </c>
      <c r="D478" t="s">
        <v>3568</v>
      </c>
      <c r="E478" t="s">
        <v>2329</v>
      </c>
      <c r="F478" t="str">
        <f>ToJsonArray(supplementary_offering_legacyid[[#Headers],[offeringid]:[mode]],supplementary_offering_legacyid[[#This Row],[offeringid]:[mode]])</f>
        <v>{"offeringid":"981000108","name":"SDP 240000TD-3D_981000108","mode":"N"}</v>
      </c>
      <c r="G478" t="str">
        <f>ToJsonArray(supplementary_offering_legacyid[[#This Row],[Semilla04]],supplementary_offering_legacyid[[#This Row],[Json]])</f>
        <v>{"810001-08":{"offeringid":"981000108","name":"SDP 240000TD-3D_981000108","mode":"N"}}</v>
      </c>
    </row>
    <row r="479" spans="1:7" x14ac:dyDescent="0.25">
      <c r="A479" s="60" t="s">
        <v>3569</v>
      </c>
      <c r="B479" t="str">
        <f>findKey(supplementary_offering_legacyid[[#This Row],[Produccion]])</f>
        <v>810001-09</v>
      </c>
      <c r="C479" s="61" t="s">
        <v>3570</v>
      </c>
      <c r="D479" t="s">
        <v>3571</v>
      </c>
      <c r="E479" t="s">
        <v>2329</v>
      </c>
      <c r="F479" t="str">
        <f>ToJsonArray(supplementary_offering_legacyid[[#Headers],[offeringid]:[mode]],supplementary_offering_legacyid[[#This Row],[offeringid]:[mode]])</f>
        <v>{"offeringid":"981000109","name":"SDP 300000TD-3D_981000109","mode":"N"}</v>
      </c>
      <c r="G479" t="str">
        <f>ToJsonArray(supplementary_offering_legacyid[[#This Row],[Semilla04]],supplementary_offering_legacyid[[#This Row],[Json]])</f>
        <v>{"810001-09":{"offeringid":"981000109","name":"SDP 300000TD-3D_981000109","mode":"N"}}</v>
      </c>
    </row>
    <row r="480" spans="1:7" x14ac:dyDescent="0.25">
      <c r="A480" s="60" t="s">
        <v>3572</v>
      </c>
      <c r="B480" t="str">
        <f>findKey(supplementary_offering_legacyid[[#This Row],[Produccion]])</f>
        <v>810001-10</v>
      </c>
      <c r="C480" s="61" t="s">
        <v>3573</v>
      </c>
      <c r="D480" t="s">
        <v>3574</v>
      </c>
      <c r="E480" t="s">
        <v>2329</v>
      </c>
      <c r="F480" t="str">
        <f>ToJsonArray(supplementary_offering_legacyid[[#Headers],[offeringid]:[mode]],supplementary_offering_legacyid[[#This Row],[offeringid]:[mode]])</f>
        <v>{"offeringid":"981000110","name":"SDP 600000TD-5D_981000110","mode":"N"}</v>
      </c>
      <c r="G480" t="str">
        <f>ToJsonArray(supplementary_offering_legacyid[[#This Row],[Semilla04]],supplementary_offering_legacyid[[#This Row],[Json]])</f>
        <v>{"810001-10":{"offeringid":"981000110","name":"SDP 600000TD-5D_981000110","mode":"N"}}</v>
      </c>
    </row>
    <row r="481" spans="1:7" x14ac:dyDescent="0.25">
      <c r="A481" s="60" t="s">
        <v>3575</v>
      </c>
      <c r="B481" t="str">
        <f>findKey(supplementary_offering_legacyid[[#This Row],[Produccion]])</f>
        <v>810001-11</v>
      </c>
      <c r="C481" s="61" t="s">
        <v>3576</v>
      </c>
      <c r="D481" t="s">
        <v>3577</v>
      </c>
      <c r="E481" t="s">
        <v>2329</v>
      </c>
      <c r="F481" t="str">
        <f>ToJsonArray(supplementary_offering_legacyid[[#Headers],[offeringid]:[mode]],supplementary_offering_legacyid[[#This Row],[offeringid]:[mode]])</f>
        <v>{"offeringid":"981000111","name":"SDP 10000TD-5D_981000111","mode":"N"}</v>
      </c>
      <c r="G481" t="str">
        <f>ToJsonArray(supplementary_offering_legacyid[[#This Row],[Semilla04]],supplementary_offering_legacyid[[#This Row],[Json]])</f>
        <v>{"810001-11":{"offeringid":"981000111","name":"SDP 10000TD-5D_981000111","mode":"N"}}</v>
      </c>
    </row>
    <row r="482" spans="1:7" x14ac:dyDescent="0.25">
      <c r="A482" s="60" t="s">
        <v>3578</v>
      </c>
      <c r="B482" t="str">
        <f>findKey(supplementary_offering_legacyid[[#This Row],[Produccion]])</f>
        <v>810001-12</v>
      </c>
      <c r="C482" s="61" t="s">
        <v>3579</v>
      </c>
      <c r="D482" t="s">
        <v>3580</v>
      </c>
      <c r="E482" t="s">
        <v>2329</v>
      </c>
      <c r="F482" t="str">
        <f>ToJsonArray(supplementary_offering_legacyid[[#Headers],[offeringid]:[mode]],supplementary_offering_legacyid[[#This Row],[offeringid]:[mode]])</f>
        <v>{"offeringid":"981000112","name":"SDP 5000TD-3D_981000112","mode":"N"}</v>
      </c>
      <c r="G482" t="str">
        <f>ToJsonArray(supplementary_offering_legacyid[[#This Row],[Semilla04]],supplementary_offering_legacyid[[#This Row],[Json]])</f>
        <v>{"810001-12":{"offeringid":"981000112","name":"SDP 5000TD-3D_981000112","mode":"N"}}</v>
      </c>
    </row>
    <row r="483" spans="1:7" x14ac:dyDescent="0.25">
      <c r="A483" s="60" t="s">
        <v>3581</v>
      </c>
      <c r="B483" t="str">
        <f>findKey(supplementary_offering_legacyid[[#This Row],[Produccion]])</f>
        <v>810001-13</v>
      </c>
      <c r="C483" s="61" t="s">
        <v>3582</v>
      </c>
      <c r="D483" t="s">
        <v>3583</v>
      </c>
      <c r="E483" t="s">
        <v>2329</v>
      </c>
      <c r="F483" t="str">
        <f>ToJsonArray(supplementary_offering_legacyid[[#Headers],[offeringid]:[mode]],supplementary_offering_legacyid[[#This Row],[offeringid]:[mode]])</f>
        <v>{"offeringid":"981000113","name":"SDP 4000TD-3D_981000113","mode":"N"}</v>
      </c>
      <c r="G483" t="str">
        <f>ToJsonArray(supplementary_offering_legacyid[[#This Row],[Semilla04]],supplementary_offering_legacyid[[#This Row],[Json]])</f>
        <v>{"810001-13":{"offeringid":"981000113","name":"SDP 4000TD-3D_981000113","mode":"N"}}</v>
      </c>
    </row>
    <row r="484" spans="1:7" x14ac:dyDescent="0.25">
      <c r="A484" s="60" t="s">
        <v>3584</v>
      </c>
      <c r="B484" t="str">
        <f>findKey(supplementary_offering_legacyid[[#This Row],[Produccion]])</f>
        <v>810001-14</v>
      </c>
      <c r="C484" s="61" t="s">
        <v>3585</v>
      </c>
      <c r="D484" t="s">
        <v>3586</v>
      </c>
      <c r="E484" t="s">
        <v>2329</v>
      </c>
      <c r="F484" t="str">
        <f>ToJsonArray(supplementary_offering_legacyid[[#Headers],[offeringid]:[mode]],supplementary_offering_legacyid[[#This Row],[offeringid]:[mode]])</f>
        <v>{"offeringid":"981000114","name":"SDP 3000TD-3D_981000114","mode":"N"}</v>
      </c>
      <c r="G484" t="str">
        <f>ToJsonArray(supplementary_offering_legacyid[[#This Row],[Semilla04]],supplementary_offering_legacyid[[#This Row],[Json]])</f>
        <v>{"810001-14":{"offeringid":"981000114","name":"SDP 3000TD-3D_981000114","mode":"N"}}</v>
      </c>
    </row>
    <row r="485" spans="1:7" x14ac:dyDescent="0.25">
      <c r="A485" s="60" t="s">
        <v>3587</v>
      </c>
      <c r="B485" t="str">
        <f>findKey(supplementary_offering_legacyid[[#This Row],[Produccion]])</f>
        <v>810001-15</v>
      </c>
      <c r="C485" s="61" t="s">
        <v>3588</v>
      </c>
      <c r="D485" t="s">
        <v>3589</v>
      </c>
      <c r="E485" t="s">
        <v>2329</v>
      </c>
      <c r="F485" t="str">
        <f>ToJsonArray(supplementary_offering_legacyid[[#Headers],[offeringid]:[mode]],supplementary_offering_legacyid[[#This Row],[offeringid]:[mode]])</f>
        <v>{"offeringid":"981000115","name":"SDP 1500TD-2D_981000115","mode":"N"}</v>
      </c>
      <c r="G485" t="str">
        <f>ToJsonArray(supplementary_offering_legacyid[[#This Row],[Semilla04]],supplementary_offering_legacyid[[#This Row],[Json]])</f>
        <v>{"810001-15":{"offeringid":"981000115","name":"SDP 1500TD-2D_981000115","mode":"N"}}</v>
      </c>
    </row>
    <row r="486" spans="1:7" x14ac:dyDescent="0.25">
      <c r="A486" s="60" t="s">
        <v>3590</v>
      </c>
      <c r="B486" t="str">
        <f>findKey(supplementary_offering_legacyid[[#This Row],[Produccion]])</f>
        <v>810001-16</v>
      </c>
      <c r="C486" s="61" t="s">
        <v>3591</v>
      </c>
      <c r="D486" t="s">
        <v>3592</v>
      </c>
      <c r="E486" t="s">
        <v>2329</v>
      </c>
      <c r="F486" t="str">
        <f>ToJsonArray(supplementary_offering_legacyid[[#Headers],[offeringid]:[mode]],supplementary_offering_legacyid[[#This Row],[offeringid]:[mode]])</f>
        <v>{"offeringid":"981000116","name":"SDP 2000TD-2D_981000116","mode":"N"}</v>
      </c>
      <c r="G486" t="str">
        <f>ToJsonArray(supplementary_offering_legacyid[[#This Row],[Semilla04]],supplementary_offering_legacyid[[#This Row],[Json]])</f>
        <v>{"810001-16":{"offeringid":"981000116","name":"SDP 2000TD-2D_981000116","mode":"N"}}</v>
      </c>
    </row>
    <row r="487" spans="1:7" x14ac:dyDescent="0.25">
      <c r="A487" s="60" t="s">
        <v>3593</v>
      </c>
      <c r="B487" t="str">
        <f>findKey(supplementary_offering_legacyid[[#This Row],[Produccion]])</f>
        <v>810003-03</v>
      </c>
      <c r="C487" s="61" t="s">
        <v>3594</v>
      </c>
      <c r="D487" t="s">
        <v>3595</v>
      </c>
      <c r="E487" t="s">
        <v>2329</v>
      </c>
      <c r="F487" t="str">
        <f>ToJsonArray(supplementary_offering_legacyid[[#Headers],[offeringid]:[mode]],supplementary_offering_legacyid[[#This Row],[offeringid]:[mode]])</f>
        <v>{"offeringid":"981000303","name":"SDP 100000SMS-2D_981000303","mode":"N"}</v>
      </c>
      <c r="G487" t="str">
        <f>ToJsonArray(supplementary_offering_legacyid[[#This Row],[Semilla04]],supplementary_offering_legacyid[[#This Row],[Json]])</f>
        <v>{"810003-03":{"offeringid":"981000303","name":"SDP 100000SMS-2D_981000303","mode":"N"}}</v>
      </c>
    </row>
    <row r="488" spans="1:7" x14ac:dyDescent="0.25">
      <c r="A488" s="60" t="s">
        <v>3596</v>
      </c>
      <c r="B488" t="str">
        <f>findKey(supplementary_offering_legacyid[[#This Row],[Produccion]])</f>
        <v>810003-04</v>
      </c>
      <c r="C488" s="61" t="s">
        <v>3597</v>
      </c>
      <c r="D488" t="s">
        <v>3598</v>
      </c>
      <c r="E488" t="s">
        <v>2329</v>
      </c>
      <c r="F488" t="str">
        <f>ToJsonArray(supplementary_offering_legacyid[[#Headers],[offeringid]:[mode]],supplementary_offering_legacyid[[#This Row],[offeringid]:[mode]])</f>
        <v>{"offeringid":"981000304","name":"SDP 100000SMS-3D_981000304","mode":"N"}</v>
      </c>
      <c r="G488" t="str">
        <f>ToJsonArray(supplementary_offering_legacyid[[#This Row],[Semilla04]],supplementary_offering_legacyid[[#This Row],[Json]])</f>
        <v>{"810003-04":{"offeringid":"981000304","name":"SDP 100000SMS-3D_981000304","mode":"N"}}</v>
      </c>
    </row>
    <row r="489" spans="1:7" x14ac:dyDescent="0.25">
      <c r="A489" s="60" t="s">
        <v>3599</v>
      </c>
      <c r="B489" t="str">
        <f>findKey(supplementary_offering_legacyid[[#This Row],[Produccion]])</f>
        <v>810003-05</v>
      </c>
      <c r="C489" s="61" t="s">
        <v>3600</v>
      </c>
      <c r="D489" t="s">
        <v>3601</v>
      </c>
      <c r="E489" t="s">
        <v>2329</v>
      </c>
      <c r="F489" t="str">
        <f>ToJsonArray(supplementary_offering_legacyid[[#Headers],[offeringid]:[mode]],supplementary_offering_legacyid[[#This Row],[offeringid]:[mode]])</f>
        <v>{"offeringid":"981000305","name":"SDP 100000SMS-5D_981000305","mode":"N"}</v>
      </c>
      <c r="G489" t="str">
        <f>ToJsonArray(supplementary_offering_legacyid[[#This Row],[Semilla04]],supplementary_offering_legacyid[[#This Row],[Json]])</f>
        <v>{"810003-05":{"offeringid":"981000305","name":"SDP 100000SMS-5D_981000305","mode":"N"}}</v>
      </c>
    </row>
    <row r="490" spans="1:7" x14ac:dyDescent="0.25">
      <c r="A490" s="60" t="s">
        <v>3602</v>
      </c>
      <c r="B490" t="str">
        <f>findKey(supplementary_offering_legacyid[[#This Row],[Produccion]])</f>
        <v>810003-06</v>
      </c>
      <c r="C490" s="61" t="s">
        <v>3603</v>
      </c>
      <c r="D490" t="s">
        <v>3604</v>
      </c>
      <c r="E490" t="s">
        <v>2329</v>
      </c>
      <c r="F490" t="str">
        <f>ToJsonArray(supplementary_offering_legacyid[[#Headers],[offeringid]:[mode]],supplementary_offering_legacyid[[#This Row],[offeringid]:[mode]])</f>
        <v>{"offeringid":"981000306","name":"SDP UnlimitedSMS-3D_981000306","mode":"N"}</v>
      </c>
      <c r="G490" t="str">
        <f>ToJsonArray(supplementary_offering_legacyid[[#This Row],[Semilla04]],supplementary_offering_legacyid[[#This Row],[Json]])</f>
        <v>{"810003-06":{"offeringid":"981000306","name":"SDP UnlimitedSMS-3D_981000306","mode":"N"}}</v>
      </c>
    </row>
    <row r="491" spans="1:7" x14ac:dyDescent="0.25">
      <c r="A491" s="60" t="s">
        <v>3605</v>
      </c>
      <c r="B491" t="str">
        <f>findKey(supplementary_offering_legacyid[[#This Row],[Produccion]])</f>
        <v>810003-07</v>
      </c>
      <c r="C491" s="61" t="s">
        <v>3606</v>
      </c>
      <c r="D491" t="s">
        <v>3607</v>
      </c>
      <c r="E491" t="s">
        <v>2329</v>
      </c>
      <c r="F491" t="str">
        <f>ToJsonArray(supplementary_offering_legacyid[[#Headers],[offeringid]:[mode]],supplementary_offering_legacyid[[#This Row],[offeringid]:[mode]])</f>
        <v>{"offeringid":"981000307","name":"SDP UnlimitedSMS-2D_981000307","mode":"N"}</v>
      </c>
      <c r="G491" t="str">
        <f>ToJsonArray(supplementary_offering_legacyid[[#This Row],[Semilla04]],supplementary_offering_legacyid[[#This Row],[Json]])</f>
        <v>{"810003-07":{"offeringid":"981000307","name":"SDP UnlimitedSMS-2D_981000307","mode":"N"}}</v>
      </c>
    </row>
    <row r="492" spans="1:7" x14ac:dyDescent="0.25">
      <c r="A492" s="60" t="s">
        <v>3608</v>
      </c>
      <c r="B492" t="str">
        <f>findKey(supplementary_offering_legacyid[[#This Row],[Produccion]])</f>
        <v>810003-08</v>
      </c>
      <c r="C492" s="61" t="s">
        <v>3609</v>
      </c>
      <c r="D492" t="s">
        <v>3610</v>
      </c>
      <c r="E492" t="s">
        <v>2329</v>
      </c>
      <c r="F492" t="str">
        <f>ToJsonArray(supplementary_offering_legacyid[[#Headers],[offeringid]:[mode]],supplementary_offering_legacyid[[#This Row],[offeringid]:[mode]])</f>
        <v>{"offeringid":"981000308","name":"SDP UnlimitedSMS-5D_981000308","mode":"N"}</v>
      </c>
      <c r="G492" t="str">
        <f>ToJsonArray(supplementary_offering_legacyid[[#This Row],[Semilla04]],supplementary_offering_legacyid[[#This Row],[Json]])</f>
        <v>{"810003-08":{"offeringid":"981000308","name":"SDP UnlimitedSMS-5D_981000308","mode":"N"}}</v>
      </c>
    </row>
    <row r="493" spans="1:7" x14ac:dyDescent="0.25">
      <c r="A493" s="60" t="s">
        <v>3611</v>
      </c>
      <c r="B493" t="str">
        <f>findKey(supplementary_offering_legacyid[[#This Row],[Produccion]])</f>
        <v>810004-11</v>
      </c>
      <c r="C493" s="61" t="s">
        <v>3612</v>
      </c>
      <c r="D493" t="s">
        <v>3613</v>
      </c>
      <c r="E493" t="s">
        <v>2329</v>
      </c>
      <c r="F493" t="str">
        <f>ToJsonArray(supplementary_offering_legacyid[[#Headers],[offeringid]:[mode]],supplementary_offering_legacyid[[#This Row],[offeringid]:[mode]])</f>
        <v>{"offeringid":"981000411","name":"CUG-4D_981000411","mode":"N"}</v>
      </c>
      <c r="G493" t="str">
        <f>ToJsonArray(supplementary_offering_legacyid[[#This Row],[Semilla04]],supplementary_offering_legacyid[[#This Row],[Json]])</f>
        <v>{"810004-11":{"offeringid":"981000411","name":"CUG-4D_981000411","mode":"N"}}</v>
      </c>
    </row>
    <row r="494" spans="1:7" x14ac:dyDescent="0.25">
      <c r="A494" s="60" t="s">
        <v>3614</v>
      </c>
      <c r="B494" t="str">
        <f>findKey(supplementary_offering_legacyid[[#This Row],[Produccion]])</f>
        <v>810004-13</v>
      </c>
      <c r="C494" s="61" t="s">
        <v>3615</v>
      </c>
      <c r="D494" t="s">
        <v>3616</v>
      </c>
      <c r="E494" t="s">
        <v>2329</v>
      </c>
      <c r="F494" t="str">
        <f>ToJsonArray(supplementary_offering_legacyid[[#Headers],[offeringid]:[mode]],supplementary_offering_legacyid[[#This Row],[offeringid]:[mode]])</f>
        <v>{"offeringid":"981000413","name":"CUG-4D_981000413","mode":"N"}</v>
      </c>
      <c r="G494" t="str">
        <f>ToJsonArray(supplementary_offering_legacyid[[#This Row],[Semilla04]],supplementary_offering_legacyid[[#This Row],[Json]])</f>
        <v>{"810004-13":{"offeringid":"981000413","name":"CUG-4D_981000413","mode":"N"}}</v>
      </c>
    </row>
    <row r="495" spans="1:7" x14ac:dyDescent="0.25">
      <c r="A495" s="60" t="s">
        <v>3617</v>
      </c>
      <c r="B495" t="str">
        <f>findKey(supplementary_offering_legacyid[[#This Row],[Produccion]])</f>
        <v>810004-14</v>
      </c>
      <c r="C495" s="61" t="s">
        <v>3618</v>
      </c>
      <c r="D495" t="s">
        <v>3619</v>
      </c>
      <c r="E495" t="s">
        <v>2329</v>
      </c>
      <c r="F495" t="str">
        <f>ToJsonArray(supplementary_offering_legacyid[[#Headers],[offeringid]:[mode]],supplementary_offering_legacyid[[#This Row],[offeringid]:[mode]])</f>
        <v>{"offeringid":"981000414","name":"CUG-2D_981000414","mode":"N"}</v>
      </c>
      <c r="G495" t="str">
        <f>ToJsonArray(supplementary_offering_legacyid[[#This Row],[Semilla04]],supplementary_offering_legacyid[[#This Row],[Json]])</f>
        <v>{"810004-14":{"offeringid":"981000414","name":"CUG-2D_981000414","mode":"N"}}</v>
      </c>
    </row>
    <row r="496" spans="1:7" x14ac:dyDescent="0.25">
      <c r="A496" s="60" t="s">
        <v>3620</v>
      </c>
      <c r="B496" t="str">
        <f>findKey(supplementary_offering_legacyid[[#This Row],[Produccion]])</f>
        <v>810004-15</v>
      </c>
      <c r="C496" s="61" t="s">
        <v>3621</v>
      </c>
      <c r="D496" t="s">
        <v>3622</v>
      </c>
      <c r="E496" t="s">
        <v>2329</v>
      </c>
      <c r="F496" t="str">
        <f>ToJsonArray(supplementary_offering_legacyid[[#Headers],[offeringid]:[mode]],supplementary_offering_legacyid[[#This Row],[offeringid]:[mode]])</f>
        <v>{"offeringid":"981000415","name":"CUG-2D_981000415","mode":"N"}</v>
      </c>
      <c r="G496" t="str">
        <f>ToJsonArray(supplementary_offering_legacyid[[#This Row],[Semilla04]],supplementary_offering_legacyid[[#This Row],[Json]])</f>
        <v>{"810004-15":{"offeringid":"981000415","name":"CUG-2D_981000415","mode":"N"}}</v>
      </c>
    </row>
    <row r="497" spans="1:7" x14ac:dyDescent="0.25">
      <c r="A497" s="60" t="s">
        <v>3623</v>
      </c>
      <c r="B497" t="str">
        <f>findKey(supplementary_offering_legacyid[[#This Row],[Produccion]])</f>
        <v>810004-16</v>
      </c>
      <c r="C497" s="61" t="s">
        <v>3624</v>
      </c>
      <c r="D497" t="s">
        <v>3625</v>
      </c>
      <c r="E497" t="s">
        <v>2329</v>
      </c>
      <c r="F497" t="str">
        <f>ToJsonArray(supplementary_offering_legacyid[[#Headers],[offeringid]:[mode]],supplementary_offering_legacyid[[#This Row],[offeringid]:[mode]])</f>
        <v>{"offeringid":"981000416","name":"CUG-2D_981000416","mode":"N"}</v>
      </c>
      <c r="G497" t="str">
        <f>ToJsonArray(supplementary_offering_legacyid[[#This Row],[Semilla04]],supplementary_offering_legacyid[[#This Row],[Json]])</f>
        <v>{"810004-16":{"offeringid":"981000416","name":"CUG-2D_981000416","mode":"N"}}</v>
      </c>
    </row>
    <row r="498" spans="1:7" x14ac:dyDescent="0.25">
      <c r="A498" s="60" t="s">
        <v>3626</v>
      </c>
      <c r="B498" t="str">
        <f>findKey(supplementary_offering_legacyid[[#This Row],[Produccion]])</f>
        <v>810004-17</v>
      </c>
      <c r="C498" s="61" t="s">
        <v>3627</v>
      </c>
      <c r="D498" t="s">
        <v>3628</v>
      </c>
      <c r="E498" t="s">
        <v>2329</v>
      </c>
      <c r="F498" t="str">
        <f>ToJsonArray(supplementary_offering_legacyid[[#Headers],[offeringid]:[mode]],supplementary_offering_legacyid[[#This Row],[offeringid]:[mode]])</f>
        <v>{"offeringid":"981000417","name":"CUG-2D_981000417","mode":"N"}</v>
      </c>
      <c r="G498" t="str">
        <f>ToJsonArray(supplementary_offering_legacyid[[#This Row],[Semilla04]],supplementary_offering_legacyid[[#This Row],[Json]])</f>
        <v>{"810004-17":{"offeringid":"981000417","name":"CUG-2D_981000417","mode":"N"}}</v>
      </c>
    </row>
    <row r="499" spans="1:7" x14ac:dyDescent="0.25">
      <c r="A499" s="60" t="s">
        <v>3629</v>
      </c>
      <c r="B499" t="str">
        <f>findKey(supplementary_offering_legacyid[[#This Row],[Produccion]])</f>
        <v>810004-18</v>
      </c>
      <c r="C499" s="61" t="s">
        <v>3630</v>
      </c>
      <c r="D499" t="s">
        <v>3631</v>
      </c>
      <c r="E499" t="s">
        <v>2329</v>
      </c>
      <c r="F499" t="str">
        <f>ToJsonArray(supplementary_offering_legacyid[[#Headers],[offeringid]:[mode]],supplementary_offering_legacyid[[#This Row],[offeringid]:[mode]])</f>
        <v>{"offeringid":"981000418","name":"CUG-3D_981000418","mode":"N"}</v>
      </c>
      <c r="G499" t="str">
        <f>ToJsonArray(supplementary_offering_legacyid[[#This Row],[Semilla04]],supplementary_offering_legacyid[[#This Row],[Json]])</f>
        <v>{"810004-18":{"offeringid":"981000418","name":"CUG-3D_981000418","mode":"N"}}</v>
      </c>
    </row>
    <row r="500" spans="1:7" x14ac:dyDescent="0.25">
      <c r="A500" s="60" t="s">
        <v>3632</v>
      </c>
      <c r="B500" t="str">
        <f>findKey(supplementary_offering_legacyid[[#This Row],[Produccion]])</f>
        <v>810004-19</v>
      </c>
      <c r="C500" s="61" t="s">
        <v>3633</v>
      </c>
      <c r="D500" t="s">
        <v>3634</v>
      </c>
      <c r="E500" t="s">
        <v>2329</v>
      </c>
      <c r="F500" t="str">
        <f>ToJsonArray(supplementary_offering_legacyid[[#Headers],[offeringid]:[mode]],supplementary_offering_legacyid[[#This Row],[offeringid]:[mode]])</f>
        <v>{"offeringid":"981000419","name":"CUG-4D_981000419","mode":"N"}</v>
      </c>
      <c r="G500" t="str">
        <f>ToJsonArray(supplementary_offering_legacyid[[#This Row],[Semilla04]],supplementary_offering_legacyid[[#This Row],[Json]])</f>
        <v>{"810004-19":{"offeringid":"981000419","name":"CUG-4D_981000419","mode":"N"}}</v>
      </c>
    </row>
    <row r="501" spans="1:7" x14ac:dyDescent="0.25">
      <c r="A501" s="60" t="s">
        <v>3635</v>
      </c>
      <c r="B501" t="str">
        <f>findKey(supplementary_offering_legacyid[[#This Row],[Produccion]])</f>
        <v>810004-20</v>
      </c>
      <c r="C501" s="61" t="s">
        <v>3636</v>
      </c>
      <c r="D501" t="s">
        <v>3637</v>
      </c>
      <c r="E501" t="s">
        <v>2329</v>
      </c>
      <c r="F501" t="str">
        <f>ToJsonArray(supplementary_offering_legacyid[[#Headers],[offeringid]:[mode]],supplementary_offering_legacyid[[#This Row],[offeringid]:[mode]])</f>
        <v>{"offeringid":"981000420","name":"CUG-4D_981000420","mode":"N"}</v>
      </c>
      <c r="G501" t="str">
        <f>ToJsonArray(supplementary_offering_legacyid[[#This Row],[Semilla04]],supplementary_offering_legacyid[[#This Row],[Json]])</f>
        <v>{"810004-20":{"offeringid":"981000420","name":"CUG-4D_981000420","mode":"N"}}</v>
      </c>
    </row>
    <row r="502" spans="1:7" x14ac:dyDescent="0.25">
      <c r="A502" s="60" t="s">
        <v>3638</v>
      </c>
      <c r="B502" t="str">
        <f>findKey(supplementary_offering_legacyid[[#This Row],[Produccion]])</f>
        <v>810004-21</v>
      </c>
      <c r="C502" s="61" t="s">
        <v>3639</v>
      </c>
      <c r="D502" t="s">
        <v>3640</v>
      </c>
      <c r="E502" t="s">
        <v>2329</v>
      </c>
      <c r="F502" t="str">
        <f>ToJsonArray(supplementary_offering_legacyid[[#Headers],[offeringid]:[mode]],supplementary_offering_legacyid[[#This Row],[offeringid]:[mode]])</f>
        <v>{"offeringid":"981000421","name":"CUG-5D_981000421","mode":"N"}</v>
      </c>
      <c r="G502" t="str">
        <f>ToJsonArray(supplementary_offering_legacyid[[#This Row],[Semilla04]],supplementary_offering_legacyid[[#This Row],[Json]])</f>
        <v>{"810004-21":{"offeringid":"981000421","name":"CUG-5D_981000421","mode":"N"}}</v>
      </c>
    </row>
    <row r="503" spans="1:7" x14ac:dyDescent="0.25">
      <c r="A503" s="60" t="s">
        <v>3641</v>
      </c>
      <c r="B503" t="str">
        <f>findKey(supplementary_offering_legacyid[[#This Row],[Produccion]])</f>
        <v>810004-23</v>
      </c>
      <c r="C503" s="61" t="s">
        <v>3642</v>
      </c>
      <c r="D503" t="s">
        <v>3643</v>
      </c>
      <c r="E503" t="s">
        <v>2329</v>
      </c>
      <c r="F503" t="str">
        <f>ToJsonArray(supplementary_offering_legacyid[[#Headers],[offeringid]:[mode]],supplementary_offering_legacyid[[#This Row],[offeringid]:[mode]])</f>
        <v>{"offeringid":"981000423","name":"CUG-4D_981000423","mode":"N"}</v>
      </c>
      <c r="G503" t="str">
        <f>ToJsonArray(supplementary_offering_legacyid[[#This Row],[Semilla04]],supplementary_offering_legacyid[[#This Row],[Json]])</f>
        <v>{"810004-23":{"offeringid":"981000423","name":"CUG-4D_981000423","mode":"N"}}</v>
      </c>
    </row>
    <row r="504" spans="1:7" x14ac:dyDescent="0.25">
      <c r="A504" s="60" t="s">
        <v>3644</v>
      </c>
      <c r="B504" t="str">
        <f>findKey(supplementary_offering_legacyid[[#This Row],[Produccion]])</f>
        <v>810004-26</v>
      </c>
      <c r="C504" s="61" t="s">
        <v>3645</v>
      </c>
      <c r="D504" t="s">
        <v>3646</v>
      </c>
      <c r="E504" t="s">
        <v>2329</v>
      </c>
      <c r="F504" t="str">
        <f>ToJsonArray(supplementary_offering_legacyid[[#Headers],[offeringid]:[mode]],supplementary_offering_legacyid[[#This Row],[offeringid]:[mode]])</f>
        <v>{"offeringid":"981000426","name":"SDP CUGV-6D_981000426","mode":"N"}</v>
      </c>
      <c r="G504" t="str">
        <f>ToJsonArray(supplementary_offering_legacyid[[#This Row],[Semilla04]],supplementary_offering_legacyid[[#This Row],[Json]])</f>
        <v>{"810004-26":{"offeringid":"981000426","name":"SDP CUGV-6D_981000426","mode":"N"}}</v>
      </c>
    </row>
    <row r="505" spans="1:7" x14ac:dyDescent="0.25">
      <c r="A505" s="60" t="s">
        <v>3647</v>
      </c>
      <c r="B505" t="str">
        <f>findKey(supplementary_offering_legacyid[[#This Row],[Produccion]])</f>
        <v>810004-28</v>
      </c>
      <c r="C505" s="61" t="s">
        <v>3648</v>
      </c>
      <c r="D505" t="s">
        <v>3649</v>
      </c>
      <c r="E505" t="s">
        <v>2329</v>
      </c>
      <c r="F505" t="str">
        <f>ToJsonArray(supplementary_offering_legacyid[[#Headers],[offeringid]:[mode]],supplementary_offering_legacyid[[#This Row],[offeringid]:[mode]])</f>
        <v>{"offeringid":"981000428","name":"CUG-4D_981000428","mode":"N"}</v>
      </c>
      <c r="G505" t="str">
        <f>ToJsonArray(supplementary_offering_legacyid[[#This Row],[Semilla04]],supplementary_offering_legacyid[[#This Row],[Json]])</f>
        <v>{"810004-28":{"offeringid":"981000428","name":"CUG-4D_981000428","mode":"N"}}</v>
      </c>
    </row>
    <row r="506" spans="1:7" x14ac:dyDescent="0.25">
      <c r="A506" s="60" t="s">
        <v>3650</v>
      </c>
      <c r="B506" t="str">
        <f>findKey(supplementary_offering_legacyid[[#This Row],[Produccion]])</f>
        <v>810004-30</v>
      </c>
      <c r="C506" s="61" t="s">
        <v>3651</v>
      </c>
      <c r="D506" t="s">
        <v>3652</v>
      </c>
      <c r="E506" t="s">
        <v>2329</v>
      </c>
      <c r="F506" t="str">
        <f>ToJsonArray(supplementary_offering_legacyid[[#Headers],[offeringid]:[mode]],supplementary_offering_legacyid[[#This Row],[offeringid]:[mode]])</f>
        <v>{"offeringid":"981000430","name":"CUG-5D_981000430","mode":"N"}</v>
      </c>
      <c r="G506" t="str">
        <f>ToJsonArray(supplementary_offering_legacyid[[#This Row],[Semilla04]],supplementary_offering_legacyid[[#This Row],[Json]])</f>
        <v>{"810004-30":{"offeringid":"981000430","name":"CUG-5D_981000430","mode":"N"}}</v>
      </c>
    </row>
    <row r="507" spans="1:7" x14ac:dyDescent="0.25">
      <c r="A507" s="60" t="s">
        <v>3653</v>
      </c>
      <c r="B507" t="str">
        <f>findKey(supplementary_offering_legacyid[[#This Row],[Produccion]])</f>
        <v>810004-33</v>
      </c>
      <c r="C507" s="61" t="s">
        <v>3654</v>
      </c>
      <c r="D507" t="s">
        <v>3655</v>
      </c>
      <c r="E507" t="s">
        <v>2329</v>
      </c>
      <c r="F507" t="str">
        <f>ToJsonArray(supplementary_offering_legacyid[[#Headers],[offeringid]:[mode]],supplementary_offering_legacyid[[#This Row],[offeringid]:[mode]])</f>
        <v>{"offeringid":"981000433","name":"CUG-4D_981000433","mode":"N"}</v>
      </c>
      <c r="G507" t="str">
        <f>ToJsonArray(supplementary_offering_legacyid[[#This Row],[Semilla04]],supplementary_offering_legacyid[[#This Row],[Json]])</f>
        <v>{"810004-33":{"offeringid":"981000433","name":"CUG-4D_981000433","mode":"N"}}</v>
      </c>
    </row>
    <row r="508" spans="1:7" x14ac:dyDescent="0.25">
      <c r="A508" s="60" t="s">
        <v>3656</v>
      </c>
      <c r="B508" t="str">
        <f>findKey(supplementary_offering_legacyid[[#This Row],[Produccion]])</f>
        <v>810004-34</v>
      </c>
      <c r="C508" s="61" t="s">
        <v>3657</v>
      </c>
      <c r="D508" t="s">
        <v>3658</v>
      </c>
      <c r="E508" t="s">
        <v>2329</v>
      </c>
      <c r="F508" t="str">
        <f>ToJsonArray(supplementary_offering_legacyid[[#Headers],[offeringid]:[mode]],supplementary_offering_legacyid[[#This Row],[offeringid]:[mode]])</f>
        <v>{"offeringid":"981000434","name":"CUG-4D_981000434","mode":"N"}</v>
      </c>
      <c r="G508" t="str">
        <f>ToJsonArray(supplementary_offering_legacyid[[#This Row],[Semilla04]],supplementary_offering_legacyid[[#This Row],[Json]])</f>
        <v>{"810004-34":{"offeringid":"981000434","name":"CUG-4D_981000434","mode":"N"}}</v>
      </c>
    </row>
    <row r="509" spans="1:7" x14ac:dyDescent="0.25">
      <c r="A509" s="60" t="s">
        <v>3659</v>
      </c>
      <c r="B509" t="str">
        <f>findKey(supplementary_offering_legacyid[[#This Row],[Produccion]])</f>
        <v>810004-35</v>
      </c>
      <c r="C509" s="61" t="s">
        <v>3660</v>
      </c>
      <c r="D509" t="s">
        <v>3661</v>
      </c>
      <c r="E509" t="s">
        <v>2329</v>
      </c>
      <c r="F509" t="str">
        <f>ToJsonArray(supplementary_offering_legacyid[[#Headers],[offeringid]:[mode]],supplementary_offering_legacyid[[#This Row],[offeringid]:[mode]])</f>
        <v>{"offeringid":"981000435","name":"CUG-5D_981000435","mode":"N"}</v>
      </c>
      <c r="G509" t="str">
        <f>ToJsonArray(supplementary_offering_legacyid[[#This Row],[Semilla04]],supplementary_offering_legacyid[[#This Row],[Json]])</f>
        <v>{"810004-35":{"offeringid":"981000435","name":"CUG-5D_981000435","mode":"N"}}</v>
      </c>
    </row>
    <row r="510" spans="1:7" x14ac:dyDescent="0.25">
      <c r="A510" s="60" t="s">
        <v>3662</v>
      </c>
      <c r="B510" t="str">
        <f>findKey(supplementary_offering_legacyid[[#This Row],[Produccion]])</f>
        <v>810004-36</v>
      </c>
      <c r="C510" s="61" t="s">
        <v>3663</v>
      </c>
      <c r="D510" t="s">
        <v>3664</v>
      </c>
      <c r="E510" t="s">
        <v>2329</v>
      </c>
      <c r="F510" t="str">
        <f>ToJsonArray(supplementary_offering_legacyid[[#Headers],[offeringid]:[mode]],supplementary_offering_legacyid[[#This Row],[offeringid]:[mode]])</f>
        <v>{"offeringid":"981000436","name":"CUG-5D_981000436","mode":"N"}</v>
      </c>
      <c r="G510" t="str">
        <f>ToJsonArray(supplementary_offering_legacyid[[#This Row],[Semilla04]],supplementary_offering_legacyid[[#This Row],[Json]])</f>
        <v>{"810004-36":{"offeringid":"981000436","name":"CUG-5D_981000436","mode":"N"}}</v>
      </c>
    </row>
    <row r="511" spans="1:7" x14ac:dyDescent="0.25">
      <c r="A511" s="60" t="s">
        <v>3665</v>
      </c>
      <c r="B511" t="str">
        <f>findKey(supplementary_offering_legacyid[[#This Row],[Produccion]])</f>
        <v>810004-59</v>
      </c>
      <c r="C511" s="61" t="s">
        <v>3666</v>
      </c>
      <c r="D511" t="s">
        <v>3667</v>
      </c>
      <c r="E511" t="s">
        <v>2329</v>
      </c>
      <c r="F511" t="str">
        <f>ToJsonArray(supplementary_offering_legacyid[[#Headers],[offeringid]:[mode]],supplementary_offering_legacyid[[#This Row],[offeringid]:[mode]])</f>
        <v>{"offeringid":"981000459","name":"CUG-4Fav_981000459","mode":"N"}</v>
      </c>
      <c r="G511" t="str">
        <f>ToJsonArray(supplementary_offering_legacyid[[#This Row],[Semilla04]],supplementary_offering_legacyid[[#This Row],[Json]])</f>
        <v>{"810004-59":{"offeringid":"981000459","name":"CUG-4Fav_981000459","mode":"N"}}</v>
      </c>
    </row>
    <row r="512" spans="1:7" x14ac:dyDescent="0.25">
      <c r="A512" s="60" t="s">
        <v>3668</v>
      </c>
      <c r="B512" t="str">
        <f>findKey(supplementary_offering_legacyid[[#This Row],[Produccion]])</f>
        <v>810004-60</v>
      </c>
      <c r="C512" s="61" t="s">
        <v>3669</v>
      </c>
      <c r="D512" t="s">
        <v>3670</v>
      </c>
      <c r="E512" t="s">
        <v>2329</v>
      </c>
      <c r="F512" t="str">
        <f>ToJsonArray(supplementary_offering_legacyid[[#Headers],[offeringid]:[mode]],supplementary_offering_legacyid[[#This Row],[offeringid]:[mode]])</f>
        <v>{"offeringid":"981000460","name":"CUG-4Fav_981000460","mode":"N"}</v>
      </c>
      <c r="G512" t="str">
        <f>ToJsonArray(supplementary_offering_legacyid[[#This Row],[Semilla04]],supplementary_offering_legacyid[[#This Row],[Json]])</f>
        <v>{"810004-60":{"offeringid":"981000460","name":"CUG-4Fav_981000460","mode":"N"}}</v>
      </c>
    </row>
    <row r="513" spans="1:7" x14ac:dyDescent="0.25">
      <c r="A513" s="60" t="s">
        <v>3671</v>
      </c>
      <c r="B513" t="str">
        <f>findKey(supplementary_offering_legacyid[[#This Row],[Produccion]])</f>
        <v>810004-61</v>
      </c>
      <c r="C513" s="61" t="s">
        <v>3672</v>
      </c>
      <c r="D513" t="s">
        <v>3673</v>
      </c>
      <c r="E513" t="s">
        <v>2329</v>
      </c>
      <c r="F513" t="str">
        <f>ToJsonArray(supplementary_offering_legacyid[[#Headers],[offeringid]:[mode]],supplementary_offering_legacyid[[#This Row],[offeringid]:[mode]])</f>
        <v>{"offeringid":"981000461","name":"CUG-5Fav_981000461","mode":"N"}</v>
      </c>
      <c r="G513" t="str">
        <f>ToJsonArray(supplementary_offering_legacyid[[#This Row],[Semilla04]],supplementary_offering_legacyid[[#This Row],[Json]])</f>
        <v>{"810004-61":{"offeringid":"981000461","name":"CUG-5Fav_981000461","mode":"N"}}</v>
      </c>
    </row>
    <row r="514" spans="1:7" x14ac:dyDescent="0.25">
      <c r="A514" s="60" t="s">
        <v>3674</v>
      </c>
      <c r="B514" t="str">
        <f>findKey(supplementary_offering_legacyid[[#This Row],[Produccion]])</f>
        <v>810004-62</v>
      </c>
      <c r="C514" s="61" t="s">
        <v>3675</v>
      </c>
      <c r="D514" t="s">
        <v>3676</v>
      </c>
      <c r="E514" t="s">
        <v>2329</v>
      </c>
      <c r="F514" t="str">
        <f>ToJsonArray(supplementary_offering_legacyid[[#Headers],[offeringid]:[mode]],supplementary_offering_legacyid[[#This Row],[offeringid]:[mode]])</f>
        <v>{"offeringid":"981000462","name":"CUG-5Fav_981000462","mode":"N"}</v>
      </c>
      <c r="G514" t="str">
        <f>ToJsonArray(supplementary_offering_legacyid[[#This Row],[Semilla04]],supplementary_offering_legacyid[[#This Row],[Json]])</f>
        <v>{"810004-62":{"offeringid":"981000462","name":"CUG-5Fav_981000462","mode":"N"}}</v>
      </c>
    </row>
    <row r="515" spans="1:7" x14ac:dyDescent="0.25">
      <c r="A515" s="60" t="s">
        <v>3677</v>
      </c>
      <c r="B515" t="str">
        <f>findKey(supplementary_offering_legacyid[[#This Row],[Produccion]])</f>
        <v>810004-63</v>
      </c>
      <c r="C515" s="61" t="s">
        <v>3678</v>
      </c>
      <c r="D515" t="s">
        <v>3679</v>
      </c>
      <c r="E515" t="s">
        <v>2329</v>
      </c>
      <c r="F515" t="str">
        <f>ToJsonArray(supplementary_offering_legacyid[[#Headers],[offeringid]:[mode]],supplementary_offering_legacyid[[#This Row],[offeringid]:[mode]])</f>
        <v>{"offeringid":"981000463","name":"CUG-2Fav_981000463","mode":"N"}</v>
      </c>
      <c r="G515" t="str">
        <f>ToJsonArray(supplementary_offering_legacyid[[#This Row],[Semilla04]],supplementary_offering_legacyid[[#This Row],[Json]])</f>
        <v>{"810004-63":{"offeringid":"981000463","name":"CUG-2Fav_981000463","mode":"N"}}</v>
      </c>
    </row>
    <row r="516" spans="1:7" x14ac:dyDescent="0.25">
      <c r="A516" s="60" t="s">
        <v>3680</v>
      </c>
      <c r="B516" t="str">
        <f>findKey(supplementary_offering_legacyid[[#This Row],[Produccion]])</f>
        <v>810004-64</v>
      </c>
      <c r="C516" s="61" t="s">
        <v>3681</v>
      </c>
      <c r="D516" t="s">
        <v>3682</v>
      </c>
      <c r="E516" t="s">
        <v>2329</v>
      </c>
      <c r="F516" t="str">
        <f>ToJsonArray(supplementary_offering_legacyid[[#Headers],[offeringid]:[mode]],supplementary_offering_legacyid[[#This Row],[offeringid]:[mode]])</f>
        <v>{"offeringid":"981000464","name":"CUG-4Fav_981000464","mode":"N"}</v>
      </c>
      <c r="G516" t="str">
        <f>ToJsonArray(supplementary_offering_legacyid[[#This Row],[Semilla04]],supplementary_offering_legacyid[[#This Row],[Json]])</f>
        <v>{"810004-64":{"offeringid":"981000464","name":"CUG-4Fav_981000464","mode":"N"}}</v>
      </c>
    </row>
    <row r="517" spans="1:7" x14ac:dyDescent="0.25">
      <c r="A517" s="60" t="s">
        <v>3683</v>
      </c>
      <c r="B517" t="str">
        <f>findKey(supplementary_offering_legacyid[[#This Row],[Produccion]])</f>
        <v>810004-65</v>
      </c>
      <c r="C517" s="61" t="s">
        <v>3684</v>
      </c>
      <c r="D517" t="s">
        <v>3685</v>
      </c>
      <c r="E517" t="s">
        <v>2329</v>
      </c>
      <c r="F517" t="str">
        <f>ToJsonArray(supplementary_offering_legacyid[[#Headers],[offeringid]:[mode]],supplementary_offering_legacyid[[#This Row],[offeringid]:[mode]])</f>
        <v>{"offeringid":"981000465","name":"CUG-3Fav_981000465","mode":"N"}</v>
      </c>
      <c r="G517" t="str">
        <f>ToJsonArray(supplementary_offering_legacyid[[#This Row],[Semilla04]],supplementary_offering_legacyid[[#This Row],[Json]])</f>
        <v>{"810004-65":{"offeringid":"981000465","name":"CUG-3Fav_981000465","mode":"N"}}</v>
      </c>
    </row>
    <row r="518" spans="1:7" x14ac:dyDescent="0.25">
      <c r="A518" s="60" t="s">
        <v>3686</v>
      </c>
      <c r="B518" t="str">
        <f>findKey(supplementary_offering_legacyid[[#This Row],[Produccion]])</f>
        <v>810004-66</v>
      </c>
      <c r="C518" s="61" t="s">
        <v>3687</v>
      </c>
      <c r="D518" t="s">
        <v>3688</v>
      </c>
      <c r="E518" t="s">
        <v>2329</v>
      </c>
      <c r="F518" t="str">
        <f>ToJsonArray(supplementary_offering_legacyid[[#Headers],[offeringid]:[mode]],supplementary_offering_legacyid[[#This Row],[offeringid]:[mode]])</f>
        <v>{"offeringid":"981000466","name":"CUG-5Fav_981000466","mode":"N"}</v>
      </c>
      <c r="G518" t="str">
        <f>ToJsonArray(supplementary_offering_legacyid[[#This Row],[Semilla04]],supplementary_offering_legacyid[[#This Row],[Json]])</f>
        <v>{"810004-66":{"offeringid":"981000466","name":"CUG-5Fav_981000466","mode":"N"}}</v>
      </c>
    </row>
    <row r="519" spans="1:7" x14ac:dyDescent="0.25">
      <c r="A519" s="60" t="s">
        <v>3689</v>
      </c>
      <c r="B519" t="str">
        <f>findKey(supplementary_offering_legacyid[[#This Row],[Produccion]])</f>
        <v>810004-67</v>
      </c>
      <c r="C519" s="61" t="s">
        <v>3690</v>
      </c>
      <c r="D519" t="s">
        <v>3691</v>
      </c>
      <c r="E519" t="s">
        <v>2329</v>
      </c>
      <c r="F519" t="str">
        <f>ToJsonArray(supplementary_offering_legacyid[[#Headers],[offeringid]:[mode]],supplementary_offering_legacyid[[#This Row],[offeringid]:[mode]])</f>
        <v>{"offeringid":"981000467","name":"CUG-4D_981000467","mode":"N"}</v>
      </c>
      <c r="G519" t="str">
        <f>ToJsonArray(supplementary_offering_legacyid[[#This Row],[Semilla04]],supplementary_offering_legacyid[[#This Row],[Json]])</f>
        <v>{"810004-67":{"offeringid":"981000467","name":"CUG-4D_981000467","mode":"N"}}</v>
      </c>
    </row>
    <row r="520" spans="1:7" x14ac:dyDescent="0.25">
      <c r="A520" s="60" t="s">
        <v>3692</v>
      </c>
      <c r="B520" t="str">
        <f>findKey(supplementary_offering_legacyid[[#This Row],[Produccion]])</f>
        <v>810004-68</v>
      </c>
      <c r="C520" s="61" t="s">
        <v>3693</v>
      </c>
      <c r="D520" t="s">
        <v>3694</v>
      </c>
      <c r="E520" t="s">
        <v>2329</v>
      </c>
      <c r="F520" t="str">
        <f>ToJsonArray(supplementary_offering_legacyid[[#Headers],[offeringid]:[mode]],supplementary_offering_legacyid[[#This Row],[offeringid]:[mode]])</f>
        <v>{"offeringid":"981000468","name":"CUG-5D_981000468","mode":"N"}</v>
      </c>
      <c r="G520" t="str">
        <f>ToJsonArray(supplementary_offering_legacyid[[#This Row],[Semilla04]],supplementary_offering_legacyid[[#This Row],[Json]])</f>
        <v>{"810004-68":{"offeringid":"981000468","name":"CUG-5D_981000468","mode":"N"}}</v>
      </c>
    </row>
    <row r="521" spans="1:7" x14ac:dyDescent="0.25">
      <c r="A521" s="60" t="s">
        <v>3695</v>
      </c>
      <c r="B521" t="str">
        <f>findKey(supplementary_offering_legacyid[[#This Row],[Produccion]])</f>
        <v>810004-69</v>
      </c>
      <c r="C521" s="61" t="s">
        <v>3696</v>
      </c>
      <c r="D521" t="s">
        <v>3697</v>
      </c>
      <c r="E521" t="s">
        <v>2329</v>
      </c>
      <c r="F521" t="str">
        <f>ToJsonArray(supplementary_offering_legacyid[[#Headers],[offeringid]:[mode]],supplementary_offering_legacyid[[#This Row],[offeringid]:[mode]])</f>
        <v>{"offeringid":"981000469","name":"CUG-6D_981000469","mode":"N"}</v>
      </c>
      <c r="G521" t="str">
        <f>ToJsonArray(supplementary_offering_legacyid[[#This Row],[Semilla04]],supplementary_offering_legacyid[[#This Row],[Json]])</f>
        <v>{"810004-69":{"offeringid":"981000469","name":"CUG-6D_981000469","mode":"N"}}</v>
      </c>
    </row>
    <row r="522" spans="1:7" x14ac:dyDescent="0.25">
      <c r="A522" s="60" t="s">
        <v>3698</v>
      </c>
      <c r="B522" t="str">
        <f>findKey(supplementary_offering_legacyid[[#This Row],[Produccion]])</f>
        <v>810004-70</v>
      </c>
      <c r="C522" s="61" t="s">
        <v>3699</v>
      </c>
      <c r="D522" t="s">
        <v>3700</v>
      </c>
      <c r="E522" t="s">
        <v>2329</v>
      </c>
      <c r="F522" t="str">
        <f>ToJsonArray(supplementary_offering_legacyid[[#Headers],[offeringid]:[mode]],supplementary_offering_legacyid[[#This Row],[offeringid]:[mode]])</f>
        <v>{"offeringid":"981000470","name":"CUG-4D_981000470","mode":"N"}</v>
      </c>
      <c r="G522" t="str">
        <f>ToJsonArray(supplementary_offering_legacyid[[#This Row],[Semilla04]],supplementary_offering_legacyid[[#This Row],[Json]])</f>
        <v>{"810004-70":{"offeringid":"981000470","name":"CUG-4D_981000470","mode":"N"}}</v>
      </c>
    </row>
    <row r="523" spans="1:7" x14ac:dyDescent="0.25">
      <c r="A523" s="60" t="s">
        <v>3701</v>
      </c>
      <c r="B523" t="str">
        <f>findKey(supplementary_offering_legacyid[[#This Row],[Produccion]])</f>
        <v>810004-71</v>
      </c>
      <c r="C523" s="61" t="s">
        <v>3702</v>
      </c>
      <c r="D523" t="s">
        <v>3703</v>
      </c>
      <c r="E523" t="s">
        <v>2329</v>
      </c>
      <c r="F523" t="str">
        <f>ToJsonArray(supplementary_offering_legacyid[[#Headers],[offeringid]:[mode]],supplementary_offering_legacyid[[#This Row],[offeringid]:[mode]])</f>
        <v>{"offeringid":"981000471","name":"CUG-4D_981000471","mode":"N"}</v>
      </c>
      <c r="G523" t="str">
        <f>ToJsonArray(supplementary_offering_legacyid[[#This Row],[Semilla04]],supplementary_offering_legacyid[[#This Row],[Json]])</f>
        <v>{"810004-71":{"offeringid":"981000471","name":"CUG-4D_981000471","mode":"N"}}</v>
      </c>
    </row>
    <row r="524" spans="1:7" x14ac:dyDescent="0.25">
      <c r="A524" s="60" t="s">
        <v>3704</v>
      </c>
      <c r="B524" t="str">
        <f>findKey(supplementary_offering_legacyid[[#This Row],[Produccion]])</f>
        <v>810004-72</v>
      </c>
      <c r="C524" s="61" t="s">
        <v>3705</v>
      </c>
      <c r="D524" t="s">
        <v>3706</v>
      </c>
      <c r="E524" t="s">
        <v>2329</v>
      </c>
      <c r="F524" t="str">
        <f>ToJsonArray(supplementary_offering_legacyid[[#Headers],[offeringid]:[mode]],supplementary_offering_legacyid[[#This Row],[offeringid]:[mode]])</f>
        <v>{"offeringid":"981000472","name":"CUG-5D_981000472","mode":"N"}</v>
      </c>
      <c r="G524" t="str">
        <f>ToJsonArray(supplementary_offering_legacyid[[#This Row],[Semilla04]],supplementary_offering_legacyid[[#This Row],[Json]])</f>
        <v>{"810004-72":{"offeringid":"981000472","name":"CUG-5D_981000472","mode":"N"}}</v>
      </c>
    </row>
    <row r="525" spans="1:7" x14ac:dyDescent="0.25">
      <c r="A525" s="60" t="s">
        <v>3707</v>
      </c>
      <c r="B525" t="str">
        <f>findKey(supplementary_offering_legacyid[[#This Row],[Produccion]])</f>
        <v>810004-73</v>
      </c>
      <c r="C525" s="61" t="s">
        <v>3708</v>
      </c>
      <c r="D525" t="s">
        <v>3709</v>
      </c>
      <c r="E525" t="s">
        <v>2329</v>
      </c>
      <c r="F525" t="str">
        <f>ToJsonArray(supplementary_offering_legacyid[[#Headers],[offeringid]:[mode]],supplementary_offering_legacyid[[#This Row],[offeringid]:[mode]])</f>
        <v>{"offeringid":"981000473","name":"CUG-4Fav_981000473","mode":"N"}</v>
      </c>
      <c r="G525" t="str">
        <f>ToJsonArray(supplementary_offering_legacyid[[#This Row],[Semilla04]],supplementary_offering_legacyid[[#This Row],[Json]])</f>
        <v>{"810004-73":{"offeringid":"981000473","name":"CUG-4Fav_981000473","mode":"N"}}</v>
      </c>
    </row>
    <row r="526" spans="1:7" x14ac:dyDescent="0.25">
      <c r="A526" s="60" t="s">
        <v>3710</v>
      </c>
      <c r="B526" t="str">
        <f>findKey(supplementary_offering_legacyid[[#This Row],[Produccion]])</f>
        <v>810004-74</v>
      </c>
      <c r="C526" s="61" t="s">
        <v>3711</v>
      </c>
      <c r="D526" t="s">
        <v>3712</v>
      </c>
      <c r="E526" t="s">
        <v>2329</v>
      </c>
      <c r="F526" t="str">
        <f>ToJsonArray(supplementary_offering_legacyid[[#Headers],[offeringid]:[mode]],supplementary_offering_legacyid[[#This Row],[offeringid]:[mode]])</f>
        <v>{"offeringid":"981000474","name":"CUG-6Fav_981000474","mode":"N"}</v>
      </c>
      <c r="G526" t="str">
        <f>ToJsonArray(supplementary_offering_legacyid[[#This Row],[Semilla04]],supplementary_offering_legacyid[[#This Row],[Json]])</f>
        <v>{"810004-74":{"offeringid":"981000474","name":"CUG-6Fav_981000474","mode":"N"}}</v>
      </c>
    </row>
    <row r="527" spans="1:7" x14ac:dyDescent="0.25">
      <c r="A527" s="60" t="s">
        <v>3713</v>
      </c>
      <c r="B527" t="str">
        <f>findKey(supplementary_offering_legacyid[[#This Row],[Produccion]])</f>
        <v>VFAV-001</v>
      </c>
      <c r="C527" s="61" t="s">
        <v>3714</v>
      </c>
      <c r="D527" t="s">
        <v>3715</v>
      </c>
      <c r="E527" t="s">
        <v>2329</v>
      </c>
      <c r="F527" t="str">
        <f>ToJsonArray(supplementary_offering_legacyid[[#Headers],[offeringid]:[mode]],supplementary_offering_legacyid[[#This Row],[offeringid]:[mode]])</f>
        <v>{"offeringid":"990000106","name":"Voz - Favoritos - 1_990000106","mode":"N"}</v>
      </c>
      <c r="G527" t="str">
        <f>ToJsonArray(supplementary_offering_legacyid[[#This Row],[Semilla04]],supplementary_offering_legacyid[[#This Row],[Json]])</f>
        <v>{"VFAV-001":{"offeringid":"990000106","name":"Voz - Favoritos - 1_990000106","mode":"N"}}</v>
      </c>
    </row>
    <row r="528" spans="1:7" x14ac:dyDescent="0.25">
      <c r="A528" s="60" t="s">
        <v>3716</v>
      </c>
      <c r="B528" t="str">
        <f>findKey(supplementary_offering_legacyid[[#This Row],[Produccion]])</f>
        <v>VFAV-002</v>
      </c>
      <c r="C528" s="61" t="s">
        <v>3717</v>
      </c>
      <c r="D528" t="s">
        <v>3718</v>
      </c>
      <c r="E528" t="s">
        <v>2329</v>
      </c>
      <c r="F528" t="str">
        <f>ToJsonArray(supplementary_offering_legacyid[[#Headers],[offeringid]:[mode]],supplementary_offering_legacyid[[#This Row],[offeringid]:[mode]])</f>
        <v>{"offeringid":"990000107","name":"Voz - Favoritos - 2_990000107","mode":"N"}</v>
      </c>
      <c r="G528" t="str">
        <f>ToJsonArray(supplementary_offering_legacyid[[#This Row],[Semilla04]],supplementary_offering_legacyid[[#This Row],[Json]])</f>
        <v>{"VFAV-002":{"offeringid":"990000107","name":"Voz - Favoritos - 2_990000107","mode":"N"}}</v>
      </c>
    </row>
    <row r="529" spans="1:7" x14ac:dyDescent="0.25">
      <c r="A529" s="60" t="s">
        <v>3719</v>
      </c>
      <c r="B529" t="str">
        <f>findKey(supplementary_offering_legacyid[[#This Row],[Produccion]])</f>
        <v>VFAV-003</v>
      </c>
      <c r="C529" s="61" t="s">
        <v>3720</v>
      </c>
      <c r="D529" t="s">
        <v>3721</v>
      </c>
      <c r="E529" t="s">
        <v>2329</v>
      </c>
      <c r="F529" t="str">
        <f>ToJsonArray(supplementary_offering_legacyid[[#Headers],[offeringid]:[mode]],supplementary_offering_legacyid[[#This Row],[offeringid]:[mode]])</f>
        <v>{"offeringid":"990000108","name":"Voz - Favoritos - 3_990000108","mode":"N"}</v>
      </c>
      <c r="G529" t="str">
        <f>ToJsonArray(supplementary_offering_legacyid[[#This Row],[Semilla04]],supplementary_offering_legacyid[[#This Row],[Json]])</f>
        <v>{"VFAV-003":{"offeringid":"990000108","name":"Voz - Favoritos - 3_990000108","mode":"N"}}</v>
      </c>
    </row>
    <row r="530" spans="1:7" x14ac:dyDescent="0.25">
      <c r="A530" s="60" t="s">
        <v>3722</v>
      </c>
      <c r="B530" t="str">
        <f>findKey(supplementary_offering_legacyid[[#This Row],[Produccion]])</f>
        <v>VFAV-007</v>
      </c>
      <c r="C530" s="61" t="s">
        <v>3723</v>
      </c>
      <c r="D530" t="s">
        <v>3724</v>
      </c>
      <c r="E530" t="s">
        <v>2329</v>
      </c>
      <c r="F530" t="str">
        <f>ToJsonArray(supplementary_offering_legacyid[[#Headers],[offeringid]:[mode]],supplementary_offering_legacyid[[#This Row],[offeringid]:[mode]])</f>
        <v>{"offeringid":"990000109","name":"Favorito ilimitado 4_990000109","mode":"N"}</v>
      </c>
      <c r="G530" t="str">
        <f>ToJsonArray(supplementary_offering_legacyid[[#This Row],[Semilla04]],supplementary_offering_legacyid[[#This Row],[Json]])</f>
        <v>{"VFAV-007":{"offeringid":"990000109","name":"Favorito ilimitado 4_990000109","mode":"N"}}</v>
      </c>
    </row>
    <row r="531" spans="1:7" x14ac:dyDescent="0.25">
      <c r="A531" s="60" t="s">
        <v>3725</v>
      </c>
      <c r="B531" t="str">
        <f>findKey(supplementary_offering_legacyid[[#This Row],[Produccion]])</f>
        <v>VFAV-024</v>
      </c>
      <c r="C531" s="61" t="s">
        <v>3726</v>
      </c>
      <c r="D531" t="s">
        <v>3727</v>
      </c>
      <c r="E531" t="s">
        <v>2329</v>
      </c>
      <c r="F531" t="str">
        <f>ToJsonArray(supplementary_offering_legacyid[[#Headers],[offeringid]:[mode]],supplementary_offering_legacyid[[#This Row],[offeringid]:[mode]])</f>
        <v>{"offeringid":"990000110","name":"4 Fav Allnet_990000110","mode":"N"}</v>
      </c>
      <c r="G531" t="str">
        <f>ToJsonArray(supplementary_offering_legacyid[[#This Row],[Semilla04]],supplementary_offering_legacyid[[#This Row],[Json]])</f>
        <v>{"VFAV-024":{"offeringid":"990000110","name":"4 Fav Allnet_990000110","mode":"N"}}</v>
      </c>
    </row>
    <row r="532" spans="1:7" x14ac:dyDescent="0.25">
      <c r="A532" s="60" t="s">
        <v>3728</v>
      </c>
      <c r="B532" t="str">
        <f>findKey(supplementary_offering_legacyid[[#This Row],[Produccion]])</f>
        <v>VTD-012</v>
      </c>
      <c r="C532" s="61" t="s">
        <v>3729</v>
      </c>
      <c r="D532" t="s">
        <v>3730</v>
      </c>
      <c r="E532" t="s">
        <v>2329</v>
      </c>
      <c r="F532" t="str">
        <f>ToJsonArray(supplementary_offering_legacyid[[#Headers],[offeringid]:[mode]],supplementary_offering_legacyid[[#This Row],[offeringid]:[mode]])</f>
        <v>{"offeringid":"990000111","name":"Voz-TD_Sec-180m_990000111","mode":"N"}</v>
      </c>
      <c r="G532" t="str">
        <f>ToJsonArray(supplementary_offering_legacyid[[#This Row],[Semilla04]],supplementary_offering_legacyid[[#This Row],[Json]])</f>
        <v>{"VTD-012":{"offeringid":"990000111","name":"Voz-TD_Sec-180m_990000111","mode":"N"}}</v>
      </c>
    </row>
    <row r="533" spans="1:7" x14ac:dyDescent="0.25">
      <c r="A533" s="60" t="s">
        <v>3731</v>
      </c>
      <c r="B533" t="str">
        <f>findKey(supplementary_offering_legacyid[[#This Row],[Produccion]])</f>
        <v>VTD-026</v>
      </c>
      <c r="C533" s="61" t="s">
        <v>3732</v>
      </c>
      <c r="D533" t="s">
        <v>3733</v>
      </c>
      <c r="E533" t="s">
        <v>2329</v>
      </c>
      <c r="F533" t="str">
        <f>ToJsonArray(supplementary_offering_legacyid[[#Headers],[offeringid]:[mode]],supplementary_offering_legacyid[[#This Row],[offeringid]:[mode]])</f>
        <v>{"offeringid":"990000112","name":"Voz-TD_Seg-150m_990000112","mode":"N"}</v>
      </c>
      <c r="G533" t="str">
        <f>ToJsonArray(supplementary_offering_legacyid[[#This Row],[Semilla04]],supplementary_offering_legacyid[[#This Row],[Json]])</f>
        <v>{"VTD-026":{"offeringid":"990000112","name":"Voz-TD_Seg-150m_990000112","mode":"N"}}</v>
      </c>
    </row>
    <row r="534" spans="1:7" x14ac:dyDescent="0.25">
      <c r="A534" s="60" t="s">
        <v>3734</v>
      </c>
      <c r="B534" t="str">
        <f>findKey(supplementary_offering_legacyid[[#This Row],[Produccion]])</f>
        <v>VTD-027</v>
      </c>
      <c r="C534" s="61" t="s">
        <v>3735</v>
      </c>
      <c r="D534" t="s">
        <v>3736</v>
      </c>
      <c r="E534" t="s">
        <v>2329</v>
      </c>
      <c r="F534" t="str">
        <f>ToJsonArray(supplementary_offering_legacyid[[#Headers],[offeringid]:[mode]],supplementary_offering_legacyid[[#This Row],[offeringid]:[mode]])</f>
        <v>{"offeringid":"990000113","name":"Voz-TD_Seg-250m_990000113","mode":"N"}</v>
      </c>
      <c r="G534" t="str">
        <f>ToJsonArray(supplementary_offering_legacyid[[#This Row],[Semilla04]],supplementary_offering_legacyid[[#This Row],[Json]])</f>
        <v>{"VTD-027":{"offeringid":"990000113","name":"Voz-TD_Seg-250m_990000113","mode":"N"}}</v>
      </c>
    </row>
    <row r="535" spans="1:7" x14ac:dyDescent="0.25">
      <c r="A535" s="60" t="s">
        <v>3737</v>
      </c>
      <c r="B535" t="str">
        <f>findKey(supplementary_offering_legacyid[[#This Row],[Produccion]])</f>
        <v>VTD-031</v>
      </c>
      <c r="C535" s="61" t="s">
        <v>3738</v>
      </c>
      <c r="D535" t="s">
        <v>3739</v>
      </c>
      <c r="E535" t="s">
        <v>2329</v>
      </c>
      <c r="F535" t="str">
        <f>ToJsonArray(supplementary_offering_legacyid[[#Headers],[offeringid]:[mode]],supplementary_offering_legacyid[[#This Row],[offeringid]:[mode]])</f>
        <v>{"offeringid":"990000114","name":"Voz-TD-36000 seg_990000114","mode":"N"}</v>
      </c>
      <c r="G535" t="str">
        <f>ToJsonArray(supplementary_offering_legacyid[[#This Row],[Semilla04]],supplementary_offering_legacyid[[#This Row],[Json]])</f>
        <v>{"VTD-031":{"offeringid":"990000114","name":"Voz-TD-36000 seg_990000114","mode":"N"}}</v>
      </c>
    </row>
    <row r="536" spans="1:7" x14ac:dyDescent="0.25">
      <c r="A536" s="60" t="s">
        <v>3740</v>
      </c>
      <c r="B536" t="str">
        <f>findKey(supplementary_offering_legacyid[[#This Row],[Produccion]])</f>
        <v>VTD-032</v>
      </c>
      <c r="C536" s="61" t="s">
        <v>3741</v>
      </c>
      <c r="D536" t="s">
        <v>3742</v>
      </c>
      <c r="E536" t="s">
        <v>2329</v>
      </c>
      <c r="F536" t="str">
        <f>ToJsonArray(supplementary_offering_legacyid[[#Headers],[offeringid]:[mode]],supplementary_offering_legacyid[[#This Row],[offeringid]:[mode]])</f>
        <v>{"offeringid":"990000115","name":"Voz-TD-24000 seg_990000115","mode":"N"}</v>
      </c>
      <c r="G536" t="str">
        <f>ToJsonArray(supplementary_offering_legacyid[[#This Row],[Semilla04]],supplementary_offering_legacyid[[#This Row],[Json]])</f>
        <v>{"VTD-032":{"offeringid":"990000115","name":"Voz-TD-24000 seg_990000115","mode":"N"}}</v>
      </c>
    </row>
    <row r="537" spans="1:7" x14ac:dyDescent="0.25">
      <c r="A537" s="60" t="s">
        <v>3743</v>
      </c>
      <c r="B537" t="str">
        <f>findKey(supplementary_offering_legacyid[[#This Row],[Produccion]])</f>
        <v>VTD-033</v>
      </c>
      <c r="C537" s="61" t="s">
        <v>3744</v>
      </c>
      <c r="D537" t="s">
        <v>3745</v>
      </c>
      <c r="E537" t="s">
        <v>2329</v>
      </c>
      <c r="F537" t="str">
        <f>ToJsonArray(supplementary_offering_legacyid[[#Headers],[offeringid]:[mode]],supplementary_offering_legacyid[[#This Row],[offeringid]:[mode]])</f>
        <v>{"offeringid":"990000116","name":"Voz-TD-6000 seg_990000116","mode":"N"}</v>
      </c>
      <c r="G537" t="str">
        <f>ToJsonArray(supplementary_offering_legacyid[[#This Row],[Semilla04]],supplementary_offering_legacyid[[#This Row],[Json]])</f>
        <v>{"VTD-033":{"offeringid":"990000116","name":"Voz-TD-6000 seg_990000116","mode":"N"}}</v>
      </c>
    </row>
    <row r="538" spans="1:7" x14ac:dyDescent="0.25">
      <c r="A538" s="60" t="s">
        <v>3746</v>
      </c>
      <c r="B538" t="str">
        <f>findKey(supplementary_offering_legacyid[[#This Row],[Produccion]])</f>
        <v>VTD-034</v>
      </c>
      <c r="C538" s="61" t="s">
        <v>3747</v>
      </c>
      <c r="D538" t="s">
        <v>3748</v>
      </c>
      <c r="E538" t="s">
        <v>2329</v>
      </c>
      <c r="F538" t="str">
        <f>ToJsonArray(supplementary_offering_legacyid[[#Headers],[offeringid]:[mode]],supplementary_offering_legacyid[[#This Row],[offeringid]:[mode]])</f>
        <v>{"offeringid":"990000117","name":"Voz-TD-51000 seg_990000117","mode":"N"}</v>
      </c>
      <c r="G538" t="str">
        <f>ToJsonArray(supplementary_offering_legacyid[[#This Row],[Semilla04]],supplementary_offering_legacyid[[#This Row],[Json]])</f>
        <v>{"VTD-034":{"offeringid":"990000117","name":"Voz-TD-51000 seg_990000117","mode":"N"}}</v>
      </c>
    </row>
    <row r="539" spans="1:7" x14ac:dyDescent="0.25">
      <c r="A539" s="60" t="s">
        <v>3749</v>
      </c>
      <c r="B539" t="str">
        <f>findKey(supplementary_offering_legacyid[[#This Row],[Produccion]])</f>
        <v>VTD-035</v>
      </c>
      <c r="C539" s="61" t="s">
        <v>3750</v>
      </c>
      <c r="D539" t="s">
        <v>3751</v>
      </c>
      <c r="E539" t="s">
        <v>2329</v>
      </c>
      <c r="F539" t="str">
        <f>ToJsonArray(supplementary_offering_legacyid[[#Headers],[offeringid]:[mode]],supplementary_offering_legacyid[[#This Row],[offeringid]:[mode]])</f>
        <v>{"offeringid":"990000118","name":"Voz-TD-9000 seg_990000118","mode":"N"}</v>
      </c>
      <c r="G539" t="str">
        <f>ToJsonArray(supplementary_offering_legacyid[[#This Row],[Semilla04]],supplementary_offering_legacyid[[#This Row],[Json]])</f>
        <v>{"VTD-035":{"offeringid":"990000118","name":"Voz-TD-9000 seg_990000118","mode":"N"}}</v>
      </c>
    </row>
    <row r="540" spans="1:7" x14ac:dyDescent="0.25">
      <c r="A540" s="60" t="s">
        <v>3752</v>
      </c>
      <c r="B540" t="str">
        <f>findKey(supplementary_offering_legacyid[[#This Row],[Produccion]])</f>
        <v>VTD-036</v>
      </c>
      <c r="C540" s="61" t="s">
        <v>3753</v>
      </c>
      <c r="D540" t="s">
        <v>3754</v>
      </c>
      <c r="E540" t="s">
        <v>2329</v>
      </c>
      <c r="F540" t="str">
        <f>ToJsonArray(supplementary_offering_legacyid[[#Headers],[offeringid]:[mode]],supplementary_offering_legacyid[[#This Row],[offeringid]:[mode]])</f>
        <v>{"offeringid":"990000119","name":"Voz-TD-12000 seg_990000119","mode":"N"}</v>
      </c>
      <c r="G540" t="str">
        <f>ToJsonArray(supplementary_offering_legacyid[[#This Row],[Semilla04]],supplementary_offering_legacyid[[#This Row],[Json]])</f>
        <v>{"VTD-036":{"offeringid":"990000119","name":"Voz-TD-12000 seg_990000119","mode":"N"}}</v>
      </c>
    </row>
    <row r="541" spans="1:7" x14ac:dyDescent="0.25">
      <c r="A541" s="60" t="s">
        <v>3755</v>
      </c>
      <c r="B541" t="str">
        <f>findKey(supplementary_offering_legacyid[[#This Row],[Produccion]])</f>
        <v>VTD-037</v>
      </c>
      <c r="C541" s="61" t="s">
        <v>3756</v>
      </c>
      <c r="D541" t="s">
        <v>3757</v>
      </c>
      <c r="E541" t="s">
        <v>2329</v>
      </c>
      <c r="F541" t="str">
        <f>ToJsonArray(supplementary_offering_legacyid[[#Headers],[offeringid]:[mode]],supplementary_offering_legacyid[[#This Row],[offeringid]:[mode]])</f>
        <v>{"offeringid":"990000120","name":"Voz-TD-12000 seg_990000120","mode":"N"}</v>
      </c>
      <c r="G541" t="str">
        <f>ToJsonArray(supplementary_offering_legacyid[[#This Row],[Semilla04]],supplementary_offering_legacyid[[#This Row],[Json]])</f>
        <v>{"VTD-037":{"offeringid":"990000120","name":"Voz-TD-12000 seg_990000120","mode":"N"}}</v>
      </c>
    </row>
    <row r="542" spans="1:7" x14ac:dyDescent="0.25">
      <c r="A542" s="60" t="s">
        <v>3758</v>
      </c>
      <c r="B542" t="str">
        <f>findKey(supplementary_offering_legacyid[[#This Row],[Produccion]])</f>
        <v>VTD-038</v>
      </c>
      <c r="C542" s="61" t="s">
        <v>3759</v>
      </c>
      <c r="D542" t="s">
        <v>3760</v>
      </c>
      <c r="E542" t="s">
        <v>2329</v>
      </c>
      <c r="F542" t="str">
        <f>ToJsonArray(supplementary_offering_legacyid[[#Headers],[offeringid]:[mode]],supplementary_offering_legacyid[[#This Row],[offeringid]:[mode]])</f>
        <v>{"offeringid":"990000121","name":"Voz-TD-15000 seg_990000121","mode":"N"}</v>
      </c>
      <c r="G542" t="str">
        <f>ToJsonArray(supplementary_offering_legacyid[[#This Row],[Semilla04]],supplementary_offering_legacyid[[#This Row],[Json]])</f>
        <v>{"VTD-038":{"offeringid":"990000121","name":"Voz-TD-15000 seg_990000121","mode":"N"}}</v>
      </c>
    </row>
    <row r="543" spans="1:7" x14ac:dyDescent="0.25">
      <c r="A543" s="60" t="s">
        <v>3761</v>
      </c>
      <c r="B543" t="str">
        <f>findKey(supplementary_offering_legacyid[[#This Row],[Produccion]])</f>
        <v>VTD-039</v>
      </c>
      <c r="C543" s="61" t="s">
        <v>3762</v>
      </c>
      <c r="D543" t="s">
        <v>3763</v>
      </c>
      <c r="E543" t="s">
        <v>2329</v>
      </c>
      <c r="F543" t="str">
        <f>ToJsonArray(supplementary_offering_legacyid[[#Headers],[offeringid]:[mode]],supplementary_offering_legacyid[[#This Row],[offeringid]:[mode]])</f>
        <v>{"offeringid":"990000122","name":"Voz-TD-78000 seg_990000122","mode":"N"}</v>
      </c>
      <c r="G543" t="str">
        <f>ToJsonArray(supplementary_offering_legacyid[[#This Row],[Semilla04]],supplementary_offering_legacyid[[#This Row],[Json]])</f>
        <v>{"VTD-039":{"offeringid":"990000122","name":"Voz-TD-78000 seg_990000122","mode":"N"}}</v>
      </c>
    </row>
    <row r="544" spans="1:7" x14ac:dyDescent="0.25">
      <c r="A544" s="60" t="s">
        <v>3764</v>
      </c>
      <c r="B544" t="str">
        <f>findKey(supplementary_offering_legacyid[[#This Row],[Produccion]])</f>
        <v>VTD-041</v>
      </c>
      <c r="C544" s="61" t="s">
        <v>3765</v>
      </c>
      <c r="D544" t="s">
        <v>3766</v>
      </c>
      <c r="E544" t="s">
        <v>2329</v>
      </c>
      <c r="F544" t="str">
        <f>ToJsonArray(supplementary_offering_legacyid[[#Headers],[offeringid]:[mode]],supplementary_offering_legacyid[[#This Row],[offeringid]:[mode]])</f>
        <v>{"offeringid":"990000123","name":"Voz-TD-18000 seg_990000123","mode":"N"}</v>
      </c>
      <c r="G544" t="str">
        <f>ToJsonArray(supplementary_offering_legacyid[[#This Row],[Semilla04]],supplementary_offering_legacyid[[#This Row],[Json]])</f>
        <v>{"VTD-041":{"offeringid":"990000123","name":"Voz-TD-18000 seg_990000123","mode":"N"}}</v>
      </c>
    </row>
    <row r="545" spans="1:7" x14ac:dyDescent="0.25">
      <c r="A545" s="60" t="s">
        <v>3767</v>
      </c>
      <c r="B545" t="str">
        <f>findKey(supplementary_offering_legacyid[[#This Row],[Produccion]])</f>
        <v>VTD-042</v>
      </c>
      <c r="C545" s="61" t="s">
        <v>3768</v>
      </c>
      <c r="D545" t="s">
        <v>3769</v>
      </c>
      <c r="E545" t="s">
        <v>2329</v>
      </c>
      <c r="F545" t="str">
        <f>ToJsonArray(supplementary_offering_legacyid[[#Headers],[offeringid]:[mode]],supplementary_offering_legacyid[[#This Row],[offeringid]:[mode]])</f>
        <v>{"offeringid":"990000124","name":"Voz-TD-21000 seg_990000124","mode":"N"}</v>
      </c>
      <c r="G545" t="str">
        <f>ToJsonArray(supplementary_offering_legacyid[[#This Row],[Semilla04]],supplementary_offering_legacyid[[#This Row],[Json]])</f>
        <v>{"VTD-042":{"offeringid":"990000124","name":"Voz-TD-21000 seg_990000124","mode":"N"}}</v>
      </c>
    </row>
    <row r="546" spans="1:7" x14ac:dyDescent="0.25">
      <c r="A546" s="60" t="s">
        <v>3770</v>
      </c>
      <c r="B546" t="str">
        <f>findKey(supplementary_offering_legacyid[[#This Row],[Produccion]])</f>
        <v>VTD-043</v>
      </c>
      <c r="C546" s="61" t="s">
        <v>3771</v>
      </c>
      <c r="D546" t="s">
        <v>3772</v>
      </c>
      <c r="E546" t="s">
        <v>2329</v>
      </c>
      <c r="F546" t="str">
        <f>ToJsonArray(supplementary_offering_legacyid[[#Headers],[offeringid]:[mode]],supplementary_offering_legacyid[[#This Row],[offeringid]:[mode]])</f>
        <v>{"offeringid":"990000125","name":"Voz-TD-24000 seg_990000125","mode":"N"}</v>
      </c>
      <c r="G546" t="str">
        <f>ToJsonArray(supplementary_offering_legacyid[[#This Row],[Semilla04]],supplementary_offering_legacyid[[#This Row],[Json]])</f>
        <v>{"VTD-043":{"offeringid":"990000125","name":"Voz-TD-24000 seg_990000125","mode":"N"}}</v>
      </c>
    </row>
    <row r="547" spans="1:7" x14ac:dyDescent="0.25">
      <c r="A547" s="60" t="s">
        <v>3773</v>
      </c>
      <c r="B547" t="str">
        <f>findKey(supplementary_offering_legacyid[[#This Row],[Produccion]])</f>
        <v>VTD-044</v>
      </c>
      <c r="C547" s="61" t="s">
        <v>3774</v>
      </c>
      <c r="D547" t="s">
        <v>3775</v>
      </c>
      <c r="E547" t="s">
        <v>2329</v>
      </c>
      <c r="F547" t="str">
        <f>ToJsonArray(supplementary_offering_legacyid[[#Headers],[offeringid]:[mode]],supplementary_offering_legacyid[[#This Row],[offeringid]:[mode]])</f>
        <v>{"offeringid":"990000126","name":"Voz-TD-Infinito_990000126","mode":"N"}</v>
      </c>
      <c r="G547" t="str">
        <f>ToJsonArray(supplementary_offering_legacyid[[#This Row],[Semilla04]],supplementary_offering_legacyid[[#This Row],[Json]])</f>
        <v>{"VTD-044":{"offeringid":"990000126","name":"Voz-TD-Infinito_990000126","mode":"N"}}</v>
      </c>
    </row>
    <row r="548" spans="1:7" x14ac:dyDescent="0.25">
      <c r="A548" s="60" t="s">
        <v>3776</v>
      </c>
      <c r="B548" t="str">
        <f>findKey(supplementary_offering_legacyid[[#This Row],[Produccion]])</f>
        <v>VTD-045</v>
      </c>
      <c r="C548" s="61" t="s">
        <v>3777</v>
      </c>
      <c r="D548" t="s">
        <v>3778</v>
      </c>
      <c r="E548" t="s">
        <v>2329</v>
      </c>
      <c r="F548" t="str">
        <f>ToJsonArray(supplementary_offering_legacyid[[#Headers],[offeringid]:[mode]],supplementary_offering_legacyid[[#This Row],[offeringid]:[mode]])</f>
        <v>{"offeringid":"990000127","name":"Voz-TD-Infinito_990000127","mode":"N"}</v>
      </c>
      <c r="G548" t="str">
        <f>ToJsonArray(supplementary_offering_legacyid[[#This Row],[Semilla04]],supplementary_offering_legacyid[[#This Row],[Json]])</f>
        <v>{"VTD-045":{"offeringid":"990000127","name":"Voz-TD-Infinito_990000127","mode":"N"}}</v>
      </c>
    </row>
    <row r="549" spans="1:7" x14ac:dyDescent="0.25">
      <c r="A549" s="60" t="s">
        <v>3779</v>
      </c>
      <c r="B549" t="str">
        <f>findKey(supplementary_offering_legacyid[[#This Row],[Produccion]])</f>
        <v>VTD-046</v>
      </c>
      <c r="C549" s="61" t="s">
        <v>3780</v>
      </c>
      <c r="D549" t="s">
        <v>3781</v>
      </c>
      <c r="E549" t="s">
        <v>2329</v>
      </c>
      <c r="F549" t="str">
        <f>ToJsonArray(supplementary_offering_legacyid[[#Headers],[offeringid]:[mode]],supplementary_offering_legacyid[[#This Row],[offeringid]:[mode]])</f>
        <v>{"offeringid":"990000128","name":"Voz-TD-30000 seg_990000128","mode":"N"}</v>
      </c>
      <c r="G549" t="str">
        <f>ToJsonArray(supplementary_offering_legacyid[[#This Row],[Semilla04]],supplementary_offering_legacyid[[#This Row],[Json]])</f>
        <v>{"VTD-046":{"offeringid":"990000128","name":"Voz-TD-30000 seg_990000128","mode":"N"}}</v>
      </c>
    </row>
    <row r="550" spans="1:7" x14ac:dyDescent="0.25">
      <c r="A550" s="60" t="s">
        <v>3782</v>
      </c>
      <c r="B550" t="str">
        <f>findKey(supplementary_offering_legacyid[[#This Row],[Produccion]])</f>
        <v>VTD-048</v>
      </c>
      <c r="C550" s="61" t="s">
        <v>3783</v>
      </c>
      <c r="D550" t="s">
        <v>3784</v>
      </c>
      <c r="E550" t="s">
        <v>2329</v>
      </c>
      <c r="F550" t="str">
        <f>ToJsonArray(supplementary_offering_legacyid[[#Headers],[offeringid]:[mode]],supplementary_offering_legacyid[[#This Row],[offeringid]:[mode]])</f>
        <v>{"offeringid":"990000129","name":"Voz-TD-Infinito_990000129","mode":"N"}</v>
      </c>
      <c r="G550" t="str">
        <f>ToJsonArray(supplementary_offering_legacyid[[#This Row],[Semilla04]],supplementary_offering_legacyid[[#This Row],[Json]])</f>
        <v>{"VTD-048":{"offeringid":"990000129","name":"Voz-TD-Infinito_990000129","mode":"N"}}</v>
      </c>
    </row>
    <row r="551" spans="1:7" x14ac:dyDescent="0.25">
      <c r="A551" s="60" t="s">
        <v>3785</v>
      </c>
      <c r="B551" t="str">
        <f>findKey(supplementary_offering_legacyid[[#This Row],[Produccion]])</f>
        <v>VTD-049</v>
      </c>
      <c r="C551" s="61" t="s">
        <v>3786</v>
      </c>
      <c r="D551" t="s">
        <v>3787</v>
      </c>
      <c r="E551" t="s">
        <v>2329</v>
      </c>
      <c r="F551" t="str">
        <f>ToJsonArray(supplementary_offering_legacyid[[#Headers],[offeringid]:[mode]],supplementary_offering_legacyid[[#This Row],[offeringid]:[mode]])</f>
        <v>{"offeringid":"990000130","name":"Voz-TD-Infinito_990000130","mode":"N"}</v>
      </c>
      <c r="G551" t="str">
        <f>ToJsonArray(supplementary_offering_legacyid[[#This Row],[Semilla04]],supplementary_offering_legacyid[[#This Row],[Json]])</f>
        <v>{"VTD-049":{"offeringid":"990000130","name":"Voz-TD-Infinito_990000130","mode":"N"}}</v>
      </c>
    </row>
    <row r="552" spans="1:7" x14ac:dyDescent="0.25">
      <c r="A552" s="60" t="s">
        <v>3788</v>
      </c>
      <c r="B552" t="str">
        <f>findKey(supplementary_offering_legacyid[[#This Row],[Produccion]])</f>
        <v>VTD-050</v>
      </c>
      <c r="C552" s="61" t="s">
        <v>3789</v>
      </c>
      <c r="D552" t="s">
        <v>3790</v>
      </c>
      <c r="E552" t="s">
        <v>2329</v>
      </c>
      <c r="F552" t="str">
        <f>ToJsonArray(supplementary_offering_legacyid[[#Headers],[offeringid]:[mode]],supplementary_offering_legacyid[[#This Row],[offeringid]:[mode]])</f>
        <v>{"offeringid":"990000131","name":"Voz-TD-42000 seg_990000131","mode":"N"}</v>
      </c>
      <c r="G552" t="str">
        <f>ToJsonArray(supplementary_offering_legacyid[[#This Row],[Semilla04]],supplementary_offering_legacyid[[#This Row],[Json]])</f>
        <v>{"VTD-050":{"offeringid":"990000131","name":"Voz-TD-42000 seg_990000131","mode":"N"}}</v>
      </c>
    </row>
    <row r="553" spans="1:7" x14ac:dyDescent="0.25">
      <c r="A553" s="60" t="s">
        <v>3791</v>
      </c>
      <c r="B553" t="str">
        <f>findKey(supplementary_offering_legacyid[[#This Row],[Produccion]])</f>
        <v>VTD-051</v>
      </c>
      <c r="C553" s="61" t="s">
        <v>3792</v>
      </c>
      <c r="D553" t="s">
        <v>3793</v>
      </c>
      <c r="E553" t="s">
        <v>2329</v>
      </c>
      <c r="F553" t="str">
        <f>ToJsonArray(supplementary_offering_legacyid[[#Headers],[offeringid]:[mode]],supplementary_offering_legacyid[[#This Row],[offeringid]:[mode]])</f>
        <v>{"offeringid":"990000132","name":"Voz-TD-24000 seg_990000132","mode":"N"}</v>
      </c>
      <c r="G553" t="str">
        <f>ToJsonArray(supplementary_offering_legacyid[[#This Row],[Semilla04]],supplementary_offering_legacyid[[#This Row],[Json]])</f>
        <v>{"VTD-051":{"offeringid":"990000132","name":"Voz-TD-24000 seg_990000132","mode":"N"}}</v>
      </c>
    </row>
    <row r="554" spans="1:7" x14ac:dyDescent="0.25">
      <c r="A554" s="60" t="s">
        <v>3794</v>
      </c>
      <c r="B554" t="str">
        <f>findKey(supplementary_offering_legacyid[[#This Row],[Produccion]])</f>
        <v>VTD-054</v>
      </c>
      <c r="C554" s="61" t="s">
        <v>3795</v>
      </c>
      <c r="D554" t="s">
        <v>3796</v>
      </c>
      <c r="E554" t="s">
        <v>2329</v>
      </c>
      <c r="F554" t="str">
        <f>ToJsonArray(supplementary_offering_legacyid[[#Headers],[offeringid]:[mode]],supplementary_offering_legacyid[[#This Row],[offeringid]:[mode]])</f>
        <v>{"offeringid":"990000133","name":"Voz-TD-Infinito_990000133","mode":"N"}</v>
      </c>
      <c r="G554" t="str">
        <f>ToJsonArray(supplementary_offering_legacyid[[#This Row],[Semilla04]],supplementary_offering_legacyid[[#This Row],[Json]])</f>
        <v>{"VTD-054":{"offeringid":"990000133","name":"Voz-TD-Infinito_990000133","mode":"N"}}</v>
      </c>
    </row>
    <row r="555" spans="1:7" x14ac:dyDescent="0.25">
      <c r="A555" s="60" t="s">
        <v>3797</v>
      </c>
      <c r="B555" t="str">
        <f>findKey(supplementary_offering_legacyid[[#This Row],[Produccion]])</f>
        <v>VTD-055</v>
      </c>
      <c r="C555" s="61" t="s">
        <v>3798</v>
      </c>
      <c r="D555" t="s">
        <v>3799</v>
      </c>
      <c r="E555" t="s">
        <v>2329</v>
      </c>
      <c r="F555" t="str">
        <f>ToJsonArray(supplementary_offering_legacyid[[#Headers],[offeringid]:[mode]],supplementary_offering_legacyid[[#This Row],[offeringid]:[mode]])</f>
        <v>{"offeringid":"990000134","name":"Voz-TD-Infinito_990000134","mode":"N"}</v>
      </c>
      <c r="G555" t="str">
        <f>ToJsonArray(supplementary_offering_legacyid[[#This Row],[Semilla04]],supplementary_offering_legacyid[[#This Row],[Json]])</f>
        <v>{"VTD-055":{"offeringid":"990000134","name":"Voz-TD-Infinito_990000134","mode":"N"}}</v>
      </c>
    </row>
    <row r="556" spans="1:7" x14ac:dyDescent="0.25">
      <c r="A556" s="60" t="s">
        <v>3800</v>
      </c>
      <c r="B556" t="str">
        <f>findKey(supplementary_offering_legacyid[[#This Row],[Produccion]])</f>
        <v>VTD-059</v>
      </c>
      <c r="C556" s="61" t="s">
        <v>3801</v>
      </c>
      <c r="D556" t="s">
        <v>3802</v>
      </c>
      <c r="E556" t="s">
        <v>2329</v>
      </c>
      <c r="F556" t="str">
        <f>ToJsonArray(supplementary_offering_legacyid[[#Headers],[offeringid]:[mode]],supplementary_offering_legacyid[[#This Row],[offeringid]:[mode]])</f>
        <v>{"offeringid":"990000135","name":"Voz-TD-Ilimitado seg_990000135","mode":"N"}</v>
      </c>
      <c r="G556" t="str">
        <f>ToJsonArray(supplementary_offering_legacyid[[#This Row],[Semilla04]],supplementary_offering_legacyid[[#This Row],[Json]])</f>
        <v>{"VTD-059":{"offeringid":"990000135","name":"Voz-TD-Ilimitado seg_990000135","mode":"N"}}</v>
      </c>
    </row>
    <row r="557" spans="1:7" x14ac:dyDescent="0.25">
      <c r="A557" s="60" t="s">
        <v>3803</v>
      </c>
      <c r="B557" t="str">
        <f>findKey(supplementary_offering_legacyid[[#This Row],[Produccion]])</f>
        <v>VTD-060</v>
      </c>
      <c r="C557" s="61" t="s">
        <v>3804</v>
      </c>
      <c r="D557" t="s">
        <v>3805</v>
      </c>
      <c r="E557" t="s">
        <v>2329</v>
      </c>
      <c r="F557" t="str">
        <f>ToJsonArray(supplementary_offering_legacyid[[#Headers],[offeringid]:[mode]],supplementary_offering_legacyid[[#This Row],[offeringid]:[mode]])</f>
        <v>{"offeringid":"990000136","name":"Voz-TD-Ilimitado_990000136","mode":"N"}</v>
      </c>
      <c r="G557" t="str">
        <f>ToJsonArray(supplementary_offering_legacyid[[#This Row],[Semilla04]],supplementary_offering_legacyid[[#This Row],[Json]])</f>
        <v>{"VTD-060":{"offeringid":"990000136","name":"Voz-TD-Ilimitado_990000136","mode":"N"}}</v>
      </c>
    </row>
    <row r="558" spans="1:7" x14ac:dyDescent="0.25">
      <c r="A558" s="60" t="s">
        <v>3806</v>
      </c>
      <c r="B558" t="str">
        <f>findKey(supplementary_offering_legacyid[[#This Row],[Produccion]])</f>
        <v>VLDI-001</v>
      </c>
      <c r="C558" s="61" t="s">
        <v>3807</v>
      </c>
      <c r="D558" t="s">
        <v>3808</v>
      </c>
      <c r="E558" t="s">
        <v>2329</v>
      </c>
      <c r="F558" t="str">
        <f>ToJsonArray(supplementary_offering_legacyid[[#Headers],[offeringid]:[mode]],supplementary_offering_legacyid[[#This Row],[offeringid]:[mode]])</f>
        <v>{"offeringid":"990000137","name":"Voz - Larga Distancia - 1500s","mode":"N"}</v>
      </c>
      <c r="G558" t="str">
        <f>ToJsonArray(supplementary_offering_legacyid[[#This Row],[Semilla04]],supplementary_offering_legacyid[[#This Row],[Json]])</f>
        <v>{"VLDI-001":{"offeringid":"990000137","name":"Voz - Larga Distancia - 1500s","mode":"N"}}</v>
      </c>
    </row>
    <row r="559" spans="1:7" x14ac:dyDescent="0.25">
      <c r="A559" s="60" t="s">
        <v>3809</v>
      </c>
      <c r="B559" t="str">
        <f>findKey(supplementary_offering_legacyid[[#This Row],[Produccion]])</f>
        <v>VLDI-002</v>
      </c>
      <c r="C559" s="61" t="s">
        <v>3810</v>
      </c>
      <c r="D559" t="s">
        <v>3811</v>
      </c>
      <c r="E559" t="s">
        <v>2329</v>
      </c>
      <c r="F559" t="str">
        <f>ToJsonArray(supplementary_offering_legacyid[[#Headers],[offeringid]:[mode]],supplementary_offering_legacyid[[#This Row],[offeringid]:[mode]])</f>
        <v>{"offeringid":"990000138","name":"Voz - Larga Distancia - 3000s","mode":"N"}</v>
      </c>
      <c r="G559" t="str">
        <f>ToJsonArray(supplementary_offering_legacyid[[#This Row],[Semilla04]],supplementary_offering_legacyid[[#This Row],[Json]])</f>
        <v>{"VLDI-002":{"offeringid":"990000138","name":"Voz - Larga Distancia - 3000s","mode":"N"}}</v>
      </c>
    </row>
    <row r="560" spans="1:7" x14ac:dyDescent="0.25">
      <c r="A560" s="60" t="s">
        <v>3812</v>
      </c>
      <c r="B560" t="str">
        <f>findKey(supplementary_offering_legacyid[[#This Row],[Produccion]])</f>
        <v>VLDI-003</v>
      </c>
      <c r="C560" s="61" t="s">
        <v>3813</v>
      </c>
      <c r="D560" t="s">
        <v>3814</v>
      </c>
      <c r="E560" t="s">
        <v>2329</v>
      </c>
      <c r="F560" t="str">
        <f>ToJsonArray(supplementary_offering_legacyid[[#Headers],[offeringid]:[mode]],supplementary_offering_legacyid[[#This Row],[offeringid]:[mode]])</f>
        <v>{"offeringid":"990000139","name":"Voz - Larga Distancia - 6000s","mode":"N"}</v>
      </c>
      <c r="G560" t="str">
        <f>ToJsonArray(supplementary_offering_legacyid[[#This Row],[Semilla04]],supplementary_offering_legacyid[[#This Row],[Json]])</f>
        <v>{"VLDI-003":{"offeringid":"990000139","name":"Voz - Larga Distancia - 6000s","mode":"N"}}</v>
      </c>
    </row>
    <row r="561" spans="1:7" x14ac:dyDescent="0.25">
      <c r="A561" s="60" t="s">
        <v>3815</v>
      </c>
      <c r="B561" t="str">
        <f>findKey(supplementary_offering_legacyid[[#This Row],[Produccion]])</f>
        <v>TRK112-01</v>
      </c>
      <c r="C561" s="61" t="s">
        <v>3816</v>
      </c>
      <c r="D561" t="s">
        <v>3815</v>
      </c>
      <c r="E561" t="s">
        <v>2189</v>
      </c>
      <c r="F561" t="str">
        <f>ToJsonArray(supplementary_offering_legacyid[[#Headers],[offeringid]:[mode]],supplementary_offering_legacyid[[#This Row],[offeringid]:[mode]])</f>
        <v>{"offeringid":"990000140","name":"TRK112-01","mode":"I"}</v>
      </c>
      <c r="G561" t="str">
        <f>ToJsonArray(supplementary_offering_legacyid[[#This Row],[Semilla04]],supplementary_offering_legacyid[[#This Row],[Json]])</f>
        <v>{"TRK112-01":{"offeringid":"990000140","name":"TRK112-01","mode":"I"}}</v>
      </c>
    </row>
    <row r="562" spans="1:7" x14ac:dyDescent="0.25">
      <c r="A562" s="60" t="s">
        <v>3817</v>
      </c>
      <c r="B562" t="str">
        <f>findKey(supplementary_offering_legacyid[[#This Row],[Produccion]])</f>
        <v>TRK112-02</v>
      </c>
      <c r="C562" s="61" t="s">
        <v>3818</v>
      </c>
      <c r="D562" t="s">
        <v>3817</v>
      </c>
      <c r="E562" t="s">
        <v>2189</v>
      </c>
      <c r="F562" t="str">
        <f>ToJsonArray(supplementary_offering_legacyid[[#Headers],[offeringid]:[mode]],supplementary_offering_legacyid[[#This Row],[offeringid]:[mode]])</f>
        <v>{"offeringid":"990000141","name":"TRK112-02","mode":"I"}</v>
      </c>
      <c r="G562" t="str">
        <f>ToJsonArray(supplementary_offering_legacyid[[#This Row],[Semilla04]],supplementary_offering_legacyid[[#This Row],[Json]])</f>
        <v>{"TRK112-02":{"offeringid":"990000141","name":"TRK112-02","mode":"I"}}</v>
      </c>
    </row>
    <row r="563" spans="1:7" x14ac:dyDescent="0.25">
      <c r="A563" s="60" t="s">
        <v>3819</v>
      </c>
      <c r="B563" t="str">
        <f>findKey(supplementary_offering_legacyid[[#This Row],[Produccion]])</f>
        <v>TRK112-03</v>
      </c>
      <c r="C563" s="61" t="s">
        <v>3820</v>
      </c>
      <c r="D563" t="s">
        <v>3819</v>
      </c>
      <c r="E563" t="s">
        <v>2189</v>
      </c>
      <c r="F563" t="str">
        <f>ToJsonArray(supplementary_offering_legacyid[[#Headers],[offeringid]:[mode]],supplementary_offering_legacyid[[#This Row],[offeringid]:[mode]])</f>
        <v>{"offeringid":"990000142","name":"TRK112-03","mode":"I"}</v>
      </c>
      <c r="G563" t="str">
        <f>ToJsonArray(supplementary_offering_legacyid[[#This Row],[Semilla04]],supplementary_offering_legacyid[[#This Row],[Json]])</f>
        <v>{"TRK112-03":{"offeringid":"990000142","name":"TRK112-03","mode":"I"}}</v>
      </c>
    </row>
    <row r="564" spans="1:7" x14ac:dyDescent="0.25">
      <c r="A564" s="60" t="s">
        <v>3821</v>
      </c>
      <c r="B564" t="str">
        <f>findKey(supplementary_offering_legacyid[[#This Row],[Produccion]])</f>
        <v>TRK112-04</v>
      </c>
      <c r="C564" s="61" t="s">
        <v>3822</v>
      </c>
      <c r="D564" t="s">
        <v>3821</v>
      </c>
      <c r="E564" t="s">
        <v>2189</v>
      </c>
      <c r="F564" t="str">
        <f>ToJsonArray(supplementary_offering_legacyid[[#Headers],[offeringid]:[mode]],supplementary_offering_legacyid[[#This Row],[offeringid]:[mode]])</f>
        <v>{"offeringid":"990000143","name":"TRK112-04","mode":"I"}</v>
      </c>
      <c r="G564" t="str">
        <f>ToJsonArray(supplementary_offering_legacyid[[#This Row],[Semilla04]],supplementary_offering_legacyid[[#This Row],[Json]])</f>
        <v>{"TRK112-04":{"offeringid":"990000143","name":"TRK112-04","mode":"I"}}</v>
      </c>
    </row>
    <row r="565" spans="1:7" x14ac:dyDescent="0.25">
      <c r="A565" s="60" t="s">
        <v>3823</v>
      </c>
      <c r="B565" t="str">
        <f>findKey(supplementary_offering_legacyid[[#This Row],[Produccion]])</f>
        <v>TRK112-05</v>
      </c>
      <c r="C565" s="61" t="s">
        <v>3824</v>
      </c>
      <c r="D565" t="s">
        <v>3823</v>
      </c>
      <c r="E565" t="s">
        <v>2189</v>
      </c>
      <c r="F565" t="str">
        <f>ToJsonArray(supplementary_offering_legacyid[[#Headers],[offeringid]:[mode]],supplementary_offering_legacyid[[#This Row],[offeringid]:[mode]])</f>
        <v>{"offeringid":"990000144","name":"TRK112-05","mode":"I"}</v>
      </c>
      <c r="G565" t="str">
        <f>ToJsonArray(supplementary_offering_legacyid[[#This Row],[Semilla04]],supplementary_offering_legacyid[[#This Row],[Json]])</f>
        <v>{"TRK112-05":{"offeringid":"990000144","name":"TRK112-05","mode":"I"}}</v>
      </c>
    </row>
    <row r="566" spans="1:7" x14ac:dyDescent="0.25">
      <c r="A566" s="60" t="s">
        <v>3825</v>
      </c>
      <c r="B566" t="str">
        <f>findKey(supplementary_offering_legacyid[[#This Row],[Produccion]])</f>
        <v>TRK112-06</v>
      </c>
      <c r="C566" s="61" t="s">
        <v>3826</v>
      </c>
      <c r="D566" t="s">
        <v>3825</v>
      </c>
      <c r="E566" t="s">
        <v>2189</v>
      </c>
      <c r="F566" t="str">
        <f>ToJsonArray(supplementary_offering_legacyid[[#Headers],[offeringid]:[mode]],supplementary_offering_legacyid[[#This Row],[offeringid]:[mode]])</f>
        <v>{"offeringid":"990000145","name":"TRK112-06","mode":"I"}</v>
      </c>
      <c r="G566" t="str">
        <f>ToJsonArray(supplementary_offering_legacyid[[#This Row],[Semilla04]],supplementary_offering_legacyid[[#This Row],[Json]])</f>
        <v>{"TRK112-06":{"offeringid":"990000145","name":"TRK112-06","mode":"I"}}</v>
      </c>
    </row>
    <row r="567" spans="1:7" x14ac:dyDescent="0.25">
      <c r="A567" s="60" t="s">
        <v>3827</v>
      </c>
      <c r="B567" t="str">
        <f>findKey(supplementary_offering_legacyid[[#This Row],[Produccion]])</f>
        <v>TRK112-07</v>
      </c>
      <c r="C567" s="61" t="s">
        <v>3828</v>
      </c>
      <c r="D567" t="s">
        <v>3827</v>
      </c>
      <c r="E567" t="s">
        <v>2189</v>
      </c>
      <c r="F567" t="str">
        <f>ToJsonArray(supplementary_offering_legacyid[[#Headers],[offeringid]:[mode]],supplementary_offering_legacyid[[#This Row],[offeringid]:[mode]])</f>
        <v>{"offeringid":"990000146","name":"TRK112-07","mode":"I"}</v>
      </c>
      <c r="G567" t="str">
        <f>ToJsonArray(supplementary_offering_legacyid[[#This Row],[Semilla04]],supplementary_offering_legacyid[[#This Row],[Json]])</f>
        <v>{"TRK112-07":{"offeringid":"990000146","name":"TRK112-07","mode":"I"}}</v>
      </c>
    </row>
    <row r="568" spans="1:7" x14ac:dyDescent="0.25">
      <c r="A568" s="60" t="s">
        <v>3829</v>
      </c>
      <c r="B568" t="str">
        <f>findKey(supplementary_offering_legacyid[[#This Row],[Produccion]])</f>
        <v>TRK112-08</v>
      </c>
      <c r="C568" s="61" t="s">
        <v>3830</v>
      </c>
      <c r="D568" t="s">
        <v>3829</v>
      </c>
      <c r="E568" t="s">
        <v>2189</v>
      </c>
      <c r="F568" t="str">
        <f>ToJsonArray(supplementary_offering_legacyid[[#Headers],[offeringid]:[mode]],supplementary_offering_legacyid[[#This Row],[offeringid]:[mode]])</f>
        <v>{"offeringid":"990000147","name":"TRK112-08","mode":"I"}</v>
      </c>
      <c r="G568" t="str">
        <f>ToJsonArray(supplementary_offering_legacyid[[#This Row],[Semilla04]],supplementary_offering_legacyid[[#This Row],[Json]])</f>
        <v>{"TRK112-08":{"offeringid":"990000147","name":"TRK112-08","mode":"I"}}</v>
      </c>
    </row>
    <row r="569" spans="1:7" x14ac:dyDescent="0.25">
      <c r="A569" s="60" t="s">
        <v>3831</v>
      </c>
      <c r="B569" t="str">
        <f>findKey(supplementary_offering_legacyid[[#This Row],[Produccion]])</f>
        <v>TRK112-09</v>
      </c>
      <c r="C569" s="61" t="s">
        <v>3832</v>
      </c>
      <c r="D569" t="s">
        <v>3831</v>
      </c>
      <c r="E569" t="s">
        <v>2189</v>
      </c>
      <c r="F569" t="str">
        <f>ToJsonArray(supplementary_offering_legacyid[[#Headers],[offeringid]:[mode]],supplementary_offering_legacyid[[#This Row],[offeringid]:[mode]])</f>
        <v>{"offeringid":"990000148","name":"TRK112-09","mode":"I"}</v>
      </c>
      <c r="G569" t="str">
        <f>ToJsonArray(supplementary_offering_legacyid[[#This Row],[Semilla04]],supplementary_offering_legacyid[[#This Row],[Json]])</f>
        <v>{"TRK112-09":{"offeringid":"990000148","name":"TRK112-09","mode":"I"}}</v>
      </c>
    </row>
    <row r="570" spans="1:7" x14ac:dyDescent="0.25">
      <c r="A570" s="60" t="s">
        <v>3833</v>
      </c>
      <c r="B570" t="str">
        <f>findKey(supplementary_offering_legacyid[[#This Row],[Produccion]])</f>
        <v>TRK112-10</v>
      </c>
      <c r="C570" s="61" t="s">
        <v>3834</v>
      </c>
      <c r="D570" t="s">
        <v>3833</v>
      </c>
      <c r="E570" t="s">
        <v>2189</v>
      </c>
      <c r="F570" t="str">
        <f>ToJsonArray(supplementary_offering_legacyid[[#Headers],[offeringid]:[mode]],supplementary_offering_legacyid[[#This Row],[offeringid]:[mode]])</f>
        <v>{"offeringid":"990000149","name":"TRK112-10","mode":"I"}</v>
      </c>
      <c r="G570" t="str">
        <f>ToJsonArray(supplementary_offering_legacyid[[#This Row],[Semilla04]],supplementary_offering_legacyid[[#This Row],[Json]])</f>
        <v>{"TRK112-10":{"offeringid":"990000149","name":"TRK112-10","mode":"I"}}</v>
      </c>
    </row>
    <row r="571" spans="1:7" x14ac:dyDescent="0.25">
      <c r="A571" s="60" t="s">
        <v>3835</v>
      </c>
      <c r="B571" t="str">
        <f>findKey(supplementary_offering_legacyid[[#This Row],[Produccion]])</f>
        <v>TRK112-11</v>
      </c>
      <c r="C571" s="61" t="s">
        <v>3836</v>
      </c>
      <c r="D571" t="s">
        <v>3835</v>
      </c>
      <c r="E571" t="s">
        <v>2189</v>
      </c>
      <c r="F571" t="str">
        <f>ToJsonArray(supplementary_offering_legacyid[[#Headers],[offeringid]:[mode]],supplementary_offering_legacyid[[#This Row],[offeringid]:[mode]])</f>
        <v>{"offeringid":"990000150","name":"TRK112-11","mode":"I"}</v>
      </c>
      <c r="G571" t="str">
        <f>ToJsonArray(supplementary_offering_legacyid[[#This Row],[Semilla04]],supplementary_offering_legacyid[[#This Row],[Json]])</f>
        <v>{"TRK112-11":{"offeringid":"990000150","name":"TRK112-11","mode":"I"}}</v>
      </c>
    </row>
    <row r="572" spans="1:7" x14ac:dyDescent="0.25">
      <c r="A572" s="60" t="s">
        <v>3837</v>
      </c>
      <c r="B572" t="str">
        <f>findKey(supplementary_offering_legacyid[[#This Row],[Produccion]])</f>
        <v>TRK112-12</v>
      </c>
      <c r="C572" s="61" t="s">
        <v>3838</v>
      </c>
      <c r="D572" t="s">
        <v>3837</v>
      </c>
      <c r="E572" t="s">
        <v>2189</v>
      </c>
      <c r="F572" t="str">
        <f>ToJsonArray(supplementary_offering_legacyid[[#Headers],[offeringid]:[mode]],supplementary_offering_legacyid[[#This Row],[offeringid]:[mode]])</f>
        <v>{"offeringid":"990000151","name":"TRK112-12","mode":"I"}</v>
      </c>
      <c r="G572" t="str">
        <f>ToJsonArray(supplementary_offering_legacyid[[#This Row],[Semilla04]],supplementary_offering_legacyid[[#This Row],[Json]])</f>
        <v>{"TRK112-12":{"offeringid":"990000151","name":"TRK112-12","mode":"I"}}</v>
      </c>
    </row>
    <row r="573" spans="1:7" x14ac:dyDescent="0.25">
      <c r="A573" s="60" t="s">
        <v>3839</v>
      </c>
      <c r="B573" t="str">
        <f>findKey(supplementary_offering_legacyid[[#This Row],[Produccion]])</f>
        <v>TRK112-13</v>
      </c>
      <c r="C573" s="61" t="s">
        <v>3840</v>
      </c>
      <c r="D573" t="s">
        <v>3839</v>
      </c>
      <c r="E573" t="s">
        <v>2189</v>
      </c>
      <c r="F573" t="str">
        <f>ToJsonArray(supplementary_offering_legacyid[[#Headers],[offeringid]:[mode]],supplementary_offering_legacyid[[#This Row],[offeringid]:[mode]])</f>
        <v>{"offeringid":"990000152","name":"TRK112-13","mode":"I"}</v>
      </c>
      <c r="G573" t="str">
        <f>ToJsonArray(supplementary_offering_legacyid[[#This Row],[Semilla04]],supplementary_offering_legacyid[[#This Row],[Json]])</f>
        <v>{"TRK112-13":{"offeringid":"990000152","name":"TRK112-13","mode":"I"}}</v>
      </c>
    </row>
    <row r="574" spans="1:7" x14ac:dyDescent="0.25">
      <c r="A574" s="60" t="s">
        <v>3841</v>
      </c>
      <c r="B574" t="str">
        <f>findKey(supplementary_offering_legacyid[[#This Row],[Produccion]])</f>
        <v>TRK112-14</v>
      </c>
      <c r="C574" s="61" t="s">
        <v>3842</v>
      </c>
      <c r="D574" t="s">
        <v>3841</v>
      </c>
      <c r="E574" t="s">
        <v>2189</v>
      </c>
      <c r="F574" t="str">
        <f>ToJsonArray(supplementary_offering_legacyid[[#Headers],[offeringid]:[mode]],supplementary_offering_legacyid[[#This Row],[offeringid]:[mode]])</f>
        <v>{"offeringid":"990000153","name":"TRK112-14","mode":"I"}</v>
      </c>
      <c r="G574" t="str">
        <f>ToJsonArray(supplementary_offering_legacyid[[#This Row],[Semilla04]],supplementary_offering_legacyid[[#This Row],[Json]])</f>
        <v>{"TRK112-14":{"offeringid":"990000153","name":"TRK112-14","mode":"I"}}</v>
      </c>
    </row>
    <row r="575" spans="1:7" x14ac:dyDescent="0.25">
      <c r="A575" s="60" t="s">
        <v>3843</v>
      </c>
      <c r="B575" t="str">
        <f>findKey(supplementary_offering_legacyid[[#This Row],[Produccion]])</f>
        <v>TRK112-15</v>
      </c>
      <c r="C575" s="61" t="s">
        <v>3844</v>
      </c>
      <c r="D575" t="s">
        <v>3843</v>
      </c>
      <c r="E575" t="s">
        <v>2189</v>
      </c>
      <c r="F575" t="str">
        <f>ToJsonArray(supplementary_offering_legacyid[[#Headers],[offeringid]:[mode]],supplementary_offering_legacyid[[#This Row],[offeringid]:[mode]])</f>
        <v>{"offeringid":"990000154","name":"TRK112-15","mode":"I"}</v>
      </c>
      <c r="G575" t="str">
        <f>ToJsonArray(supplementary_offering_legacyid[[#This Row],[Semilla04]],supplementary_offering_legacyid[[#This Row],[Json]])</f>
        <v>{"TRK112-15":{"offeringid":"990000154","name":"TRK112-15","mode":"I"}}</v>
      </c>
    </row>
    <row r="576" spans="1:7" x14ac:dyDescent="0.25">
      <c r="A576" s="60" t="s">
        <v>3845</v>
      </c>
      <c r="B576" t="str">
        <f>findKey(supplementary_offering_legacyid[[#This Row],[Produccion]])</f>
        <v>TRK134-01</v>
      </c>
      <c r="C576" s="61" t="s">
        <v>3846</v>
      </c>
      <c r="D576" t="s">
        <v>3845</v>
      </c>
      <c r="E576" t="s">
        <v>2189</v>
      </c>
      <c r="F576" t="str">
        <f>ToJsonArray(supplementary_offering_legacyid[[#Headers],[offeringid]:[mode]],supplementary_offering_legacyid[[#This Row],[offeringid]:[mode]])</f>
        <v>{"offeringid":"990000155","name":"TRK134-01","mode":"I"}</v>
      </c>
      <c r="G576" t="str">
        <f>ToJsonArray(supplementary_offering_legacyid[[#This Row],[Semilla04]],supplementary_offering_legacyid[[#This Row],[Json]])</f>
        <v>{"TRK134-01":{"offeringid":"990000155","name":"TRK134-01","mode":"I"}}</v>
      </c>
    </row>
    <row r="577" spans="1:7" x14ac:dyDescent="0.25">
      <c r="A577" s="60" t="s">
        <v>3847</v>
      </c>
      <c r="B577" t="str">
        <f>findKey(supplementary_offering_legacyid[[#This Row],[Produccion]])</f>
        <v>TRK121-01</v>
      </c>
      <c r="C577" s="61" t="s">
        <v>3848</v>
      </c>
      <c r="D577" t="s">
        <v>3847</v>
      </c>
      <c r="E577" t="s">
        <v>2189</v>
      </c>
      <c r="F577" t="str">
        <f>ToJsonArray(supplementary_offering_legacyid[[#Headers],[offeringid]:[mode]],supplementary_offering_legacyid[[#This Row],[offeringid]:[mode]])</f>
        <v>{"offeringid":"990000156","name":"TRK121-01","mode":"I"}</v>
      </c>
      <c r="G577" t="str">
        <f>ToJsonArray(supplementary_offering_legacyid[[#This Row],[Semilla04]],supplementary_offering_legacyid[[#This Row],[Json]])</f>
        <v>{"TRK121-01":{"offeringid":"990000156","name":"TRK121-01","mode":"I"}}</v>
      </c>
    </row>
    <row r="578" spans="1:7" x14ac:dyDescent="0.25">
      <c r="A578" s="60" t="s">
        <v>3849</v>
      </c>
      <c r="B578" t="str">
        <f>findKey(supplementary_offering_legacyid[[#This Row],[Produccion]])</f>
        <v>TRK123-01</v>
      </c>
      <c r="C578" s="61" t="s">
        <v>3850</v>
      </c>
      <c r="D578" t="s">
        <v>3849</v>
      </c>
      <c r="E578" t="s">
        <v>2189</v>
      </c>
      <c r="F578" t="str">
        <f>ToJsonArray(supplementary_offering_legacyid[[#Headers],[offeringid]:[mode]],supplementary_offering_legacyid[[#This Row],[offeringid]:[mode]])</f>
        <v>{"offeringid":"990000157","name":"TRK123-01","mode":"I"}</v>
      </c>
      <c r="G578" t="str">
        <f>ToJsonArray(supplementary_offering_legacyid[[#This Row],[Semilla04]],supplementary_offering_legacyid[[#This Row],[Json]])</f>
        <v>{"TRK123-01":{"offeringid":"990000157","name":"TRK123-01","mode":"I"}}</v>
      </c>
    </row>
    <row r="579" spans="1:7" x14ac:dyDescent="0.25">
      <c r="A579" s="60" t="s">
        <v>3851</v>
      </c>
      <c r="B579" t="str">
        <f>findKey(supplementary_offering_legacyid[[#This Row],[Produccion]])</f>
        <v>TRK123-02</v>
      </c>
      <c r="C579" s="61" t="s">
        <v>3852</v>
      </c>
      <c r="D579" t="s">
        <v>3851</v>
      </c>
      <c r="E579" t="s">
        <v>2189</v>
      </c>
      <c r="F579" t="str">
        <f>ToJsonArray(supplementary_offering_legacyid[[#Headers],[offeringid]:[mode]],supplementary_offering_legacyid[[#This Row],[offeringid]:[mode]])</f>
        <v>{"offeringid":"990000158","name":"TRK123-02","mode":"I"}</v>
      </c>
      <c r="G579" t="str">
        <f>ToJsonArray(supplementary_offering_legacyid[[#This Row],[Semilla04]],supplementary_offering_legacyid[[#This Row],[Json]])</f>
        <v>{"TRK123-02":{"offeringid":"990000158","name":"TRK123-02","mode":"I"}}</v>
      </c>
    </row>
    <row r="580" spans="1:7" x14ac:dyDescent="0.25">
      <c r="A580" s="60" t="s">
        <v>3853</v>
      </c>
      <c r="B580" t="str">
        <f>findKey(supplementary_offering_legacyid[[#This Row],[Produccion]])</f>
        <v>TRK123-03</v>
      </c>
      <c r="C580" s="61" t="s">
        <v>3854</v>
      </c>
      <c r="D580" t="s">
        <v>3853</v>
      </c>
      <c r="E580" t="s">
        <v>2189</v>
      </c>
      <c r="F580" t="str">
        <f>ToJsonArray(supplementary_offering_legacyid[[#Headers],[offeringid]:[mode]],supplementary_offering_legacyid[[#This Row],[offeringid]:[mode]])</f>
        <v>{"offeringid":"990000159","name":"TRK123-03","mode":"I"}</v>
      </c>
      <c r="G580" t="str">
        <f>ToJsonArray(supplementary_offering_legacyid[[#This Row],[Semilla04]],supplementary_offering_legacyid[[#This Row],[Json]])</f>
        <v>{"TRK123-03":{"offeringid":"990000159","name":"TRK123-03","mode":"I"}}</v>
      </c>
    </row>
    <row r="581" spans="1:7" x14ac:dyDescent="0.25">
      <c r="A581" s="60" t="s">
        <v>3855</v>
      </c>
      <c r="B581" t="str">
        <f>findKey(supplementary_offering_legacyid[[#This Row],[Produccion]])</f>
        <v>ONDEMAND</v>
      </c>
      <c r="C581" s="61" t="s">
        <v>3856</v>
      </c>
      <c r="D581" t="s">
        <v>3857</v>
      </c>
      <c r="E581" t="s">
        <v>2189</v>
      </c>
      <c r="F581" t="str">
        <f>ToJsonArray(supplementary_offering_legacyid[[#Headers],[offeringid]:[mode]],supplementary_offering_legacyid[[#This Row],[offeringid]:[mode]])</f>
        <v>{"offeringid":"990000100","name":"ONDEMAND_GPRS","mode":"I"}</v>
      </c>
      <c r="G581" t="str">
        <f>ToJsonArray(supplementary_offering_legacyid[[#This Row],[Semilla04]],supplementary_offering_legacyid[[#This Row],[Json]])</f>
        <v>{"ONDEMAND":{"offeringid":"990000100","name":"ONDEMAND_GPRS","mode":"I"}}</v>
      </c>
    </row>
    <row r="582" spans="1:7" x14ac:dyDescent="0.25">
      <c r="A582" s="60" t="s">
        <v>3858</v>
      </c>
      <c r="B582" t="str">
        <f>findKey(supplementary_offering_legacyid[[#This Row],[Produccion]])</f>
        <v>100001-56</v>
      </c>
      <c r="C582" s="61" t="s">
        <v>3859</v>
      </c>
      <c r="D582" t="s">
        <v>3860</v>
      </c>
      <c r="E582" t="s">
        <v>2329</v>
      </c>
      <c r="F582" t="str">
        <f>ToJsonArray(supplementary_offering_legacyid[[#Headers],[offeringid]:[mode]],supplementary_offering_legacyid[[#This Row],[offeringid]:[mode]])</f>
        <v>{"offeringid":"910000156","name":"Voz-OnNet-Ilimitado_910000156","mode":"N"}</v>
      </c>
      <c r="G582" t="str">
        <f>ToJsonArray(supplementary_offering_legacyid[[#This Row],[Semilla04]],supplementary_offering_legacyid[[#This Row],[Json]])</f>
        <v>{"100001-56":{"offeringid":"910000156","name":"Voz-OnNet-Ilimitado_910000156","mode":"N"}}</v>
      </c>
    </row>
    <row r="583" spans="1:7" x14ac:dyDescent="0.25">
      <c r="A583" s="60" t="s">
        <v>3861</v>
      </c>
      <c r="B583" t="str">
        <f>findKey(supplementary_offering_legacyid[[#This Row],[Produccion]])</f>
        <v>100001-57</v>
      </c>
      <c r="C583" s="61" t="s">
        <v>3862</v>
      </c>
      <c r="D583" t="s">
        <v>3863</v>
      </c>
      <c r="E583" t="s">
        <v>2329</v>
      </c>
      <c r="F583" t="str">
        <f>ToJsonArray(supplementary_offering_legacyid[[#Headers],[offeringid]:[mode]],supplementary_offering_legacyid[[#This Row],[offeringid]:[mode]])</f>
        <v>{"offeringid":"910000157","name":"Voz-OnNet-Ilimitado_910000157","mode":"N"}</v>
      </c>
      <c r="G583" t="str">
        <f>ToJsonArray(supplementary_offering_legacyid[[#This Row],[Semilla04]],supplementary_offering_legacyid[[#This Row],[Json]])</f>
        <v>{"100001-57":{"offeringid":"910000157","name":"Voz-OnNet-Ilimitado_910000157","mode":"N"}}</v>
      </c>
    </row>
    <row r="584" spans="1:7" x14ac:dyDescent="0.25">
      <c r="A584" s="60" t="s">
        <v>3864</v>
      </c>
      <c r="B584" t="str">
        <f>findKey(supplementary_offering_legacyid[[#This Row],[Produccion]])</f>
        <v>100001-58</v>
      </c>
      <c r="C584" s="61" t="s">
        <v>3865</v>
      </c>
      <c r="D584" t="s">
        <v>3866</v>
      </c>
      <c r="E584" t="s">
        <v>2329</v>
      </c>
      <c r="F584" t="str">
        <f>ToJsonArray(supplementary_offering_legacyid[[#Headers],[offeringid]:[mode]],supplementary_offering_legacyid[[#This Row],[offeringid]:[mode]])</f>
        <v>{"offeringid":"910000158","name":"Voz-OnNet-Ilimitado_910000158","mode":"N"}</v>
      </c>
      <c r="G584" t="str">
        <f>ToJsonArray(supplementary_offering_legacyid[[#This Row],[Semilla04]],supplementary_offering_legacyid[[#This Row],[Json]])</f>
        <v>{"100001-58":{"offeringid":"910000158","name":"Voz-OnNet-Ilimitado_910000158","mode":"N"}}</v>
      </c>
    </row>
    <row r="585" spans="1:7" x14ac:dyDescent="0.25">
      <c r="A585" s="60" t="s">
        <v>3867</v>
      </c>
      <c r="B585" t="str">
        <f>findKey(supplementary_offering_legacyid[[#This Row],[Produccion]])</f>
        <v>100001-59</v>
      </c>
      <c r="C585" s="61" t="s">
        <v>3868</v>
      </c>
      <c r="D585" t="s">
        <v>3869</v>
      </c>
      <c r="E585" t="s">
        <v>2329</v>
      </c>
      <c r="F585" t="str">
        <f>ToJsonArray(supplementary_offering_legacyid[[#Headers],[offeringid]:[mode]],supplementary_offering_legacyid[[#This Row],[offeringid]:[mode]])</f>
        <v>{"offeringid":"910000159","name":"Voz-OnNet-Ilimitado_910000159","mode":"N"}</v>
      </c>
      <c r="G585" t="str">
        <f>ToJsonArray(supplementary_offering_legacyid[[#This Row],[Semilla04]],supplementary_offering_legacyid[[#This Row],[Json]])</f>
        <v>{"100001-59":{"offeringid":"910000159","name":"Voz-OnNet-Ilimitado_910000159","mode":"N"}}</v>
      </c>
    </row>
    <row r="586" spans="1:7" x14ac:dyDescent="0.25">
      <c r="A586" s="60" t="s">
        <v>3870</v>
      </c>
      <c r="B586" t="str">
        <f>findKey(supplementary_offering_legacyid[[#This Row],[Produccion]])</f>
        <v>100001-60</v>
      </c>
      <c r="C586" s="61" t="s">
        <v>3871</v>
      </c>
      <c r="D586" t="s">
        <v>3872</v>
      </c>
      <c r="E586" t="s">
        <v>2329</v>
      </c>
      <c r="F586" t="str">
        <f>ToJsonArray(supplementary_offering_legacyid[[#Headers],[offeringid]:[mode]],supplementary_offering_legacyid[[#This Row],[offeringid]:[mode]])</f>
        <v>{"offeringid":"910000160","name":"Voz-OnNet-Ilimitado_910000160","mode":"N"}</v>
      </c>
      <c r="G586" t="str">
        <f>ToJsonArray(supplementary_offering_legacyid[[#This Row],[Semilla04]],supplementary_offering_legacyid[[#This Row],[Json]])</f>
        <v>{"100001-60":{"offeringid":"910000160","name":"Voz-OnNet-Ilimitado_910000160","mode":"N"}}</v>
      </c>
    </row>
    <row r="587" spans="1:7" x14ac:dyDescent="0.25">
      <c r="A587" s="60" t="s">
        <v>3873</v>
      </c>
      <c r="B587" t="str">
        <f>findKey(supplementary_offering_legacyid[[#This Row],[Produccion]])</f>
        <v>100001-61</v>
      </c>
      <c r="C587" s="61" t="s">
        <v>3874</v>
      </c>
      <c r="D587" t="s">
        <v>3875</v>
      </c>
      <c r="E587" t="s">
        <v>2329</v>
      </c>
      <c r="F587" t="str">
        <f>ToJsonArray(supplementary_offering_legacyid[[#Headers],[offeringid]:[mode]],supplementary_offering_legacyid[[#This Row],[offeringid]:[mode]])</f>
        <v>{"offeringid":"910000161","name":"Voz-OnNet-Ilimitado_910000161","mode":"N"}</v>
      </c>
      <c r="G587" t="str">
        <f>ToJsonArray(supplementary_offering_legacyid[[#This Row],[Semilla04]],supplementary_offering_legacyid[[#This Row],[Json]])</f>
        <v>{"100001-61":{"offeringid":"910000161","name":"Voz-OnNet-Ilimitado_910000161","mode":"N"}}</v>
      </c>
    </row>
    <row r="588" spans="1:7" x14ac:dyDescent="0.25">
      <c r="A588" s="60" t="s">
        <v>3876</v>
      </c>
      <c r="B588" t="str">
        <f>findKey(supplementary_offering_legacyid[[#This Row],[Produccion]])</f>
        <v>100001-62</v>
      </c>
      <c r="C588" s="61" t="s">
        <v>3877</v>
      </c>
      <c r="D588" t="s">
        <v>3878</v>
      </c>
      <c r="E588" t="s">
        <v>2329</v>
      </c>
      <c r="F588" t="str">
        <f>ToJsonArray(supplementary_offering_legacyid[[#Headers],[offeringid]:[mode]],supplementary_offering_legacyid[[#This Row],[offeringid]:[mode]])</f>
        <v>{"offeringid":"910000162","name":"Voz-OnNet-Ilimitado_910000162","mode":"N"}</v>
      </c>
      <c r="G588" t="str">
        <f>ToJsonArray(supplementary_offering_legacyid[[#This Row],[Semilla04]],supplementary_offering_legacyid[[#This Row],[Json]])</f>
        <v>{"100001-62":{"offeringid":"910000162","name":"Voz-OnNet-Ilimitado_910000162","mode":"N"}}</v>
      </c>
    </row>
    <row r="589" spans="1:7" x14ac:dyDescent="0.25">
      <c r="A589" s="60" t="s">
        <v>3879</v>
      </c>
      <c r="B589" t="str">
        <f>findKey(supplementary_offering_legacyid[[#This Row],[Produccion]])</f>
        <v>100001-63</v>
      </c>
      <c r="C589" s="61" t="s">
        <v>3880</v>
      </c>
      <c r="D589" t="s">
        <v>3881</v>
      </c>
      <c r="E589" t="s">
        <v>2329</v>
      </c>
      <c r="F589" t="str">
        <f>ToJsonArray(supplementary_offering_legacyid[[#Headers],[offeringid]:[mode]],supplementary_offering_legacyid[[#This Row],[offeringid]:[mode]])</f>
        <v>{"offeringid":"910000163","name":"Voz-OnNet-Ilimitado_910000163","mode":"N"}</v>
      </c>
      <c r="G589" t="str">
        <f>ToJsonArray(supplementary_offering_legacyid[[#This Row],[Semilla04]],supplementary_offering_legacyid[[#This Row],[Json]])</f>
        <v>{"100001-63":{"offeringid":"910000163","name":"Voz-OnNet-Ilimitado_910000163","mode":"N"}}</v>
      </c>
    </row>
    <row r="590" spans="1:7" x14ac:dyDescent="0.25">
      <c r="A590" s="60" t="s">
        <v>3882</v>
      </c>
      <c r="B590" t="str">
        <f>findKey(supplementary_offering_legacyid[[#This Row],[Produccion]])</f>
        <v>100001-64</v>
      </c>
      <c r="C590" s="61" t="s">
        <v>3883</v>
      </c>
      <c r="D590" t="s">
        <v>3884</v>
      </c>
      <c r="E590" t="s">
        <v>2329</v>
      </c>
      <c r="F590" t="str">
        <f>ToJsonArray(supplementary_offering_legacyid[[#Headers],[offeringid]:[mode]],supplementary_offering_legacyid[[#This Row],[offeringid]:[mode]])</f>
        <v>{"offeringid":"910000164","name":"Voz-OnNet-Ilimitado_910000164","mode":"N"}</v>
      </c>
      <c r="G590" t="str">
        <f>ToJsonArray(supplementary_offering_legacyid[[#This Row],[Semilla04]],supplementary_offering_legacyid[[#This Row],[Json]])</f>
        <v>{"100001-64":{"offeringid":"910000164","name":"Voz-OnNet-Ilimitado_910000164","mode":"N"}}</v>
      </c>
    </row>
    <row r="591" spans="1:7" x14ac:dyDescent="0.25">
      <c r="A591" s="60" t="s">
        <v>3885</v>
      </c>
      <c r="B591" t="str">
        <f>findKey(supplementary_offering_legacyid[[#This Row],[Produccion]])</f>
        <v>100001-65</v>
      </c>
      <c r="C591" s="61" t="s">
        <v>3886</v>
      </c>
      <c r="D591" t="s">
        <v>3887</v>
      </c>
      <c r="E591" t="s">
        <v>2329</v>
      </c>
      <c r="F591" t="str">
        <f>ToJsonArray(supplementary_offering_legacyid[[#Headers],[offeringid]:[mode]],supplementary_offering_legacyid[[#This Row],[offeringid]:[mode]])</f>
        <v>{"offeringid":"910000165","name":"Voz-OnNet-Ilimitado_910000165","mode":"N"}</v>
      </c>
      <c r="G591" t="str">
        <f>ToJsonArray(supplementary_offering_legacyid[[#This Row],[Semilla04]],supplementary_offering_legacyid[[#This Row],[Json]])</f>
        <v>{"100001-65":{"offeringid":"910000165","name":"Voz-OnNet-Ilimitado_910000165","mode":"N"}}</v>
      </c>
    </row>
    <row r="592" spans="1:7" x14ac:dyDescent="0.25">
      <c r="A592" s="60" t="s">
        <v>3888</v>
      </c>
      <c r="B592" t="str">
        <f>findKey(supplementary_offering_legacyid[[#This Row],[Produccion]])</f>
        <v>100012-80</v>
      </c>
      <c r="C592" s="61" t="s">
        <v>3889</v>
      </c>
      <c r="D592" t="s">
        <v>3890</v>
      </c>
      <c r="E592" t="s">
        <v>2329</v>
      </c>
      <c r="F592" t="str">
        <f>ToJsonArray(supplementary_offering_legacyid[[#Headers],[offeringid]:[mode]],supplementary_offering_legacyid[[#This Row],[offeringid]:[mode]])</f>
        <v>{"offeringid":"910001280","name":"Voz-TD-15000s_910001280","mode":"N"}</v>
      </c>
      <c r="G592" t="str">
        <f>ToJsonArray(supplementary_offering_legacyid[[#This Row],[Semilla04]],supplementary_offering_legacyid[[#This Row],[Json]])</f>
        <v>{"100012-80":{"offeringid":"910001280","name":"Voz-TD-15000s_910001280","mode":"N"}}</v>
      </c>
    </row>
    <row r="593" spans="1:7" x14ac:dyDescent="0.25">
      <c r="A593" s="60" t="s">
        <v>3891</v>
      </c>
      <c r="B593" t="str">
        <f>findKey(supplementary_offering_legacyid[[#This Row],[Produccion]])</f>
        <v>100012-81</v>
      </c>
      <c r="C593" s="61" t="s">
        <v>3892</v>
      </c>
      <c r="D593" t="s">
        <v>3893</v>
      </c>
      <c r="E593" t="s">
        <v>2329</v>
      </c>
      <c r="F593" t="str">
        <f>ToJsonArray(supplementary_offering_legacyid[[#Headers],[offeringid]:[mode]],supplementary_offering_legacyid[[#This Row],[offeringid]:[mode]])</f>
        <v>{"offeringid":"910001281","name":"Voz-TD-24000s_910001281","mode":"N"}</v>
      </c>
      <c r="G593" t="str">
        <f>ToJsonArray(supplementary_offering_legacyid[[#This Row],[Semilla04]],supplementary_offering_legacyid[[#This Row],[Json]])</f>
        <v>{"100012-81":{"offeringid":"910001281","name":"Voz-TD-24000s_910001281","mode":"N"}}</v>
      </c>
    </row>
    <row r="594" spans="1:7" x14ac:dyDescent="0.25">
      <c r="A594" s="60" t="s">
        <v>3894</v>
      </c>
      <c r="B594" t="str">
        <f>findKey(supplementary_offering_legacyid[[#This Row],[Produccion]])</f>
        <v>100012-82</v>
      </c>
      <c r="C594" s="61" t="s">
        <v>3895</v>
      </c>
      <c r="D594" t="s">
        <v>3896</v>
      </c>
      <c r="E594" t="s">
        <v>2329</v>
      </c>
      <c r="F594" t="str">
        <f>ToJsonArray(supplementary_offering_legacyid[[#Headers],[offeringid]:[mode]],supplementary_offering_legacyid[[#This Row],[offeringid]:[mode]])</f>
        <v>{"offeringid":"910001282","name":"Voz-TD-45000s_910001282","mode":"N"}</v>
      </c>
      <c r="G594" t="str">
        <f>ToJsonArray(supplementary_offering_legacyid[[#This Row],[Semilla04]],supplementary_offering_legacyid[[#This Row],[Json]])</f>
        <v>{"100012-82":{"offeringid":"910001282","name":"Voz-TD-45000s_910001282","mode":"N"}}</v>
      </c>
    </row>
    <row r="595" spans="1:7" x14ac:dyDescent="0.25">
      <c r="A595" s="60" t="s">
        <v>3897</v>
      </c>
      <c r="B595" t="str">
        <f>findKey(supplementary_offering_legacyid[[#This Row],[Produccion]])</f>
        <v>100012-83</v>
      </c>
      <c r="C595" s="61" t="s">
        <v>3898</v>
      </c>
      <c r="D595" t="s">
        <v>3899</v>
      </c>
      <c r="E595" t="s">
        <v>2329</v>
      </c>
      <c r="F595" t="str">
        <f>ToJsonArray(supplementary_offering_legacyid[[#Headers],[offeringid]:[mode]],supplementary_offering_legacyid[[#This Row],[offeringid]:[mode]])</f>
        <v>{"offeringid":"910001283","name":"Voz-TD-54000s_910001283","mode":"N"}</v>
      </c>
      <c r="G595" t="str">
        <f>ToJsonArray(supplementary_offering_legacyid[[#This Row],[Semilla04]],supplementary_offering_legacyid[[#This Row],[Json]])</f>
        <v>{"100012-83":{"offeringid":"910001283","name":"Voz-TD-54000s_910001283","mode":"N"}}</v>
      </c>
    </row>
    <row r="596" spans="1:7" x14ac:dyDescent="0.25">
      <c r="A596" s="60" t="s">
        <v>3900</v>
      </c>
      <c r="B596" t="str">
        <f>findKey(supplementary_offering_legacyid[[#This Row],[Produccion]])</f>
        <v>100012-84</v>
      </c>
      <c r="C596" s="61" t="s">
        <v>3901</v>
      </c>
      <c r="D596" t="s">
        <v>3902</v>
      </c>
      <c r="E596" t="s">
        <v>2329</v>
      </c>
      <c r="F596" t="str">
        <f>ToJsonArray(supplementary_offering_legacyid[[#Headers],[offeringid]:[mode]],supplementary_offering_legacyid[[#This Row],[offeringid]:[mode]])</f>
        <v>{"offeringid":"910001284","name":"Voz-TD-84000s_910001284","mode":"N"}</v>
      </c>
      <c r="G596" t="str">
        <f>ToJsonArray(supplementary_offering_legacyid[[#This Row],[Semilla04]],supplementary_offering_legacyid[[#This Row],[Json]])</f>
        <v>{"100012-84":{"offeringid":"910001284","name":"Voz-TD-84000s_910001284","mode":"N"}}</v>
      </c>
    </row>
    <row r="597" spans="1:7" x14ac:dyDescent="0.25">
      <c r="A597" s="60" t="s">
        <v>3903</v>
      </c>
      <c r="B597" t="str">
        <f>findKey(supplementary_offering_legacyid[[#This Row],[Produccion]])</f>
        <v>100012-85</v>
      </c>
      <c r="C597" s="61" t="s">
        <v>3904</v>
      </c>
      <c r="D597" t="s">
        <v>3905</v>
      </c>
      <c r="E597" t="s">
        <v>2329</v>
      </c>
      <c r="F597" t="str">
        <f>ToJsonArray(supplementary_offering_legacyid[[#Headers],[offeringid]:[mode]],supplementary_offering_legacyid[[#This Row],[offeringid]:[mode]])</f>
        <v>{"offeringid":"910001285","name":"Voz-TD-2678400s_910001285","mode":"N"}</v>
      </c>
      <c r="G597" t="str">
        <f>ToJsonArray(supplementary_offering_legacyid[[#This Row],[Semilla04]],supplementary_offering_legacyid[[#This Row],[Json]])</f>
        <v>{"100012-85":{"offeringid":"910001285","name":"Voz-TD-2678400s_910001285","mode":"N"}}</v>
      </c>
    </row>
    <row r="598" spans="1:7" x14ac:dyDescent="0.25">
      <c r="A598" s="60" t="s">
        <v>3906</v>
      </c>
      <c r="B598" t="str">
        <f>findKey(supplementary_offering_legacyid[[#This Row],[Produccion]])</f>
        <v>100012-86</v>
      </c>
      <c r="C598" s="61" t="s">
        <v>3907</v>
      </c>
      <c r="D598" t="s">
        <v>3908</v>
      </c>
      <c r="E598" t="s">
        <v>2329</v>
      </c>
      <c r="F598" t="str">
        <f>ToJsonArray(supplementary_offering_legacyid[[#Headers],[offeringid]:[mode]],supplementary_offering_legacyid[[#This Row],[offeringid]:[mode]])</f>
        <v>{"offeringid":"910001286","name":"Voz-TD-2678400s_910001286","mode":"N"}</v>
      </c>
      <c r="G598" t="str">
        <f>ToJsonArray(supplementary_offering_legacyid[[#This Row],[Semilla04]],supplementary_offering_legacyid[[#This Row],[Json]])</f>
        <v>{"100012-86":{"offeringid":"910001286","name":"Voz-TD-2678400s_910001286","mode":"N"}}</v>
      </c>
    </row>
    <row r="599" spans="1:7" x14ac:dyDescent="0.25">
      <c r="A599" s="60" t="s">
        <v>3909</v>
      </c>
      <c r="B599" t="str">
        <f>findKey(supplementary_offering_legacyid[[#This Row],[Produccion]])</f>
        <v>100012-87</v>
      </c>
      <c r="C599" s="61" t="s">
        <v>3910</v>
      </c>
      <c r="D599" t="s">
        <v>3911</v>
      </c>
      <c r="E599" t="s">
        <v>2329</v>
      </c>
      <c r="F599" t="str">
        <f>ToJsonArray(supplementary_offering_legacyid[[#Headers],[offeringid]:[mode]],supplementary_offering_legacyid[[#This Row],[offeringid]:[mode]])</f>
        <v>{"offeringid":"910001287","name":"Voz-TD-2678400s_910001287","mode":"N"}</v>
      </c>
      <c r="G599" t="str">
        <f>ToJsonArray(supplementary_offering_legacyid[[#This Row],[Semilla04]],supplementary_offering_legacyid[[#This Row],[Json]])</f>
        <v>{"100012-87":{"offeringid":"910001287","name":"Voz-TD-2678400s_910001287","mode":"N"}}</v>
      </c>
    </row>
    <row r="600" spans="1:7" x14ac:dyDescent="0.25">
      <c r="A600" s="60" t="s">
        <v>3912</v>
      </c>
      <c r="B600" t="str">
        <f>findKey(supplementary_offering_legacyid[[#This Row],[Produccion]])</f>
        <v>100012-88</v>
      </c>
      <c r="C600" s="61" t="s">
        <v>3913</v>
      </c>
      <c r="D600" t="s">
        <v>3914</v>
      </c>
      <c r="E600" t="s">
        <v>2329</v>
      </c>
      <c r="F600" t="str">
        <f>ToJsonArray(supplementary_offering_legacyid[[#Headers],[offeringid]:[mode]],supplementary_offering_legacyid[[#This Row],[offeringid]:[mode]])</f>
        <v>{"offeringid":"910001288","name":"Voz-TD-2678400s_910001288","mode":"N"}</v>
      </c>
      <c r="G600" t="str">
        <f>ToJsonArray(supplementary_offering_legacyid[[#This Row],[Semilla04]],supplementary_offering_legacyid[[#This Row],[Json]])</f>
        <v>{"100012-88":{"offeringid":"910001288","name":"Voz-TD-2678400s_910001288","mode":"N"}}</v>
      </c>
    </row>
    <row r="601" spans="1:7" x14ac:dyDescent="0.25">
      <c r="A601" s="60" t="s">
        <v>3915</v>
      </c>
      <c r="B601" t="str">
        <f>findKey(supplementary_offering_legacyid[[#This Row],[Produccion]])</f>
        <v>100012-89</v>
      </c>
      <c r="C601" s="61" t="s">
        <v>3916</v>
      </c>
      <c r="D601" t="s">
        <v>3917</v>
      </c>
      <c r="E601" t="s">
        <v>2329</v>
      </c>
      <c r="F601" t="str">
        <f>ToJsonArray(supplementary_offering_legacyid[[#Headers],[offeringid]:[mode]],supplementary_offering_legacyid[[#This Row],[offeringid]:[mode]])</f>
        <v>{"offeringid":"910001289","name":"Voz-TD-2678400s_910001289","mode":"N"}</v>
      </c>
      <c r="G601" t="str">
        <f>ToJsonArray(supplementary_offering_legacyid[[#This Row],[Semilla04]],supplementary_offering_legacyid[[#This Row],[Json]])</f>
        <v>{"100012-89":{"offeringid":"910001289","name":"Voz-TD-2678400s_910001289","mode":"N"}}</v>
      </c>
    </row>
    <row r="602" spans="1:7" x14ac:dyDescent="0.25">
      <c r="A602" s="60" t="s">
        <v>3918</v>
      </c>
      <c r="B602" t="str">
        <f>findKey(supplementary_offering_legacyid[[#This Row],[Produccion]])</f>
        <v>100012-90</v>
      </c>
      <c r="C602" s="61" t="s">
        <v>3919</v>
      </c>
      <c r="D602" t="s">
        <v>3920</v>
      </c>
      <c r="E602" t="s">
        <v>2329</v>
      </c>
      <c r="F602" t="str">
        <f>ToJsonArray(supplementary_offering_legacyid[[#Headers],[offeringid]:[mode]],supplementary_offering_legacyid[[#This Row],[offeringid]:[mode]])</f>
        <v>{"offeringid":"910001290","name":"Voz-TD-2678400s_910001290","mode":"N"}</v>
      </c>
      <c r="G602" t="str">
        <f>ToJsonArray(supplementary_offering_legacyid[[#This Row],[Semilla04]],supplementary_offering_legacyid[[#This Row],[Json]])</f>
        <v>{"100012-90":{"offeringid":"910001290","name":"Voz-TD-2678400s_910001290","mode":"N"}}</v>
      </c>
    </row>
    <row r="603" spans="1:7" x14ac:dyDescent="0.25">
      <c r="A603" s="60" t="s">
        <v>3921</v>
      </c>
      <c r="B603" t="str">
        <f>findKey(supplementary_offering_legacyid[[#This Row],[Produccion]])</f>
        <v>100012-91</v>
      </c>
      <c r="C603" s="61" t="s">
        <v>3922</v>
      </c>
      <c r="D603" t="s">
        <v>3923</v>
      </c>
      <c r="E603" t="s">
        <v>2329</v>
      </c>
      <c r="F603" t="str">
        <f>ToJsonArray(supplementary_offering_legacyid[[#Headers],[offeringid]:[mode]],supplementary_offering_legacyid[[#This Row],[offeringid]:[mode]])</f>
        <v>{"offeringid":"910001291","name":"Voz-TD-15000s_910001291","mode":"N"}</v>
      </c>
      <c r="G603" t="str">
        <f>ToJsonArray(supplementary_offering_legacyid[[#This Row],[Semilla04]],supplementary_offering_legacyid[[#This Row],[Json]])</f>
        <v>{"100012-91":{"offeringid":"910001291","name":"Voz-TD-15000s_910001291","mode":"N"}}</v>
      </c>
    </row>
    <row r="604" spans="1:7" x14ac:dyDescent="0.25">
      <c r="A604" s="60" t="s">
        <v>3924</v>
      </c>
      <c r="B604" t="str">
        <f>findKey(supplementary_offering_legacyid[[#This Row],[Produccion]])</f>
        <v>100012-92</v>
      </c>
      <c r="C604" s="61" t="s">
        <v>3925</v>
      </c>
      <c r="D604" t="s">
        <v>3926</v>
      </c>
      <c r="E604" t="s">
        <v>2329</v>
      </c>
      <c r="F604" t="str">
        <f>ToJsonArray(supplementary_offering_legacyid[[#Headers],[offeringid]:[mode]],supplementary_offering_legacyid[[#This Row],[offeringid]:[mode]])</f>
        <v>{"offeringid":"910001292","name":"Voz-TD-24000s_910001292","mode":"N"}</v>
      </c>
      <c r="G604" t="str">
        <f>ToJsonArray(supplementary_offering_legacyid[[#This Row],[Semilla04]],supplementary_offering_legacyid[[#This Row],[Json]])</f>
        <v>{"100012-92":{"offeringid":"910001292","name":"Voz-TD-24000s_910001292","mode":"N"}}</v>
      </c>
    </row>
    <row r="605" spans="1:7" x14ac:dyDescent="0.25">
      <c r="A605" s="60" t="s">
        <v>3927</v>
      </c>
      <c r="B605" t="str">
        <f>findKey(supplementary_offering_legacyid[[#This Row],[Produccion]])</f>
        <v>100012-93</v>
      </c>
      <c r="C605" s="61" t="s">
        <v>3928</v>
      </c>
      <c r="D605" t="s">
        <v>3929</v>
      </c>
      <c r="E605" t="s">
        <v>2329</v>
      </c>
      <c r="F605" t="str">
        <f>ToJsonArray(supplementary_offering_legacyid[[#Headers],[offeringid]:[mode]],supplementary_offering_legacyid[[#This Row],[offeringid]:[mode]])</f>
        <v>{"offeringid":"910001293","name":"Voz-TD-45000s_910001293","mode":"N"}</v>
      </c>
      <c r="G605" t="str">
        <f>ToJsonArray(supplementary_offering_legacyid[[#This Row],[Semilla04]],supplementary_offering_legacyid[[#This Row],[Json]])</f>
        <v>{"100012-93":{"offeringid":"910001293","name":"Voz-TD-45000s_910001293","mode":"N"}}</v>
      </c>
    </row>
    <row r="606" spans="1:7" x14ac:dyDescent="0.25">
      <c r="A606" s="60" t="s">
        <v>3930</v>
      </c>
      <c r="B606" t="str">
        <f>findKey(supplementary_offering_legacyid[[#This Row],[Produccion]])</f>
        <v>100012-94</v>
      </c>
      <c r="C606" s="61" t="s">
        <v>3931</v>
      </c>
      <c r="D606" t="s">
        <v>3932</v>
      </c>
      <c r="E606" t="s">
        <v>2329</v>
      </c>
      <c r="F606" t="str">
        <f>ToJsonArray(supplementary_offering_legacyid[[#Headers],[offeringid]:[mode]],supplementary_offering_legacyid[[#This Row],[offeringid]:[mode]])</f>
        <v>{"offeringid":"910001294","name":"Voz-TD-54000s_910001294","mode":"N"}</v>
      </c>
      <c r="G606" t="str">
        <f>ToJsonArray(supplementary_offering_legacyid[[#This Row],[Semilla04]],supplementary_offering_legacyid[[#This Row],[Json]])</f>
        <v>{"100012-94":{"offeringid":"910001294","name":"Voz-TD-54000s_910001294","mode":"N"}}</v>
      </c>
    </row>
    <row r="607" spans="1:7" x14ac:dyDescent="0.25">
      <c r="A607" s="60" t="s">
        <v>3933</v>
      </c>
      <c r="B607" t="str">
        <f>findKey(supplementary_offering_legacyid[[#This Row],[Produccion]])</f>
        <v>100012-95</v>
      </c>
      <c r="C607" s="61" t="s">
        <v>3934</v>
      </c>
      <c r="D607" t="s">
        <v>3935</v>
      </c>
      <c r="E607" t="s">
        <v>2329</v>
      </c>
      <c r="F607" t="str">
        <f>ToJsonArray(supplementary_offering_legacyid[[#Headers],[offeringid]:[mode]],supplementary_offering_legacyid[[#This Row],[offeringid]:[mode]])</f>
        <v>{"offeringid":"910001295","name":"Voz-TD-2678400s_910001295","mode":"N"}</v>
      </c>
      <c r="G607" t="str">
        <f>ToJsonArray(supplementary_offering_legacyid[[#This Row],[Semilla04]],supplementary_offering_legacyid[[#This Row],[Json]])</f>
        <v>{"100012-95":{"offeringid":"910001295","name":"Voz-TD-2678400s_910001295","mode":"N"}}</v>
      </c>
    </row>
    <row r="608" spans="1:7" x14ac:dyDescent="0.25">
      <c r="A608" s="60" t="s">
        <v>3936</v>
      </c>
      <c r="B608" t="str">
        <f>findKey(supplementary_offering_legacyid[[#This Row],[Produccion]])</f>
        <v>100012-96</v>
      </c>
      <c r="C608" s="61" t="s">
        <v>3937</v>
      </c>
      <c r="D608" t="s">
        <v>3938</v>
      </c>
      <c r="E608" t="s">
        <v>2329</v>
      </c>
      <c r="F608" t="str">
        <f>ToJsonArray(supplementary_offering_legacyid[[#Headers],[offeringid]:[mode]],supplementary_offering_legacyid[[#This Row],[offeringid]:[mode]])</f>
        <v>{"offeringid":"910001296","name":"Voz-TD-2678400s_910001296","mode":"N"}</v>
      </c>
      <c r="G608" t="str">
        <f>ToJsonArray(supplementary_offering_legacyid[[#This Row],[Semilla04]],supplementary_offering_legacyid[[#This Row],[Json]])</f>
        <v>{"100012-96":{"offeringid":"910001296","name":"Voz-TD-2678400s_910001296","mode":"N"}}</v>
      </c>
    </row>
    <row r="609" spans="1:7" x14ac:dyDescent="0.25">
      <c r="A609" s="60" t="s">
        <v>3939</v>
      </c>
      <c r="B609" t="str">
        <f>findKey(supplementary_offering_legacyid[[#This Row],[Produccion]])</f>
        <v>100012-97</v>
      </c>
      <c r="C609" s="61" t="s">
        <v>3940</v>
      </c>
      <c r="D609" t="s">
        <v>3941</v>
      </c>
      <c r="E609" t="s">
        <v>2329</v>
      </c>
      <c r="F609" t="str">
        <f>ToJsonArray(supplementary_offering_legacyid[[#Headers],[offeringid]:[mode]],supplementary_offering_legacyid[[#This Row],[offeringid]:[mode]])</f>
        <v>{"offeringid":"910001297","name":"Voz-TD-2678400s_910001297","mode":"N"}</v>
      </c>
      <c r="G609" t="str">
        <f>ToJsonArray(supplementary_offering_legacyid[[#This Row],[Semilla04]],supplementary_offering_legacyid[[#This Row],[Json]])</f>
        <v>{"100012-97":{"offeringid":"910001297","name":"Voz-TD-2678400s_910001297","mode":"N"}}</v>
      </c>
    </row>
    <row r="610" spans="1:7" x14ac:dyDescent="0.25">
      <c r="A610" s="60" t="s">
        <v>3942</v>
      </c>
      <c r="B610" t="str">
        <f>findKey(supplementary_offering_legacyid[[#This Row],[Produccion]])</f>
        <v>100012-98</v>
      </c>
      <c r="C610" s="61" t="s">
        <v>3943</v>
      </c>
      <c r="D610" t="s">
        <v>3944</v>
      </c>
      <c r="E610" t="s">
        <v>2329</v>
      </c>
      <c r="F610" t="str">
        <f>ToJsonArray(supplementary_offering_legacyid[[#Headers],[offeringid]:[mode]],supplementary_offering_legacyid[[#This Row],[offeringid]:[mode]])</f>
        <v>{"offeringid":"910001298","name":"Voz-TD-2678400s_910001298","mode":"N"}</v>
      </c>
      <c r="G610" t="str">
        <f>ToJsonArray(supplementary_offering_legacyid[[#This Row],[Semilla04]],supplementary_offering_legacyid[[#This Row],[Json]])</f>
        <v>{"100012-98":{"offeringid":"910001298","name":"Voz-TD-2678400s_910001298","mode":"N"}}</v>
      </c>
    </row>
    <row r="611" spans="1:7" x14ac:dyDescent="0.25">
      <c r="A611" s="60" t="s">
        <v>3945</v>
      </c>
      <c r="B611" t="str">
        <f>findKey(supplementary_offering_legacyid[[#This Row],[Produccion]])</f>
        <v>100012-99</v>
      </c>
      <c r="C611" s="61" t="s">
        <v>3946</v>
      </c>
      <c r="D611" t="s">
        <v>3947</v>
      </c>
      <c r="E611" t="s">
        <v>2329</v>
      </c>
      <c r="F611" t="str">
        <f>ToJsonArray(supplementary_offering_legacyid[[#Headers],[offeringid]:[mode]],supplementary_offering_legacyid[[#This Row],[offeringid]:[mode]])</f>
        <v>{"offeringid":"910001299","name":"Voz-TD-2678400s_910001299","mode":"N"}</v>
      </c>
      <c r="G611" t="str">
        <f>ToJsonArray(supplementary_offering_legacyid[[#This Row],[Semilla04]],supplementary_offering_legacyid[[#This Row],[Json]])</f>
        <v>{"100012-99":{"offeringid":"910001299","name":"Voz-TD-2678400s_910001299","mode":"N"}}</v>
      </c>
    </row>
    <row r="612" spans="1:7" x14ac:dyDescent="0.25">
      <c r="A612" s="60" t="s">
        <v>3948</v>
      </c>
      <c r="B612" t="str">
        <f>findKey(supplementary_offering_legacyid[[#This Row],[Produccion]])</f>
        <v>100022-00</v>
      </c>
      <c r="C612" s="61" t="s">
        <v>3949</v>
      </c>
      <c r="D612" t="s">
        <v>3950</v>
      </c>
      <c r="E612" t="s">
        <v>2329</v>
      </c>
      <c r="F612" t="str">
        <f>ToJsonArray(supplementary_offering_legacyid[[#Headers],[offeringid]:[mode]],supplementary_offering_legacyid[[#This Row],[offeringid]:[mode]])</f>
        <v>{"offeringid":"910002200","name":"Voz-TD-2678400s_910002200","mode":"N"}</v>
      </c>
      <c r="G612" t="str">
        <f>ToJsonArray(supplementary_offering_legacyid[[#This Row],[Semilla04]],supplementary_offering_legacyid[[#This Row],[Json]])</f>
        <v>{"100022-00":{"offeringid":"910002200","name":"Voz-TD-2678400s_910002200","mode":"N"}}</v>
      </c>
    </row>
    <row r="613" spans="1:7" x14ac:dyDescent="0.25">
      <c r="A613" s="60" t="s">
        <v>3951</v>
      </c>
      <c r="B613" t="str">
        <f>findKey(supplementary_offering_legacyid[[#This Row],[Produccion]])</f>
        <v>100022-01</v>
      </c>
      <c r="C613" s="61" t="s">
        <v>3952</v>
      </c>
      <c r="D613" t="s">
        <v>3953</v>
      </c>
      <c r="E613" t="s">
        <v>2329</v>
      </c>
      <c r="F613" t="str">
        <f>ToJsonArray(supplementary_offering_legacyid[[#Headers],[offeringid]:[mode]],supplementary_offering_legacyid[[#This Row],[offeringid]:[mode]])</f>
        <v>{"offeringid":"910002201","name":"Voz-TD-2678400s_910002201","mode":"N"}</v>
      </c>
      <c r="G613" t="str">
        <f>ToJsonArray(supplementary_offering_legacyid[[#This Row],[Semilla04]],supplementary_offering_legacyid[[#This Row],[Json]])</f>
        <v>{"100022-01":{"offeringid":"910002201","name":"Voz-TD-2678400s_910002201","mode":"N"}}</v>
      </c>
    </row>
    <row r="614" spans="1:7" x14ac:dyDescent="0.25">
      <c r="A614" s="60" t="s">
        <v>3954</v>
      </c>
      <c r="B614" t="str">
        <f>findKey(supplementary_offering_legacyid[[#This Row],[Produccion]])</f>
        <v>100022-02</v>
      </c>
      <c r="C614" s="61" t="s">
        <v>3955</v>
      </c>
      <c r="D614" t="s">
        <v>3956</v>
      </c>
      <c r="E614" t="s">
        <v>2329</v>
      </c>
      <c r="F614" t="str">
        <f>ToJsonArray(supplementary_offering_legacyid[[#Headers],[offeringid]:[mode]],supplementary_offering_legacyid[[#This Row],[offeringid]:[mode]])</f>
        <v>{"offeringid":"910002202","name":"Voz-TD-12000s_910002202","mode":"N"}</v>
      </c>
      <c r="G614" t="str">
        <f>ToJsonArray(supplementary_offering_legacyid[[#This Row],[Semilla04]],supplementary_offering_legacyid[[#This Row],[Json]])</f>
        <v>{"100022-02":{"offeringid":"910002202","name":"Voz-TD-12000s_910002202","mode":"N"}}</v>
      </c>
    </row>
    <row r="615" spans="1:7" x14ac:dyDescent="0.25">
      <c r="A615" s="60" t="s">
        <v>3957</v>
      </c>
      <c r="B615" t="str">
        <f>findKey(supplementary_offering_legacyid[[#This Row],[Produccion]])</f>
        <v>100022-03</v>
      </c>
      <c r="C615" s="61" t="s">
        <v>3958</v>
      </c>
      <c r="D615" t="s">
        <v>3959</v>
      </c>
      <c r="E615" t="s">
        <v>2329</v>
      </c>
      <c r="F615" t="str">
        <f>ToJsonArray(supplementary_offering_legacyid[[#Headers],[offeringid]:[mode]],supplementary_offering_legacyid[[#This Row],[offeringid]:[mode]])</f>
        <v>{"offeringid":"910002203","name":"Voz-TD-12000s_910002203","mode":"N"}</v>
      </c>
      <c r="G615" t="str">
        <f>ToJsonArray(supplementary_offering_legacyid[[#This Row],[Semilla04]],supplementary_offering_legacyid[[#This Row],[Json]])</f>
        <v>{"100022-03":{"offeringid":"910002203","name":"Voz-TD-12000s_910002203","mode":"N"}}</v>
      </c>
    </row>
    <row r="616" spans="1:7" x14ac:dyDescent="0.25">
      <c r="A616" s="60" t="s">
        <v>3960</v>
      </c>
      <c r="B616" t="str">
        <f>findKey(supplementary_offering_legacyid[[#This Row],[Produccion]])</f>
        <v>100022-04</v>
      </c>
      <c r="C616" s="61" t="s">
        <v>3961</v>
      </c>
      <c r="D616" t="s">
        <v>3962</v>
      </c>
      <c r="E616" t="s">
        <v>2329</v>
      </c>
      <c r="F616" t="str">
        <f>ToJsonArray(supplementary_offering_legacyid[[#Headers],[offeringid]:[mode]],supplementary_offering_legacyid[[#This Row],[offeringid]:[mode]])</f>
        <v>{"offeringid":"910002204","name":"Voz-TD-12000s_910002204","mode":"N"}</v>
      </c>
      <c r="G616" t="str">
        <f>ToJsonArray(supplementary_offering_legacyid[[#This Row],[Semilla04]],supplementary_offering_legacyid[[#This Row],[Json]])</f>
        <v>{"100022-04":{"offeringid":"910002204","name":"Voz-TD-12000s_910002204","mode":"N"}}</v>
      </c>
    </row>
    <row r="617" spans="1:7" x14ac:dyDescent="0.25">
      <c r="A617" s="60" t="s">
        <v>3963</v>
      </c>
      <c r="B617" t="str">
        <f>findKey(supplementary_offering_legacyid[[#This Row],[Produccion]])</f>
        <v>100022-05</v>
      </c>
      <c r="C617" s="61" t="s">
        <v>3964</v>
      </c>
      <c r="D617" t="s">
        <v>3965</v>
      </c>
      <c r="E617" t="s">
        <v>2329</v>
      </c>
      <c r="F617" t="str">
        <f>ToJsonArray(supplementary_offering_legacyid[[#Headers],[offeringid]:[mode]],supplementary_offering_legacyid[[#This Row],[offeringid]:[mode]])</f>
        <v>{"offeringid":"910002205","name":"Voz-TD-12000s_910002205","mode":"N"}</v>
      </c>
      <c r="G617" t="str">
        <f>ToJsonArray(supplementary_offering_legacyid[[#This Row],[Semilla04]],supplementary_offering_legacyid[[#This Row],[Json]])</f>
        <v>{"100022-05":{"offeringid":"910002205","name":"Voz-TD-12000s_910002205","mode":"N"}}</v>
      </c>
    </row>
    <row r="618" spans="1:7" x14ac:dyDescent="0.25">
      <c r="A618" s="60" t="s">
        <v>3966</v>
      </c>
      <c r="B618" t="str">
        <f>findKey(supplementary_offering_legacyid[[#This Row],[Produccion]])</f>
        <v>100022-06</v>
      </c>
      <c r="C618" s="61" t="s">
        <v>3967</v>
      </c>
      <c r="D618" t="s">
        <v>3968</v>
      </c>
      <c r="E618" t="s">
        <v>2329</v>
      </c>
      <c r="F618" t="str">
        <f>ToJsonArray(supplementary_offering_legacyid[[#Headers],[offeringid]:[mode]],supplementary_offering_legacyid[[#This Row],[offeringid]:[mode]])</f>
        <v>{"offeringid":"910002206","name":"Voz-TD-12000s_910002206","mode":"N"}</v>
      </c>
      <c r="G618" t="str">
        <f>ToJsonArray(supplementary_offering_legacyid[[#This Row],[Semilla04]],supplementary_offering_legacyid[[#This Row],[Json]])</f>
        <v>{"100022-06":{"offeringid":"910002206","name":"Voz-TD-12000s_910002206","mode":"N"}}</v>
      </c>
    </row>
    <row r="619" spans="1:7" x14ac:dyDescent="0.25">
      <c r="A619" s="60" t="s">
        <v>3969</v>
      </c>
      <c r="B619" t="str">
        <f>findKey(supplementary_offering_legacyid[[#This Row],[Produccion]])</f>
        <v>100022-07</v>
      </c>
      <c r="C619" s="61" t="s">
        <v>3970</v>
      </c>
      <c r="D619" t="s">
        <v>3971</v>
      </c>
      <c r="E619" t="s">
        <v>2329</v>
      </c>
      <c r="F619" t="str">
        <f>ToJsonArray(supplementary_offering_legacyid[[#Headers],[offeringid]:[mode]],supplementary_offering_legacyid[[#This Row],[offeringid]:[mode]])</f>
        <v>{"offeringid":"910002207","name":"Voz-TD-12000s_910002207","mode":"N"}</v>
      </c>
      <c r="G619" t="str">
        <f>ToJsonArray(supplementary_offering_legacyid[[#This Row],[Semilla04]],supplementary_offering_legacyid[[#This Row],[Json]])</f>
        <v>{"100022-07":{"offeringid":"910002207","name":"Voz-TD-12000s_910002207","mode":"N"}}</v>
      </c>
    </row>
    <row r="620" spans="1:7" x14ac:dyDescent="0.25">
      <c r="A620" s="60" t="s">
        <v>3972</v>
      </c>
      <c r="B620" t="str">
        <f>findKey(supplementary_offering_legacyid[[#This Row],[Produccion]])</f>
        <v>100022-08</v>
      </c>
      <c r="C620" s="61" t="s">
        <v>3973</v>
      </c>
      <c r="D620" t="s">
        <v>3974</v>
      </c>
      <c r="E620" t="s">
        <v>2329</v>
      </c>
      <c r="F620" t="str">
        <f>ToJsonArray(supplementary_offering_legacyid[[#Headers],[offeringid]:[mode]],supplementary_offering_legacyid[[#This Row],[offeringid]:[mode]])</f>
        <v>{"offeringid":"910002208","name":"Voz-TD-9000s_910002208","mode":"N"}</v>
      </c>
      <c r="G620" t="str">
        <f>ToJsonArray(supplementary_offering_legacyid[[#This Row],[Semilla04]],supplementary_offering_legacyid[[#This Row],[Json]])</f>
        <v>{"100022-08":{"offeringid":"910002208","name":"Voz-TD-9000s_910002208","mode":"N"}}</v>
      </c>
    </row>
    <row r="621" spans="1:7" x14ac:dyDescent="0.25">
      <c r="A621" s="60" t="s">
        <v>3975</v>
      </c>
      <c r="B621" t="str">
        <f>findKey(supplementary_offering_legacyid[[#This Row],[Produccion]])</f>
        <v>100022-09</v>
      </c>
      <c r="C621" s="61" t="s">
        <v>3976</v>
      </c>
      <c r="D621" t="s">
        <v>3977</v>
      </c>
      <c r="E621" t="s">
        <v>2329</v>
      </c>
      <c r="F621" t="str">
        <f>ToJsonArray(supplementary_offering_legacyid[[#Headers],[offeringid]:[mode]],supplementary_offering_legacyid[[#This Row],[offeringid]:[mode]])</f>
        <v>{"offeringid":"910002209","name":"Voz-TD-12000s_910002209","mode":"N"}</v>
      </c>
      <c r="G621" t="str">
        <f>ToJsonArray(supplementary_offering_legacyid[[#This Row],[Semilla04]],supplementary_offering_legacyid[[#This Row],[Json]])</f>
        <v>{"100022-09":{"offeringid":"910002209","name":"Voz-TD-12000s_910002209","mode":"N"}}</v>
      </c>
    </row>
    <row r="622" spans="1:7" x14ac:dyDescent="0.25">
      <c r="A622" s="60" t="s">
        <v>3978</v>
      </c>
      <c r="B622" t="str">
        <f>findKey(supplementary_offering_legacyid[[#This Row],[Produccion]])</f>
        <v>100022-10</v>
      </c>
      <c r="C622" s="61" t="s">
        <v>3979</v>
      </c>
      <c r="D622" t="s">
        <v>3980</v>
      </c>
      <c r="E622" t="s">
        <v>2329</v>
      </c>
      <c r="F622" t="str">
        <f>ToJsonArray(supplementary_offering_legacyid[[#Headers],[offeringid]:[mode]],supplementary_offering_legacyid[[#This Row],[offeringid]:[mode]])</f>
        <v>{"offeringid":"910002210","name":"Voz-TD-12000s_910002210","mode":"N"}</v>
      </c>
      <c r="G622" t="str">
        <f>ToJsonArray(supplementary_offering_legacyid[[#This Row],[Semilla04]],supplementary_offering_legacyid[[#This Row],[Json]])</f>
        <v>{"100022-10":{"offeringid":"910002210","name":"Voz-TD-12000s_910002210","mode":"N"}}</v>
      </c>
    </row>
    <row r="623" spans="1:7" x14ac:dyDescent="0.25">
      <c r="A623" s="60" t="s">
        <v>3981</v>
      </c>
      <c r="B623" t="str">
        <f>findKey(supplementary_offering_legacyid[[#This Row],[Produccion]])</f>
        <v>100022-11</v>
      </c>
      <c r="C623" s="61" t="s">
        <v>3982</v>
      </c>
      <c r="D623" t="s">
        <v>3983</v>
      </c>
      <c r="E623" t="s">
        <v>2329</v>
      </c>
      <c r="F623" t="str">
        <f>ToJsonArray(supplementary_offering_legacyid[[#Headers],[offeringid]:[mode]],supplementary_offering_legacyid[[#This Row],[offeringid]:[mode]])</f>
        <v>{"offeringid":"910002211","name":"Voz-TD-300000s_910002211","mode":"N"}</v>
      </c>
      <c r="G623" t="str">
        <f>ToJsonArray(supplementary_offering_legacyid[[#This Row],[Semilla04]],supplementary_offering_legacyid[[#This Row],[Json]])</f>
        <v>{"100022-11":{"offeringid":"910002211","name":"Voz-TD-300000s_910002211","mode":"N"}}</v>
      </c>
    </row>
    <row r="624" spans="1:7" x14ac:dyDescent="0.25">
      <c r="A624" s="60" t="s">
        <v>3984</v>
      </c>
      <c r="B624" t="str">
        <f>findKey(supplementary_offering_legacyid[[#This Row],[Produccion]])</f>
        <v>100022-12</v>
      </c>
      <c r="C624" s="61" t="s">
        <v>3985</v>
      </c>
      <c r="D624" t="s">
        <v>3986</v>
      </c>
      <c r="E624" t="s">
        <v>2329</v>
      </c>
      <c r="F624" t="str">
        <f>ToJsonArray(supplementary_offering_legacyid[[#Headers],[offeringid]:[mode]],supplementary_offering_legacyid[[#This Row],[offeringid]:[mode]])</f>
        <v>{"offeringid":"910002212","name":"Voz-TD-600000s_910002212","mode":"N"}</v>
      </c>
      <c r="G624" t="str">
        <f>ToJsonArray(supplementary_offering_legacyid[[#This Row],[Semilla04]],supplementary_offering_legacyid[[#This Row],[Json]])</f>
        <v>{"100022-12":{"offeringid":"910002212","name":"Voz-TD-600000s_910002212","mode":"N"}}</v>
      </c>
    </row>
    <row r="625" spans="1:7" x14ac:dyDescent="0.25">
      <c r="A625" s="60" t="s">
        <v>3987</v>
      </c>
      <c r="B625" t="str">
        <f>findKey(supplementary_offering_legacyid[[#This Row],[Produccion]])</f>
        <v>100022-15</v>
      </c>
      <c r="C625" s="61" t="s">
        <v>3988</v>
      </c>
      <c r="D625" t="s">
        <v>3989</v>
      </c>
      <c r="E625" t="s">
        <v>2329</v>
      </c>
      <c r="F625" t="str">
        <f>ToJsonArray(supplementary_offering_legacyid[[#Headers],[offeringid]:[mode]],supplementary_offering_legacyid[[#This Row],[offeringid]:[mode]])</f>
        <v>{"offeringid":"910002215","name":"Voz-TD-2678400s_910002215","mode":"N"}</v>
      </c>
      <c r="G625" t="str">
        <f>ToJsonArray(supplementary_offering_legacyid[[#This Row],[Semilla04]],supplementary_offering_legacyid[[#This Row],[Json]])</f>
        <v>{"100022-15":{"offeringid":"910002215","name":"Voz-TD-2678400s_910002215","mode":"N"}}</v>
      </c>
    </row>
    <row r="626" spans="1:7" x14ac:dyDescent="0.25">
      <c r="A626" s="60" t="s">
        <v>3990</v>
      </c>
      <c r="B626" t="str">
        <f>findKey(supplementary_offering_legacyid[[#This Row],[Produccion]])</f>
        <v>200008-46</v>
      </c>
      <c r="C626" s="61" t="s">
        <v>3991</v>
      </c>
      <c r="D626" t="s">
        <v>3992</v>
      </c>
      <c r="E626" t="s">
        <v>2329</v>
      </c>
      <c r="F626" t="str">
        <f>ToJsonArray(supplementary_offering_legacyid[[#Headers],[offeringid]:[mode]],supplementary_offering_legacyid[[#This Row],[offeringid]:[mode]])</f>
        <v>{"offeringid":"920000846","name":"Smart sin navegacion_920000846","mode":"N"}</v>
      </c>
      <c r="G626" t="str">
        <f>ToJsonArray(supplementary_offering_legacyid[[#This Row],[Semilla04]],supplementary_offering_legacyid[[#This Row],[Json]])</f>
        <v>{"200008-46":{"offeringid":"920000846","name":"Smart sin navegacion_920000846","mode":"N"}}</v>
      </c>
    </row>
    <row r="627" spans="1:7" x14ac:dyDescent="0.25">
      <c r="A627" s="60" t="s">
        <v>3993</v>
      </c>
      <c r="B627" t="str">
        <f>findKey(supplementary_offering_legacyid[[#This Row],[Produccion]])</f>
        <v>200008-47</v>
      </c>
      <c r="C627" s="61" t="s">
        <v>3994</v>
      </c>
      <c r="D627" t="s">
        <v>3995</v>
      </c>
      <c r="E627" t="s">
        <v>2329</v>
      </c>
      <c r="F627" t="str">
        <f>ToJsonArray(supplementary_offering_legacyid[[#Headers],[offeringid]:[mode]],supplementary_offering_legacyid[[#This Row],[offeringid]:[mode]])</f>
        <v>{"offeringid":"920000847","name":"Smart sin navegacion_920000847","mode":"N"}</v>
      </c>
      <c r="G627" t="str">
        <f>ToJsonArray(supplementary_offering_legacyid[[#This Row],[Semilla04]],supplementary_offering_legacyid[[#This Row],[Json]])</f>
        <v>{"200008-47":{"offeringid":"920000847","name":"Smart sin navegacion_920000847","mode":"N"}}</v>
      </c>
    </row>
    <row r="628" spans="1:7" x14ac:dyDescent="0.25">
      <c r="A628" s="60" t="s">
        <v>3996</v>
      </c>
      <c r="B628" t="str">
        <f>findKey(supplementary_offering_legacyid[[#This Row],[Produccion]])</f>
        <v>200008-48</v>
      </c>
      <c r="C628" s="61" t="s">
        <v>3997</v>
      </c>
      <c r="D628" t="s">
        <v>3998</v>
      </c>
      <c r="E628" t="s">
        <v>2329</v>
      </c>
      <c r="F628" t="str">
        <f>ToJsonArray(supplementary_offering_legacyid[[#Headers],[offeringid]:[mode]],supplementary_offering_legacyid[[#This Row],[offeringid]:[mode]])</f>
        <v>{"offeringid":"920000848","name":"Smart sin navegacion_920000848","mode":"N"}</v>
      </c>
      <c r="G628" t="str">
        <f>ToJsonArray(supplementary_offering_legacyid[[#This Row],[Semilla04]],supplementary_offering_legacyid[[#This Row],[Json]])</f>
        <v>{"200008-48":{"offeringid":"920000848","name":"Smart sin navegacion_920000848","mode":"N"}}</v>
      </c>
    </row>
    <row r="629" spans="1:7" x14ac:dyDescent="0.25">
      <c r="A629" s="60" t="s">
        <v>3999</v>
      </c>
      <c r="B629" t="str">
        <f>findKey(supplementary_offering_legacyid[[#This Row],[Produccion]])</f>
        <v>200008-49</v>
      </c>
      <c r="C629" s="61" t="s">
        <v>4000</v>
      </c>
      <c r="D629" t="s">
        <v>4001</v>
      </c>
      <c r="E629" t="s">
        <v>2329</v>
      </c>
      <c r="F629" t="str">
        <f>ToJsonArray(supplementary_offering_legacyid[[#Headers],[offeringid]:[mode]],supplementary_offering_legacyid[[#This Row],[offeringid]:[mode]])</f>
        <v>{"offeringid":"920000849","name":"Smart sin navegacion_920000849","mode":"N"}</v>
      </c>
      <c r="G629" t="str">
        <f>ToJsonArray(supplementary_offering_legacyid[[#This Row],[Semilla04]],supplementary_offering_legacyid[[#This Row],[Json]])</f>
        <v>{"200008-49":{"offeringid":"920000849","name":"Smart sin navegacion_920000849","mode":"N"}}</v>
      </c>
    </row>
    <row r="630" spans="1:7" x14ac:dyDescent="0.25">
      <c r="A630" s="60" t="s">
        <v>4002</v>
      </c>
      <c r="B630" t="str">
        <f>findKey(supplementary_offering_legacyid[[#This Row],[Produccion]])</f>
        <v>200008-50</v>
      </c>
      <c r="C630" s="61" t="s">
        <v>4003</v>
      </c>
      <c r="D630" t="s">
        <v>4004</v>
      </c>
      <c r="E630" t="s">
        <v>2329</v>
      </c>
      <c r="F630" t="str">
        <f>ToJsonArray(supplementary_offering_legacyid[[#Headers],[offeringid]:[mode]],supplementary_offering_legacyid[[#This Row],[offeringid]:[mode]])</f>
        <v>{"offeringid":"920000850","name":"Smart sin navegacion_920000850","mode":"N"}</v>
      </c>
      <c r="G630" t="str">
        <f>ToJsonArray(supplementary_offering_legacyid[[#This Row],[Semilla04]],supplementary_offering_legacyid[[#This Row],[Json]])</f>
        <v>{"200008-50":{"offeringid":"920000850","name":"Smart sin navegacion_920000850","mode":"N"}}</v>
      </c>
    </row>
    <row r="631" spans="1:7" x14ac:dyDescent="0.25">
      <c r="A631" s="60" t="s">
        <v>4005</v>
      </c>
      <c r="B631" t="str">
        <f>findKey(supplementary_offering_legacyid[[#This Row],[Produccion]])</f>
        <v>200008-51</v>
      </c>
      <c r="C631" s="61" t="s">
        <v>4006</v>
      </c>
      <c r="D631" t="s">
        <v>4007</v>
      </c>
      <c r="E631" t="s">
        <v>2329</v>
      </c>
      <c r="F631" t="str">
        <f>ToJsonArray(supplementary_offering_legacyid[[#Headers],[offeringid]:[mode]],supplementary_offering_legacyid[[#This Row],[offeringid]:[mode]])</f>
        <v>{"offeringid":"920000851","name":"Smart sin navegacion_920000851","mode":"N"}</v>
      </c>
      <c r="G631" t="str">
        <f>ToJsonArray(supplementary_offering_legacyid[[#This Row],[Semilla04]],supplementary_offering_legacyid[[#This Row],[Json]])</f>
        <v>{"200008-51":{"offeringid":"920000851","name":"Smart sin navegacion_920000851","mode":"N"}}</v>
      </c>
    </row>
    <row r="632" spans="1:7" x14ac:dyDescent="0.25">
      <c r="A632" s="60" t="s">
        <v>4008</v>
      </c>
      <c r="B632" t="str">
        <f>findKey(supplementary_offering_legacyid[[#This Row],[Produccion]])</f>
        <v>200008-52</v>
      </c>
      <c r="C632" s="61" t="s">
        <v>4009</v>
      </c>
      <c r="D632" t="s">
        <v>4010</v>
      </c>
      <c r="E632" t="s">
        <v>2329</v>
      </c>
      <c r="F632" t="str">
        <f>ToJsonArray(supplementary_offering_legacyid[[#Headers],[offeringid]:[mode]],supplementary_offering_legacyid[[#This Row],[offeringid]:[mode]])</f>
        <v>{"offeringid":"920000852","name":"Smart sin navegacion_920000852","mode":"N"}</v>
      </c>
      <c r="G632" t="str">
        <f>ToJsonArray(supplementary_offering_legacyid[[#This Row],[Semilla04]],supplementary_offering_legacyid[[#This Row],[Json]])</f>
        <v>{"200008-52":{"offeringid":"920000852","name":"Smart sin navegacion_920000852","mode":"N"}}</v>
      </c>
    </row>
    <row r="633" spans="1:7" x14ac:dyDescent="0.25">
      <c r="A633" s="60" t="s">
        <v>4011</v>
      </c>
      <c r="B633" t="str">
        <f>findKey(supplementary_offering_legacyid[[#This Row],[Produccion]])</f>
        <v>200008-53</v>
      </c>
      <c r="C633" s="61" t="s">
        <v>4012</v>
      </c>
      <c r="D633" t="s">
        <v>4013</v>
      </c>
      <c r="E633" t="s">
        <v>2329</v>
      </c>
      <c r="F633" t="str">
        <f>ToJsonArray(supplementary_offering_legacyid[[#Headers],[offeringid]:[mode]],supplementary_offering_legacyid[[#This Row],[offeringid]:[mode]])</f>
        <v>{"offeringid":"920000853","name":"Smart sin navegacion_920000853","mode":"N"}</v>
      </c>
      <c r="G633" t="str">
        <f>ToJsonArray(supplementary_offering_legacyid[[#This Row],[Semilla04]],supplementary_offering_legacyid[[#This Row],[Json]])</f>
        <v>{"200008-53":{"offeringid":"920000853","name":"Smart sin navegacion_920000853","mode":"N"}}</v>
      </c>
    </row>
    <row r="634" spans="1:7" x14ac:dyDescent="0.25">
      <c r="A634" s="60" t="s">
        <v>4014</v>
      </c>
      <c r="B634" t="str">
        <f>findKey(supplementary_offering_legacyid[[#This Row],[Produccion]])</f>
        <v>200008-54</v>
      </c>
      <c r="C634" s="61" t="s">
        <v>4015</v>
      </c>
      <c r="D634" t="s">
        <v>4016</v>
      </c>
      <c r="E634" t="s">
        <v>2329</v>
      </c>
      <c r="F634" t="str">
        <f>ToJsonArray(supplementary_offering_legacyid[[#Headers],[offeringid]:[mode]],supplementary_offering_legacyid[[#This Row],[offeringid]:[mode]])</f>
        <v>{"offeringid":"920000854","name":"Smart sin navegacion_920000854","mode":"N"}</v>
      </c>
      <c r="G634" t="str">
        <f>ToJsonArray(supplementary_offering_legacyid[[#This Row],[Semilla04]],supplementary_offering_legacyid[[#This Row],[Json]])</f>
        <v>{"200008-54":{"offeringid":"920000854","name":"Smart sin navegacion_920000854","mode":"N"}}</v>
      </c>
    </row>
    <row r="635" spans="1:7" x14ac:dyDescent="0.25">
      <c r="A635" s="60" t="s">
        <v>4017</v>
      </c>
      <c r="B635" t="str">
        <f>findKey(supplementary_offering_legacyid[[#This Row],[Produccion]])</f>
        <v>200008-55</v>
      </c>
      <c r="C635" s="61" t="s">
        <v>4018</v>
      </c>
      <c r="D635" t="s">
        <v>4019</v>
      </c>
      <c r="E635" t="s">
        <v>2329</v>
      </c>
      <c r="F635" t="str">
        <f>ToJsonArray(supplementary_offering_legacyid[[#Headers],[offeringid]:[mode]],supplementary_offering_legacyid[[#This Row],[offeringid]:[mode]])</f>
        <v>{"offeringid":"920000855","name":"Smart sin navegacion_920000855","mode":"N"}</v>
      </c>
      <c r="G635" t="str">
        <f>ToJsonArray(supplementary_offering_legacyid[[#This Row],[Semilla04]],supplementary_offering_legacyid[[#This Row],[Json]])</f>
        <v>{"200008-55":{"offeringid":"920000855","name":"Smart sin navegacion_920000855","mode":"N"}}</v>
      </c>
    </row>
    <row r="636" spans="1:7" x14ac:dyDescent="0.25">
      <c r="A636" s="60" t="s">
        <v>4020</v>
      </c>
      <c r="B636" t="str">
        <f>findKey(supplementary_offering_legacyid[[#This Row],[Produccion]])</f>
        <v>200008-56</v>
      </c>
      <c r="C636" s="61" t="s">
        <v>4021</v>
      </c>
      <c r="D636" t="s">
        <v>4022</v>
      </c>
      <c r="E636" t="s">
        <v>2329</v>
      </c>
      <c r="F636" t="str">
        <f>ToJsonArray(supplementary_offering_legacyid[[#Headers],[offeringid]:[mode]],supplementary_offering_legacyid[[#This Row],[offeringid]:[mode]])</f>
        <v>{"offeringid":"920000856","name":"Smart sin navegacion_920000856","mode":"N"}</v>
      </c>
      <c r="G636" t="str">
        <f>ToJsonArray(supplementary_offering_legacyid[[#This Row],[Semilla04]],supplementary_offering_legacyid[[#This Row],[Json]])</f>
        <v>{"200008-56":{"offeringid":"920000856","name":"Smart sin navegacion_920000856","mode":"N"}}</v>
      </c>
    </row>
    <row r="637" spans="1:7" x14ac:dyDescent="0.25">
      <c r="A637" s="60" t="s">
        <v>4023</v>
      </c>
      <c r="B637" t="str">
        <f>findKey(supplementary_offering_legacyid[[#This Row],[Produccion]])</f>
        <v>200008-57</v>
      </c>
      <c r="C637" s="61" t="s">
        <v>4024</v>
      </c>
      <c r="D637" t="s">
        <v>4025</v>
      </c>
      <c r="E637" t="s">
        <v>2329</v>
      </c>
      <c r="F637" t="str">
        <f>ToJsonArray(supplementary_offering_legacyid[[#Headers],[offeringid]:[mode]],supplementary_offering_legacyid[[#This Row],[offeringid]:[mode]])</f>
        <v>{"offeringid":"920000857","name":"Smart sin navegacion_920000857","mode":"N"}</v>
      </c>
      <c r="G637" t="str">
        <f>ToJsonArray(supplementary_offering_legacyid[[#This Row],[Semilla04]],supplementary_offering_legacyid[[#This Row],[Json]])</f>
        <v>{"200008-57":{"offeringid":"920000857","name":"Smart sin navegacion_920000857","mode":"N"}}</v>
      </c>
    </row>
    <row r="638" spans="1:7" x14ac:dyDescent="0.25">
      <c r="A638" s="60" t="s">
        <v>4026</v>
      </c>
      <c r="B638" t="str">
        <f>findKey(supplementary_offering_legacyid[[#This Row],[Produccion]])</f>
        <v>200008-58</v>
      </c>
      <c r="C638" s="61" t="s">
        <v>4027</v>
      </c>
      <c r="D638" t="s">
        <v>4028</v>
      </c>
      <c r="E638" t="s">
        <v>2329</v>
      </c>
      <c r="F638" t="str">
        <f>ToJsonArray(supplementary_offering_legacyid[[#Headers],[offeringid]:[mode]],supplementary_offering_legacyid[[#This Row],[offeringid]:[mode]])</f>
        <v>{"offeringid":"920000858","name":"Smart sin navegacion_920000858","mode":"N"}</v>
      </c>
      <c r="G638" t="str">
        <f>ToJsonArray(supplementary_offering_legacyid[[#This Row],[Semilla04]],supplementary_offering_legacyid[[#This Row],[Json]])</f>
        <v>{"200008-58":{"offeringid":"920000858","name":"Smart sin navegacion_920000858","mode":"N"}}</v>
      </c>
    </row>
    <row r="639" spans="1:7" x14ac:dyDescent="0.25">
      <c r="A639" s="60" t="s">
        <v>4029</v>
      </c>
      <c r="B639" t="str">
        <f>findKey(supplementary_offering_legacyid[[#This Row],[Produccion]])</f>
        <v>200008-59</v>
      </c>
      <c r="C639" s="61" t="s">
        <v>4030</v>
      </c>
      <c r="D639" t="s">
        <v>4031</v>
      </c>
      <c r="E639" t="s">
        <v>2329</v>
      </c>
      <c r="F639" t="str">
        <f>ToJsonArray(supplementary_offering_legacyid[[#Headers],[offeringid]:[mode]],supplementary_offering_legacyid[[#This Row],[offeringid]:[mode]])</f>
        <v>{"offeringid":"920000859","name":"Smart sin navegacion_920000859","mode":"N"}</v>
      </c>
      <c r="G639" t="str">
        <f>ToJsonArray(supplementary_offering_legacyid[[#This Row],[Semilla04]],supplementary_offering_legacyid[[#This Row],[Json]])</f>
        <v>{"200008-59":{"offeringid":"920000859","name":"Smart sin navegacion_920000859","mode":"N"}}</v>
      </c>
    </row>
    <row r="640" spans="1:7" x14ac:dyDescent="0.25">
      <c r="A640" s="60" t="s">
        <v>4032</v>
      </c>
      <c r="B640" t="str">
        <f>findKey(supplementary_offering_legacyid[[#This Row],[Produccion]])</f>
        <v>200008-60</v>
      </c>
      <c r="C640" s="61" t="s">
        <v>4033</v>
      </c>
      <c r="D640" t="s">
        <v>4034</v>
      </c>
      <c r="E640" t="s">
        <v>2329</v>
      </c>
      <c r="F640" t="str">
        <f>ToJsonArray(supplementary_offering_legacyid[[#Headers],[offeringid]:[mode]],supplementary_offering_legacyid[[#This Row],[offeringid]:[mode]])</f>
        <v>{"offeringid":"920000860","name":"Smart sin navegacion_920000860","mode":"N"}</v>
      </c>
      <c r="G640" t="str">
        <f>ToJsonArray(supplementary_offering_legacyid[[#This Row],[Semilla04]],supplementary_offering_legacyid[[#This Row],[Json]])</f>
        <v>{"200008-60":{"offeringid":"920000860","name":"Smart sin navegacion_920000860","mode":"N"}}</v>
      </c>
    </row>
    <row r="641" spans="1:7" x14ac:dyDescent="0.25">
      <c r="A641" s="60" t="s">
        <v>4035</v>
      </c>
      <c r="B641" t="str">
        <f>findKey(supplementary_offering_legacyid[[#This Row],[Produccion]])</f>
        <v>200008-61</v>
      </c>
      <c r="C641" s="61" t="s">
        <v>4036</v>
      </c>
      <c r="D641" t="s">
        <v>4037</v>
      </c>
      <c r="E641" t="s">
        <v>2329</v>
      </c>
      <c r="F641" t="str">
        <f>ToJsonArray(supplementary_offering_legacyid[[#Headers],[offeringid]:[mode]],supplementary_offering_legacyid[[#This Row],[offeringid]:[mode]])</f>
        <v>{"offeringid":"920000861","name":"Smart sin navegacion_920000861","mode":"N"}</v>
      </c>
      <c r="G641" t="str">
        <f>ToJsonArray(supplementary_offering_legacyid[[#This Row],[Semilla04]],supplementary_offering_legacyid[[#This Row],[Json]])</f>
        <v>{"200008-61":{"offeringid":"920000861","name":"Smart sin navegacion_920000861","mode":"N"}}</v>
      </c>
    </row>
    <row r="642" spans="1:7" x14ac:dyDescent="0.25">
      <c r="A642" s="60" t="s">
        <v>4038</v>
      </c>
      <c r="B642" t="str">
        <f>findKey(supplementary_offering_legacyid[[#This Row],[Produccion]])</f>
        <v>200008-62</v>
      </c>
      <c r="C642" s="61" t="s">
        <v>4039</v>
      </c>
      <c r="D642" t="s">
        <v>4040</v>
      </c>
      <c r="E642" t="s">
        <v>2329</v>
      </c>
      <c r="F642" t="str">
        <f>ToJsonArray(supplementary_offering_legacyid[[#Headers],[offeringid]:[mode]],supplementary_offering_legacyid[[#This Row],[offeringid]:[mode]])</f>
        <v>{"offeringid":"920000862","name":"Smart sin navegacion_920000862","mode":"N"}</v>
      </c>
      <c r="G642" t="str">
        <f>ToJsonArray(supplementary_offering_legacyid[[#This Row],[Semilla04]],supplementary_offering_legacyid[[#This Row],[Json]])</f>
        <v>{"200008-62":{"offeringid":"920000862","name":"Smart sin navegacion_920000862","mode":"N"}}</v>
      </c>
    </row>
    <row r="643" spans="1:7" x14ac:dyDescent="0.25">
      <c r="A643" s="60" t="s">
        <v>4041</v>
      </c>
      <c r="B643" t="str">
        <f>findKey(supplementary_offering_legacyid[[#This Row],[Produccion]])</f>
        <v>200008-63</v>
      </c>
      <c r="C643" s="61" t="s">
        <v>4042</v>
      </c>
      <c r="D643" t="s">
        <v>4043</v>
      </c>
      <c r="E643" t="s">
        <v>2329</v>
      </c>
      <c r="F643" t="str">
        <f>ToJsonArray(supplementary_offering_legacyid[[#Headers],[offeringid]:[mode]],supplementary_offering_legacyid[[#This Row],[offeringid]:[mode]])</f>
        <v>{"offeringid":"920000863","name":"Smart sin navegacion_920000863","mode":"N"}</v>
      </c>
      <c r="G643" t="str">
        <f>ToJsonArray(supplementary_offering_legacyid[[#This Row],[Semilla04]],supplementary_offering_legacyid[[#This Row],[Json]])</f>
        <v>{"200008-63":{"offeringid":"920000863","name":"Smart sin navegacion_920000863","mode":"N"}}</v>
      </c>
    </row>
    <row r="644" spans="1:7" x14ac:dyDescent="0.25">
      <c r="A644" s="60" t="s">
        <v>4044</v>
      </c>
      <c r="B644" t="str">
        <f>findKey(supplementary_offering_legacyid[[#This Row],[Produccion]])</f>
        <v>200008-64</v>
      </c>
      <c r="C644" s="61" t="s">
        <v>4045</v>
      </c>
      <c r="D644" t="s">
        <v>4046</v>
      </c>
      <c r="E644" t="s">
        <v>2329</v>
      </c>
      <c r="F644" t="str">
        <f>ToJsonArray(supplementary_offering_legacyid[[#Headers],[offeringid]:[mode]],supplementary_offering_legacyid[[#This Row],[offeringid]:[mode]])</f>
        <v>{"offeringid":"920000864","name":"Smart sin navegacion_920000864","mode":"N"}</v>
      </c>
      <c r="G644" t="str">
        <f>ToJsonArray(supplementary_offering_legacyid[[#This Row],[Semilla04]],supplementary_offering_legacyid[[#This Row],[Json]])</f>
        <v>{"200008-64":{"offeringid":"920000864","name":"Smart sin navegacion_920000864","mode":"N"}}</v>
      </c>
    </row>
    <row r="645" spans="1:7" x14ac:dyDescent="0.25">
      <c r="A645" s="60" t="s">
        <v>4047</v>
      </c>
      <c r="B645" t="str">
        <f>findKey(supplementary_offering_legacyid[[#This Row],[Produccion]])</f>
        <v>200008-65</v>
      </c>
      <c r="C645" s="61" t="s">
        <v>4048</v>
      </c>
      <c r="D645" t="s">
        <v>4049</v>
      </c>
      <c r="E645" t="s">
        <v>2329</v>
      </c>
      <c r="F645" t="str">
        <f>ToJsonArray(supplementary_offering_legacyid[[#Headers],[offeringid]:[mode]],supplementary_offering_legacyid[[#This Row],[offeringid]:[mode]])</f>
        <v>{"offeringid":"920000865","name":"Smart sin navegacion_920000865","mode":"N"}</v>
      </c>
      <c r="G645" t="str">
        <f>ToJsonArray(supplementary_offering_legacyid[[#This Row],[Semilla04]],supplementary_offering_legacyid[[#This Row],[Json]])</f>
        <v>{"200008-65":{"offeringid":"920000865","name":"Smart sin navegacion_920000865","mode":"N"}}</v>
      </c>
    </row>
    <row r="646" spans="1:7" x14ac:dyDescent="0.25">
      <c r="A646" s="60" t="s">
        <v>4050</v>
      </c>
      <c r="B646" t="str">
        <f>findKey(supplementary_offering_legacyid[[#This Row],[Produccion]])</f>
        <v>200008-66</v>
      </c>
      <c r="C646" s="61" t="s">
        <v>4051</v>
      </c>
      <c r="D646" t="s">
        <v>4052</v>
      </c>
      <c r="E646" t="s">
        <v>2329</v>
      </c>
      <c r="F646" t="str">
        <f>ToJsonArray(supplementary_offering_legacyid[[#Headers],[offeringid]:[mode]],supplementary_offering_legacyid[[#This Row],[offeringid]:[mode]])</f>
        <v>{"offeringid":"920000866","name":"Smart sin navegacion_920000866","mode":"N"}</v>
      </c>
      <c r="G646" t="str">
        <f>ToJsonArray(supplementary_offering_legacyid[[#This Row],[Semilla04]],supplementary_offering_legacyid[[#This Row],[Json]])</f>
        <v>{"200008-66":{"offeringid":"920000866","name":"Smart sin navegacion_920000866","mode":"N"}}</v>
      </c>
    </row>
    <row r="647" spans="1:7" x14ac:dyDescent="0.25">
      <c r="A647" s="60" t="s">
        <v>4053</v>
      </c>
      <c r="B647" t="str">
        <f>findKey(supplementary_offering_legacyid[[#This Row],[Produccion]])</f>
        <v>200008-67</v>
      </c>
      <c r="C647" s="61" t="s">
        <v>4054</v>
      </c>
      <c r="D647" t="s">
        <v>4055</v>
      </c>
      <c r="E647" t="s">
        <v>2329</v>
      </c>
      <c r="F647" t="str">
        <f>ToJsonArray(supplementary_offering_legacyid[[#Headers],[offeringid]:[mode]],supplementary_offering_legacyid[[#This Row],[offeringid]:[mode]])</f>
        <v>{"offeringid":"920000867","name":"Smart sin navegacion_920000867","mode":"N"}</v>
      </c>
      <c r="G647" t="str">
        <f>ToJsonArray(supplementary_offering_legacyid[[#This Row],[Semilla04]],supplementary_offering_legacyid[[#This Row],[Json]])</f>
        <v>{"200008-67":{"offeringid":"920000867","name":"Smart sin navegacion_920000867","mode":"N"}}</v>
      </c>
    </row>
    <row r="648" spans="1:7" x14ac:dyDescent="0.25">
      <c r="A648" s="60" t="s">
        <v>4056</v>
      </c>
      <c r="B648" t="str">
        <f>findKey(supplementary_offering_legacyid[[#This Row],[Produccion]])</f>
        <v>200008-68</v>
      </c>
      <c r="C648" s="61" t="s">
        <v>4057</v>
      </c>
      <c r="D648" t="s">
        <v>4058</v>
      </c>
      <c r="E648" t="s">
        <v>2329</v>
      </c>
      <c r="F648" t="str">
        <f>ToJsonArray(supplementary_offering_legacyid[[#Headers],[offeringid]:[mode]],supplementary_offering_legacyid[[#This Row],[offeringid]:[mode]])</f>
        <v>{"offeringid":"920000868","name":"Smart sin navegacion_920000868","mode":"N"}</v>
      </c>
      <c r="G648" t="str">
        <f>ToJsonArray(supplementary_offering_legacyid[[#This Row],[Semilla04]],supplementary_offering_legacyid[[#This Row],[Json]])</f>
        <v>{"200008-68":{"offeringid":"920000868","name":"Smart sin navegacion_920000868","mode":"N"}}</v>
      </c>
    </row>
    <row r="649" spans="1:7" x14ac:dyDescent="0.25">
      <c r="A649" s="60" t="s">
        <v>4059</v>
      </c>
      <c r="B649" t="str">
        <f>findKey(supplementary_offering_legacyid[[#This Row],[Produccion]])</f>
        <v>200008-71</v>
      </c>
      <c r="C649" s="61" t="s">
        <v>4060</v>
      </c>
      <c r="D649" t="s">
        <v>4061</v>
      </c>
      <c r="E649" t="s">
        <v>2329</v>
      </c>
      <c r="F649" t="str">
        <f>ToJsonArray(supplementary_offering_legacyid[[#Headers],[offeringid]:[mode]],supplementary_offering_legacyid[[#This Row],[offeringid]:[mode]])</f>
        <v>{"offeringid":"920000871","name":"Smart sin navegacion_920000871","mode":"N"}</v>
      </c>
      <c r="G649" t="str">
        <f>ToJsonArray(supplementary_offering_legacyid[[#This Row],[Semilla04]],supplementary_offering_legacyid[[#This Row],[Json]])</f>
        <v>{"200008-71":{"offeringid":"920000871","name":"Smart sin navegacion_920000871","mode":"N"}}</v>
      </c>
    </row>
    <row r="650" spans="1:7" x14ac:dyDescent="0.25">
      <c r="A650" s="60" t="s">
        <v>4062</v>
      </c>
      <c r="B650" t="str">
        <f>findKey(supplementary_offering_legacyid[[#This Row],[Produccion]])</f>
        <v>200021-50</v>
      </c>
      <c r="C650" s="61" t="s">
        <v>4063</v>
      </c>
      <c r="D650" t="s">
        <v>4064</v>
      </c>
      <c r="E650" t="s">
        <v>2329</v>
      </c>
      <c r="F650" t="str">
        <f>ToJsonArray(supplementary_offering_legacyid[[#Headers],[offeringid]:[mode]],supplementary_offering_legacyid[[#This Row],[offeringid]:[mode]])</f>
        <v>{"offeringid":"920002150","name":"Data 0.8GB_920002150","mode":"N"}</v>
      </c>
      <c r="G650" t="str">
        <f>ToJsonArray(supplementary_offering_legacyid[[#This Row],[Semilla04]],supplementary_offering_legacyid[[#This Row],[Json]])</f>
        <v>{"200021-50":{"offeringid":"920002150","name":"Data 0.8GB_920002150","mode":"N"}}</v>
      </c>
    </row>
    <row r="651" spans="1:7" x14ac:dyDescent="0.25">
      <c r="A651" s="60" t="s">
        <v>4065</v>
      </c>
      <c r="B651" t="str">
        <f>findKey(supplementary_offering_legacyid[[#This Row],[Produccion]])</f>
        <v>200021-51</v>
      </c>
      <c r="C651" s="61" t="s">
        <v>4066</v>
      </c>
      <c r="D651" t="s">
        <v>4067</v>
      </c>
      <c r="E651" t="s">
        <v>2329</v>
      </c>
      <c r="F651" t="str">
        <f>ToJsonArray(supplementary_offering_legacyid[[#Headers],[offeringid]:[mode]],supplementary_offering_legacyid[[#This Row],[offeringid]:[mode]])</f>
        <v>{"offeringid":"920002151","name":"Data 1.2GB_920002151","mode":"N"}</v>
      </c>
      <c r="G651" t="str">
        <f>ToJsonArray(supplementary_offering_legacyid[[#This Row],[Semilla04]],supplementary_offering_legacyid[[#This Row],[Json]])</f>
        <v>{"200021-51":{"offeringid":"920002151","name":"Data 1.2GB_920002151","mode":"N"}}</v>
      </c>
    </row>
    <row r="652" spans="1:7" x14ac:dyDescent="0.25">
      <c r="A652" s="60" t="s">
        <v>4068</v>
      </c>
      <c r="B652" t="str">
        <f>findKey(supplementary_offering_legacyid[[#This Row],[Produccion]])</f>
        <v>200021-52</v>
      </c>
      <c r="C652" s="61" t="s">
        <v>4069</v>
      </c>
      <c r="D652" t="s">
        <v>4070</v>
      </c>
      <c r="E652" t="s">
        <v>2329</v>
      </c>
      <c r="F652" t="str">
        <f>ToJsonArray(supplementary_offering_legacyid[[#Headers],[offeringid]:[mode]],supplementary_offering_legacyid[[#This Row],[offeringid]:[mode]])</f>
        <v>{"offeringid":"920002152","name":"Data 2.5GB_920002152","mode":"N"}</v>
      </c>
      <c r="G652" t="str">
        <f>ToJsonArray(supplementary_offering_legacyid[[#This Row],[Semilla04]],supplementary_offering_legacyid[[#This Row],[Json]])</f>
        <v>{"200021-52":{"offeringid":"920002152","name":"Data 2.5GB_920002152","mode":"N"}}</v>
      </c>
    </row>
    <row r="653" spans="1:7" x14ac:dyDescent="0.25">
      <c r="A653" s="60" t="s">
        <v>4071</v>
      </c>
      <c r="B653" t="str">
        <f>findKey(supplementary_offering_legacyid[[#This Row],[Produccion]])</f>
        <v>200021-53</v>
      </c>
      <c r="C653" s="61" t="s">
        <v>4072</v>
      </c>
      <c r="D653" t="s">
        <v>4073</v>
      </c>
      <c r="E653" t="s">
        <v>2329</v>
      </c>
      <c r="F653" t="str">
        <f>ToJsonArray(supplementary_offering_legacyid[[#Headers],[offeringid]:[mode]],supplementary_offering_legacyid[[#This Row],[offeringid]:[mode]])</f>
        <v>{"offeringid":"920002153","name":"Data 3.5GB_920002153","mode":"N"}</v>
      </c>
      <c r="G653" t="str">
        <f>ToJsonArray(supplementary_offering_legacyid[[#This Row],[Semilla04]],supplementary_offering_legacyid[[#This Row],[Json]])</f>
        <v>{"200021-53":{"offeringid":"920002153","name":"Data 3.5GB_920002153","mode":"N"}}</v>
      </c>
    </row>
    <row r="654" spans="1:7" x14ac:dyDescent="0.25">
      <c r="A654" s="60" t="s">
        <v>4074</v>
      </c>
      <c r="B654" t="str">
        <f>findKey(supplementary_offering_legacyid[[#This Row],[Produccion]])</f>
        <v>200021-54</v>
      </c>
      <c r="C654" s="61" t="s">
        <v>4075</v>
      </c>
      <c r="D654" t="s">
        <v>4076</v>
      </c>
      <c r="E654" t="s">
        <v>2329</v>
      </c>
      <c r="F654" t="str">
        <f>ToJsonArray(supplementary_offering_legacyid[[#Headers],[offeringid]:[mode]],supplementary_offering_legacyid[[#This Row],[offeringid]:[mode]])</f>
        <v>{"offeringid":"920002154","name":"Data 4GB_920002154","mode":"N"}</v>
      </c>
      <c r="G654" t="str">
        <f>ToJsonArray(supplementary_offering_legacyid[[#This Row],[Semilla04]],supplementary_offering_legacyid[[#This Row],[Json]])</f>
        <v>{"200021-54":{"offeringid":"920002154","name":"Data 4GB_920002154","mode":"N"}}</v>
      </c>
    </row>
    <row r="655" spans="1:7" x14ac:dyDescent="0.25">
      <c r="A655" s="60" t="s">
        <v>4077</v>
      </c>
      <c r="B655" t="str">
        <f>findKey(supplementary_offering_legacyid[[#This Row],[Produccion]])</f>
        <v>200021-55</v>
      </c>
      <c r="C655" s="61" t="s">
        <v>4078</v>
      </c>
      <c r="D655" t="s">
        <v>4079</v>
      </c>
      <c r="E655" t="s">
        <v>2329</v>
      </c>
      <c r="F655" t="str">
        <f>ToJsonArray(supplementary_offering_legacyid[[#Headers],[offeringid]:[mode]],supplementary_offering_legacyid[[#This Row],[offeringid]:[mode]])</f>
        <v>{"offeringid":"920002155","name":"Data 4.5GB_920002155","mode":"N"}</v>
      </c>
      <c r="G655" t="str">
        <f>ToJsonArray(supplementary_offering_legacyid[[#This Row],[Semilla04]],supplementary_offering_legacyid[[#This Row],[Json]])</f>
        <v>{"200021-55":{"offeringid":"920002155","name":"Data 4.5GB_920002155","mode":"N"}}</v>
      </c>
    </row>
    <row r="656" spans="1:7" x14ac:dyDescent="0.25">
      <c r="A656" s="60" t="s">
        <v>4080</v>
      </c>
      <c r="B656" t="str">
        <f>findKey(supplementary_offering_legacyid[[#This Row],[Produccion]])</f>
        <v>200021-56</v>
      </c>
      <c r="C656" s="61" t="s">
        <v>4081</v>
      </c>
      <c r="D656" t="s">
        <v>4082</v>
      </c>
      <c r="E656" t="s">
        <v>2329</v>
      </c>
      <c r="F656" t="str">
        <f>ToJsonArray(supplementary_offering_legacyid[[#Headers],[offeringid]:[mode]],supplementary_offering_legacyid[[#This Row],[offeringid]:[mode]])</f>
        <v>{"offeringid":"920002156","name":"Data 5.5GB_920002156","mode":"N"}</v>
      </c>
      <c r="G656" t="str">
        <f>ToJsonArray(supplementary_offering_legacyid[[#This Row],[Semilla04]],supplementary_offering_legacyid[[#This Row],[Json]])</f>
        <v>{"200021-56":{"offeringid":"920002156","name":"Data 5.5GB_920002156","mode":"N"}}</v>
      </c>
    </row>
    <row r="657" spans="1:7" x14ac:dyDescent="0.25">
      <c r="A657" s="60" t="s">
        <v>4083</v>
      </c>
      <c r="B657" t="str">
        <f>findKey(supplementary_offering_legacyid[[#This Row],[Produccion]])</f>
        <v>200021-57</v>
      </c>
      <c r="C657" s="61" t="s">
        <v>4084</v>
      </c>
      <c r="D657" t="s">
        <v>4085</v>
      </c>
      <c r="E657" t="s">
        <v>2329</v>
      </c>
      <c r="F657" t="str">
        <f>ToJsonArray(supplementary_offering_legacyid[[#Headers],[offeringid]:[mode]],supplementary_offering_legacyid[[#This Row],[offeringid]:[mode]])</f>
        <v>{"offeringid":"920002157","name":"Data 6.5GB_920002157","mode":"N"}</v>
      </c>
      <c r="G657" t="str">
        <f>ToJsonArray(supplementary_offering_legacyid[[#This Row],[Semilla04]],supplementary_offering_legacyid[[#This Row],[Json]])</f>
        <v>{"200021-57":{"offeringid":"920002157","name":"Data 6.5GB_920002157","mode":"N"}}</v>
      </c>
    </row>
    <row r="658" spans="1:7" x14ac:dyDescent="0.25">
      <c r="A658" s="60" t="s">
        <v>4086</v>
      </c>
      <c r="B658" t="str">
        <f>findKey(supplementary_offering_legacyid[[#This Row],[Produccion]])</f>
        <v>200021-58</v>
      </c>
      <c r="C658" s="61" t="s">
        <v>4087</v>
      </c>
      <c r="D658" t="s">
        <v>4088</v>
      </c>
      <c r="E658" t="s">
        <v>2329</v>
      </c>
      <c r="F658" t="str">
        <f>ToJsonArray(supplementary_offering_legacyid[[#Headers],[offeringid]:[mode]],supplementary_offering_legacyid[[#This Row],[offeringid]:[mode]])</f>
        <v>{"offeringid":"920002158","name":"Data 8.5GB_920002158","mode":"N"}</v>
      </c>
      <c r="G658" t="str">
        <f>ToJsonArray(supplementary_offering_legacyid[[#This Row],[Semilla04]],supplementary_offering_legacyid[[#This Row],[Json]])</f>
        <v>{"200021-58":{"offeringid":"920002158","name":"Data 8.5GB_920002158","mode":"N"}}</v>
      </c>
    </row>
    <row r="659" spans="1:7" x14ac:dyDescent="0.25">
      <c r="A659" s="60" t="s">
        <v>4089</v>
      </c>
      <c r="B659" t="str">
        <f>findKey(supplementary_offering_legacyid[[#This Row],[Produccion]])</f>
        <v>200021-59</v>
      </c>
      <c r="C659" s="61" t="s">
        <v>4090</v>
      </c>
      <c r="D659" t="s">
        <v>4091</v>
      </c>
      <c r="E659" t="s">
        <v>2329</v>
      </c>
      <c r="F659" t="str">
        <f>ToJsonArray(supplementary_offering_legacyid[[#Headers],[offeringid]:[mode]],supplementary_offering_legacyid[[#This Row],[offeringid]:[mode]])</f>
        <v>{"offeringid":"920002159","name":"Data 17GB_920002159","mode":"N"}</v>
      </c>
      <c r="G659" t="str">
        <f>ToJsonArray(supplementary_offering_legacyid[[#This Row],[Semilla04]],supplementary_offering_legacyid[[#This Row],[Json]])</f>
        <v>{"200021-59":{"offeringid":"920002159","name":"Data 17GB_920002159","mode":"N"}}</v>
      </c>
    </row>
    <row r="660" spans="1:7" x14ac:dyDescent="0.25">
      <c r="A660" s="60" t="s">
        <v>4092</v>
      </c>
      <c r="B660" t="str">
        <f>findKey(supplementary_offering_legacyid[[#This Row],[Produccion]])</f>
        <v>200021-60</v>
      </c>
      <c r="C660" s="61" t="s">
        <v>4093</v>
      </c>
      <c r="D660" t="s">
        <v>4094</v>
      </c>
      <c r="E660" t="s">
        <v>2329</v>
      </c>
      <c r="F660" t="str">
        <f>ToJsonArray(supplementary_offering_legacyid[[#Headers],[offeringid]:[mode]],supplementary_offering_legacyid[[#This Row],[offeringid]:[mode]])</f>
        <v>{"offeringid":"920002160","name":"Data 22GB_920002160","mode":"N"}</v>
      </c>
      <c r="G660" t="str">
        <f>ToJsonArray(supplementary_offering_legacyid[[#This Row],[Semilla04]],supplementary_offering_legacyid[[#This Row],[Json]])</f>
        <v>{"200021-60":{"offeringid":"920002160","name":"Data 22GB_920002160","mode":"N"}}</v>
      </c>
    </row>
    <row r="661" spans="1:7" x14ac:dyDescent="0.25">
      <c r="A661" s="60" t="s">
        <v>4095</v>
      </c>
      <c r="B661" t="str">
        <f>findKey(supplementary_offering_legacyid[[#This Row],[Produccion]])</f>
        <v>200021-61</v>
      </c>
      <c r="C661" s="61" t="s">
        <v>4096</v>
      </c>
      <c r="D661" t="s">
        <v>4097</v>
      </c>
      <c r="E661" t="s">
        <v>2329</v>
      </c>
      <c r="F661" t="str">
        <f>ToJsonArray(supplementary_offering_legacyid[[#Headers],[offeringid]:[mode]],supplementary_offering_legacyid[[#This Row],[offeringid]:[mode]])</f>
        <v>{"offeringid":"920002161","name":"Data 1GB_920002161","mode":"N"}</v>
      </c>
      <c r="G661" t="str">
        <f>ToJsonArray(supplementary_offering_legacyid[[#This Row],[Semilla04]],supplementary_offering_legacyid[[#This Row],[Json]])</f>
        <v>{"200021-61":{"offeringid":"920002161","name":"Data 1GB_920002161","mode":"N"}}</v>
      </c>
    </row>
    <row r="662" spans="1:7" x14ac:dyDescent="0.25">
      <c r="A662" s="60" t="s">
        <v>4098</v>
      </c>
      <c r="B662" t="str">
        <f>findKey(supplementary_offering_legacyid[[#This Row],[Produccion]])</f>
        <v>200021-62</v>
      </c>
      <c r="C662" s="61" t="s">
        <v>4099</v>
      </c>
      <c r="D662" t="s">
        <v>4100</v>
      </c>
      <c r="E662" t="s">
        <v>2329</v>
      </c>
      <c r="F662" t="str">
        <f>ToJsonArray(supplementary_offering_legacyid[[#Headers],[offeringid]:[mode]],supplementary_offering_legacyid[[#This Row],[offeringid]:[mode]])</f>
        <v>{"offeringid":"920002162","name":"Data 1.7GB_920002162","mode":"N"}</v>
      </c>
      <c r="G662" t="str">
        <f>ToJsonArray(supplementary_offering_legacyid[[#This Row],[Semilla04]],supplementary_offering_legacyid[[#This Row],[Json]])</f>
        <v>{"200021-62":{"offeringid":"920002162","name":"Data 1.7GB_920002162","mode":"N"}}</v>
      </c>
    </row>
    <row r="663" spans="1:7" x14ac:dyDescent="0.25">
      <c r="A663" s="60" t="s">
        <v>4101</v>
      </c>
      <c r="B663" t="str">
        <f>findKey(supplementary_offering_legacyid[[#This Row],[Produccion]])</f>
        <v>200021-63</v>
      </c>
      <c r="C663" s="61" t="s">
        <v>4102</v>
      </c>
      <c r="D663" t="s">
        <v>4103</v>
      </c>
      <c r="E663" t="s">
        <v>2329</v>
      </c>
      <c r="F663" t="str">
        <f>ToJsonArray(supplementary_offering_legacyid[[#Headers],[offeringid]:[mode]],supplementary_offering_legacyid[[#This Row],[offeringid]:[mode]])</f>
        <v>{"offeringid":"920002163","name":"Data 3.5GB_920002163","mode":"N"}</v>
      </c>
      <c r="G663" t="str">
        <f>ToJsonArray(supplementary_offering_legacyid[[#This Row],[Semilla04]],supplementary_offering_legacyid[[#This Row],[Json]])</f>
        <v>{"200021-63":{"offeringid":"920002163","name":"Data 3.5GB_920002163","mode":"N"}}</v>
      </c>
    </row>
    <row r="664" spans="1:7" x14ac:dyDescent="0.25">
      <c r="A664" s="60" t="s">
        <v>4104</v>
      </c>
      <c r="B664" t="str">
        <f>findKey(supplementary_offering_legacyid[[#This Row],[Produccion]])</f>
        <v>200021-64</v>
      </c>
      <c r="C664" s="61" t="s">
        <v>4105</v>
      </c>
      <c r="D664" t="s">
        <v>4106</v>
      </c>
      <c r="E664" t="s">
        <v>2329</v>
      </c>
      <c r="F664" t="str">
        <f>ToJsonArray(supplementary_offering_legacyid[[#Headers],[offeringid]:[mode]],supplementary_offering_legacyid[[#This Row],[offeringid]:[mode]])</f>
        <v>{"offeringid":"920002164","name":"Data 4.5GB_920002164","mode":"N"}</v>
      </c>
      <c r="G664" t="str">
        <f>ToJsonArray(supplementary_offering_legacyid[[#This Row],[Semilla04]],supplementary_offering_legacyid[[#This Row],[Json]])</f>
        <v>{"200021-64":{"offeringid":"920002164","name":"Data 4.5GB_920002164","mode":"N"}}</v>
      </c>
    </row>
    <row r="665" spans="1:7" x14ac:dyDescent="0.25">
      <c r="A665" s="60" t="s">
        <v>4107</v>
      </c>
      <c r="B665" t="str">
        <f>findKey(supplementary_offering_legacyid[[#This Row],[Produccion]])</f>
        <v>200021-65</v>
      </c>
      <c r="C665" s="61" t="s">
        <v>4108</v>
      </c>
      <c r="D665" t="s">
        <v>4109</v>
      </c>
      <c r="E665" t="s">
        <v>2329</v>
      </c>
      <c r="F665" t="str">
        <f>ToJsonArray(supplementary_offering_legacyid[[#Headers],[offeringid]:[mode]],supplementary_offering_legacyid[[#This Row],[offeringid]:[mode]])</f>
        <v>{"offeringid":"920002165","name":"Data 4.5GB_920002165","mode":"N"}</v>
      </c>
      <c r="G665" t="str">
        <f>ToJsonArray(supplementary_offering_legacyid[[#This Row],[Semilla04]],supplementary_offering_legacyid[[#This Row],[Json]])</f>
        <v>{"200021-65":{"offeringid":"920002165","name":"Data 4.5GB_920002165","mode":"N"}}</v>
      </c>
    </row>
    <row r="666" spans="1:7" x14ac:dyDescent="0.25">
      <c r="A666" s="60" t="s">
        <v>4110</v>
      </c>
      <c r="B666" t="str">
        <f>findKey(supplementary_offering_legacyid[[#This Row],[Produccion]])</f>
        <v>200021-66</v>
      </c>
      <c r="C666" s="61" t="s">
        <v>4111</v>
      </c>
      <c r="D666" t="s">
        <v>4112</v>
      </c>
      <c r="E666" t="s">
        <v>2329</v>
      </c>
      <c r="F666" t="str">
        <f>ToJsonArray(supplementary_offering_legacyid[[#Headers],[offeringid]:[mode]],supplementary_offering_legacyid[[#This Row],[offeringid]:[mode]])</f>
        <v>{"offeringid":"920002166","name":"Data 5.5GB_920002166","mode":"N"}</v>
      </c>
      <c r="G666" t="str">
        <f>ToJsonArray(supplementary_offering_legacyid[[#This Row],[Semilla04]],supplementary_offering_legacyid[[#This Row],[Json]])</f>
        <v>{"200021-66":{"offeringid":"920002166","name":"Data 5.5GB_920002166","mode":"N"}}</v>
      </c>
    </row>
    <row r="667" spans="1:7" x14ac:dyDescent="0.25">
      <c r="A667" s="60" t="s">
        <v>4113</v>
      </c>
      <c r="B667" t="str">
        <f>findKey(supplementary_offering_legacyid[[#This Row],[Produccion]])</f>
        <v>200021-67</v>
      </c>
      <c r="C667" s="61" t="s">
        <v>4114</v>
      </c>
      <c r="D667" t="s">
        <v>4115</v>
      </c>
      <c r="E667" t="s">
        <v>2329</v>
      </c>
      <c r="F667" t="str">
        <f>ToJsonArray(supplementary_offering_legacyid[[#Headers],[offeringid]:[mode]],supplementary_offering_legacyid[[#This Row],[offeringid]:[mode]])</f>
        <v>{"offeringid":"920002167","name":"Data 6.5GB_920002167","mode":"N"}</v>
      </c>
      <c r="G667" t="str">
        <f>ToJsonArray(supplementary_offering_legacyid[[#This Row],[Semilla04]],supplementary_offering_legacyid[[#This Row],[Json]])</f>
        <v>{"200021-67":{"offeringid":"920002167","name":"Data 6.5GB_920002167","mode":"N"}}</v>
      </c>
    </row>
    <row r="668" spans="1:7" x14ac:dyDescent="0.25">
      <c r="A668" s="60" t="s">
        <v>4116</v>
      </c>
      <c r="B668" t="str">
        <f>findKey(supplementary_offering_legacyid[[#This Row],[Produccion]])</f>
        <v>200021-68</v>
      </c>
      <c r="C668" s="61" t="s">
        <v>4117</v>
      </c>
      <c r="D668" t="s">
        <v>4118</v>
      </c>
      <c r="E668" t="s">
        <v>2329</v>
      </c>
      <c r="F668" t="str">
        <f>ToJsonArray(supplementary_offering_legacyid[[#Headers],[offeringid]:[mode]],supplementary_offering_legacyid[[#This Row],[offeringid]:[mode]])</f>
        <v>{"offeringid":"920002168","name":"Data 7.5GB_920002168","mode":"N"}</v>
      </c>
      <c r="G668" t="str">
        <f>ToJsonArray(supplementary_offering_legacyid[[#This Row],[Semilla04]],supplementary_offering_legacyid[[#This Row],[Json]])</f>
        <v>{"200021-68":{"offeringid":"920002168","name":"Data 7.5GB_920002168","mode":"N"}}</v>
      </c>
    </row>
    <row r="669" spans="1:7" x14ac:dyDescent="0.25">
      <c r="A669" s="60" t="s">
        <v>4119</v>
      </c>
      <c r="B669" t="str">
        <f>findKey(supplementary_offering_legacyid[[#This Row],[Produccion]])</f>
        <v>200021-69</v>
      </c>
      <c r="C669" s="61" t="s">
        <v>4120</v>
      </c>
      <c r="D669" t="s">
        <v>4121</v>
      </c>
      <c r="E669" t="s">
        <v>2329</v>
      </c>
      <c r="F669" t="str">
        <f>ToJsonArray(supplementary_offering_legacyid[[#Headers],[offeringid]:[mode]],supplementary_offering_legacyid[[#This Row],[offeringid]:[mode]])</f>
        <v>{"offeringid":"920002169","name":"Data 9.5GB_920002169","mode":"N"}</v>
      </c>
      <c r="G669" t="str">
        <f>ToJsonArray(supplementary_offering_legacyid[[#This Row],[Semilla04]],supplementary_offering_legacyid[[#This Row],[Json]])</f>
        <v>{"200021-69":{"offeringid":"920002169","name":"Data 9.5GB_920002169","mode":"N"}}</v>
      </c>
    </row>
    <row r="670" spans="1:7" x14ac:dyDescent="0.25">
      <c r="A670" s="60" t="s">
        <v>4122</v>
      </c>
      <c r="B670" t="str">
        <f>findKey(supplementary_offering_legacyid[[#This Row],[Produccion]])</f>
        <v>200021-70</v>
      </c>
      <c r="C670" s="61" t="s">
        <v>4123</v>
      </c>
      <c r="D670" t="s">
        <v>4124</v>
      </c>
      <c r="E670" t="s">
        <v>2329</v>
      </c>
      <c r="F670" t="str">
        <f>ToJsonArray(supplementary_offering_legacyid[[#Headers],[offeringid]:[mode]],supplementary_offering_legacyid[[#This Row],[offeringid]:[mode]])</f>
        <v>{"offeringid":"920002170","name":"Data 18.5GB_920002170","mode":"N"}</v>
      </c>
      <c r="G670" t="str">
        <f>ToJsonArray(supplementary_offering_legacyid[[#This Row],[Semilla04]],supplementary_offering_legacyid[[#This Row],[Json]])</f>
        <v>{"200021-70":{"offeringid":"920002170","name":"Data 18.5GB_920002170","mode":"N"}}</v>
      </c>
    </row>
    <row r="671" spans="1:7" x14ac:dyDescent="0.25">
      <c r="A671" s="60" t="s">
        <v>4125</v>
      </c>
      <c r="B671" t="str">
        <f>findKey(supplementary_offering_legacyid[[#This Row],[Produccion]])</f>
        <v>200021-71</v>
      </c>
      <c r="C671" s="61" t="s">
        <v>4126</v>
      </c>
      <c r="D671" t="s">
        <v>4127</v>
      </c>
      <c r="E671" t="s">
        <v>2329</v>
      </c>
      <c r="F671" t="str">
        <f>ToJsonArray(supplementary_offering_legacyid[[#Headers],[offeringid]:[mode]],supplementary_offering_legacyid[[#This Row],[offeringid]:[mode]])</f>
        <v>{"offeringid":"920002171","name":"Data 23.5GB_920002171","mode":"N"}</v>
      </c>
      <c r="G671" t="str">
        <f>ToJsonArray(supplementary_offering_legacyid[[#This Row],[Semilla04]],supplementary_offering_legacyid[[#This Row],[Json]])</f>
        <v>{"200021-71":{"offeringid":"920002171","name":"Data 23.5GB_920002171","mode":"N"}}</v>
      </c>
    </row>
    <row r="672" spans="1:7" x14ac:dyDescent="0.25">
      <c r="A672" s="60" t="s">
        <v>4128</v>
      </c>
      <c r="B672" t="str">
        <f>findKey(supplementary_offering_legacyid[[#This Row],[Produccion]])</f>
        <v>200021-72</v>
      </c>
      <c r="C672" s="61" t="s">
        <v>4129</v>
      </c>
      <c r="D672" t="s">
        <v>4130</v>
      </c>
      <c r="E672" t="s">
        <v>2329</v>
      </c>
      <c r="F672" t="str">
        <f>ToJsonArray(supplementary_offering_legacyid[[#Headers],[offeringid]:[mode]],supplementary_offering_legacyid[[#This Row],[offeringid]:[mode]])</f>
        <v>{"offeringid":"920002172","name":"Data 3.5GB_920002172","mode":"N"}</v>
      </c>
      <c r="G672" t="str">
        <f>ToJsonArray(supplementary_offering_legacyid[[#This Row],[Semilla04]],supplementary_offering_legacyid[[#This Row],[Json]])</f>
        <v>{"200021-72":{"offeringid":"920002172","name":"Data 3.5GB_920002172","mode":"N"}}</v>
      </c>
    </row>
    <row r="673" spans="1:7" x14ac:dyDescent="0.25">
      <c r="A673" s="60" t="s">
        <v>4131</v>
      </c>
      <c r="B673" t="str">
        <f>findKey(supplementary_offering_legacyid[[#This Row],[Produccion]])</f>
        <v>200021-73</v>
      </c>
      <c r="C673" s="61" t="s">
        <v>4132</v>
      </c>
      <c r="D673" t="s">
        <v>4133</v>
      </c>
      <c r="E673" t="s">
        <v>2329</v>
      </c>
      <c r="F673" t="str">
        <f>ToJsonArray(supplementary_offering_legacyid[[#Headers],[offeringid]:[mode]],supplementary_offering_legacyid[[#This Row],[offeringid]:[mode]])</f>
        <v>{"offeringid":"920002173","name":"Data 4.5GB_920002173","mode":"N"}</v>
      </c>
      <c r="G673" t="str">
        <f>ToJsonArray(supplementary_offering_legacyid[[#This Row],[Semilla04]],supplementary_offering_legacyid[[#This Row],[Json]])</f>
        <v>{"200021-73":{"offeringid":"920002173","name":"Data 4.5GB_920002173","mode":"N"}}</v>
      </c>
    </row>
    <row r="674" spans="1:7" x14ac:dyDescent="0.25">
      <c r="A674" s="60" t="s">
        <v>4134</v>
      </c>
      <c r="B674" t="str">
        <f>findKey(supplementary_offering_legacyid[[#This Row],[Produccion]])</f>
        <v>200021-74</v>
      </c>
      <c r="C674" s="61" t="s">
        <v>4135</v>
      </c>
      <c r="D674" t="s">
        <v>4136</v>
      </c>
      <c r="E674" t="s">
        <v>2329</v>
      </c>
      <c r="F674" t="str">
        <f>ToJsonArray(supplementary_offering_legacyid[[#Headers],[offeringid]:[mode]],supplementary_offering_legacyid[[#This Row],[offeringid]:[mode]])</f>
        <v>{"offeringid":"920002174","name":"Data 5.5GB_920002174","mode":"N"}</v>
      </c>
      <c r="G674" t="str">
        <f>ToJsonArray(supplementary_offering_legacyid[[#This Row],[Semilla04]],supplementary_offering_legacyid[[#This Row],[Json]])</f>
        <v>{"200021-74":{"offeringid":"920002174","name":"Data 5.5GB_920002174","mode":"N"}}</v>
      </c>
    </row>
    <row r="675" spans="1:7" x14ac:dyDescent="0.25">
      <c r="A675" s="60" t="s">
        <v>4137</v>
      </c>
      <c r="B675" t="str">
        <f>findKey(supplementary_offering_legacyid[[#This Row],[Produccion]])</f>
        <v>200021-75</v>
      </c>
      <c r="C675" s="61" t="s">
        <v>4138</v>
      </c>
      <c r="D675" t="s">
        <v>4139</v>
      </c>
      <c r="E675" t="s">
        <v>2329</v>
      </c>
      <c r="F675" t="str">
        <f>ToJsonArray(supplementary_offering_legacyid[[#Headers],[offeringid]:[mode]],supplementary_offering_legacyid[[#This Row],[offeringid]:[mode]])</f>
        <v>{"offeringid":"920002175","name":"Data 6.5GB_920002175","mode":"N"}</v>
      </c>
      <c r="G675" t="str">
        <f>ToJsonArray(supplementary_offering_legacyid[[#This Row],[Semilla04]],supplementary_offering_legacyid[[#This Row],[Json]])</f>
        <v>{"200021-75":{"offeringid":"920002175","name":"Data 6.5GB_920002175","mode":"N"}}</v>
      </c>
    </row>
    <row r="676" spans="1:7" x14ac:dyDescent="0.25">
      <c r="A676" s="60" t="s">
        <v>4140</v>
      </c>
      <c r="B676" t="str">
        <f>findKey(supplementary_offering_legacyid[[#This Row],[Produccion]])</f>
        <v>200021-76</v>
      </c>
      <c r="C676" s="61" t="s">
        <v>4141</v>
      </c>
      <c r="D676" t="s">
        <v>4142</v>
      </c>
      <c r="E676" t="s">
        <v>2329</v>
      </c>
      <c r="F676" t="str">
        <f>ToJsonArray(supplementary_offering_legacyid[[#Headers],[offeringid]:[mode]],supplementary_offering_legacyid[[#This Row],[offeringid]:[mode]])</f>
        <v>{"offeringid":"920002176","name":"Data 7.5GB_920002176","mode":"N"}</v>
      </c>
      <c r="G676" t="str">
        <f>ToJsonArray(supplementary_offering_legacyid[[#This Row],[Semilla04]],supplementary_offering_legacyid[[#This Row],[Json]])</f>
        <v>{"200021-76":{"offeringid":"920002176","name":"Data 7.5GB_920002176","mode":"N"}}</v>
      </c>
    </row>
    <row r="677" spans="1:7" x14ac:dyDescent="0.25">
      <c r="A677" s="60" t="s">
        <v>4143</v>
      </c>
      <c r="B677" t="str">
        <f>findKey(supplementary_offering_legacyid[[#This Row],[Produccion]])</f>
        <v>200021-77</v>
      </c>
      <c r="C677" s="61" t="s">
        <v>4144</v>
      </c>
      <c r="D677" t="s">
        <v>4145</v>
      </c>
      <c r="E677" t="s">
        <v>2329</v>
      </c>
      <c r="F677" t="str">
        <f>ToJsonArray(supplementary_offering_legacyid[[#Headers],[offeringid]:[mode]],supplementary_offering_legacyid[[#This Row],[offeringid]:[mode]])</f>
        <v>{"offeringid":"920002177","name":"Data 9.5GB_920002177","mode":"N"}</v>
      </c>
      <c r="G677" t="str">
        <f>ToJsonArray(supplementary_offering_legacyid[[#This Row],[Semilla04]],supplementary_offering_legacyid[[#This Row],[Json]])</f>
        <v>{"200021-77":{"offeringid":"920002177","name":"Data 9.5GB_920002177","mode":"N"}}</v>
      </c>
    </row>
    <row r="678" spans="1:7" x14ac:dyDescent="0.25">
      <c r="A678" s="60" t="s">
        <v>4146</v>
      </c>
      <c r="B678" t="str">
        <f>findKey(supplementary_offering_legacyid[[#This Row],[Produccion]])</f>
        <v>200021-78</v>
      </c>
      <c r="C678" s="61" t="s">
        <v>4147</v>
      </c>
      <c r="D678" t="s">
        <v>4148</v>
      </c>
      <c r="E678" t="s">
        <v>2329</v>
      </c>
      <c r="F678" t="str">
        <f>ToJsonArray(supplementary_offering_legacyid[[#Headers],[offeringid]:[mode]],supplementary_offering_legacyid[[#This Row],[offeringid]:[mode]])</f>
        <v>{"offeringid":"920002178","name":"Data 0.5GB_920002178","mode":"N"}</v>
      </c>
      <c r="G678" t="str">
        <f>ToJsonArray(supplementary_offering_legacyid[[#This Row],[Semilla04]],supplementary_offering_legacyid[[#This Row],[Json]])</f>
        <v>{"200021-78":{"offeringid":"920002178","name":"Data 0.5GB_920002178","mode":"N"}}</v>
      </c>
    </row>
    <row r="679" spans="1:7" x14ac:dyDescent="0.25">
      <c r="A679" s="60" t="s">
        <v>4149</v>
      </c>
      <c r="B679" t="str">
        <f>findKey(supplementary_offering_legacyid[[#This Row],[Produccion]])</f>
        <v>200021-79</v>
      </c>
      <c r="C679" s="61" t="s">
        <v>4150</v>
      </c>
      <c r="D679" t="s">
        <v>4151</v>
      </c>
      <c r="E679" t="s">
        <v>2329</v>
      </c>
      <c r="F679" t="str">
        <f>ToJsonArray(supplementary_offering_legacyid[[#Headers],[offeringid]:[mode]],supplementary_offering_legacyid[[#This Row],[offeringid]:[mode]])</f>
        <v>{"offeringid":"920002179","name":"Data 0.8GB_920002179","mode":"N"}</v>
      </c>
      <c r="G679" t="str">
        <f>ToJsonArray(supplementary_offering_legacyid[[#This Row],[Semilla04]],supplementary_offering_legacyid[[#This Row],[Json]])</f>
        <v>{"200021-79":{"offeringid":"920002179","name":"Data 0.8GB_920002179","mode":"N"}}</v>
      </c>
    </row>
    <row r="680" spans="1:7" x14ac:dyDescent="0.25">
      <c r="A680" s="60" t="s">
        <v>4152</v>
      </c>
      <c r="B680" t="str">
        <f>findKey(supplementary_offering_legacyid[[#This Row],[Produccion]])</f>
        <v>200021-80</v>
      </c>
      <c r="C680" s="61" t="s">
        <v>4153</v>
      </c>
      <c r="D680" t="s">
        <v>4154</v>
      </c>
      <c r="E680" t="s">
        <v>2329</v>
      </c>
      <c r="F680" t="str">
        <f>ToJsonArray(supplementary_offering_legacyid[[#Headers],[offeringid]:[mode]],supplementary_offering_legacyid[[#This Row],[offeringid]:[mode]])</f>
        <v>{"offeringid":"920002180","name":"Data 1GB_920002180","mode":"N"}</v>
      </c>
      <c r="G680" t="str">
        <f>ToJsonArray(supplementary_offering_legacyid[[#This Row],[Semilla04]],supplementary_offering_legacyid[[#This Row],[Json]])</f>
        <v>{"200021-80":{"offeringid":"920002180","name":"Data 1GB_920002180","mode":"N"}}</v>
      </c>
    </row>
    <row r="681" spans="1:7" x14ac:dyDescent="0.25">
      <c r="A681" s="60" t="s">
        <v>4155</v>
      </c>
      <c r="B681" t="str">
        <f>findKey(supplementary_offering_legacyid[[#This Row],[Produccion]])</f>
        <v>200021-81</v>
      </c>
      <c r="C681" s="61" t="s">
        <v>4156</v>
      </c>
      <c r="D681" t="s">
        <v>4157</v>
      </c>
      <c r="E681" t="s">
        <v>2329</v>
      </c>
      <c r="F681" t="str">
        <f>ToJsonArray(supplementary_offering_legacyid[[#Headers],[offeringid]:[mode]],supplementary_offering_legacyid[[#This Row],[offeringid]:[mode]])</f>
        <v>{"offeringid":"920002181","name":"Data 12GB_920002181","mode":"N"}</v>
      </c>
      <c r="G681" t="str">
        <f>ToJsonArray(supplementary_offering_legacyid[[#This Row],[Semilla04]],supplementary_offering_legacyid[[#This Row],[Json]])</f>
        <v>{"200021-81":{"offeringid":"920002181","name":"Data 12GB_920002181","mode":"N"}}</v>
      </c>
    </row>
    <row r="682" spans="1:7" x14ac:dyDescent="0.25">
      <c r="A682" s="60" t="s">
        <v>4158</v>
      </c>
      <c r="B682" t="str">
        <f>findKey(supplementary_offering_legacyid[[#This Row],[Produccion]])</f>
        <v>200021-82</v>
      </c>
      <c r="C682" s="61" t="s">
        <v>4159</v>
      </c>
      <c r="D682" t="s">
        <v>4160</v>
      </c>
      <c r="E682" t="s">
        <v>2329</v>
      </c>
      <c r="F682" t="str">
        <f>ToJsonArray(supplementary_offering_legacyid[[#Headers],[offeringid]:[mode]],supplementary_offering_legacyid[[#This Row],[offeringid]:[mode]])</f>
        <v>{"offeringid":"920002182","name":"Data 20GB_920002182","mode":"N"}</v>
      </c>
      <c r="G682" t="str">
        <f>ToJsonArray(supplementary_offering_legacyid[[#This Row],[Semilla04]],supplementary_offering_legacyid[[#This Row],[Json]])</f>
        <v>{"200021-82":{"offeringid":"920002182","name":"Data 20GB_920002182","mode":"N"}}</v>
      </c>
    </row>
    <row r="683" spans="1:7" x14ac:dyDescent="0.25">
      <c r="A683" s="60" t="s">
        <v>4161</v>
      </c>
      <c r="B683" t="str">
        <f>findKey(supplementary_offering_legacyid[[#This Row],[Produccion]])</f>
        <v>200021-85</v>
      </c>
      <c r="C683" s="61" t="s">
        <v>4162</v>
      </c>
      <c r="D683" t="s">
        <v>4163</v>
      </c>
      <c r="E683" t="s">
        <v>2329</v>
      </c>
      <c r="F683" t="str">
        <f>ToJsonArray(supplementary_offering_legacyid[[#Headers],[offeringid]:[mode]],supplementary_offering_legacyid[[#This Row],[offeringid]:[mode]])</f>
        <v>{"offeringid":"920002185","name":"Data 4.5GB_920002185","mode":"N"}</v>
      </c>
      <c r="G683" t="str">
        <f>ToJsonArray(supplementary_offering_legacyid[[#This Row],[Semilla04]],supplementary_offering_legacyid[[#This Row],[Json]])</f>
        <v>{"200021-85":{"offeringid":"920002185","name":"Data 4.5GB_920002185","mode":"N"}}</v>
      </c>
    </row>
    <row r="684" spans="1:7" x14ac:dyDescent="0.25">
      <c r="A684" s="60" t="s">
        <v>4164</v>
      </c>
      <c r="B684" t="str">
        <f>findKey(supplementary_offering_legacyid[[#This Row],[Produccion]])</f>
        <v>300302-65</v>
      </c>
      <c r="C684" s="61" t="s">
        <v>4165</v>
      </c>
      <c r="D684" t="s">
        <v>4166</v>
      </c>
      <c r="E684" t="s">
        <v>2329</v>
      </c>
      <c r="F684" t="str">
        <f>ToJsonArray(supplementary_offering_legacyid[[#Headers],[offeringid]:[mode]],supplementary_offering_legacyid[[#This Row],[offeringid]:[mode]])</f>
        <v>{"offeringid":"930030265","name":"Sms-TD-Ilimitado_930030265","mode":"N"}</v>
      </c>
      <c r="G684" t="str">
        <f>ToJsonArray(supplementary_offering_legacyid[[#This Row],[Semilla04]],supplementary_offering_legacyid[[#This Row],[Json]])</f>
        <v>{"300302-65":{"offeringid":"930030265","name":"Sms-TD-Ilimitado_930030265","mode":"N"}}</v>
      </c>
    </row>
    <row r="685" spans="1:7" x14ac:dyDescent="0.25">
      <c r="A685" s="60" t="s">
        <v>4167</v>
      </c>
      <c r="B685" t="str">
        <f>findKey(supplementary_offering_legacyid[[#This Row],[Produccion]])</f>
        <v>300302-66</v>
      </c>
      <c r="C685" s="61" t="s">
        <v>4168</v>
      </c>
      <c r="D685" t="s">
        <v>4169</v>
      </c>
      <c r="E685" t="s">
        <v>2329</v>
      </c>
      <c r="F685" t="str">
        <f>ToJsonArray(supplementary_offering_legacyid[[#Headers],[offeringid]:[mode]],supplementary_offering_legacyid[[#This Row],[offeringid]:[mode]])</f>
        <v>{"offeringid":"930030266","name":"Sms-TD-Ilimitado_930030266","mode":"N"}</v>
      </c>
      <c r="G685" t="str">
        <f>ToJsonArray(supplementary_offering_legacyid[[#This Row],[Semilla04]],supplementary_offering_legacyid[[#This Row],[Json]])</f>
        <v>{"300302-66":{"offeringid":"930030266","name":"Sms-TD-Ilimitado_930030266","mode":"N"}}</v>
      </c>
    </row>
    <row r="686" spans="1:7" x14ac:dyDescent="0.25">
      <c r="A686" s="60" t="s">
        <v>4170</v>
      </c>
      <c r="B686" t="str">
        <f>findKey(supplementary_offering_legacyid[[#This Row],[Produccion]])</f>
        <v>300302-67</v>
      </c>
      <c r="C686" s="61" t="s">
        <v>4171</v>
      </c>
      <c r="D686" t="s">
        <v>4172</v>
      </c>
      <c r="E686" t="s">
        <v>2329</v>
      </c>
      <c r="F686" t="str">
        <f>ToJsonArray(supplementary_offering_legacyid[[#Headers],[offeringid]:[mode]],supplementary_offering_legacyid[[#This Row],[offeringid]:[mode]])</f>
        <v>{"offeringid":"930030267","name":"Sms-TD-Ilimitado_930030267","mode":"N"}</v>
      </c>
      <c r="G686" t="str">
        <f>ToJsonArray(supplementary_offering_legacyid[[#This Row],[Semilla04]],supplementary_offering_legacyid[[#This Row],[Json]])</f>
        <v>{"300302-67":{"offeringid":"930030267","name":"Sms-TD-Ilimitado_930030267","mode":"N"}}</v>
      </c>
    </row>
    <row r="687" spans="1:7" x14ac:dyDescent="0.25">
      <c r="A687" s="60" t="s">
        <v>4173</v>
      </c>
      <c r="B687" t="str">
        <f>findKey(supplementary_offering_legacyid[[#This Row],[Produccion]])</f>
        <v>300302-68</v>
      </c>
      <c r="C687" s="61" t="s">
        <v>4174</v>
      </c>
      <c r="D687" t="s">
        <v>4175</v>
      </c>
      <c r="E687" t="s">
        <v>2329</v>
      </c>
      <c r="F687" t="str">
        <f>ToJsonArray(supplementary_offering_legacyid[[#Headers],[offeringid]:[mode]],supplementary_offering_legacyid[[#This Row],[offeringid]:[mode]])</f>
        <v>{"offeringid":"930030268","name":"Sms-TD-Ilimitado_930030268","mode":"N"}</v>
      </c>
      <c r="G687" t="str">
        <f>ToJsonArray(supplementary_offering_legacyid[[#This Row],[Semilla04]],supplementary_offering_legacyid[[#This Row],[Json]])</f>
        <v>{"300302-68":{"offeringid":"930030268","name":"Sms-TD-Ilimitado_930030268","mode":"N"}}</v>
      </c>
    </row>
    <row r="688" spans="1:7" x14ac:dyDescent="0.25">
      <c r="A688" s="60" t="s">
        <v>4176</v>
      </c>
      <c r="B688" t="str">
        <f>findKey(supplementary_offering_legacyid[[#This Row],[Produccion]])</f>
        <v>300302-69</v>
      </c>
      <c r="C688" s="61" t="s">
        <v>4177</v>
      </c>
      <c r="D688" t="s">
        <v>4178</v>
      </c>
      <c r="E688" t="s">
        <v>2329</v>
      </c>
      <c r="F688" t="str">
        <f>ToJsonArray(supplementary_offering_legacyid[[#Headers],[offeringid]:[mode]],supplementary_offering_legacyid[[#This Row],[offeringid]:[mode]])</f>
        <v>{"offeringid":"930030269","name":"Sms-TD-Ilimitado_930030269","mode":"N"}</v>
      </c>
      <c r="G688" t="str">
        <f>ToJsonArray(supplementary_offering_legacyid[[#This Row],[Semilla04]],supplementary_offering_legacyid[[#This Row],[Json]])</f>
        <v>{"300302-69":{"offeringid":"930030269","name":"Sms-TD-Ilimitado_930030269","mode":"N"}}</v>
      </c>
    </row>
    <row r="689" spans="1:7" x14ac:dyDescent="0.25">
      <c r="A689" s="60" t="s">
        <v>4179</v>
      </c>
      <c r="B689" t="str">
        <f>findKey(supplementary_offering_legacyid[[#This Row],[Produccion]])</f>
        <v>300302-70</v>
      </c>
      <c r="C689" s="61" t="s">
        <v>4180</v>
      </c>
      <c r="D689" t="s">
        <v>4181</v>
      </c>
      <c r="E689" t="s">
        <v>2329</v>
      </c>
      <c r="F689" t="str">
        <f>ToJsonArray(supplementary_offering_legacyid[[#Headers],[offeringid]:[mode]],supplementary_offering_legacyid[[#This Row],[offeringid]:[mode]])</f>
        <v>{"offeringid":"930030270","name":"Sms-TD-Ilimitado_930030270","mode":"N"}</v>
      </c>
      <c r="G689" t="str">
        <f>ToJsonArray(supplementary_offering_legacyid[[#This Row],[Semilla04]],supplementary_offering_legacyid[[#This Row],[Json]])</f>
        <v>{"300302-70":{"offeringid":"930030270","name":"Sms-TD-Ilimitado_930030270","mode":"N"}}</v>
      </c>
    </row>
    <row r="690" spans="1:7" x14ac:dyDescent="0.25">
      <c r="A690" s="60" t="s">
        <v>4182</v>
      </c>
      <c r="B690" t="str">
        <f>findKey(supplementary_offering_legacyid[[#This Row],[Produccion]])</f>
        <v>300302-71</v>
      </c>
      <c r="C690" s="61" t="s">
        <v>4183</v>
      </c>
      <c r="D690" t="s">
        <v>4184</v>
      </c>
      <c r="E690" t="s">
        <v>2329</v>
      </c>
      <c r="F690" t="str">
        <f>ToJsonArray(supplementary_offering_legacyid[[#Headers],[offeringid]:[mode]],supplementary_offering_legacyid[[#This Row],[offeringid]:[mode]])</f>
        <v>{"offeringid":"930030271","name":"Sms-TD-Ilimitado_930030271","mode":"N"}</v>
      </c>
      <c r="G690" t="str">
        <f>ToJsonArray(supplementary_offering_legacyid[[#This Row],[Semilla04]],supplementary_offering_legacyid[[#This Row],[Json]])</f>
        <v>{"300302-71":{"offeringid":"930030271","name":"Sms-TD-Ilimitado_930030271","mode":"N"}}</v>
      </c>
    </row>
    <row r="691" spans="1:7" x14ac:dyDescent="0.25">
      <c r="A691" s="60" t="s">
        <v>4185</v>
      </c>
      <c r="B691" t="str">
        <f>findKey(supplementary_offering_legacyid[[#This Row],[Produccion]])</f>
        <v>300302-72</v>
      </c>
      <c r="C691" s="61" t="s">
        <v>4186</v>
      </c>
      <c r="D691" t="s">
        <v>4187</v>
      </c>
      <c r="E691" t="s">
        <v>2329</v>
      </c>
      <c r="F691" t="str">
        <f>ToJsonArray(supplementary_offering_legacyid[[#Headers],[offeringid]:[mode]],supplementary_offering_legacyid[[#This Row],[offeringid]:[mode]])</f>
        <v>{"offeringid":"930030272","name":"Sms-TD-Ilimitado_930030272","mode":"N"}</v>
      </c>
      <c r="G691" t="str">
        <f>ToJsonArray(supplementary_offering_legacyid[[#This Row],[Semilla04]],supplementary_offering_legacyid[[#This Row],[Json]])</f>
        <v>{"300302-72":{"offeringid":"930030272","name":"Sms-TD-Ilimitado_930030272","mode":"N"}}</v>
      </c>
    </row>
    <row r="692" spans="1:7" x14ac:dyDescent="0.25">
      <c r="A692" s="60" t="s">
        <v>4188</v>
      </c>
      <c r="B692" t="str">
        <f>findKey(supplementary_offering_legacyid[[#This Row],[Produccion]])</f>
        <v>300302-73</v>
      </c>
      <c r="C692" s="61" t="s">
        <v>4189</v>
      </c>
      <c r="D692" t="s">
        <v>4190</v>
      </c>
      <c r="E692" t="s">
        <v>2329</v>
      </c>
      <c r="F692" t="str">
        <f>ToJsonArray(supplementary_offering_legacyid[[#Headers],[offeringid]:[mode]],supplementary_offering_legacyid[[#This Row],[offeringid]:[mode]])</f>
        <v>{"offeringid":"930030273","name":"Sms-TD-Ilimitado_930030273","mode":"N"}</v>
      </c>
      <c r="G692" t="str">
        <f>ToJsonArray(supplementary_offering_legacyid[[#This Row],[Semilla04]],supplementary_offering_legacyid[[#This Row],[Json]])</f>
        <v>{"300302-73":{"offeringid":"930030273","name":"Sms-TD-Ilimitado_930030273","mode":"N"}}</v>
      </c>
    </row>
    <row r="693" spans="1:7" x14ac:dyDescent="0.25">
      <c r="A693" s="60" t="s">
        <v>4191</v>
      </c>
      <c r="B693" t="str">
        <f>findKey(supplementary_offering_legacyid[[#This Row],[Produccion]])</f>
        <v>300302-74</v>
      </c>
      <c r="C693" s="61" t="s">
        <v>4192</v>
      </c>
      <c r="D693" t="s">
        <v>4193</v>
      </c>
      <c r="E693" t="s">
        <v>2329</v>
      </c>
      <c r="F693" t="str">
        <f>ToJsonArray(supplementary_offering_legacyid[[#Headers],[offeringid]:[mode]],supplementary_offering_legacyid[[#This Row],[offeringid]:[mode]])</f>
        <v>{"offeringid":"930030274","name":"Sms-TD-Ilimitado_930030274","mode":"N"}</v>
      </c>
      <c r="G693" t="str">
        <f>ToJsonArray(supplementary_offering_legacyid[[#This Row],[Semilla04]],supplementary_offering_legacyid[[#This Row],[Json]])</f>
        <v>{"300302-74":{"offeringid":"930030274","name":"Sms-TD-Ilimitado_930030274","mode":"N"}}</v>
      </c>
    </row>
    <row r="694" spans="1:7" x14ac:dyDescent="0.25">
      <c r="A694" s="60" t="s">
        <v>4194</v>
      </c>
      <c r="B694" t="str">
        <f>findKey(supplementary_offering_legacyid[[#This Row],[Produccion]])</f>
        <v>300302-75</v>
      </c>
      <c r="C694" s="61" t="s">
        <v>4195</v>
      </c>
      <c r="D694" t="s">
        <v>4196</v>
      </c>
      <c r="E694" t="s">
        <v>2329</v>
      </c>
      <c r="F694" t="str">
        <f>ToJsonArray(supplementary_offering_legacyid[[#Headers],[offeringid]:[mode]],supplementary_offering_legacyid[[#This Row],[offeringid]:[mode]])</f>
        <v>{"offeringid":"930030275","name":"Sms-TD-Ilimitado_930030275","mode":"N"}</v>
      </c>
      <c r="G694" t="str">
        <f>ToJsonArray(supplementary_offering_legacyid[[#This Row],[Semilla04]],supplementary_offering_legacyid[[#This Row],[Json]])</f>
        <v>{"300302-75":{"offeringid":"930030275","name":"Sms-TD-Ilimitado_930030275","mode":"N"}}</v>
      </c>
    </row>
    <row r="695" spans="1:7" x14ac:dyDescent="0.25">
      <c r="A695" s="60" t="s">
        <v>4197</v>
      </c>
      <c r="B695" t="str">
        <f>findKey(supplementary_offering_legacyid[[#This Row],[Produccion]])</f>
        <v>300302-76</v>
      </c>
      <c r="C695" s="61" t="s">
        <v>4198</v>
      </c>
      <c r="D695" t="s">
        <v>4199</v>
      </c>
      <c r="E695" t="s">
        <v>2329</v>
      </c>
      <c r="F695" t="str">
        <f>ToJsonArray(supplementary_offering_legacyid[[#Headers],[offeringid]:[mode]],supplementary_offering_legacyid[[#This Row],[offeringid]:[mode]])</f>
        <v>{"offeringid":"930030276","name":"Sms-TD-Ilimitado_930030276","mode":"N"}</v>
      </c>
      <c r="G695" t="str">
        <f>ToJsonArray(supplementary_offering_legacyid[[#This Row],[Semilla04]],supplementary_offering_legacyid[[#This Row],[Json]])</f>
        <v>{"300302-76":{"offeringid":"930030276","name":"Sms-TD-Ilimitado_930030276","mode":"N"}}</v>
      </c>
    </row>
    <row r="696" spans="1:7" x14ac:dyDescent="0.25">
      <c r="A696" s="60" t="s">
        <v>4200</v>
      </c>
      <c r="B696" t="str">
        <f>findKey(supplementary_offering_legacyid[[#This Row],[Produccion]])</f>
        <v>300302-77</v>
      </c>
      <c r="C696" s="61" t="s">
        <v>4201</v>
      </c>
      <c r="D696" t="s">
        <v>4202</v>
      </c>
      <c r="E696" t="s">
        <v>2329</v>
      </c>
      <c r="F696" t="str">
        <f>ToJsonArray(supplementary_offering_legacyid[[#Headers],[offeringid]:[mode]],supplementary_offering_legacyid[[#This Row],[offeringid]:[mode]])</f>
        <v>{"offeringid":"930030277","name":"Sms-TD-Ilimitado_930030277","mode":"N"}</v>
      </c>
      <c r="G696" t="str">
        <f>ToJsonArray(supplementary_offering_legacyid[[#This Row],[Semilla04]],supplementary_offering_legacyid[[#This Row],[Json]])</f>
        <v>{"300302-77":{"offeringid":"930030277","name":"Sms-TD-Ilimitado_930030277","mode":"N"}}</v>
      </c>
    </row>
    <row r="697" spans="1:7" x14ac:dyDescent="0.25">
      <c r="A697" s="60" t="s">
        <v>4203</v>
      </c>
      <c r="B697" t="str">
        <f>findKey(supplementary_offering_legacyid[[#This Row],[Produccion]])</f>
        <v>300302-78</v>
      </c>
      <c r="C697" s="61" t="s">
        <v>4204</v>
      </c>
      <c r="D697" t="s">
        <v>4205</v>
      </c>
      <c r="E697" t="s">
        <v>2329</v>
      </c>
      <c r="F697" t="str">
        <f>ToJsonArray(supplementary_offering_legacyid[[#Headers],[offeringid]:[mode]],supplementary_offering_legacyid[[#This Row],[offeringid]:[mode]])</f>
        <v>{"offeringid":"930030278","name":"Sms-TD-Ilimitado_930030278","mode":"N"}</v>
      </c>
      <c r="G697" t="str">
        <f>ToJsonArray(supplementary_offering_legacyid[[#This Row],[Semilla04]],supplementary_offering_legacyid[[#This Row],[Json]])</f>
        <v>{"300302-78":{"offeringid":"930030278","name":"Sms-TD-Ilimitado_930030278","mode":"N"}}</v>
      </c>
    </row>
    <row r="698" spans="1:7" x14ac:dyDescent="0.25">
      <c r="A698" s="60" t="s">
        <v>4206</v>
      </c>
      <c r="B698" t="str">
        <f>findKey(supplementary_offering_legacyid[[#This Row],[Produccion]])</f>
        <v>300302-79</v>
      </c>
      <c r="C698" s="61" t="s">
        <v>4207</v>
      </c>
      <c r="D698" t="s">
        <v>4208</v>
      </c>
      <c r="E698" t="s">
        <v>2329</v>
      </c>
      <c r="F698" t="str">
        <f>ToJsonArray(supplementary_offering_legacyid[[#Headers],[offeringid]:[mode]],supplementary_offering_legacyid[[#This Row],[offeringid]:[mode]])</f>
        <v>{"offeringid":"930030279","name":"Sms-TD-Ilimitado_930030279","mode":"N"}</v>
      </c>
      <c r="G698" t="str">
        <f>ToJsonArray(supplementary_offering_legacyid[[#This Row],[Semilla04]],supplementary_offering_legacyid[[#This Row],[Json]])</f>
        <v>{"300302-79":{"offeringid":"930030279","name":"Sms-TD-Ilimitado_930030279","mode":"N"}}</v>
      </c>
    </row>
    <row r="699" spans="1:7" x14ac:dyDescent="0.25">
      <c r="A699" s="60" t="s">
        <v>4209</v>
      </c>
      <c r="B699" t="str">
        <f>findKey(supplementary_offering_legacyid[[#This Row],[Produccion]])</f>
        <v>300302-80</v>
      </c>
      <c r="C699" s="61" t="s">
        <v>4210</v>
      </c>
      <c r="D699" t="s">
        <v>4211</v>
      </c>
      <c r="E699" t="s">
        <v>2329</v>
      </c>
      <c r="F699" t="str">
        <f>ToJsonArray(supplementary_offering_legacyid[[#Headers],[offeringid]:[mode]],supplementary_offering_legacyid[[#This Row],[offeringid]:[mode]])</f>
        <v>{"offeringid":"930030280","name":"Sms-TD-Ilimitado_930030280","mode":"N"}</v>
      </c>
      <c r="G699" t="str">
        <f>ToJsonArray(supplementary_offering_legacyid[[#This Row],[Semilla04]],supplementary_offering_legacyid[[#This Row],[Json]])</f>
        <v>{"300302-80":{"offeringid":"930030280","name":"Sms-TD-Ilimitado_930030280","mode":"N"}}</v>
      </c>
    </row>
    <row r="700" spans="1:7" x14ac:dyDescent="0.25">
      <c r="A700" s="60" t="s">
        <v>4212</v>
      </c>
      <c r="B700" t="str">
        <f>findKey(supplementary_offering_legacyid[[#This Row],[Produccion]])</f>
        <v>300302-81</v>
      </c>
      <c r="C700" s="61" t="s">
        <v>4213</v>
      </c>
      <c r="D700" t="s">
        <v>4214</v>
      </c>
      <c r="E700" t="s">
        <v>2329</v>
      </c>
      <c r="F700" t="str">
        <f>ToJsonArray(supplementary_offering_legacyid[[#Headers],[offeringid]:[mode]],supplementary_offering_legacyid[[#This Row],[offeringid]:[mode]])</f>
        <v>{"offeringid":"930030281","name":"Sms-TD-Ilimitado_930030281","mode":"N"}</v>
      </c>
      <c r="G700" t="str">
        <f>ToJsonArray(supplementary_offering_legacyid[[#This Row],[Semilla04]],supplementary_offering_legacyid[[#This Row],[Json]])</f>
        <v>{"300302-81":{"offeringid":"930030281","name":"Sms-TD-Ilimitado_930030281","mode":"N"}}</v>
      </c>
    </row>
    <row r="701" spans="1:7" x14ac:dyDescent="0.25">
      <c r="A701" s="60" t="s">
        <v>4215</v>
      </c>
      <c r="B701" t="str">
        <f>findKey(supplementary_offering_legacyid[[#This Row],[Produccion]])</f>
        <v>300302-82</v>
      </c>
      <c r="C701" s="61" t="s">
        <v>4216</v>
      </c>
      <c r="D701" t="s">
        <v>4217</v>
      </c>
      <c r="E701" t="s">
        <v>2329</v>
      </c>
      <c r="F701" t="str">
        <f>ToJsonArray(supplementary_offering_legacyid[[#Headers],[offeringid]:[mode]],supplementary_offering_legacyid[[#This Row],[offeringid]:[mode]])</f>
        <v>{"offeringid":"930030282","name":"Sms-TD-Ilimitado_930030282","mode":"N"}</v>
      </c>
      <c r="G701" t="str">
        <f>ToJsonArray(supplementary_offering_legacyid[[#This Row],[Semilla04]],supplementary_offering_legacyid[[#This Row],[Json]])</f>
        <v>{"300302-82":{"offeringid":"930030282","name":"Sms-TD-Ilimitado_930030282","mode":"N"}}</v>
      </c>
    </row>
    <row r="702" spans="1:7" x14ac:dyDescent="0.25">
      <c r="A702" s="60" t="s">
        <v>4218</v>
      </c>
      <c r="B702" t="str">
        <f>findKey(supplementary_offering_legacyid[[#This Row],[Produccion]])</f>
        <v>300302-83</v>
      </c>
      <c r="C702" s="61" t="s">
        <v>4219</v>
      </c>
      <c r="D702" t="s">
        <v>4220</v>
      </c>
      <c r="E702" t="s">
        <v>2329</v>
      </c>
      <c r="F702" t="str">
        <f>ToJsonArray(supplementary_offering_legacyid[[#Headers],[offeringid]:[mode]],supplementary_offering_legacyid[[#This Row],[offeringid]:[mode]])</f>
        <v>{"offeringid":"930030283","name":"Sms-TD-Ilimitado_930030283","mode":"N"}</v>
      </c>
      <c r="G702" t="str">
        <f>ToJsonArray(supplementary_offering_legacyid[[#This Row],[Semilla04]],supplementary_offering_legacyid[[#This Row],[Json]])</f>
        <v>{"300302-83":{"offeringid":"930030283","name":"Sms-TD-Ilimitado_930030283","mode":"N"}}</v>
      </c>
    </row>
    <row r="703" spans="1:7" x14ac:dyDescent="0.25">
      <c r="A703" s="60" t="s">
        <v>4221</v>
      </c>
      <c r="B703" t="str">
        <f>findKey(supplementary_offering_legacyid[[#This Row],[Produccion]])</f>
        <v>300302-84</v>
      </c>
      <c r="C703" s="61" t="s">
        <v>4222</v>
      </c>
      <c r="D703" t="s">
        <v>4223</v>
      </c>
      <c r="E703" t="s">
        <v>2329</v>
      </c>
      <c r="F703" t="str">
        <f>ToJsonArray(supplementary_offering_legacyid[[#Headers],[offeringid]:[mode]],supplementary_offering_legacyid[[#This Row],[offeringid]:[mode]])</f>
        <v>{"offeringid":"930030284","name":"Sms-TD-Ilimitado_930030284","mode":"N"}</v>
      </c>
      <c r="G703" t="str">
        <f>ToJsonArray(supplementary_offering_legacyid[[#This Row],[Semilla04]],supplementary_offering_legacyid[[#This Row],[Json]])</f>
        <v>{"300302-84":{"offeringid":"930030284","name":"Sms-TD-Ilimitado_930030284","mode":"N"}}</v>
      </c>
    </row>
    <row r="704" spans="1:7" x14ac:dyDescent="0.25">
      <c r="A704" s="60" t="s">
        <v>4224</v>
      </c>
      <c r="B704" t="str">
        <f>findKey(supplementary_offering_legacyid[[#This Row],[Produccion]])</f>
        <v>300302-85</v>
      </c>
      <c r="C704" s="61" t="s">
        <v>4225</v>
      </c>
      <c r="D704" t="s">
        <v>4226</v>
      </c>
      <c r="E704" t="s">
        <v>2329</v>
      </c>
      <c r="F704" t="str">
        <f>ToJsonArray(supplementary_offering_legacyid[[#Headers],[offeringid]:[mode]],supplementary_offering_legacyid[[#This Row],[offeringid]:[mode]])</f>
        <v>{"offeringid":"930030285","name":"Sms-TD-Ilimitado_930030285","mode":"N"}</v>
      </c>
      <c r="G704" t="str">
        <f>ToJsonArray(supplementary_offering_legacyid[[#This Row],[Semilla04]],supplementary_offering_legacyid[[#This Row],[Json]])</f>
        <v>{"300302-85":{"offeringid":"930030285","name":"Sms-TD-Ilimitado_930030285","mode":"N"}}</v>
      </c>
    </row>
    <row r="705" spans="1:7" x14ac:dyDescent="0.25">
      <c r="A705" s="60" t="s">
        <v>4227</v>
      </c>
      <c r="B705" t="str">
        <f>findKey(supplementary_offering_legacyid[[#This Row],[Produccion]])</f>
        <v>300302-86</v>
      </c>
      <c r="C705" s="61" t="s">
        <v>4228</v>
      </c>
      <c r="D705" t="s">
        <v>4229</v>
      </c>
      <c r="E705" t="s">
        <v>2329</v>
      </c>
      <c r="F705" t="str">
        <f>ToJsonArray(supplementary_offering_legacyid[[#Headers],[offeringid]:[mode]],supplementary_offering_legacyid[[#This Row],[offeringid]:[mode]])</f>
        <v>{"offeringid":"930030286","name":"Sms-TD-Ilimitado_930030286","mode":"N"}</v>
      </c>
      <c r="G705" t="str">
        <f>ToJsonArray(supplementary_offering_legacyid[[#This Row],[Semilla04]],supplementary_offering_legacyid[[#This Row],[Json]])</f>
        <v>{"300302-86":{"offeringid":"930030286","name":"Sms-TD-Ilimitado_930030286","mode":"N"}}</v>
      </c>
    </row>
    <row r="706" spans="1:7" x14ac:dyDescent="0.25">
      <c r="A706" s="60" t="s">
        <v>4230</v>
      </c>
      <c r="B706" t="str">
        <f>findKey(supplementary_offering_legacyid[[#This Row],[Produccion]])</f>
        <v>300302-87</v>
      </c>
      <c r="C706" s="61" t="s">
        <v>4231</v>
      </c>
      <c r="D706" t="s">
        <v>4232</v>
      </c>
      <c r="E706" t="s">
        <v>2329</v>
      </c>
      <c r="F706" t="str">
        <f>ToJsonArray(supplementary_offering_legacyid[[#Headers],[offeringid]:[mode]],supplementary_offering_legacyid[[#This Row],[offeringid]:[mode]])</f>
        <v>{"offeringid":"930030287","name":"Sms-TD-Ilimitado_930030287","mode":"N"}</v>
      </c>
      <c r="G706" t="str">
        <f>ToJsonArray(supplementary_offering_legacyid[[#This Row],[Semilla04]],supplementary_offering_legacyid[[#This Row],[Json]])</f>
        <v>{"300302-87":{"offeringid":"930030287","name":"Sms-TD-Ilimitado_930030287","mode":"N"}}</v>
      </c>
    </row>
    <row r="707" spans="1:7" x14ac:dyDescent="0.25">
      <c r="A707" s="60" t="s">
        <v>4233</v>
      </c>
      <c r="B707" t="str">
        <f>findKey(supplementary_offering_legacyid[[#This Row],[Produccion]])</f>
        <v>300302-88</v>
      </c>
      <c r="C707" s="61" t="s">
        <v>4234</v>
      </c>
      <c r="D707" t="s">
        <v>4235</v>
      </c>
      <c r="E707" t="s">
        <v>2329</v>
      </c>
      <c r="F707" t="str">
        <f>ToJsonArray(supplementary_offering_legacyid[[#Headers],[offeringid]:[mode]],supplementary_offering_legacyid[[#This Row],[offeringid]:[mode]])</f>
        <v>{"offeringid":"930030288","name":"Sms-TD-Ilimitado_930030288","mode":"N"}</v>
      </c>
      <c r="G707" t="str">
        <f>ToJsonArray(supplementary_offering_legacyid[[#This Row],[Semilla04]],supplementary_offering_legacyid[[#This Row],[Json]])</f>
        <v>{"300302-88":{"offeringid":"930030288","name":"Sms-TD-Ilimitado_930030288","mode":"N"}}</v>
      </c>
    </row>
    <row r="708" spans="1:7" x14ac:dyDescent="0.25">
      <c r="A708" s="60" t="s">
        <v>4236</v>
      </c>
      <c r="B708" t="str">
        <f>findKey(supplementary_offering_legacyid[[#This Row],[Produccion]])</f>
        <v>300302-89</v>
      </c>
      <c r="C708" s="61" t="s">
        <v>4237</v>
      </c>
      <c r="D708" t="s">
        <v>4238</v>
      </c>
      <c r="E708" t="s">
        <v>2329</v>
      </c>
      <c r="F708" t="str">
        <f>ToJsonArray(supplementary_offering_legacyid[[#Headers],[offeringid]:[mode]],supplementary_offering_legacyid[[#This Row],[offeringid]:[mode]])</f>
        <v>{"offeringid":"930030289","name":"Sms-TD-Ilimitado_930030289","mode":"N"}</v>
      </c>
      <c r="G708" t="str">
        <f>ToJsonArray(supplementary_offering_legacyid[[#This Row],[Semilla04]],supplementary_offering_legacyid[[#This Row],[Json]])</f>
        <v>{"300302-89":{"offeringid":"930030289","name":"Sms-TD-Ilimitado_930030289","mode":"N"}}</v>
      </c>
    </row>
    <row r="709" spans="1:7" x14ac:dyDescent="0.25">
      <c r="A709" s="60" t="s">
        <v>4239</v>
      </c>
      <c r="B709" t="str">
        <f>findKey(supplementary_offering_legacyid[[#This Row],[Produccion]])</f>
        <v>300302-90</v>
      </c>
      <c r="C709" s="61" t="s">
        <v>4240</v>
      </c>
      <c r="D709" t="s">
        <v>4241</v>
      </c>
      <c r="E709" t="s">
        <v>2329</v>
      </c>
      <c r="F709" t="str">
        <f>ToJsonArray(supplementary_offering_legacyid[[#Headers],[offeringid]:[mode]],supplementary_offering_legacyid[[#This Row],[offeringid]:[mode]])</f>
        <v>{"offeringid":"930030290","name":"Sms-TD-Ilimitado_930030290","mode":"N"}</v>
      </c>
      <c r="G709" t="str">
        <f>ToJsonArray(supplementary_offering_legacyid[[#This Row],[Semilla04]],supplementary_offering_legacyid[[#This Row],[Json]])</f>
        <v>{"300302-90":{"offeringid":"930030290","name":"Sms-TD-Ilimitado_930030290","mode":"N"}}</v>
      </c>
    </row>
    <row r="710" spans="1:7" x14ac:dyDescent="0.25">
      <c r="A710" s="60" t="s">
        <v>4242</v>
      </c>
      <c r="B710" t="str">
        <f>findKey(supplementary_offering_legacyid[[#This Row],[Produccion]])</f>
        <v>300302-91</v>
      </c>
      <c r="C710" s="61" t="s">
        <v>4243</v>
      </c>
      <c r="D710" t="s">
        <v>4244</v>
      </c>
      <c r="E710" t="s">
        <v>2329</v>
      </c>
      <c r="F710" t="str">
        <f>ToJsonArray(supplementary_offering_legacyid[[#Headers],[offeringid]:[mode]],supplementary_offering_legacyid[[#This Row],[offeringid]:[mode]])</f>
        <v>{"offeringid":"930030291","name":"Sms-TD-Ilimitado_930030291","mode":"N"}</v>
      </c>
      <c r="G710" t="str">
        <f>ToJsonArray(supplementary_offering_legacyid[[#This Row],[Semilla04]],supplementary_offering_legacyid[[#This Row],[Json]])</f>
        <v>{"300302-91":{"offeringid":"930030291","name":"Sms-TD-Ilimitado_930030291","mode":"N"}}</v>
      </c>
    </row>
    <row r="711" spans="1:7" x14ac:dyDescent="0.25">
      <c r="A711" s="60" t="s">
        <v>4245</v>
      </c>
      <c r="B711" t="str">
        <f>findKey(supplementary_offering_legacyid[[#This Row],[Produccion]])</f>
        <v>300302-92</v>
      </c>
      <c r="C711" s="61" t="s">
        <v>4246</v>
      </c>
      <c r="D711" t="s">
        <v>4247</v>
      </c>
      <c r="E711" t="s">
        <v>2329</v>
      </c>
      <c r="F711" t="str">
        <f>ToJsonArray(supplementary_offering_legacyid[[#Headers],[offeringid]:[mode]],supplementary_offering_legacyid[[#This Row],[offeringid]:[mode]])</f>
        <v>{"offeringid":"930030292","name":"Sms-TD-Ilimitado_930030292","mode":"N"}</v>
      </c>
      <c r="G711" t="str">
        <f>ToJsonArray(supplementary_offering_legacyid[[#This Row],[Semilla04]],supplementary_offering_legacyid[[#This Row],[Json]])</f>
        <v>{"300302-92":{"offeringid":"930030292","name":"Sms-TD-Ilimitado_930030292","mode":"N"}}</v>
      </c>
    </row>
    <row r="712" spans="1:7" x14ac:dyDescent="0.25">
      <c r="A712" s="60" t="s">
        <v>4248</v>
      </c>
      <c r="B712" t="str">
        <f>findKey(supplementary_offering_legacyid[[#This Row],[Produccion]])</f>
        <v>300302-93</v>
      </c>
      <c r="C712" s="61" t="s">
        <v>4249</v>
      </c>
      <c r="D712" t="s">
        <v>4250</v>
      </c>
      <c r="E712" t="s">
        <v>2329</v>
      </c>
      <c r="F712" t="str">
        <f>ToJsonArray(supplementary_offering_legacyid[[#Headers],[offeringid]:[mode]],supplementary_offering_legacyid[[#This Row],[offeringid]:[mode]])</f>
        <v>{"offeringid":"930030293","name":"Sms-TD-Ilimitado_930030293","mode":"N"}</v>
      </c>
      <c r="G712" t="str">
        <f>ToJsonArray(supplementary_offering_legacyid[[#This Row],[Semilla04]],supplementary_offering_legacyid[[#This Row],[Json]])</f>
        <v>{"300302-93":{"offeringid":"930030293","name":"Sms-TD-Ilimitado_930030293","mode":"N"}}</v>
      </c>
    </row>
    <row r="713" spans="1:7" x14ac:dyDescent="0.25">
      <c r="A713" s="60" t="s">
        <v>4251</v>
      </c>
      <c r="B713" t="str">
        <f>findKey(supplementary_offering_legacyid[[#This Row],[Produccion]])</f>
        <v>300302-94</v>
      </c>
      <c r="C713" s="61" t="s">
        <v>4252</v>
      </c>
      <c r="D713" t="s">
        <v>4253</v>
      </c>
      <c r="E713" t="s">
        <v>2329</v>
      </c>
      <c r="F713" t="str">
        <f>ToJsonArray(supplementary_offering_legacyid[[#Headers],[offeringid]:[mode]],supplementary_offering_legacyid[[#This Row],[offeringid]:[mode]])</f>
        <v>{"offeringid":"930030294","name":"Sms-TD-Ilimitado_930030294","mode":"N"}</v>
      </c>
      <c r="G713" t="str">
        <f>ToJsonArray(supplementary_offering_legacyid[[#This Row],[Semilla04]],supplementary_offering_legacyid[[#This Row],[Json]])</f>
        <v>{"300302-94":{"offeringid":"930030294","name":"Sms-TD-Ilimitado_930030294","mode":"N"}}</v>
      </c>
    </row>
    <row r="714" spans="1:7" x14ac:dyDescent="0.25">
      <c r="A714" s="60" t="s">
        <v>4254</v>
      </c>
      <c r="B714" t="str">
        <f>findKey(supplementary_offering_legacyid[[#This Row],[Produccion]])</f>
        <v>300302-95</v>
      </c>
      <c r="C714" s="61" t="s">
        <v>4255</v>
      </c>
      <c r="D714" t="s">
        <v>4256</v>
      </c>
      <c r="E714" t="s">
        <v>2329</v>
      </c>
      <c r="F714" t="str">
        <f>ToJsonArray(supplementary_offering_legacyid[[#Headers],[offeringid]:[mode]],supplementary_offering_legacyid[[#This Row],[offeringid]:[mode]])</f>
        <v>{"offeringid":"930030295","name":"Sms-TD-Ilimitado_930030295","mode":"N"}</v>
      </c>
      <c r="G714" t="str">
        <f>ToJsonArray(supplementary_offering_legacyid[[#This Row],[Semilla04]],supplementary_offering_legacyid[[#This Row],[Json]])</f>
        <v>{"300302-95":{"offeringid":"930030295","name":"Sms-TD-Ilimitado_930030295","mode":"N"}}</v>
      </c>
    </row>
    <row r="715" spans="1:7" x14ac:dyDescent="0.25">
      <c r="A715" s="60" t="s">
        <v>4257</v>
      </c>
      <c r="B715" t="str">
        <f>findKey(supplementary_offering_legacyid[[#This Row],[Produccion]])</f>
        <v>300302-96</v>
      </c>
      <c r="C715" s="61" t="s">
        <v>4258</v>
      </c>
      <c r="D715" t="s">
        <v>4259</v>
      </c>
      <c r="E715" t="s">
        <v>2329</v>
      </c>
      <c r="F715" t="str">
        <f>ToJsonArray(supplementary_offering_legacyid[[#Headers],[offeringid]:[mode]],supplementary_offering_legacyid[[#This Row],[offeringid]:[mode]])</f>
        <v>{"offeringid":"930030296","name":"Sms-TD-Ilimitado_930030296","mode":"N"}</v>
      </c>
      <c r="G715" t="str">
        <f>ToJsonArray(supplementary_offering_legacyid[[#This Row],[Semilla04]],supplementary_offering_legacyid[[#This Row],[Json]])</f>
        <v>{"300302-96":{"offeringid":"930030296","name":"Sms-TD-Ilimitado_930030296","mode":"N"}}</v>
      </c>
    </row>
    <row r="716" spans="1:7" x14ac:dyDescent="0.25">
      <c r="A716" s="60" t="s">
        <v>4260</v>
      </c>
      <c r="B716" t="str">
        <f>findKey(supplementary_offering_legacyid[[#This Row],[Produccion]])</f>
        <v>300302-97</v>
      </c>
      <c r="C716" s="61" t="s">
        <v>4261</v>
      </c>
      <c r="D716" t="s">
        <v>4262</v>
      </c>
      <c r="E716" t="s">
        <v>2329</v>
      </c>
      <c r="F716" t="str">
        <f>ToJsonArray(supplementary_offering_legacyid[[#Headers],[offeringid]:[mode]],supplementary_offering_legacyid[[#This Row],[offeringid]:[mode]])</f>
        <v>{"offeringid":"930030297","name":"Sms-TD-Ilimitado_930030297","mode":"N"}</v>
      </c>
      <c r="G716" t="str">
        <f>ToJsonArray(supplementary_offering_legacyid[[#This Row],[Semilla04]],supplementary_offering_legacyid[[#This Row],[Json]])</f>
        <v>{"300302-97":{"offeringid":"930030297","name":"Sms-TD-Ilimitado_930030297","mode":"N"}}</v>
      </c>
    </row>
    <row r="717" spans="1:7" x14ac:dyDescent="0.25">
      <c r="A717" s="60" t="s">
        <v>4263</v>
      </c>
      <c r="B717" t="str">
        <f>findKey(supplementary_offering_legacyid[[#This Row],[Produccion]])</f>
        <v>300312-00</v>
      </c>
      <c r="C717" s="61" t="s">
        <v>4264</v>
      </c>
      <c r="D717" t="s">
        <v>4265</v>
      </c>
      <c r="E717" t="s">
        <v>2329</v>
      </c>
      <c r="F717" t="str">
        <f>ToJsonArray(supplementary_offering_legacyid[[#Headers],[offeringid]:[mode]],supplementary_offering_legacyid[[#This Row],[offeringid]:[mode]])</f>
        <v>{"offeringid":"930031200","name":"Sms-TD-Ilimitado_930031200","mode":"N"}</v>
      </c>
      <c r="G717" t="str">
        <f>ToJsonArray(supplementary_offering_legacyid[[#This Row],[Semilla04]],supplementary_offering_legacyid[[#This Row],[Json]])</f>
        <v>{"300312-00":{"offeringid":"930031200","name":"Sms-TD-Ilimitado_930031200","mode":"N"}}</v>
      </c>
    </row>
    <row r="718" spans="1:7" x14ac:dyDescent="0.25">
      <c r="A718" s="60" t="s">
        <v>4266</v>
      </c>
      <c r="B718" t="str">
        <f>findKey(supplementary_offering_legacyid[[#This Row],[Produccion]])</f>
        <v>800010-01</v>
      </c>
      <c r="C718" s="61" t="s">
        <v>4267</v>
      </c>
      <c r="D718" t="s">
        <v>4268</v>
      </c>
      <c r="E718" t="s">
        <v>2329</v>
      </c>
      <c r="F718" t="str">
        <f>ToJsonArray(supplementary_offering_legacyid[[#Headers],[offeringid]:[mode]],supplementary_offering_legacyid[[#This Row],[offeringid]:[mode]])</f>
        <v>{"offeringid":"980001001","name":"SDP 12GB-3D_980001001","mode":"N"}</v>
      </c>
      <c r="G718" t="str">
        <f>ToJsonArray(supplementary_offering_legacyid[[#This Row],[Semilla04]],supplementary_offering_legacyid[[#This Row],[Json]])</f>
        <v>{"800010-01":{"offeringid":"980001001","name":"SDP 12GB-3D_980001001","mode":"N"}}</v>
      </c>
    </row>
    <row r="719" spans="1:7" x14ac:dyDescent="0.25">
      <c r="A719" s="60" t="s">
        <v>4269</v>
      </c>
      <c r="B719" t="str">
        <f>findKey(supplementary_offering_legacyid[[#This Row],[Produccion]])</f>
        <v>800010-02</v>
      </c>
      <c r="C719" s="61" t="s">
        <v>4270</v>
      </c>
      <c r="D719" t="s">
        <v>4271</v>
      </c>
      <c r="E719" t="s">
        <v>2329</v>
      </c>
      <c r="F719" t="str">
        <f>ToJsonArray(supplementary_offering_legacyid[[#Headers],[offeringid]:[mode]],supplementary_offering_legacyid[[#This Row],[offeringid]:[mode]])</f>
        <v>{"offeringid":"980001002","name":"SDP 20GB-5D_980001002","mode":"N"}</v>
      </c>
      <c r="G719" t="str">
        <f>ToJsonArray(supplementary_offering_legacyid[[#This Row],[Semilla04]],supplementary_offering_legacyid[[#This Row],[Json]])</f>
        <v>{"800010-02":{"offeringid":"980001002","name":"SDP 20GB-5D_980001002","mode":"N"}}</v>
      </c>
    </row>
    <row r="720" spans="1:7" x14ac:dyDescent="0.25">
      <c r="A720" s="60" t="s">
        <v>4272</v>
      </c>
      <c r="B720" t="str">
        <f>findKey(supplementary_offering_legacyid[[#This Row],[Produccion]])</f>
        <v>810004-76</v>
      </c>
      <c r="C720" s="61" t="s">
        <v>4273</v>
      </c>
      <c r="D720" t="s">
        <v>4274</v>
      </c>
      <c r="E720" t="s">
        <v>2329</v>
      </c>
      <c r="F720" t="str">
        <f>ToJsonArray(supplementary_offering_legacyid[[#Headers],[offeringid]:[mode]],supplementary_offering_legacyid[[#This Row],[offeringid]:[mode]])</f>
        <v>{"offeringid":"981000476","name":"CUG-4Fav_981000476","mode":"N"}</v>
      </c>
      <c r="G720" t="str">
        <f>ToJsonArray(supplementary_offering_legacyid[[#This Row],[Semilla04]],supplementary_offering_legacyid[[#This Row],[Json]])</f>
        <v>{"810004-76":{"offeringid":"981000476","name":"CUG-4Fav_981000476","mode":"N"}}</v>
      </c>
    </row>
    <row r="721" spans="1:7" x14ac:dyDescent="0.25">
      <c r="A721" s="60" t="s">
        <v>4275</v>
      </c>
      <c r="B721" t="str">
        <f>findKey(supplementary_offering_legacyid[[#This Row],[Produccion]])</f>
        <v>810004-77</v>
      </c>
      <c r="C721" s="61" t="s">
        <v>4276</v>
      </c>
      <c r="D721" t="s">
        <v>4277</v>
      </c>
      <c r="E721" t="s">
        <v>2329</v>
      </c>
      <c r="F721" t="str">
        <f>ToJsonArray(supplementary_offering_legacyid[[#Headers],[offeringid]:[mode]],supplementary_offering_legacyid[[#This Row],[offeringid]:[mode]])</f>
        <v>{"offeringid":"981000477","name":"CUG-4Fav_981000477","mode":"N"}</v>
      </c>
      <c r="G721" t="str">
        <f>ToJsonArray(supplementary_offering_legacyid[[#This Row],[Semilla04]],supplementary_offering_legacyid[[#This Row],[Json]])</f>
        <v>{"810004-77":{"offeringid":"981000477","name":"CUG-4Fav_981000477","mode":"N"}}</v>
      </c>
    </row>
    <row r="722" spans="1:7" x14ac:dyDescent="0.25">
      <c r="A722" s="60" t="s">
        <v>4278</v>
      </c>
      <c r="B722" t="str">
        <f>findKey(supplementary_offering_legacyid[[#This Row],[Produccion]])</f>
        <v>810004-78</v>
      </c>
      <c r="C722" s="61" t="s">
        <v>4279</v>
      </c>
      <c r="D722" t="s">
        <v>4280</v>
      </c>
      <c r="E722" t="s">
        <v>2329</v>
      </c>
      <c r="F722" t="str">
        <f>ToJsonArray(supplementary_offering_legacyid[[#Headers],[offeringid]:[mode]],supplementary_offering_legacyid[[#This Row],[offeringid]:[mode]])</f>
        <v>{"offeringid":"981000478","name":"CUG-5Fav_981000478","mode":"N"}</v>
      </c>
      <c r="G722" t="str">
        <f>ToJsonArray(supplementary_offering_legacyid[[#This Row],[Semilla04]],supplementary_offering_legacyid[[#This Row],[Json]])</f>
        <v>{"810004-78":{"offeringid":"981000478","name":"CUG-5Fav_981000478","mode":"N"}}</v>
      </c>
    </row>
    <row r="723" spans="1:7" x14ac:dyDescent="0.25">
      <c r="A723" s="60" t="s">
        <v>4281</v>
      </c>
      <c r="B723" t="str">
        <f>findKey(supplementary_offering_legacyid[[#This Row],[Produccion]])</f>
        <v>810004-79</v>
      </c>
      <c r="C723" s="61" t="s">
        <v>4282</v>
      </c>
      <c r="D723" t="s">
        <v>4283</v>
      </c>
      <c r="E723" t="s">
        <v>2329</v>
      </c>
      <c r="F723" t="str">
        <f>ToJsonArray(supplementary_offering_legacyid[[#Headers],[offeringid]:[mode]],supplementary_offering_legacyid[[#This Row],[offeringid]:[mode]])</f>
        <v>{"offeringid":"981000479","name":"CUG-5Fav_981000479","mode":"N"}</v>
      </c>
      <c r="G723" t="str">
        <f>ToJsonArray(supplementary_offering_legacyid[[#This Row],[Semilla04]],supplementary_offering_legacyid[[#This Row],[Json]])</f>
        <v>{"810004-79":{"offeringid":"981000479","name":"CUG-5Fav_981000479","mode":"N"}}</v>
      </c>
    </row>
    <row r="724" spans="1:7" x14ac:dyDescent="0.25">
      <c r="A724" s="60" t="s">
        <v>4284</v>
      </c>
      <c r="B724" t="str">
        <f>findKey(supplementary_offering_legacyid[[#This Row],[Produccion]])</f>
        <v>810004-80</v>
      </c>
      <c r="C724" s="61" t="s">
        <v>4285</v>
      </c>
      <c r="D724" t="s">
        <v>4286</v>
      </c>
      <c r="E724" t="s">
        <v>2329</v>
      </c>
      <c r="F724" t="str">
        <f>ToJsonArray(supplementary_offering_legacyid[[#Headers],[offeringid]:[mode]],supplementary_offering_legacyid[[#This Row],[offeringid]:[mode]])</f>
        <v>{"offeringid":"981000480","name":"CUG-4Fav_981000480","mode":"N"}</v>
      </c>
      <c r="G724" t="str">
        <f>ToJsonArray(supplementary_offering_legacyid[[#This Row],[Semilla04]],supplementary_offering_legacyid[[#This Row],[Json]])</f>
        <v>{"810004-80":{"offeringid":"981000480","name":"CUG-4Fav_981000480","mode":"N"}}</v>
      </c>
    </row>
    <row r="725" spans="1:7" x14ac:dyDescent="0.25">
      <c r="A725" s="60" t="s">
        <v>4287</v>
      </c>
      <c r="B725" t="str">
        <f>findKey(supplementary_offering_legacyid[[#This Row],[Produccion]])</f>
        <v>810004-81</v>
      </c>
      <c r="C725" s="61" t="s">
        <v>4288</v>
      </c>
      <c r="D725" t="s">
        <v>4289</v>
      </c>
      <c r="E725" t="s">
        <v>2329</v>
      </c>
      <c r="F725" t="str">
        <f>ToJsonArray(supplementary_offering_legacyid[[#Headers],[offeringid]:[mode]],supplementary_offering_legacyid[[#This Row],[offeringid]:[mode]])</f>
        <v>{"offeringid":"981000481","name":"CUG-4Fav_981000481","mode":"N"}</v>
      </c>
      <c r="G725" t="str">
        <f>ToJsonArray(supplementary_offering_legacyid[[#This Row],[Semilla04]],supplementary_offering_legacyid[[#This Row],[Json]])</f>
        <v>{"810004-81":{"offeringid":"981000481","name":"CUG-4Fav_981000481","mode":"N"}}</v>
      </c>
    </row>
    <row r="726" spans="1:7" x14ac:dyDescent="0.25">
      <c r="A726" s="60" t="s">
        <v>4290</v>
      </c>
      <c r="B726" t="str">
        <f>findKey(supplementary_offering_legacyid[[#This Row],[Produccion]])</f>
        <v>810004-82</v>
      </c>
      <c r="C726" s="61" t="s">
        <v>4291</v>
      </c>
      <c r="D726" t="s">
        <v>4292</v>
      </c>
      <c r="E726" t="s">
        <v>2329</v>
      </c>
      <c r="F726" t="str">
        <f>ToJsonArray(supplementary_offering_legacyid[[#Headers],[offeringid]:[mode]],supplementary_offering_legacyid[[#This Row],[offeringid]:[mode]])</f>
        <v>{"offeringid":"981000482","name":"CUG-4Fav_981000482","mode":"N"}</v>
      </c>
      <c r="G726" t="str">
        <f>ToJsonArray(supplementary_offering_legacyid[[#This Row],[Semilla04]],supplementary_offering_legacyid[[#This Row],[Json]])</f>
        <v>{"810004-82":{"offeringid":"981000482","name":"CUG-4Fav_981000482","mode":"N"}}</v>
      </c>
    </row>
    <row r="727" spans="1:7" x14ac:dyDescent="0.25">
      <c r="A727" s="60" t="s">
        <v>4293</v>
      </c>
      <c r="B727" t="str">
        <f>findKey(supplementary_offering_legacyid[[#This Row],[Produccion]])</f>
        <v>810004-83</v>
      </c>
      <c r="C727" s="61" t="s">
        <v>4294</v>
      </c>
      <c r="D727" t="s">
        <v>4295</v>
      </c>
      <c r="E727" t="s">
        <v>2329</v>
      </c>
      <c r="F727" t="str">
        <f>ToJsonArray(supplementary_offering_legacyid[[#Headers],[offeringid]:[mode]],supplementary_offering_legacyid[[#This Row],[offeringid]:[mode]])</f>
        <v>{"offeringid":"981000483","name":"CUG-5Fav_981000483","mode":"N"}</v>
      </c>
      <c r="G727" t="str">
        <f>ToJsonArray(supplementary_offering_legacyid[[#This Row],[Semilla04]],supplementary_offering_legacyid[[#This Row],[Json]])</f>
        <v>{"810004-83":{"offeringid":"981000483","name":"CUG-5Fav_981000483","mode":"N"}}</v>
      </c>
    </row>
    <row r="728" spans="1:7" x14ac:dyDescent="0.25">
      <c r="A728" s="60" t="s">
        <v>4296</v>
      </c>
      <c r="B728" t="str">
        <f>findKey(supplementary_offering_legacyid[[#This Row],[Produccion]])</f>
        <v>810004-84</v>
      </c>
      <c r="C728" s="61" t="s">
        <v>4297</v>
      </c>
      <c r="D728" t="s">
        <v>4298</v>
      </c>
      <c r="E728" t="s">
        <v>2329</v>
      </c>
      <c r="F728" t="str">
        <f>ToJsonArray(supplementary_offering_legacyid[[#Headers],[offeringid]:[mode]],supplementary_offering_legacyid[[#This Row],[offeringid]:[mode]])</f>
        <v>{"offeringid":"981000484","name":"CUG-5Fav_981000484","mode":"N"}</v>
      </c>
      <c r="G728" t="str">
        <f>ToJsonArray(supplementary_offering_legacyid[[#This Row],[Semilla04]],supplementary_offering_legacyid[[#This Row],[Json]])</f>
        <v>{"810004-84":{"offeringid":"981000484","name":"CUG-5Fav_981000484","mode":"N"}}</v>
      </c>
    </row>
    <row r="729" spans="1:7" x14ac:dyDescent="0.25">
      <c r="A729" s="60" t="s">
        <v>4299</v>
      </c>
      <c r="B729" t="str">
        <f>findKey(supplementary_offering_legacyid[[#This Row],[Produccion]])</f>
        <v>810004-85</v>
      </c>
      <c r="C729" s="61" t="s">
        <v>4300</v>
      </c>
      <c r="D729" t="s">
        <v>4301</v>
      </c>
      <c r="E729" t="s">
        <v>2329</v>
      </c>
      <c r="F729" t="str">
        <f>ToJsonArray(supplementary_offering_legacyid[[#Headers],[offeringid]:[mode]],supplementary_offering_legacyid[[#This Row],[offeringid]:[mode]])</f>
        <v>{"offeringid":"981000485","name":"CUG-5Fav_981000485","mode":"N"}</v>
      </c>
      <c r="G729" t="str">
        <f>ToJsonArray(supplementary_offering_legacyid[[#This Row],[Semilla04]],supplementary_offering_legacyid[[#This Row],[Json]])</f>
        <v>{"810004-85":{"offeringid":"981000485","name":"CUG-5Fav_981000485","mode":"N"}}</v>
      </c>
    </row>
    <row r="730" spans="1:7" x14ac:dyDescent="0.25">
      <c r="A730" s="60" t="s">
        <v>4302</v>
      </c>
      <c r="B730" t="str">
        <f>findKey(supplementary_offering_legacyid[[#This Row],[Produccion]])</f>
        <v>810004-86</v>
      </c>
      <c r="C730" s="61" t="s">
        <v>4303</v>
      </c>
      <c r="D730" t="s">
        <v>4304</v>
      </c>
      <c r="E730" t="s">
        <v>2329</v>
      </c>
      <c r="F730" t="str">
        <f>ToJsonArray(supplementary_offering_legacyid[[#Headers],[offeringid]:[mode]],supplementary_offering_legacyid[[#This Row],[offeringid]:[mode]])</f>
        <v>{"offeringid":"981000486","name":"CUG-3Fav_981000486","mode":"N"}</v>
      </c>
      <c r="G730" t="str">
        <f>ToJsonArray(supplementary_offering_legacyid[[#This Row],[Semilla04]],supplementary_offering_legacyid[[#This Row],[Json]])</f>
        <v>{"810004-86":{"offeringid":"981000486","name":"CUG-3Fav_981000486","mode":"N"}}</v>
      </c>
    </row>
    <row r="731" spans="1:7" x14ac:dyDescent="0.25">
      <c r="A731" s="60" t="s">
        <v>4305</v>
      </c>
      <c r="B731" t="str">
        <f>findKey(supplementary_offering_legacyid[[#This Row],[Produccion]])</f>
        <v>810004-87</v>
      </c>
      <c r="C731" s="61" t="s">
        <v>4306</v>
      </c>
      <c r="D731" t="s">
        <v>4307</v>
      </c>
      <c r="E731" t="s">
        <v>2329</v>
      </c>
      <c r="F731" t="str">
        <f>ToJsonArray(supplementary_offering_legacyid[[#Headers],[offeringid]:[mode]],supplementary_offering_legacyid[[#This Row],[offeringid]:[mode]])</f>
        <v>{"offeringid":"981000487","name":"CUG-5Fav_981000487","mode":"N"}</v>
      </c>
      <c r="G731" t="str">
        <f>ToJsonArray(supplementary_offering_legacyid[[#This Row],[Semilla04]],supplementary_offering_legacyid[[#This Row],[Json]])</f>
        <v>{"810004-87":{"offeringid":"981000487","name":"CUG-5Fav_981000487","mode":"N"}}</v>
      </c>
    </row>
    <row r="732" spans="1:7" x14ac:dyDescent="0.25">
      <c r="A732" s="60" t="s">
        <v>4308</v>
      </c>
      <c r="B732" t="str">
        <f>findKey(supplementary_offering_legacyid[[#This Row],[Produccion]])</f>
        <v>810004-90</v>
      </c>
      <c r="C732" s="61" t="s">
        <v>4309</v>
      </c>
      <c r="D732" t="s">
        <v>4310</v>
      </c>
      <c r="E732" t="s">
        <v>2329</v>
      </c>
      <c r="F732" t="str">
        <f>ToJsonArray(supplementary_offering_legacyid[[#Headers],[offeringid]:[mode]],supplementary_offering_legacyid[[#This Row],[offeringid]:[mode]])</f>
        <v>{"offeringid":"981000490","name":"CUG-4Fav_981000490","mode":"N"}</v>
      </c>
      <c r="G732" t="str">
        <f>ToJsonArray(supplementary_offering_legacyid[[#This Row],[Semilla04]],supplementary_offering_legacyid[[#This Row],[Json]])</f>
        <v>{"810004-90":{"offeringid":"981000490","name":"CUG-4Fav_981000490","mode":"N"}}</v>
      </c>
    </row>
    <row r="733" spans="1:7" x14ac:dyDescent="0.25">
      <c r="A733" s="60" t="s">
        <v>4311</v>
      </c>
      <c r="B733" t="str">
        <f>findKey(supplementary_offering_legacyid[[#This Row],[Produccion]])</f>
        <v>810004-91</v>
      </c>
      <c r="C733" s="61" t="s">
        <v>4312</v>
      </c>
      <c r="D733" t="s">
        <v>4313</v>
      </c>
      <c r="E733" t="s">
        <v>2329</v>
      </c>
      <c r="F733" t="str">
        <f>ToJsonArray(supplementary_offering_legacyid[[#Headers],[offeringid]:[mode]],supplementary_offering_legacyid[[#This Row],[offeringid]:[mode]])</f>
        <v>{"offeringid":"981000491","name":"CUG-6Fav_981000491","mode":"N"}</v>
      </c>
      <c r="G733" t="str">
        <f>ToJsonArray(supplementary_offering_legacyid[[#This Row],[Semilla04]],supplementary_offering_legacyid[[#This Row],[Json]])</f>
        <v>{"810004-91":{"offeringid":"981000491","name":"CUG-6Fav_981000491","mode":"N"}}</v>
      </c>
    </row>
    <row r="734" spans="1:7" x14ac:dyDescent="0.25">
      <c r="A734" s="60" t="s">
        <v>4314</v>
      </c>
      <c r="B734" t="str">
        <f>findKey(supplementary_offering_legacyid[[#This Row],[Produccion]])</f>
        <v>100001-00</v>
      </c>
      <c r="C734" s="61" t="s">
        <v>4315</v>
      </c>
      <c r="D734" t="s">
        <v>4316</v>
      </c>
      <c r="E734" t="s">
        <v>2329</v>
      </c>
      <c r="F734" t="str">
        <f>ToJsonArray(supplementary_offering_legacyid[[#Headers],[offeringid]:[mode]],supplementary_offering_legacyid[[#This Row],[offeringid]:[mode]])</f>
        <v>{"offeringid":"910000100","name":"Voz - OnNet - Bajo 0_910000100","mode":"N"}</v>
      </c>
      <c r="G734" t="str">
        <f>ToJsonArray(supplementary_offering_legacyid[[#This Row],[Semilla04]],supplementary_offering_legacyid[[#This Row],[Json]])</f>
        <v>{"100001-00":{"offeringid":"910000100","name":"Voz - OnNet - Bajo 0_910000100","mode":"N"}}</v>
      </c>
    </row>
    <row r="735" spans="1:7" x14ac:dyDescent="0.25">
      <c r="A735" s="60" t="s">
        <v>4317</v>
      </c>
      <c r="B735" t="str">
        <f>findKey(supplementary_offering_legacyid[[#This Row],[Produccion]])</f>
        <v>100001-03</v>
      </c>
      <c r="C735" s="61" t="s">
        <v>4318</v>
      </c>
      <c r="D735" t="s">
        <v>4319</v>
      </c>
      <c r="E735" t="s">
        <v>2329</v>
      </c>
      <c r="F735" t="str">
        <f>ToJsonArray(supplementary_offering_legacyid[[#Headers],[offeringid]:[mode]],supplementary_offering_legacyid[[#This Row],[offeringid]:[mode]])</f>
        <v>{"offeringid":"910000103","name":"Voz - OnNet - Medio 2_910000103","mode":"N"}</v>
      </c>
      <c r="G735" t="str">
        <f>ToJsonArray(supplementary_offering_legacyid[[#This Row],[Semilla04]],supplementary_offering_legacyid[[#This Row],[Json]])</f>
        <v>{"100001-03":{"offeringid":"910000103","name":"Voz - OnNet - Medio 2_910000103","mode":"N"}}</v>
      </c>
    </row>
    <row r="736" spans="1:7" x14ac:dyDescent="0.25">
      <c r="A736" s="60" t="s">
        <v>4320</v>
      </c>
      <c r="B736" t="str">
        <f>findKey(supplementary_offering_legacyid[[#This Row],[Produccion]])</f>
        <v>100001-04</v>
      </c>
      <c r="C736" s="61" t="s">
        <v>4321</v>
      </c>
      <c r="D736" t="s">
        <v>4322</v>
      </c>
      <c r="E736" t="s">
        <v>2329</v>
      </c>
      <c r="F736" t="str">
        <f>ToJsonArray(supplementary_offering_legacyid[[#Headers],[offeringid]:[mode]],supplementary_offering_legacyid[[#This Row],[offeringid]:[mode]])</f>
        <v>{"offeringid":"910000104","name":"Voz - OnNet - Medio 2_910000104","mode":"N"}</v>
      </c>
      <c r="G736" t="str">
        <f>ToJsonArray(supplementary_offering_legacyid[[#This Row],[Semilla04]],supplementary_offering_legacyid[[#This Row],[Json]])</f>
        <v>{"100001-04":{"offeringid":"910000104","name":"Voz - OnNet - Medio 2_910000104","mode":"N"}}</v>
      </c>
    </row>
    <row r="737" spans="1:7" x14ac:dyDescent="0.25">
      <c r="A737" s="60" t="s">
        <v>4323</v>
      </c>
      <c r="B737" t="str">
        <f>findKey(supplementary_offering_legacyid[[#This Row],[Produccion]])</f>
        <v>100001-07</v>
      </c>
      <c r="C737" s="61" t="s">
        <v>4324</v>
      </c>
      <c r="D737" t="s">
        <v>4325</v>
      </c>
      <c r="E737" t="s">
        <v>2329</v>
      </c>
      <c r="F737" t="str">
        <f>ToJsonArray(supplementary_offering_legacyid[[#Headers],[offeringid]:[mode]],supplementary_offering_legacyid[[#This Row],[offeringid]:[mode]])</f>
        <v>{"offeringid":"910000107","name":"Voz - OnNet - Alto 2_910000107","mode":"N"}</v>
      </c>
      <c r="G737" t="str">
        <f>ToJsonArray(supplementary_offering_legacyid[[#This Row],[Semilla04]],supplementary_offering_legacyid[[#This Row],[Json]])</f>
        <v>{"100001-07":{"offeringid":"910000107","name":"Voz - OnNet - Alto 2_910000107","mode":"N"}}</v>
      </c>
    </row>
    <row r="738" spans="1:7" x14ac:dyDescent="0.25">
      <c r="A738" s="60" t="s">
        <v>4326</v>
      </c>
      <c r="B738" t="str">
        <f>findKey(supplementary_offering_legacyid[[#This Row],[Produccion]])</f>
        <v>100001-10</v>
      </c>
      <c r="C738" s="61" t="s">
        <v>4327</v>
      </c>
      <c r="D738" t="s">
        <v>4328</v>
      </c>
      <c r="E738" t="s">
        <v>2329</v>
      </c>
      <c r="F738" t="str">
        <f>ToJsonArray(supplementary_offering_legacyid[[#Headers],[offeringid]:[mode]],supplementary_offering_legacyid[[#This Row],[offeringid]:[mode]])</f>
        <v>{"offeringid":"910000110","name":"Voz-OnNet-170m_910000110","mode":"N"}</v>
      </c>
      <c r="G738" t="str">
        <f>ToJsonArray(supplementary_offering_legacyid[[#This Row],[Semilla04]],supplementary_offering_legacyid[[#This Row],[Json]])</f>
        <v>{"100001-10":{"offeringid":"910000110","name":"Voz-OnNet-170m_910000110","mode":"N"}}</v>
      </c>
    </row>
    <row r="739" spans="1:7" x14ac:dyDescent="0.25">
      <c r="A739" s="60" t="s">
        <v>4329</v>
      </c>
      <c r="B739" t="str">
        <f>findKey(supplementary_offering_legacyid[[#This Row],[Produccion]])</f>
        <v>100001-11</v>
      </c>
      <c r="C739" s="61" t="s">
        <v>4330</v>
      </c>
      <c r="D739" t="s">
        <v>4331</v>
      </c>
      <c r="E739" t="s">
        <v>2329</v>
      </c>
      <c r="F739" t="str">
        <f>ToJsonArray(supplementary_offering_legacyid[[#Headers],[offeringid]:[mode]],supplementary_offering_legacyid[[#This Row],[offeringid]:[mode]])</f>
        <v>{"offeringid":"910000111","name":"Voz-OnNet-250m_910000111","mode":"N"}</v>
      </c>
      <c r="G739" t="str">
        <f>ToJsonArray(supplementary_offering_legacyid[[#This Row],[Semilla04]],supplementary_offering_legacyid[[#This Row],[Json]])</f>
        <v>{"100001-11":{"offeringid":"910000111","name":"Voz-OnNet-250m_910000111","mode":"N"}}</v>
      </c>
    </row>
    <row r="740" spans="1:7" x14ac:dyDescent="0.25">
      <c r="A740" s="60" t="s">
        <v>4332</v>
      </c>
      <c r="B740" t="str">
        <f>findKey(supplementary_offering_legacyid[[#This Row],[Produccion]])</f>
        <v>100001-12</v>
      </c>
      <c r="C740" s="61" t="s">
        <v>4333</v>
      </c>
      <c r="D740" t="s">
        <v>4334</v>
      </c>
      <c r="E740" t="s">
        <v>2329</v>
      </c>
      <c r="F740" t="str">
        <f>ToJsonArray(supplementary_offering_legacyid[[#Headers],[offeringid]:[mode]],supplementary_offering_legacyid[[#This Row],[offeringid]:[mode]])</f>
        <v>{"offeringid":"910000112","name":"Voz-OnNet-350m_910000112","mode":"N"}</v>
      </c>
      <c r="G740" t="str">
        <f>ToJsonArray(supplementary_offering_legacyid[[#This Row],[Semilla04]],supplementary_offering_legacyid[[#This Row],[Json]])</f>
        <v>{"100001-12":{"offeringid":"910000112","name":"Voz-OnNet-350m_910000112","mode":"N"}}</v>
      </c>
    </row>
    <row r="741" spans="1:7" x14ac:dyDescent="0.25">
      <c r="A741" s="60" t="s">
        <v>4335</v>
      </c>
      <c r="B741" t="str">
        <f>findKey(supplementary_offering_legacyid[[#This Row],[Produccion]])</f>
        <v>100001-13</v>
      </c>
      <c r="C741" s="61" t="s">
        <v>4336</v>
      </c>
      <c r="D741" t="s">
        <v>4337</v>
      </c>
      <c r="E741" t="s">
        <v>2329</v>
      </c>
      <c r="F741" t="str">
        <f>ToJsonArray(supplementary_offering_legacyid[[#Headers],[offeringid]:[mode]],supplementary_offering_legacyid[[#This Row],[offeringid]:[mode]])</f>
        <v>{"offeringid":"910000113","name":"Voz-OnNet-550m_910000113","mode":"N"}</v>
      </c>
      <c r="G741" t="str">
        <f>ToJsonArray(supplementary_offering_legacyid[[#This Row],[Semilla04]],supplementary_offering_legacyid[[#This Row],[Json]])</f>
        <v>{"100001-13":{"offeringid":"910000113","name":"Voz-OnNet-550m_910000113","mode":"N"}}</v>
      </c>
    </row>
    <row r="742" spans="1:7" x14ac:dyDescent="0.25">
      <c r="A742" s="60" t="s">
        <v>4338</v>
      </c>
      <c r="B742" t="str">
        <f>findKey(supplementary_offering_legacyid[[#This Row],[Produccion]])</f>
        <v>100001-35</v>
      </c>
      <c r="C742" s="61" t="s">
        <v>4339</v>
      </c>
      <c r="D742" t="s">
        <v>4340</v>
      </c>
      <c r="E742" t="s">
        <v>2329</v>
      </c>
      <c r="F742" t="str">
        <f>ToJsonArray(supplementary_offering_legacyid[[#Headers],[offeringid]:[mode]],supplementary_offering_legacyid[[#This Row],[offeringid]:[mode]])</f>
        <v>{"offeringid":"910000135","name":"Voz-OnNet-Ilimitado_910000135","mode":"N"}</v>
      </c>
      <c r="G742" t="str">
        <f>ToJsonArray(supplementary_offering_legacyid[[#This Row],[Semilla04]],supplementary_offering_legacyid[[#This Row],[Json]])</f>
        <v>{"100001-35":{"offeringid":"910000135","name":"Voz-OnNet-Ilimitado_910000135","mode":"N"}}</v>
      </c>
    </row>
    <row r="743" spans="1:7" x14ac:dyDescent="0.25">
      <c r="A743" s="60" t="s">
        <v>4341</v>
      </c>
      <c r="B743" t="str">
        <f>findKey(supplementary_offering_legacyid[[#This Row],[Produccion]])</f>
        <v>100002-00</v>
      </c>
      <c r="C743" s="61" t="s">
        <v>4342</v>
      </c>
      <c r="D743" t="s">
        <v>4343</v>
      </c>
      <c r="E743" t="s">
        <v>2329</v>
      </c>
      <c r="F743" t="str">
        <f>ToJsonArray(supplementary_offering_legacyid[[#Headers],[offeringid]:[mode]],supplementary_offering_legacyid[[#This Row],[offeringid]:[mode]])</f>
        <v>{"offeringid":"910000200","name":"Voz - Todo destino - Bajo 0_910000200","mode":"N"}</v>
      </c>
      <c r="G743" t="str">
        <f>ToJsonArray(supplementary_offering_legacyid[[#This Row],[Semilla04]],supplementary_offering_legacyid[[#This Row],[Json]])</f>
        <v>{"100002-00":{"offeringid":"910000200","name":"Voz - Todo destino - Bajo 0_910000200","mode":"N"}}</v>
      </c>
    </row>
    <row r="744" spans="1:7" x14ac:dyDescent="0.25">
      <c r="A744" s="60" t="s">
        <v>4344</v>
      </c>
      <c r="B744" t="str">
        <f>findKey(supplementary_offering_legacyid[[#This Row],[Produccion]])</f>
        <v>100002-02</v>
      </c>
      <c r="C744" s="61" t="s">
        <v>4345</v>
      </c>
      <c r="D744" t="s">
        <v>4346</v>
      </c>
      <c r="E744" t="s">
        <v>2329</v>
      </c>
      <c r="F744" t="str">
        <f>ToJsonArray(supplementary_offering_legacyid[[#Headers],[offeringid]:[mode]],supplementary_offering_legacyid[[#This Row],[offeringid]:[mode]])</f>
        <v>{"offeringid":"910000202","name":"Voz - Todo destino - Bajo 2_910000202","mode":"N"}</v>
      </c>
      <c r="G744" t="str">
        <f>ToJsonArray(supplementary_offering_legacyid[[#This Row],[Semilla04]],supplementary_offering_legacyid[[#This Row],[Json]])</f>
        <v>{"100002-02":{"offeringid":"910000202","name":"Voz - Todo destino - Bajo 2_910000202","mode":"N"}}</v>
      </c>
    </row>
    <row r="745" spans="1:7" x14ac:dyDescent="0.25">
      <c r="A745" s="60" t="s">
        <v>4347</v>
      </c>
      <c r="B745" t="str">
        <f>findKey(supplementary_offering_legacyid[[#This Row],[Produccion]])</f>
        <v>100002-04</v>
      </c>
      <c r="C745" s="61" t="s">
        <v>4348</v>
      </c>
      <c r="D745" t="s">
        <v>4349</v>
      </c>
      <c r="E745" t="s">
        <v>2329</v>
      </c>
      <c r="F745" t="str">
        <f>ToJsonArray(supplementary_offering_legacyid[[#Headers],[offeringid]:[mode]],supplementary_offering_legacyid[[#This Row],[offeringid]:[mode]])</f>
        <v>{"offeringid":"910000204","name":"Voz - Todo destino - Medio 2_910000204","mode":"N"}</v>
      </c>
      <c r="G745" t="str">
        <f>ToJsonArray(supplementary_offering_legacyid[[#This Row],[Semilla04]],supplementary_offering_legacyid[[#This Row],[Json]])</f>
        <v>{"100002-04":{"offeringid":"910000204","name":"Voz - Todo destino - Medio 2_910000204","mode":"N"}}</v>
      </c>
    </row>
    <row r="746" spans="1:7" x14ac:dyDescent="0.25">
      <c r="A746" s="60" t="s">
        <v>4350</v>
      </c>
      <c r="B746" t="str">
        <f>findKey(supplementary_offering_legacyid[[#This Row],[Produccion]])</f>
        <v>100002-06</v>
      </c>
      <c r="C746" s="61" t="s">
        <v>4351</v>
      </c>
      <c r="D746" t="s">
        <v>4352</v>
      </c>
      <c r="E746" t="s">
        <v>2329</v>
      </c>
      <c r="F746" t="str">
        <f>ToJsonArray(supplementary_offering_legacyid[[#Headers],[offeringid]:[mode]],supplementary_offering_legacyid[[#This Row],[offeringid]:[mode]])</f>
        <v>{"offeringid":"910000206","name":"Voz - Todo destino - Alto 1_910000206","mode":"N"}</v>
      </c>
      <c r="G746" t="str">
        <f>ToJsonArray(supplementary_offering_legacyid[[#This Row],[Semilla04]],supplementary_offering_legacyid[[#This Row],[Json]])</f>
        <v>{"100002-06":{"offeringid":"910000206","name":"Voz - Todo destino - Alto 1_910000206","mode":"N"}}</v>
      </c>
    </row>
    <row r="747" spans="1:7" x14ac:dyDescent="0.25">
      <c r="A747" s="60" t="s">
        <v>4353</v>
      </c>
      <c r="B747" t="str">
        <f>findKey(supplementary_offering_legacyid[[#This Row],[Produccion]])</f>
        <v>100002-09</v>
      </c>
      <c r="C747" s="61" t="s">
        <v>4354</v>
      </c>
      <c r="D747" t="s">
        <v>4355</v>
      </c>
      <c r="E747" t="s">
        <v>2329</v>
      </c>
      <c r="F747" t="str">
        <f>ToJsonArray(supplementary_offering_legacyid[[#Headers],[offeringid]:[mode]],supplementary_offering_legacyid[[#This Row],[offeringid]:[mode]])</f>
        <v>{"offeringid":"910000209","name":"Voz - Todo destino - 250m_910000209","mode":"N"}</v>
      </c>
      <c r="G747" t="str">
        <f>ToJsonArray(supplementary_offering_legacyid[[#This Row],[Semilla04]],supplementary_offering_legacyid[[#This Row],[Json]])</f>
        <v>{"100002-09":{"offeringid":"910000209","name":"Voz - Todo destino - 250m_910000209","mode":"N"}}</v>
      </c>
    </row>
    <row r="748" spans="1:7" x14ac:dyDescent="0.25">
      <c r="A748" s="60" t="s">
        <v>4356</v>
      </c>
      <c r="B748" t="str">
        <f>findKey(supplementary_offering_legacyid[[#This Row],[Produccion]])</f>
        <v>100002-12</v>
      </c>
      <c r="C748" s="61" t="s">
        <v>4357</v>
      </c>
      <c r="D748" t="s">
        <v>4358</v>
      </c>
      <c r="E748" t="s">
        <v>2329</v>
      </c>
      <c r="F748" t="str">
        <f>ToJsonArray(supplementary_offering_legacyid[[#Headers],[offeringid]:[mode]],supplementary_offering_legacyid[[#This Row],[offeringid]:[mode]])</f>
        <v>{"offeringid":"910000212","name":"Voz-TD- Medio 4 - 170min_910000212","mode":"N"}</v>
      </c>
      <c r="G748" t="str">
        <f>ToJsonArray(supplementary_offering_legacyid[[#This Row],[Semilla04]],supplementary_offering_legacyid[[#This Row],[Json]])</f>
        <v>{"100002-12":{"offeringid":"910000212","name":"Voz-TD- Medio 4 - 170min_910000212","mode":"N"}}</v>
      </c>
    </row>
    <row r="749" spans="1:7" x14ac:dyDescent="0.25">
      <c r="A749" s="60" t="s">
        <v>4359</v>
      </c>
      <c r="B749" t="str">
        <f>findKey(supplementary_offering_legacyid[[#This Row],[Produccion]])</f>
        <v>100002-15</v>
      </c>
      <c r="C749" s="61" t="s">
        <v>4360</v>
      </c>
      <c r="D749" t="s">
        <v>4361</v>
      </c>
      <c r="E749" t="s">
        <v>2329</v>
      </c>
      <c r="F749" t="str">
        <f>ToJsonArray(supplementary_offering_legacyid[[#Headers],[offeringid]:[mode]],supplementary_offering_legacyid[[#This Row],[offeringid]:[mode]])</f>
        <v>{"offeringid":"910000215","name":"Voz-TD-100m_910000215","mode":"N"}</v>
      </c>
      <c r="G749" t="str">
        <f>ToJsonArray(supplementary_offering_legacyid[[#This Row],[Semilla04]],supplementary_offering_legacyid[[#This Row],[Json]])</f>
        <v>{"100002-15":{"offeringid":"910000215","name":"Voz-TD-100m_910000215","mode":"N"}}</v>
      </c>
    </row>
    <row r="750" spans="1:7" x14ac:dyDescent="0.25">
      <c r="A750" s="60" t="s">
        <v>4362</v>
      </c>
      <c r="B750" t="str">
        <f>findKey(supplementary_offering_legacyid[[#This Row],[Produccion]])</f>
        <v>100002-17</v>
      </c>
      <c r="C750" s="61" t="s">
        <v>4363</v>
      </c>
      <c r="D750" t="s">
        <v>4364</v>
      </c>
      <c r="E750" t="s">
        <v>2329</v>
      </c>
      <c r="F750" t="str">
        <f>ToJsonArray(supplementary_offering_legacyid[[#Headers],[offeringid]:[mode]],supplementary_offering_legacyid[[#This Row],[offeringid]:[mode]])</f>
        <v>{"offeringid":"910000217","name":"Voz-TD-170m_910000217","mode":"N"}</v>
      </c>
      <c r="G750" t="str">
        <f>ToJsonArray(supplementary_offering_legacyid[[#This Row],[Semilla04]],supplementary_offering_legacyid[[#This Row],[Json]])</f>
        <v>{"100002-17":{"offeringid":"910000217","name":"Voz-TD-170m_910000217","mode":"N"}}</v>
      </c>
    </row>
    <row r="751" spans="1:7" x14ac:dyDescent="0.25">
      <c r="A751" s="60" t="s">
        <v>4365</v>
      </c>
      <c r="B751" t="str">
        <f>findKey(supplementary_offering_legacyid[[#This Row],[Produccion]])</f>
        <v>100002-18</v>
      </c>
      <c r="C751" s="61" t="s">
        <v>4366</v>
      </c>
      <c r="D751" t="s">
        <v>4367</v>
      </c>
      <c r="E751" t="s">
        <v>2329</v>
      </c>
      <c r="F751" t="str">
        <f>ToJsonArray(supplementary_offering_legacyid[[#Headers],[offeringid]:[mode]],supplementary_offering_legacyid[[#This Row],[offeringid]:[mode]])</f>
        <v>{"offeringid":"910000218","name":"Voz-TD-200m_a_910000218","mode":"N"}</v>
      </c>
      <c r="G751" t="str">
        <f>ToJsonArray(supplementary_offering_legacyid[[#This Row],[Semilla04]],supplementary_offering_legacyid[[#This Row],[Json]])</f>
        <v>{"100002-18":{"offeringid":"910000218","name":"Voz-TD-200m_a_910000218","mode":"N"}}</v>
      </c>
    </row>
    <row r="752" spans="1:7" x14ac:dyDescent="0.25">
      <c r="A752" s="60" t="s">
        <v>4368</v>
      </c>
      <c r="B752" t="str">
        <f>findKey(supplementary_offering_legacyid[[#This Row],[Produccion]])</f>
        <v>100002-20</v>
      </c>
      <c r="C752" s="61" t="s">
        <v>4369</v>
      </c>
      <c r="D752" t="s">
        <v>4370</v>
      </c>
      <c r="E752" t="s">
        <v>2329</v>
      </c>
      <c r="F752" t="str">
        <f>ToJsonArray(supplementary_offering_legacyid[[#Headers],[offeringid]:[mode]],supplementary_offering_legacyid[[#This Row],[offeringid]:[mode]])</f>
        <v>{"offeringid":"910000220","name":"Voz-TD-270m_910000220","mode":"N"}</v>
      </c>
      <c r="G752" t="str">
        <f>ToJsonArray(supplementary_offering_legacyid[[#This Row],[Semilla04]],supplementary_offering_legacyid[[#This Row],[Json]])</f>
        <v>{"100002-20":{"offeringid":"910000220","name":"Voz-TD-270m_910000220","mode":"N"}}</v>
      </c>
    </row>
    <row r="753" spans="1:7" x14ac:dyDescent="0.25">
      <c r="A753" s="60" t="s">
        <v>4371</v>
      </c>
      <c r="B753" t="str">
        <f>findKey(supplementary_offering_legacyid[[#This Row],[Produccion]])</f>
        <v>100002-23</v>
      </c>
      <c r="C753" s="61" t="s">
        <v>4372</v>
      </c>
      <c r="D753" t="s">
        <v>4373</v>
      </c>
      <c r="E753" t="s">
        <v>2329</v>
      </c>
      <c r="F753" t="str">
        <f>ToJsonArray(supplementary_offering_legacyid[[#Headers],[offeringid]:[mode]],supplementary_offering_legacyid[[#This Row],[offeringid]:[mode]])</f>
        <v>{"offeringid":"910000223","name":"Voz-TD-450m_910000223","mode":"N"}</v>
      </c>
      <c r="G753" t="str">
        <f>ToJsonArray(supplementary_offering_legacyid[[#This Row],[Semilla04]],supplementary_offering_legacyid[[#This Row],[Json]])</f>
        <v>{"100002-23":{"offeringid":"910000223","name":"Voz-TD-450m_910000223","mode":"N"}}</v>
      </c>
    </row>
    <row r="754" spans="1:7" x14ac:dyDescent="0.25">
      <c r="A754" s="60" t="s">
        <v>4374</v>
      </c>
      <c r="B754" t="str">
        <f>findKey(supplementary_offering_legacyid[[#This Row],[Produccion]])</f>
        <v>100002-27</v>
      </c>
      <c r="C754" s="61" t="s">
        <v>4375</v>
      </c>
      <c r="D754" t="s">
        <v>4376</v>
      </c>
      <c r="E754" t="s">
        <v>2329</v>
      </c>
      <c r="F754" t="str">
        <f>ToJsonArray(supplementary_offering_legacyid[[#Headers],[offeringid]:[mode]],supplementary_offering_legacyid[[#This Row],[offeringid]:[mode]])</f>
        <v>{"offeringid":"910000227","name":"Voz-TD-850m_910000227","mode":"N"}</v>
      </c>
      <c r="G754" t="str">
        <f>ToJsonArray(supplementary_offering_legacyid[[#This Row],[Semilla04]],supplementary_offering_legacyid[[#This Row],[Json]])</f>
        <v>{"100002-27":{"offeringid":"910000227","name":"Voz-TD-850m_910000227","mode":"N"}}</v>
      </c>
    </row>
    <row r="755" spans="1:7" x14ac:dyDescent="0.25">
      <c r="A755" s="60" t="s">
        <v>4377</v>
      </c>
      <c r="B755" t="str">
        <f>findKey(supplementary_offering_legacyid[[#This Row],[Produccion]])</f>
        <v>100002-28</v>
      </c>
      <c r="C755" s="61" t="s">
        <v>4378</v>
      </c>
      <c r="D755" t="s">
        <v>4379</v>
      </c>
      <c r="E755" t="s">
        <v>2329</v>
      </c>
      <c r="F755" t="str">
        <f>ToJsonArray(supplementary_offering_legacyid[[#Headers],[offeringid]:[mode]],supplementary_offering_legacyid[[#This Row],[offeringid]:[mode]])</f>
        <v>{"offeringid":"910000228","name":"Voz-TD-950m_910000228","mode":"N"}</v>
      </c>
      <c r="G755" t="str">
        <f>ToJsonArray(supplementary_offering_legacyid[[#This Row],[Semilla04]],supplementary_offering_legacyid[[#This Row],[Json]])</f>
        <v>{"100002-28":{"offeringid":"910000228","name":"Voz-TD-950m_910000228","mode":"N"}}</v>
      </c>
    </row>
    <row r="756" spans="1:7" x14ac:dyDescent="0.25">
      <c r="A756" s="60" t="s">
        <v>4380</v>
      </c>
      <c r="B756" t="str">
        <f>findKey(supplementary_offering_legacyid[[#This Row],[Produccion]])</f>
        <v>100002-48</v>
      </c>
      <c r="C756" s="61" t="s">
        <v>4381</v>
      </c>
      <c r="D756" t="s">
        <v>4382</v>
      </c>
      <c r="E756" t="s">
        <v>2329</v>
      </c>
      <c r="F756" t="str">
        <f>ToJsonArray(supplementary_offering_legacyid[[#Headers],[offeringid]:[mode]],supplementary_offering_legacyid[[#This Row],[offeringid]:[mode]])</f>
        <v>{"offeringid":"910000248","name":"Voz-TD-600m_910000248","mode":"N"}</v>
      </c>
      <c r="G756" t="str">
        <f>ToJsonArray(supplementary_offering_legacyid[[#This Row],[Semilla04]],supplementary_offering_legacyid[[#This Row],[Json]])</f>
        <v>{"100002-48":{"offeringid":"910000248","name":"Voz-TD-600m_910000248","mode":"N"}}</v>
      </c>
    </row>
    <row r="757" spans="1:7" x14ac:dyDescent="0.25">
      <c r="A757" s="60" t="s">
        <v>4383</v>
      </c>
      <c r="B757" t="str">
        <f>findKey(supplementary_offering_legacyid[[#This Row],[Produccion]])</f>
        <v>100002-50</v>
      </c>
      <c r="C757" s="61" t="s">
        <v>4384</v>
      </c>
      <c r="D757" t="s">
        <v>4385</v>
      </c>
      <c r="E757" t="s">
        <v>2329</v>
      </c>
      <c r="F757" t="str">
        <f>ToJsonArray(supplementary_offering_legacyid[[#Headers],[offeringid]:[mode]],supplementary_offering_legacyid[[#This Row],[offeringid]:[mode]])</f>
        <v>{"offeringid":"910000250","name":"Voz-TD-1000m_910000250","mode":"N"}</v>
      </c>
      <c r="G757" t="str">
        <f>ToJsonArray(supplementary_offering_legacyid[[#This Row],[Semilla04]],supplementary_offering_legacyid[[#This Row],[Json]])</f>
        <v>{"100002-50":{"offeringid":"910000250","name":"Voz-TD-1000m_910000250","mode":"N"}}</v>
      </c>
    </row>
    <row r="758" spans="1:7" x14ac:dyDescent="0.25">
      <c r="A758" s="60" t="s">
        <v>4386</v>
      </c>
      <c r="B758" t="str">
        <f>findKey(supplementary_offering_legacyid[[#This Row],[Produccion]])</f>
        <v>100002-51</v>
      </c>
      <c r="C758" s="61" t="s">
        <v>4387</v>
      </c>
      <c r="D758" t="s">
        <v>4388</v>
      </c>
      <c r="E758" t="s">
        <v>2329</v>
      </c>
      <c r="F758" t="str">
        <f>ToJsonArray(supplementary_offering_legacyid[[#Headers],[offeringid]:[mode]],supplementary_offering_legacyid[[#This Row],[offeringid]:[mode]])</f>
        <v>{"offeringid":"910000251","name":"Voz-TD-1500m_910000251","mode":"N"}</v>
      </c>
      <c r="G758" t="str">
        <f>ToJsonArray(supplementary_offering_legacyid[[#This Row],[Semilla04]],supplementary_offering_legacyid[[#This Row],[Json]])</f>
        <v>{"100002-51":{"offeringid":"910000251","name":"Voz-TD-1500m_910000251","mode":"N"}}</v>
      </c>
    </row>
    <row r="759" spans="1:7" x14ac:dyDescent="0.25">
      <c r="A759" s="60" t="s">
        <v>4389</v>
      </c>
      <c r="B759" t="str">
        <f>findKey(supplementary_offering_legacyid[[#This Row],[Produccion]])</f>
        <v>100002-52</v>
      </c>
      <c r="C759" s="61" t="s">
        <v>4390</v>
      </c>
      <c r="D759" t="s">
        <v>4391</v>
      </c>
      <c r="E759" t="s">
        <v>2329</v>
      </c>
      <c r="F759" t="str">
        <f>ToJsonArray(supplementary_offering_legacyid[[#Headers],[offeringid]:[mode]],supplementary_offering_legacyid[[#This Row],[offeringid]:[mode]])</f>
        <v>{"offeringid":"910000252","name":"Voz-TD-40m_910000252","mode":"N"}</v>
      </c>
      <c r="G759" t="str">
        <f>ToJsonArray(supplementary_offering_legacyid[[#This Row],[Semilla04]],supplementary_offering_legacyid[[#This Row],[Json]])</f>
        <v>{"100002-52":{"offeringid":"910000252","name":"Voz-TD-40m_910000252","mode":"N"}}</v>
      </c>
    </row>
    <row r="760" spans="1:7" x14ac:dyDescent="0.25">
      <c r="A760" s="60" t="s">
        <v>4392</v>
      </c>
      <c r="B760" t="str">
        <f>findKey(supplementary_offering_legacyid[[#This Row],[Produccion]])</f>
        <v>100002-53</v>
      </c>
      <c r="C760" s="61" t="s">
        <v>4393</v>
      </c>
      <c r="D760" t="s">
        <v>4394</v>
      </c>
      <c r="E760" t="s">
        <v>2329</v>
      </c>
      <c r="F760" t="str">
        <f>ToJsonArray(supplementary_offering_legacyid[[#Headers],[offeringid]:[mode]],supplementary_offering_legacyid[[#This Row],[offeringid]:[mode]])</f>
        <v>{"offeringid":"910000253","name":"Voz-TD-100m_910000253","mode":"N"}</v>
      </c>
      <c r="G760" t="str">
        <f>ToJsonArray(supplementary_offering_legacyid[[#This Row],[Semilla04]],supplementary_offering_legacyid[[#This Row],[Json]])</f>
        <v>{"100002-53":{"offeringid":"910000253","name":"Voz-TD-100m_910000253","mode":"N"}}</v>
      </c>
    </row>
    <row r="761" spans="1:7" x14ac:dyDescent="0.25">
      <c r="A761" s="60" t="s">
        <v>4395</v>
      </c>
      <c r="B761" t="str">
        <f>findKey(supplementary_offering_legacyid[[#This Row],[Produccion]])</f>
        <v>100002-54</v>
      </c>
      <c r="C761" s="61" t="s">
        <v>4396</v>
      </c>
      <c r="D761" t="s">
        <v>4397</v>
      </c>
      <c r="E761" t="s">
        <v>2329</v>
      </c>
      <c r="F761" t="str">
        <f>ToJsonArray(supplementary_offering_legacyid[[#Headers],[offeringid]:[mode]],supplementary_offering_legacyid[[#This Row],[offeringid]:[mode]])</f>
        <v>{"offeringid":"910000254","name":"Voz-TD-150m_910000254","mode":"N"}</v>
      </c>
      <c r="G761" t="str">
        <f>ToJsonArray(supplementary_offering_legacyid[[#This Row],[Semilla04]],supplementary_offering_legacyid[[#This Row],[Json]])</f>
        <v>{"100002-54":{"offeringid":"910000254","name":"Voz-TD-150m_910000254","mode":"N"}}</v>
      </c>
    </row>
    <row r="762" spans="1:7" x14ac:dyDescent="0.25">
      <c r="A762" s="60" t="s">
        <v>4398</v>
      </c>
      <c r="B762" t="str">
        <f>findKey(supplementary_offering_legacyid[[#This Row],[Produccion]])</f>
        <v>100002-58</v>
      </c>
      <c r="C762" s="61" t="s">
        <v>4399</v>
      </c>
      <c r="D762" t="s">
        <v>4400</v>
      </c>
      <c r="E762" t="s">
        <v>2329</v>
      </c>
      <c r="F762" t="str">
        <f>ToJsonArray(supplementary_offering_legacyid[[#Headers],[offeringid]:[mode]],supplementary_offering_legacyid[[#This Row],[offeringid]:[mode]])</f>
        <v>{"offeringid":"910000258","name":"Voz-TD-50m_910000258","mode":"N"}</v>
      </c>
      <c r="G762" t="str">
        <f>ToJsonArray(supplementary_offering_legacyid[[#This Row],[Semilla04]],supplementary_offering_legacyid[[#This Row],[Json]])</f>
        <v>{"100002-58":{"offeringid":"910000258","name":"Voz-TD-50m_910000258","mode":"N"}}</v>
      </c>
    </row>
    <row r="763" spans="1:7" x14ac:dyDescent="0.25">
      <c r="A763" s="60" t="s">
        <v>4401</v>
      </c>
      <c r="B763" t="str">
        <f>findKey(supplementary_offering_legacyid[[#This Row],[Produccion]])</f>
        <v>100002-59</v>
      </c>
      <c r="C763" s="61" t="s">
        <v>4402</v>
      </c>
      <c r="D763" t="s">
        <v>4403</v>
      </c>
      <c r="E763" t="s">
        <v>2329</v>
      </c>
      <c r="F763" t="str">
        <f>ToJsonArray(supplementary_offering_legacyid[[#Headers],[offeringid]:[mode]],supplementary_offering_legacyid[[#This Row],[offeringid]:[mode]])</f>
        <v>{"offeringid":"910000259","name":"Voz-TD-100m_910000259","mode":"N"}</v>
      </c>
      <c r="G763" t="str">
        <f>ToJsonArray(supplementary_offering_legacyid[[#This Row],[Semilla04]],supplementary_offering_legacyid[[#This Row],[Json]])</f>
        <v>{"100002-59":{"offeringid":"910000259","name":"Voz-TD-100m_910000259","mode":"N"}}</v>
      </c>
    </row>
    <row r="764" spans="1:7" x14ac:dyDescent="0.25">
      <c r="A764" s="60" t="s">
        <v>4404</v>
      </c>
      <c r="B764" t="str">
        <f>findKey(supplementary_offering_legacyid[[#This Row],[Produccion]])</f>
        <v>100002-61</v>
      </c>
      <c r="C764" s="61" t="s">
        <v>4405</v>
      </c>
      <c r="D764" t="s">
        <v>4406</v>
      </c>
      <c r="E764" t="s">
        <v>2329</v>
      </c>
      <c r="F764" t="str">
        <f>ToJsonArray(supplementary_offering_legacyid[[#Headers],[offeringid]:[mode]],supplementary_offering_legacyid[[#This Row],[offeringid]:[mode]])</f>
        <v>{"offeringid":"910000261","name":"Voz-TD-Ilimitado_910000261","mode":"N"}</v>
      </c>
      <c r="G764" t="str">
        <f>ToJsonArray(supplementary_offering_legacyid[[#This Row],[Semilla04]],supplementary_offering_legacyid[[#This Row],[Json]])</f>
        <v>{"100002-61":{"offeringid":"910000261","name":"Voz-TD-Ilimitado_910000261","mode":"N"}}</v>
      </c>
    </row>
    <row r="765" spans="1:7" x14ac:dyDescent="0.25">
      <c r="A765" s="60" t="s">
        <v>4407</v>
      </c>
      <c r="B765" t="str">
        <f>findKey(supplementary_offering_legacyid[[#This Row],[Produccion]])</f>
        <v>100002-66</v>
      </c>
      <c r="C765" s="61" t="s">
        <v>4408</v>
      </c>
      <c r="D765" t="s">
        <v>4409</v>
      </c>
      <c r="E765" t="s">
        <v>2329</v>
      </c>
      <c r="F765" t="str">
        <f>ToJsonArray(supplementary_offering_legacyid[[#Headers],[offeringid]:[mode]],supplementary_offering_legacyid[[#This Row],[offeringid]:[mode]])</f>
        <v>{"offeringid":"910000266","name":"Voz-TD-30000s_910000266","mode":"N"}</v>
      </c>
      <c r="G765" t="str">
        <f>ToJsonArray(supplementary_offering_legacyid[[#This Row],[Semilla04]],supplementary_offering_legacyid[[#This Row],[Json]])</f>
        <v>{"100002-66":{"offeringid":"910000266","name":"Voz-TD-30000s_910000266","mode":"N"}}</v>
      </c>
    </row>
    <row r="766" spans="1:7" x14ac:dyDescent="0.25">
      <c r="A766" s="60" t="s">
        <v>4410</v>
      </c>
      <c r="B766" t="str">
        <f>findKey(supplementary_offering_legacyid[[#This Row],[Produccion]])</f>
        <v>100012-69</v>
      </c>
      <c r="C766" s="61" t="s">
        <v>4411</v>
      </c>
      <c r="D766" t="s">
        <v>4412</v>
      </c>
      <c r="E766" t="s">
        <v>2329</v>
      </c>
      <c r="F766" t="str">
        <f>ToJsonArray(supplementary_offering_legacyid[[#Headers],[offeringid]:[mode]],supplementary_offering_legacyid[[#This Row],[offeringid]:[mode]])</f>
        <v>{"offeringid":"910001269","name":"Voz-TD-9000s_910001269","mode":"N"}</v>
      </c>
      <c r="G766" t="str">
        <f>ToJsonArray(supplementary_offering_legacyid[[#This Row],[Semilla04]],supplementary_offering_legacyid[[#This Row],[Json]])</f>
        <v>{"100012-69":{"offeringid":"910001269","name":"Voz-TD-9000s_910001269","mode":"N"}}</v>
      </c>
    </row>
    <row r="767" spans="1:7" x14ac:dyDescent="0.25">
      <c r="A767" s="60" t="s">
        <v>4413</v>
      </c>
      <c r="B767" t="str">
        <f>findKey(supplementary_offering_legacyid[[#This Row],[Produccion]])</f>
        <v>100012-70</v>
      </c>
      <c r="C767" s="61" t="s">
        <v>4414</v>
      </c>
      <c r="D767" t="s">
        <v>4415</v>
      </c>
      <c r="E767" t="s">
        <v>2329</v>
      </c>
      <c r="F767" t="str">
        <f>ToJsonArray(supplementary_offering_legacyid[[#Headers],[offeringid]:[mode]],supplementary_offering_legacyid[[#This Row],[offeringid]:[mode]])</f>
        <v>{"offeringid":"910001270","name":"Voz-TD-12000s_910001270","mode":"N"}</v>
      </c>
      <c r="G767" t="str">
        <f>ToJsonArray(supplementary_offering_legacyid[[#This Row],[Semilla04]],supplementary_offering_legacyid[[#This Row],[Json]])</f>
        <v>{"100012-70":{"offeringid":"910001270","name":"Voz-TD-12000s_910001270","mode":"N"}}</v>
      </c>
    </row>
    <row r="768" spans="1:7" x14ac:dyDescent="0.25">
      <c r="A768" s="60" t="s">
        <v>4416</v>
      </c>
      <c r="B768" t="str">
        <f>findKey(supplementary_offering_legacyid[[#This Row],[Produccion]])</f>
        <v>100101-02</v>
      </c>
      <c r="C768" s="61" t="s">
        <v>4417</v>
      </c>
      <c r="D768" t="s">
        <v>4418</v>
      </c>
      <c r="E768" t="s">
        <v>2329</v>
      </c>
      <c r="F768" t="str">
        <f>ToJsonArray(supplementary_offering_legacyid[[#Headers],[offeringid]:[mode]],supplementary_offering_legacyid[[#This Row],[offeringid]:[mode]])</f>
        <v>{"offeringid":"910010102","name":"Voz - OnNet - Regalo 1_910010102","mode":"N"}</v>
      </c>
      <c r="G768" t="str">
        <f>ToJsonArray(supplementary_offering_legacyid[[#This Row],[Semilla04]],supplementary_offering_legacyid[[#This Row],[Json]])</f>
        <v>{"100101-02":{"offeringid":"910010102","name":"Voz - OnNet - Regalo 1_910010102","mode":"N"}}</v>
      </c>
    </row>
    <row r="769" spans="1:7" x14ac:dyDescent="0.25">
      <c r="A769" s="60" t="s">
        <v>4419</v>
      </c>
      <c r="B769" t="str">
        <f>findKey(supplementary_offering_legacyid[[#This Row],[Produccion]])</f>
        <v>100101-04</v>
      </c>
      <c r="C769" s="61" t="s">
        <v>4420</v>
      </c>
      <c r="D769" t="s">
        <v>4421</v>
      </c>
      <c r="E769" t="s">
        <v>2329</v>
      </c>
      <c r="F769" t="str">
        <f>ToJsonArray(supplementary_offering_legacyid[[#Headers],[offeringid]:[mode]],supplementary_offering_legacyid[[#This Row],[offeringid]:[mode]])</f>
        <v>{"offeringid":"910010104","name":"Voz - OnNet - Regalo 2_910010104","mode":"N"}</v>
      </c>
      <c r="G769" t="str">
        <f>ToJsonArray(supplementary_offering_legacyid[[#This Row],[Semilla04]],supplementary_offering_legacyid[[#This Row],[Json]])</f>
        <v>{"100101-04":{"offeringid":"910010104","name":"Voz - OnNet - Regalo 2_910010104","mode":"N"}}</v>
      </c>
    </row>
    <row r="770" spans="1:7" x14ac:dyDescent="0.25">
      <c r="A770" s="60" t="s">
        <v>4422</v>
      </c>
      <c r="B770" t="str">
        <f>findKey(supplementary_offering_legacyid[[#This Row],[Produccion]])</f>
        <v>100102-01</v>
      </c>
      <c r="C770" s="61" t="s">
        <v>4423</v>
      </c>
      <c r="D770" t="s">
        <v>4424</v>
      </c>
      <c r="E770" t="s">
        <v>2329</v>
      </c>
      <c r="F770" t="str">
        <f>ToJsonArray(supplementary_offering_legacyid[[#Headers],[offeringid]:[mode]],supplementary_offering_legacyid[[#This Row],[offeringid]:[mode]])</f>
        <v>{"offeringid":"910010201","name":"Voz - Todo destino - Regalo 1_910010201","mode":"N"}</v>
      </c>
      <c r="G770" t="str">
        <f>ToJsonArray(supplementary_offering_legacyid[[#This Row],[Semilla04]],supplementary_offering_legacyid[[#This Row],[Json]])</f>
        <v>{"100102-01":{"offeringid":"910010201","name":"Voz - Todo destino - Regalo 1_910010201","mode":"N"}}</v>
      </c>
    </row>
    <row r="771" spans="1:7" x14ac:dyDescent="0.25">
      <c r="A771" s="60" t="s">
        <v>4425</v>
      </c>
      <c r="B771" t="str">
        <f>findKey(supplementary_offering_legacyid[[#This Row],[Produccion]])</f>
        <v>100102-02</v>
      </c>
      <c r="C771" s="61" t="s">
        <v>4426</v>
      </c>
      <c r="D771" t="s">
        <v>4427</v>
      </c>
      <c r="E771" t="s">
        <v>2329</v>
      </c>
      <c r="F771" t="str">
        <f>ToJsonArray(supplementary_offering_legacyid[[#Headers],[offeringid]:[mode]],supplementary_offering_legacyid[[#This Row],[offeringid]:[mode]])</f>
        <v>{"offeringid":"910010202","name":"Voz - Todo destino - Regalo 2_910010202","mode":"N"}</v>
      </c>
      <c r="G771" t="str">
        <f>ToJsonArray(supplementary_offering_legacyid[[#This Row],[Semilla04]],supplementary_offering_legacyid[[#This Row],[Json]])</f>
        <v>{"100102-02":{"offeringid":"910010202","name":"Voz - Todo destino - Regalo 2_910010202","mode":"N"}}</v>
      </c>
    </row>
    <row r="772" spans="1:7" x14ac:dyDescent="0.25">
      <c r="A772" s="60" t="s">
        <v>4428</v>
      </c>
      <c r="B772" t="str">
        <f>findKey(supplementary_offering_legacyid[[#This Row],[Produccion]])</f>
        <v>200001-01</v>
      </c>
      <c r="C772" s="61" t="s">
        <v>4429</v>
      </c>
      <c r="D772" t="s">
        <v>4430</v>
      </c>
      <c r="E772" t="s">
        <v>2329</v>
      </c>
      <c r="F772" t="str">
        <f>ToJsonArray(supplementary_offering_legacyid[[#Headers],[offeringid]:[mode]],supplementary_offering_legacyid[[#This Row],[offeringid]:[mode]])</f>
        <v>{"offeringid":"920000101","name":"Data - Bajo 0_920000101","mode":"N"}</v>
      </c>
      <c r="G772" t="str">
        <f>ToJsonArray(supplementary_offering_legacyid[[#This Row],[Semilla04]],supplementary_offering_legacyid[[#This Row],[Json]])</f>
        <v>{"200001-01":{"offeringid":"920000101","name":"Data - Bajo 0_920000101","mode":"N"}}</v>
      </c>
    </row>
    <row r="773" spans="1:7" x14ac:dyDescent="0.25">
      <c r="A773" s="60" t="s">
        <v>4431</v>
      </c>
      <c r="B773" t="str">
        <f>findKey(supplementary_offering_legacyid[[#This Row],[Produccion]])</f>
        <v>200001-02</v>
      </c>
      <c r="C773" s="61" t="s">
        <v>4432</v>
      </c>
      <c r="D773" t="s">
        <v>4433</v>
      </c>
      <c r="E773" t="s">
        <v>2329</v>
      </c>
      <c r="F773" t="str">
        <f>ToJsonArray(supplementary_offering_legacyid[[#Headers],[offeringid]:[mode]],supplementary_offering_legacyid[[#This Row],[offeringid]:[mode]])</f>
        <v>{"offeringid":"920000102","name":"Data - Bajo 1_920000102","mode":"N"}</v>
      </c>
      <c r="G773" t="str">
        <f>ToJsonArray(supplementary_offering_legacyid[[#This Row],[Semilla04]],supplementary_offering_legacyid[[#This Row],[Json]])</f>
        <v>{"200001-02":{"offeringid":"920000102","name":"Data - Bajo 1_920000102","mode":"N"}}</v>
      </c>
    </row>
    <row r="774" spans="1:7" x14ac:dyDescent="0.25">
      <c r="A774" s="60" t="s">
        <v>4434</v>
      </c>
      <c r="B774" t="str">
        <f>findKey(supplementary_offering_legacyid[[#This Row],[Produccion]])</f>
        <v>200001-06</v>
      </c>
      <c r="C774" s="61" t="s">
        <v>4435</v>
      </c>
      <c r="D774" t="s">
        <v>4436</v>
      </c>
      <c r="E774" t="s">
        <v>2329</v>
      </c>
      <c r="F774" t="str">
        <f>ToJsonArray(supplementary_offering_legacyid[[#Headers],[offeringid]:[mode]],supplementary_offering_legacyid[[#This Row],[offeringid]:[mode]])</f>
        <v>{"offeringid":"920000106","name":"Data - Medio 1_920000106","mode":"N"}</v>
      </c>
      <c r="G774" t="str">
        <f>ToJsonArray(supplementary_offering_legacyid[[#This Row],[Semilla04]],supplementary_offering_legacyid[[#This Row],[Json]])</f>
        <v>{"200001-06":{"offeringid":"920000106","name":"Data - Medio 1_920000106","mode":"N"}}</v>
      </c>
    </row>
    <row r="775" spans="1:7" x14ac:dyDescent="0.25">
      <c r="A775" s="60" t="s">
        <v>4437</v>
      </c>
      <c r="B775" t="str">
        <f>findKey(supplementary_offering_legacyid[[#This Row],[Produccion]])</f>
        <v>200001-07</v>
      </c>
      <c r="C775" s="61" t="s">
        <v>4438</v>
      </c>
      <c r="D775" t="s">
        <v>4439</v>
      </c>
      <c r="E775" t="s">
        <v>2329</v>
      </c>
      <c r="F775" t="str">
        <f>ToJsonArray(supplementary_offering_legacyid[[#Headers],[offeringid]:[mode]],supplementary_offering_legacyid[[#This Row],[offeringid]:[mode]])</f>
        <v>{"offeringid":"920000107","name":"Data - Medio 2_920000107","mode":"N"}</v>
      </c>
      <c r="G775" t="str">
        <f>ToJsonArray(supplementary_offering_legacyid[[#This Row],[Semilla04]],supplementary_offering_legacyid[[#This Row],[Json]])</f>
        <v>{"200001-07":{"offeringid":"920000107","name":"Data - Medio 2_920000107","mode":"N"}}</v>
      </c>
    </row>
    <row r="776" spans="1:7" x14ac:dyDescent="0.25">
      <c r="A776" s="60" t="s">
        <v>4440</v>
      </c>
      <c r="B776" t="str">
        <f>findKey(supplementary_offering_legacyid[[#This Row],[Produccion]])</f>
        <v>200001-11</v>
      </c>
      <c r="C776" s="61" t="s">
        <v>4441</v>
      </c>
      <c r="D776" t="s">
        <v>4442</v>
      </c>
      <c r="E776" t="s">
        <v>2329</v>
      </c>
      <c r="F776" t="str">
        <f>ToJsonArray(supplementary_offering_legacyid[[#Headers],[offeringid]:[mode]],supplementary_offering_legacyid[[#This Row],[offeringid]:[mode]])</f>
        <v>{"offeringid":"920000111","name":"Data - Bajo 0_920000111","mode":"N"}</v>
      </c>
      <c r="G776" t="str">
        <f>ToJsonArray(supplementary_offering_legacyid[[#This Row],[Semilla04]],supplementary_offering_legacyid[[#This Row],[Json]])</f>
        <v>{"200001-11":{"offeringid":"920000111","name":"Data - Bajo 0_920000111","mode":"N"}}</v>
      </c>
    </row>
    <row r="777" spans="1:7" x14ac:dyDescent="0.25">
      <c r="A777" s="60" t="s">
        <v>4443</v>
      </c>
      <c r="B777" t="str">
        <f>findKey(supplementary_offering_legacyid[[#This Row],[Produccion]])</f>
        <v>200001-12</v>
      </c>
      <c r="C777" s="61" t="s">
        <v>4444</v>
      </c>
      <c r="D777" t="s">
        <v>4445</v>
      </c>
      <c r="E777" t="s">
        <v>2329</v>
      </c>
      <c r="F777" t="str">
        <f>ToJsonArray(supplementary_offering_legacyid[[#Headers],[offeringid]:[mode]],supplementary_offering_legacyid[[#This Row],[offeringid]:[mode]])</f>
        <v>{"offeringid":"920000112","name":"Data 3Gb_920000112","mode":"N"}</v>
      </c>
      <c r="G777" t="str">
        <f>ToJsonArray(supplementary_offering_legacyid[[#This Row],[Semilla04]],supplementary_offering_legacyid[[#This Row],[Json]])</f>
        <v>{"200001-12":{"offeringid":"920000112","name":"Data 3Gb_920000112","mode":"N"}}</v>
      </c>
    </row>
    <row r="778" spans="1:7" x14ac:dyDescent="0.25">
      <c r="A778" s="60" t="s">
        <v>4446</v>
      </c>
      <c r="B778" t="str">
        <f>findKey(supplementary_offering_legacyid[[#This Row],[Produccion]])</f>
        <v>200001-13</v>
      </c>
      <c r="C778" s="61" t="s">
        <v>4447</v>
      </c>
      <c r="D778" t="s">
        <v>4448</v>
      </c>
      <c r="E778" t="s">
        <v>2329</v>
      </c>
      <c r="F778" t="str">
        <f>ToJsonArray(supplementary_offering_legacyid[[#Headers],[offeringid]:[mode]],supplementary_offering_legacyid[[#This Row],[offeringid]:[mode]])</f>
        <v>{"offeringid":"920000113","name":"Data 4Gb_920000113","mode":"N"}</v>
      </c>
      <c r="G778" t="str">
        <f>ToJsonArray(supplementary_offering_legacyid[[#This Row],[Semilla04]],supplementary_offering_legacyid[[#This Row],[Json]])</f>
        <v>{"200001-13":{"offeringid":"920000113","name":"Data 4Gb_920000113","mode":"N"}}</v>
      </c>
    </row>
    <row r="779" spans="1:7" x14ac:dyDescent="0.25">
      <c r="A779" s="60" t="s">
        <v>4449</v>
      </c>
      <c r="B779" t="str">
        <f>findKey(supplementary_offering_legacyid[[#This Row],[Produccion]])</f>
        <v>200001-15</v>
      </c>
      <c r="C779" s="61" t="s">
        <v>4450</v>
      </c>
      <c r="D779" t="s">
        <v>4451</v>
      </c>
      <c r="E779" t="s">
        <v>2329</v>
      </c>
      <c r="F779" t="str">
        <f>ToJsonArray(supplementary_offering_legacyid[[#Headers],[offeringid]:[mode]],supplementary_offering_legacyid[[#This Row],[offeringid]:[mode]])</f>
        <v>{"offeringid":"920000115","name":"Data 6Gb_920000115","mode":"N"}</v>
      </c>
      <c r="G779" t="str">
        <f>ToJsonArray(supplementary_offering_legacyid[[#This Row],[Semilla04]],supplementary_offering_legacyid[[#This Row],[Json]])</f>
        <v>{"200001-15":{"offeringid":"920000115","name":"Data 6Gb_920000115","mode":"N"}}</v>
      </c>
    </row>
    <row r="780" spans="1:7" x14ac:dyDescent="0.25">
      <c r="A780" s="60" t="s">
        <v>4452</v>
      </c>
      <c r="B780" t="str">
        <f>findKey(supplementary_offering_legacyid[[#This Row],[Produccion]])</f>
        <v>200001-17</v>
      </c>
      <c r="C780" s="61" t="s">
        <v>4453</v>
      </c>
      <c r="D780" t="s">
        <v>4454</v>
      </c>
      <c r="E780" t="s">
        <v>2329</v>
      </c>
      <c r="F780" t="str">
        <f>ToJsonArray(supplementary_offering_legacyid[[#Headers],[offeringid]:[mode]],supplementary_offering_legacyid[[#This Row],[offeringid]:[mode]])</f>
        <v>{"offeringid":"920000117","name":"Data 750MB_920000117","mode":"N"}</v>
      </c>
      <c r="G780" t="str">
        <f>ToJsonArray(supplementary_offering_legacyid[[#This Row],[Semilla04]],supplementary_offering_legacyid[[#This Row],[Json]])</f>
        <v>{"200001-17":{"offeringid":"920000117","name":"Data 750MB_920000117","mode":"N"}}</v>
      </c>
    </row>
    <row r="781" spans="1:7" x14ac:dyDescent="0.25">
      <c r="A781" s="60" t="s">
        <v>4455</v>
      </c>
      <c r="B781" t="str">
        <f>findKey(supplementary_offering_legacyid[[#This Row],[Produccion]])</f>
        <v>200001-18</v>
      </c>
      <c r="C781" s="61" t="s">
        <v>4456</v>
      </c>
      <c r="D781" t="s">
        <v>4457</v>
      </c>
      <c r="E781" t="s">
        <v>2329</v>
      </c>
      <c r="F781" t="str">
        <f>ToJsonArray(supplementary_offering_legacyid[[#Headers],[offeringid]:[mode]],supplementary_offering_legacyid[[#This Row],[offeringid]:[mode]])</f>
        <v>{"offeringid":"920000118","name":"Data 1Gb_920000118","mode":"N"}</v>
      </c>
      <c r="G781" t="str">
        <f>ToJsonArray(supplementary_offering_legacyid[[#This Row],[Semilla04]],supplementary_offering_legacyid[[#This Row],[Json]])</f>
        <v>{"200001-18":{"offeringid":"920000118","name":"Data 1Gb_920000118","mode":"N"}}</v>
      </c>
    </row>
    <row r="782" spans="1:7" x14ac:dyDescent="0.25">
      <c r="A782" s="60" t="s">
        <v>4458</v>
      </c>
      <c r="B782" t="str">
        <f>findKey(supplementary_offering_legacyid[[#This Row],[Produccion]])</f>
        <v>200001-19</v>
      </c>
      <c r="C782" s="61" t="s">
        <v>4459</v>
      </c>
      <c r="D782" t="s">
        <v>4460</v>
      </c>
      <c r="E782" t="s">
        <v>2329</v>
      </c>
      <c r="F782" t="str">
        <f>ToJsonArray(supplementary_offering_legacyid[[#Headers],[offeringid]:[mode]],supplementary_offering_legacyid[[#This Row],[offeringid]:[mode]])</f>
        <v>{"offeringid":"920000119","name":"Data 2Gb_920000119","mode":"N"}</v>
      </c>
      <c r="G782" t="str">
        <f>ToJsonArray(supplementary_offering_legacyid[[#This Row],[Semilla04]],supplementary_offering_legacyid[[#This Row],[Json]])</f>
        <v>{"200001-19":{"offeringid":"920000119","name":"Data 2Gb_920000119","mode":"N"}}</v>
      </c>
    </row>
    <row r="783" spans="1:7" x14ac:dyDescent="0.25">
      <c r="A783" s="60" t="s">
        <v>4461</v>
      </c>
      <c r="B783" t="str">
        <f>findKey(supplementary_offering_legacyid[[#This Row],[Produccion]])</f>
        <v>200001-25</v>
      </c>
      <c r="C783" s="61" t="s">
        <v>4462</v>
      </c>
      <c r="D783" t="s">
        <v>4463</v>
      </c>
      <c r="E783" t="s">
        <v>2329</v>
      </c>
      <c r="F783" t="str">
        <f>ToJsonArray(supplementary_offering_legacyid[[#Headers],[offeringid]:[mode]],supplementary_offering_legacyid[[#This Row],[offeringid]:[mode]])</f>
        <v>{"offeringid":"920000125","name":"Data 12Gb_920000125","mode":"N"}</v>
      </c>
      <c r="G783" t="str">
        <f>ToJsonArray(supplementary_offering_legacyid[[#This Row],[Semilla04]],supplementary_offering_legacyid[[#This Row],[Json]])</f>
        <v>{"200001-25":{"offeringid":"920000125","name":"Data 12Gb_920000125","mode":"N"}}</v>
      </c>
    </row>
    <row r="784" spans="1:7" x14ac:dyDescent="0.25">
      <c r="A784" s="60" t="s">
        <v>4464</v>
      </c>
      <c r="B784" t="str">
        <f>findKey(supplementary_offering_legacyid[[#This Row],[Produccion]])</f>
        <v>200001-26</v>
      </c>
      <c r="C784" s="61" t="s">
        <v>4465</v>
      </c>
      <c r="D784" t="s">
        <v>4466</v>
      </c>
      <c r="E784" t="s">
        <v>2329</v>
      </c>
      <c r="F784" t="str">
        <f>ToJsonArray(supplementary_offering_legacyid[[#Headers],[offeringid]:[mode]],supplementary_offering_legacyid[[#This Row],[offeringid]:[mode]])</f>
        <v>{"offeringid":"920000126","name":"Data 15Gb_920000126","mode":"N"}</v>
      </c>
      <c r="G784" t="str">
        <f>ToJsonArray(supplementary_offering_legacyid[[#This Row],[Semilla04]],supplementary_offering_legacyid[[#This Row],[Json]])</f>
        <v>{"200001-26":{"offeringid":"920000126","name":"Data 15Gb_920000126","mode":"N"}}</v>
      </c>
    </row>
    <row r="785" spans="1:7" x14ac:dyDescent="0.25">
      <c r="A785" s="60" t="s">
        <v>4467</v>
      </c>
      <c r="B785" t="str">
        <f>findKey(supplementary_offering_legacyid[[#This Row],[Produccion]])</f>
        <v>200001-27</v>
      </c>
      <c r="C785" s="61" t="s">
        <v>4468</v>
      </c>
      <c r="D785" t="s">
        <v>4469</v>
      </c>
      <c r="E785" t="s">
        <v>2329</v>
      </c>
      <c r="F785" t="str">
        <f>ToJsonArray(supplementary_offering_legacyid[[#Headers],[offeringid]:[mode]],supplementary_offering_legacyid[[#This Row],[offeringid]:[mode]])</f>
        <v>{"offeringid":"920000127","name":"Data 750MB_920000127","mode":"N"}</v>
      </c>
      <c r="G785" t="str">
        <f>ToJsonArray(supplementary_offering_legacyid[[#This Row],[Semilla04]],supplementary_offering_legacyid[[#This Row],[Json]])</f>
        <v>{"200001-27":{"offeringid":"920000127","name":"Data 750MB_920000127","mode":"N"}}</v>
      </c>
    </row>
    <row r="786" spans="1:7" x14ac:dyDescent="0.25">
      <c r="A786" s="60" t="s">
        <v>4470</v>
      </c>
      <c r="B786" t="str">
        <f>findKey(supplementary_offering_legacyid[[#This Row],[Produccion]])</f>
        <v>200001-33</v>
      </c>
      <c r="C786" s="61" t="s">
        <v>4471</v>
      </c>
      <c r="D786" t="s">
        <v>4472</v>
      </c>
      <c r="E786" t="s">
        <v>2329</v>
      </c>
      <c r="F786" t="str">
        <f>ToJsonArray(supplementary_offering_legacyid[[#Headers],[offeringid]:[mode]],supplementary_offering_legacyid[[#This Row],[offeringid]:[mode]])</f>
        <v>{"offeringid":"920000133","name":"Data 2.6GB_920000133","mode":"N"}</v>
      </c>
      <c r="G786" t="str">
        <f>ToJsonArray(supplementary_offering_legacyid[[#This Row],[Semilla04]],supplementary_offering_legacyid[[#This Row],[Json]])</f>
        <v>{"200001-33":{"offeringid":"920000133","name":"Data 2.6GB_920000133","mode":"N"}}</v>
      </c>
    </row>
    <row r="787" spans="1:7" x14ac:dyDescent="0.25">
      <c r="A787" s="60" t="s">
        <v>4473</v>
      </c>
      <c r="B787" t="str">
        <f>findKey(supplementary_offering_legacyid[[#This Row],[Produccion]])</f>
        <v>200001-38</v>
      </c>
      <c r="C787" s="61" t="s">
        <v>4474</v>
      </c>
      <c r="D787" t="s">
        <v>4475</v>
      </c>
      <c r="E787" t="s">
        <v>2329</v>
      </c>
      <c r="F787" t="str">
        <f>ToJsonArray(supplementary_offering_legacyid[[#Headers],[offeringid]:[mode]],supplementary_offering_legacyid[[#This Row],[offeringid]:[mode]])</f>
        <v>{"offeringid":"920000138","name":"Data 2 GB_920000138","mode":"N"}</v>
      </c>
      <c r="G787" t="str">
        <f>ToJsonArray(supplementary_offering_legacyid[[#This Row],[Semilla04]],supplementary_offering_legacyid[[#This Row],[Json]])</f>
        <v>{"200001-38":{"offeringid":"920000138","name":"Data 2 GB_920000138","mode":"N"}}</v>
      </c>
    </row>
    <row r="788" spans="1:7" x14ac:dyDescent="0.25">
      <c r="A788" s="60" t="s">
        <v>4476</v>
      </c>
      <c r="B788" t="str">
        <f>findKey(supplementary_offering_legacyid[[#This Row],[Produccion]])</f>
        <v>200001-39</v>
      </c>
      <c r="C788" s="61" t="s">
        <v>4477</v>
      </c>
      <c r="D788" t="s">
        <v>4478</v>
      </c>
      <c r="E788" t="s">
        <v>2329</v>
      </c>
      <c r="F788" t="str">
        <f>ToJsonArray(supplementary_offering_legacyid[[#Headers],[offeringid]:[mode]],supplementary_offering_legacyid[[#This Row],[offeringid]:[mode]])</f>
        <v>{"offeringid":"920000139","name":"Data 2.5 GB_920000139","mode":"N"}</v>
      </c>
      <c r="G788" t="str">
        <f>ToJsonArray(supplementary_offering_legacyid[[#This Row],[Semilla04]],supplementary_offering_legacyid[[#This Row],[Json]])</f>
        <v>{"200001-39":{"offeringid":"920000139","name":"Data 2.5 GB_920000139","mode":"N"}}</v>
      </c>
    </row>
    <row r="789" spans="1:7" x14ac:dyDescent="0.25">
      <c r="A789" s="60" t="s">
        <v>4479</v>
      </c>
      <c r="B789" t="str">
        <f>findKey(supplementary_offering_legacyid[[#This Row],[Produccion]])</f>
        <v>200001-40</v>
      </c>
      <c r="C789" s="61" t="s">
        <v>4480</v>
      </c>
      <c r="D789" t="s">
        <v>4481</v>
      </c>
      <c r="E789" t="s">
        <v>2329</v>
      </c>
      <c r="F789" t="str">
        <f>ToJsonArray(supplementary_offering_legacyid[[#Headers],[offeringid]:[mode]],supplementary_offering_legacyid[[#This Row],[offeringid]:[mode]])</f>
        <v>{"offeringid":"920000140","name":"Data 3 GB_920000140","mode":"N"}</v>
      </c>
      <c r="G789" t="str">
        <f>ToJsonArray(supplementary_offering_legacyid[[#This Row],[Semilla04]],supplementary_offering_legacyid[[#This Row],[Json]])</f>
        <v>{"200001-40":{"offeringid":"920000140","name":"Data 3 GB_920000140","mode":"N"}}</v>
      </c>
    </row>
    <row r="790" spans="1:7" x14ac:dyDescent="0.25">
      <c r="A790" s="60" t="s">
        <v>4482</v>
      </c>
      <c r="B790" t="str">
        <f>findKey(supplementary_offering_legacyid[[#This Row],[Produccion]])</f>
        <v>200001-42</v>
      </c>
      <c r="C790" s="61" t="s">
        <v>4483</v>
      </c>
      <c r="D790" t="s">
        <v>4484</v>
      </c>
      <c r="E790" t="s">
        <v>2329</v>
      </c>
      <c r="F790" t="str">
        <f>ToJsonArray(supplementary_offering_legacyid[[#Headers],[offeringid]:[mode]],supplementary_offering_legacyid[[#This Row],[offeringid]:[mode]])</f>
        <v>{"offeringid":"920000142","name":"Data 4 GB_920000142","mode":"N"}</v>
      </c>
      <c r="G790" t="str">
        <f>ToJsonArray(supplementary_offering_legacyid[[#This Row],[Semilla04]],supplementary_offering_legacyid[[#This Row],[Json]])</f>
        <v>{"200001-42":{"offeringid":"920000142","name":"Data 4 GB_920000142","mode":"N"}}</v>
      </c>
    </row>
    <row r="791" spans="1:7" x14ac:dyDescent="0.25">
      <c r="A791" s="60" t="s">
        <v>4485</v>
      </c>
      <c r="B791" t="str">
        <f>findKey(supplementary_offering_legacyid[[#This Row],[Produccion]])</f>
        <v>200001-43</v>
      </c>
      <c r="C791" s="61" t="s">
        <v>4486</v>
      </c>
      <c r="D791" t="s">
        <v>4487</v>
      </c>
      <c r="E791" t="s">
        <v>2329</v>
      </c>
      <c r="F791" t="str">
        <f>ToJsonArray(supplementary_offering_legacyid[[#Headers],[offeringid]:[mode]],supplementary_offering_legacyid[[#This Row],[offeringid]:[mode]])</f>
        <v>{"offeringid":"920000143","name":"Data 5 GB_920000143","mode":"N"}</v>
      </c>
      <c r="G791" t="str">
        <f>ToJsonArray(supplementary_offering_legacyid[[#This Row],[Semilla04]],supplementary_offering_legacyid[[#This Row],[Json]])</f>
        <v>{"200001-43":{"offeringid":"920000143","name":"Data 5 GB_920000143","mode":"N"}}</v>
      </c>
    </row>
    <row r="792" spans="1:7" x14ac:dyDescent="0.25">
      <c r="A792" s="60" t="s">
        <v>4488</v>
      </c>
      <c r="B792" t="str">
        <f>findKey(supplementary_offering_legacyid[[#This Row],[Produccion]])</f>
        <v>200001-51</v>
      </c>
      <c r="C792" s="61" t="s">
        <v>4489</v>
      </c>
      <c r="D792" t="s">
        <v>4490</v>
      </c>
      <c r="E792" t="s">
        <v>2329</v>
      </c>
      <c r="F792" t="str">
        <f>ToJsonArray(supplementary_offering_legacyid[[#Headers],[offeringid]:[mode]],supplementary_offering_legacyid[[#This Row],[offeringid]:[mode]])</f>
        <v>{"offeringid":"920000151","name":"Data 500 MB_920000151","mode":"N"}</v>
      </c>
      <c r="G792" t="str">
        <f>ToJsonArray(supplementary_offering_legacyid[[#This Row],[Semilla04]],supplementary_offering_legacyid[[#This Row],[Json]])</f>
        <v>{"200001-51":{"offeringid":"920000151","name":"Data 500 MB_920000151","mode":"N"}}</v>
      </c>
    </row>
    <row r="793" spans="1:7" x14ac:dyDescent="0.25">
      <c r="A793" s="60" t="s">
        <v>4491</v>
      </c>
      <c r="B793" t="str">
        <f>findKey(supplementary_offering_legacyid[[#This Row],[Produccion]])</f>
        <v>200001-53</v>
      </c>
      <c r="C793" s="61" t="s">
        <v>4492</v>
      </c>
      <c r="D793" t="s">
        <v>4493</v>
      </c>
      <c r="E793" t="s">
        <v>2329</v>
      </c>
      <c r="F793" t="str">
        <f>ToJsonArray(supplementary_offering_legacyid[[#Headers],[offeringid]:[mode]],supplementary_offering_legacyid[[#This Row],[offeringid]:[mode]])</f>
        <v>{"offeringid":"920000153","name":"Data 800 MB_920000153","mode":"N"}</v>
      </c>
      <c r="G793" t="str">
        <f>ToJsonArray(supplementary_offering_legacyid[[#This Row],[Semilla04]],supplementary_offering_legacyid[[#This Row],[Json]])</f>
        <v>{"200001-53":{"offeringid":"920000153","name":"Data 800 MB_920000153","mode":"N"}}</v>
      </c>
    </row>
    <row r="794" spans="1:7" x14ac:dyDescent="0.25">
      <c r="A794" s="60" t="s">
        <v>4494</v>
      </c>
      <c r="B794" t="str">
        <f>findKey(supplementary_offering_legacyid[[#This Row],[Produccion]])</f>
        <v>200001-57</v>
      </c>
      <c r="C794" s="61" t="s">
        <v>4495</v>
      </c>
      <c r="D794" t="s">
        <v>4496</v>
      </c>
      <c r="E794" t="s">
        <v>2329</v>
      </c>
      <c r="F794" t="str">
        <f>ToJsonArray(supplementary_offering_legacyid[[#Headers],[offeringid]:[mode]],supplementary_offering_legacyid[[#This Row],[offeringid]:[mode]])</f>
        <v>{"offeringid":"920000157","name":"Data 1.5GB_920000157","mode":"N"}</v>
      </c>
      <c r="G794" t="str">
        <f>ToJsonArray(supplementary_offering_legacyid[[#This Row],[Semilla04]],supplementary_offering_legacyid[[#This Row],[Json]])</f>
        <v>{"200001-57":{"offeringid":"920000157","name":"Data 1.5GB_920000157","mode":"N"}}</v>
      </c>
    </row>
    <row r="795" spans="1:7" x14ac:dyDescent="0.25">
      <c r="A795" s="60" t="s">
        <v>4497</v>
      </c>
      <c r="B795" t="str">
        <f>findKey(supplementary_offering_legacyid[[#This Row],[Produccion]])</f>
        <v>200001-59</v>
      </c>
      <c r="C795" s="61" t="s">
        <v>4498</v>
      </c>
      <c r="D795" t="s">
        <v>4499</v>
      </c>
      <c r="E795" t="s">
        <v>2329</v>
      </c>
      <c r="F795" t="str">
        <f>ToJsonArray(supplementary_offering_legacyid[[#Headers],[offeringid]:[mode]],supplementary_offering_legacyid[[#This Row],[offeringid]:[mode]])</f>
        <v>{"offeringid":"920000159","name":"Data 2GB_920000159","mode":"N"}</v>
      </c>
      <c r="G795" t="str">
        <f>ToJsonArray(supplementary_offering_legacyid[[#This Row],[Semilla04]],supplementary_offering_legacyid[[#This Row],[Json]])</f>
        <v>{"200001-59":{"offeringid":"920000159","name":"Data 2GB_920000159","mode":"N"}}</v>
      </c>
    </row>
    <row r="796" spans="1:7" x14ac:dyDescent="0.25">
      <c r="A796" s="60" t="s">
        <v>4500</v>
      </c>
      <c r="B796" t="str">
        <f>findKey(supplementary_offering_legacyid[[#This Row],[Produccion]])</f>
        <v>200001-63</v>
      </c>
      <c r="C796" s="61" t="s">
        <v>4501</v>
      </c>
      <c r="D796" t="s">
        <v>4502</v>
      </c>
      <c r="E796" t="s">
        <v>2329</v>
      </c>
      <c r="F796" t="str">
        <f>ToJsonArray(supplementary_offering_legacyid[[#Headers],[offeringid]:[mode]],supplementary_offering_legacyid[[#This Row],[offeringid]:[mode]])</f>
        <v>{"offeringid":"920000163","name":"Data 2.5GB_920000163","mode":"N"}</v>
      </c>
      <c r="G796" t="str">
        <f>ToJsonArray(supplementary_offering_legacyid[[#This Row],[Semilla04]],supplementary_offering_legacyid[[#This Row],[Json]])</f>
        <v>{"200001-63":{"offeringid":"920000163","name":"Data 2.5GB_920000163","mode":"N"}}</v>
      </c>
    </row>
    <row r="797" spans="1:7" x14ac:dyDescent="0.25">
      <c r="A797" s="60" t="s">
        <v>4503</v>
      </c>
      <c r="B797" t="str">
        <f>findKey(supplementary_offering_legacyid[[#This Row],[Produccion]])</f>
        <v>200001-64</v>
      </c>
      <c r="C797" s="61" t="s">
        <v>4504</v>
      </c>
      <c r="D797" t="s">
        <v>4505</v>
      </c>
      <c r="E797" t="s">
        <v>2329</v>
      </c>
      <c r="F797" t="str">
        <f>ToJsonArray(supplementary_offering_legacyid[[#Headers],[offeringid]:[mode]],supplementary_offering_legacyid[[#This Row],[offeringid]:[mode]])</f>
        <v>{"offeringid":"920000164","name":"Data 3GB_920000164","mode":"N"}</v>
      </c>
      <c r="G797" t="str">
        <f>ToJsonArray(supplementary_offering_legacyid[[#This Row],[Semilla04]],supplementary_offering_legacyid[[#This Row],[Json]])</f>
        <v>{"200001-64":{"offeringid":"920000164","name":"Data 3GB_920000164","mode":"N"}}</v>
      </c>
    </row>
    <row r="798" spans="1:7" x14ac:dyDescent="0.25">
      <c r="A798" s="60" t="s">
        <v>4506</v>
      </c>
      <c r="B798" t="str">
        <f>findKey(supplementary_offering_legacyid[[#This Row],[Produccion]])</f>
        <v>200001-67</v>
      </c>
      <c r="C798" s="61" t="s">
        <v>4507</v>
      </c>
      <c r="D798" t="s">
        <v>4508</v>
      </c>
      <c r="E798" t="s">
        <v>2329</v>
      </c>
      <c r="F798" t="str">
        <f>ToJsonArray(supplementary_offering_legacyid[[#Headers],[offeringid]:[mode]],supplementary_offering_legacyid[[#This Row],[offeringid]:[mode]])</f>
        <v>{"offeringid":"920000167","name":"Data 4GB_920000167","mode":"N"}</v>
      </c>
      <c r="G798" t="str">
        <f>ToJsonArray(supplementary_offering_legacyid[[#This Row],[Semilla04]],supplementary_offering_legacyid[[#This Row],[Json]])</f>
        <v>{"200001-67":{"offeringid":"920000167","name":"Data 4GB_920000167","mode":"N"}}</v>
      </c>
    </row>
    <row r="799" spans="1:7" x14ac:dyDescent="0.25">
      <c r="A799" s="60" t="s">
        <v>4509</v>
      </c>
      <c r="B799" t="str">
        <f>findKey(supplementary_offering_legacyid[[#This Row],[Produccion]])</f>
        <v>200001-84</v>
      </c>
      <c r="C799" s="61" t="s">
        <v>4510</v>
      </c>
      <c r="D799" t="s">
        <v>4511</v>
      </c>
      <c r="E799" t="s">
        <v>2329</v>
      </c>
      <c r="F799" t="str">
        <f>ToJsonArray(supplementary_offering_legacyid[[#Headers],[offeringid]:[mode]],supplementary_offering_legacyid[[#This Row],[offeringid]:[mode]])</f>
        <v>{"offeringid":"920000184","name":"Data 1.3GB_920000184","mode":"N"}</v>
      </c>
      <c r="G799" t="str">
        <f>ToJsonArray(supplementary_offering_legacyid[[#This Row],[Semilla04]],supplementary_offering_legacyid[[#This Row],[Json]])</f>
        <v>{"200001-84":{"offeringid":"920000184","name":"Data 1.3GB_920000184","mode":"N"}}</v>
      </c>
    </row>
    <row r="800" spans="1:7" x14ac:dyDescent="0.25">
      <c r="A800" s="60" t="s">
        <v>4512</v>
      </c>
      <c r="B800" t="str">
        <f>findKey(supplementary_offering_legacyid[[#This Row],[Produccion]])</f>
        <v>200001-86</v>
      </c>
      <c r="C800" s="61" t="s">
        <v>4513</v>
      </c>
      <c r="D800" t="s">
        <v>4514</v>
      </c>
      <c r="E800" t="s">
        <v>2329</v>
      </c>
      <c r="F800" t="str">
        <f>ToJsonArray(supplementary_offering_legacyid[[#Headers],[offeringid]:[mode]],supplementary_offering_legacyid[[#This Row],[offeringid]:[mode]])</f>
        <v>{"offeringid":"920000186","name":"Data 2GB_920000186","mode":"N"}</v>
      </c>
      <c r="G800" t="str">
        <f>ToJsonArray(supplementary_offering_legacyid[[#This Row],[Semilla04]],supplementary_offering_legacyid[[#This Row],[Json]])</f>
        <v>{"200001-86":{"offeringid":"920000186","name":"Data 2GB_920000186","mode":"N"}}</v>
      </c>
    </row>
    <row r="801" spans="1:7" x14ac:dyDescent="0.25">
      <c r="A801" s="60" t="s">
        <v>4515</v>
      </c>
      <c r="B801" t="str">
        <f>findKey(supplementary_offering_legacyid[[#This Row],[Produccion]])</f>
        <v>200003-00</v>
      </c>
      <c r="C801" s="61" t="s">
        <v>4516</v>
      </c>
      <c r="D801" t="s">
        <v>4517</v>
      </c>
      <c r="E801" t="s">
        <v>2329</v>
      </c>
      <c r="F801" t="str">
        <f>ToJsonArray(supplementary_offering_legacyid[[#Headers],[offeringid]:[mode]],supplementary_offering_legacyid[[#This Row],[offeringid]:[mode]])</f>
        <v>{"offeringid":"920000300","name":"Blackberry Total_920000300","mode":"N"}</v>
      </c>
      <c r="G801" t="str">
        <f>ToJsonArray(supplementary_offering_legacyid[[#This Row],[Semilla04]],supplementary_offering_legacyid[[#This Row],[Json]])</f>
        <v>{"200003-00":{"offeringid":"920000300","name":"Blackberry Total_920000300","mode":"N"}}</v>
      </c>
    </row>
    <row r="802" spans="1:7" x14ac:dyDescent="0.25">
      <c r="A802" s="60" t="s">
        <v>4518</v>
      </c>
      <c r="B802" t="str">
        <f>findKey(supplementary_offering_legacyid[[#This Row],[Produccion]])</f>
        <v>200003-02</v>
      </c>
      <c r="C802" s="61" t="s">
        <v>4519</v>
      </c>
      <c r="D802" t="s">
        <v>4520</v>
      </c>
      <c r="E802" t="s">
        <v>2329</v>
      </c>
      <c r="F802" t="str">
        <f>ToJsonArray(supplementary_offering_legacyid[[#Headers],[offeringid]:[mode]],supplementary_offering_legacyid[[#This Row],[offeringid]:[mode]])</f>
        <v>{"offeringid":"920000302","name":"BlackBerry 2 - 2G_920000302","mode":"N"}</v>
      </c>
      <c r="G802" t="str">
        <f>ToJsonArray(supplementary_offering_legacyid[[#This Row],[Semilla04]],supplementary_offering_legacyid[[#This Row],[Json]])</f>
        <v>{"200003-02":{"offeringid":"920000302","name":"BlackBerry 2 - 2G_920000302","mode":"N"}}</v>
      </c>
    </row>
    <row r="803" spans="1:7" x14ac:dyDescent="0.25">
      <c r="A803" s="60" t="s">
        <v>4521</v>
      </c>
      <c r="B803" t="str">
        <f>findKey(supplementary_offering_legacyid[[#This Row],[Produccion]])</f>
        <v>200003-08</v>
      </c>
      <c r="C803" s="61" t="s">
        <v>4522</v>
      </c>
      <c r="D803" t="s">
        <v>4523</v>
      </c>
      <c r="E803" t="s">
        <v>2329</v>
      </c>
      <c r="F803" t="str">
        <f>ToJsonArray(supplementary_offering_legacyid[[#Headers],[offeringid]:[mode]],supplementary_offering_legacyid[[#This Row],[offeringid]:[mode]])</f>
        <v>{"offeringid":"920000308","name":"BlackBerry Social_920000308","mode":"N"}</v>
      </c>
      <c r="G803" t="str">
        <f>ToJsonArray(supplementary_offering_legacyid[[#This Row],[Semilla04]],supplementary_offering_legacyid[[#This Row],[Json]])</f>
        <v>{"200003-08":{"offeringid":"920000308","name":"BlackBerry Social_920000308","mode":"N"}}</v>
      </c>
    </row>
    <row r="804" spans="1:7" x14ac:dyDescent="0.25">
      <c r="A804" s="60" t="s">
        <v>4524</v>
      </c>
      <c r="B804" t="str">
        <f>findKey(supplementary_offering_legacyid[[#This Row],[Produccion]])</f>
        <v>200005-01</v>
      </c>
      <c r="C804" s="61" t="s">
        <v>4525</v>
      </c>
      <c r="D804" t="s">
        <v>4526</v>
      </c>
      <c r="E804" t="s">
        <v>2329</v>
      </c>
      <c r="F804" t="str">
        <f>ToJsonArray(supplementary_offering_legacyid[[#Headers],[offeringid]:[mode]],supplementary_offering_legacyid[[#This Row],[offeringid]:[mode]])</f>
        <v>{"offeringid":"920000501","name":"DPI Mail_920000501","mode":"N"}</v>
      </c>
      <c r="G804" t="str">
        <f>ToJsonArray(supplementary_offering_legacyid[[#This Row],[Semilla04]],supplementary_offering_legacyid[[#This Row],[Json]])</f>
        <v>{"200005-01":{"offeringid":"920000501","name":"DPI Mail_920000501","mode":"N"}}</v>
      </c>
    </row>
    <row r="805" spans="1:7" x14ac:dyDescent="0.25">
      <c r="A805" s="60" t="s">
        <v>4527</v>
      </c>
      <c r="B805" t="str">
        <f>findKey(supplementary_offering_legacyid[[#This Row],[Produccion]])</f>
        <v>200007-01</v>
      </c>
      <c r="C805" s="61" t="s">
        <v>4528</v>
      </c>
      <c r="D805" t="s">
        <v>4529</v>
      </c>
      <c r="E805" t="s">
        <v>2329</v>
      </c>
      <c r="F805" t="str">
        <f>ToJsonArray(supplementary_offering_legacyid[[#Headers],[offeringid]:[mode]],supplementary_offering_legacyid[[#This Row],[offeringid]:[mode]])</f>
        <v>{"offeringid":"920000701","name":"Deezer 750 Mb_920000701","mode":"N"}</v>
      </c>
      <c r="G805" t="str">
        <f>ToJsonArray(supplementary_offering_legacyid[[#This Row],[Semilla04]],supplementary_offering_legacyid[[#This Row],[Json]])</f>
        <v>{"200007-01":{"offeringid":"920000701","name":"Deezer 750 Mb_920000701","mode":"N"}}</v>
      </c>
    </row>
    <row r="806" spans="1:7" x14ac:dyDescent="0.25">
      <c r="A806" s="60" t="s">
        <v>4530</v>
      </c>
      <c r="B806" t="str">
        <f>findKey(supplementary_offering_legacyid[[#This Row],[Produccion]])</f>
        <v>200007-03</v>
      </c>
      <c r="C806" s="61" t="s">
        <v>4531</v>
      </c>
      <c r="D806" t="s">
        <v>4532</v>
      </c>
      <c r="E806" t="s">
        <v>2329</v>
      </c>
      <c r="F806" t="str">
        <f>ToJsonArray(supplementary_offering_legacyid[[#Headers],[offeringid]:[mode]],supplementary_offering_legacyid[[#This Row],[offeringid]:[mode]])</f>
        <v>{"offeringid":"920000703","name":"Deezer 1.5 Gb_920000703","mode":"N"}</v>
      </c>
      <c r="G806" t="str">
        <f>ToJsonArray(supplementary_offering_legacyid[[#This Row],[Semilla04]],supplementary_offering_legacyid[[#This Row],[Json]])</f>
        <v>{"200007-03":{"offeringid":"920000703","name":"Deezer 1.5 Gb_920000703","mode":"N"}}</v>
      </c>
    </row>
    <row r="807" spans="1:7" x14ac:dyDescent="0.25">
      <c r="A807" s="60" t="s">
        <v>4533</v>
      </c>
      <c r="B807" t="str">
        <f>findKey(supplementary_offering_legacyid[[#This Row],[Produccion]])</f>
        <v>200007-05</v>
      </c>
      <c r="C807" s="61" t="s">
        <v>4534</v>
      </c>
      <c r="D807" t="s">
        <v>4535</v>
      </c>
      <c r="E807" t="s">
        <v>2329</v>
      </c>
      <c r="F807" t="str">
        <f>ToJsonArray(supplementary_offering_legacyid[[#Headers],[offeringid]:[mode]],supplementary_offering_legacyid[[#This Row],[offeringid]:[mode]])</f>
        <v>{"offeringid":"920000705","name":"Deezer 2.5 Gb_920000705","mode":"N"}</v>
      </c>
      <c r="G807" t="str">
        <f>ToJsonArray(supplementary_offering_legacyid[[#This Row],[Semilla04]],supplementary_offering_legacyid[[#This Row],[Json]])</f>
        <v>{"200007-05":{"offeringid":"920000705","name":"Deezer 2.5 Gb_920000705","mode":"N"}}</v>
      </c>
    </row>
    <row r="808" spans="1:7" x14ac:dyDescent="0.25">
      <c r="A808" s="60" t="s">
        <v>4536</v>
      </c>
      <c r="B808" t="str">
        <f>findKey(supplementary_offering_legacyid[[#This Row],[Produccion]])</f>
        <v>200007-07</v>
      </c>
      <c r="C808" s="61" t="s">
        <v>4537</v>
      </c>
      <c r="D808" t="s">
        <v>4538</v>
      </c>
      <c r="E808" t="s">
        <v>2329</v>
      </c>
      <c r="F808" t="str">
        <f>ToJsonArray(supplementary_offering_legacyid[[#Headers],[offeringid]:[mode]],supplementary_offering_legacyid[[#This Row],[offeringid]:[mode]])</f>
        <v>{"offeringid":"920000707","name":"Deezer 4 Gb_920000707","mode":"N"}</v>
      </c>
      <c r="G808" t="str">
        <f>ToJsonArray(supplementary_offering_legacyid[[#This Row],[Semilla04]],supplementary_offering_legacyid[[#This Row],[Json]])</f>
        <v>{"200007-07":{"offeringid":"920000707","name":"Deezer 4 Gb_920000707","mode":"N"}}</v>
      </c>
    </row>
    <row r="809" spans="1:7" x14ac:dyDescent="0.25">
      <c r="A809" s="60" t="s">
        <v>4539</v>
      </c>
      <c r="B809" t="str">
        <f>findKey(supplementary_offering_legacyid[[#This Row],[Produccion]])</f>
        <v>200008-01</v>
      </c>
      <c r="C809" s="61" t="s">
        <v>4540</v>
      </c>
      <c r="D809" t="s">
        <v>4541</v>
      </c>
      <c r="E809" t="s">
        <v>2329</v>
      </c>
      <c r="F809" t="str">
        <f>ToJsonArray(supplementary_offering_legacyid[[#Headers],[offeringid]:[mode]],supplementary_offering_legacyid[[#This Row],[offeringid]:[mode]])</f>
        <v>{"offeringid":"920000801","name":"Smart 750MB_920000801","mode":"N"}</v>
      </c>
      <c r="G809" t="str">
        <f>ToJsonArray(supplementary_offering_legacyid[[#This Row],[Semilla04]],supplementary_offering_legacyid[[#This Row],[Json]])</f>
        <v>{"200008-01":{"offeringid":"920000801","name":"Smart 750MB_920000801","mode":"N"}}</v>
      </c>
    </row>
    <row r="810" spans="1:7" x14ac:dyDescent="0.25">
      <c r="A810" s="60" t="s">
        <v>4542</v>
      </c>
      <c r="B810" t="str">
        <f>findKey(supplementary_offering_legacyid[[#This Row],[Produccion]])</f>
        <v>200008-02</v>
      </c>
      <c r="C810" s="61" t="s">
        <v>4543</v>
      </c>
      <c r="D810" t="s">
        <v>4544</v>
      </c>
      <c r="E810" t="s">
        <v>2329</v>
      </c>
      <c r="F810" t="str">
        <f>ToJsonArray(supplementary_offering_legacyid[[#Headers],[offeringid]:[mode]],supplementary_offering_legacyid[[#This Row],[offeringid]:[mode]])</f>
        <v>{"offeringid":"920000802","name":"Smart 1GB_920000802","mode":"N"}</v>
      </c>
      <c r="G810" t="str">
        <f>ToJsonArray(supplementary_offering_legacyid[[#This Row],[Semilla04]],supplementary_offering_legacyid[[#This Row],[Json]])</f>
        <v>{"200008-02":{"offeringid":"920000802","name":"Smart 1GB_920000802","mode":"N"}}</v>
      </c>
    </row>
    <row r="811" spans="1:7" x14ac:dyDescent="0.25">
      <c r="A811" s="60" t="s">
        <v>4545</v>
      </c>
      <c r="B811" t="str">
        <f>findKey(supplementary_offering_legacyid[[#This Row],[Produccion]])</f>
        <v>200008-03</v>
      </c>
      <c r="C811" s="61" t="s">
        <v>4546</v>
      </c>
      <c r="D811" t="s">
        <v>4547</v>
      </c>
      <c r="E811" t="s">
        <v>2329</v>
      </c>
      <c r="F811" t="str">
        <f>ToJsonArray(supplementary_offering_legacyid[[#Headers],[offeringid]:[mode]],supplementary_offering_legacyid[[#This Row],[offeringid]:[mode]])</f>
        <v>{"offeringid":"920000803","name":"Smart 2GB_920000803","mode":"N"}</v>
      </c>
      <c r="G811" t="str">
        <f>ToJsonArray(supplementary_offering_legacyid[[#This Row],[Semilla04]],supplementary_offering_legacyid[[#This Row],[Json]])</f>
        <v>{"200008-03":{"offeringid":"920000803","name":"Smart 2GB_920000803","mode":"N"}}</v>
      </c>
    </row>
    <row r="812" spans="1:7" x14ac:dyDescent="0.25">
      <c r="A812" s="60" t="s">
        <v>4548</v>
      </c>
      <c r="B812" t="str">
        <f>findKey(supplementary_offering_legacyid[[#This Row],[Produccion]])</f>
        <v>200008-04</v>
      </c>
      <c r="C812" s="61" t="s">
        <v>4549</v>
      </c>
      <c r="D812" t="s">
        <v>4550</v>
      </c>
      <c r="E812" t="s">
        <v>2329</v>
      </c>
      <c r="F812" t="str">
        <f>ToJsonArray(supplementary_offering_legacyid[[#Headers],[offeringid]:[mode]],supplementary_offering_legacyid[[#This Row],[offeringid]:[mode]])</f>
        <v>{"offeringid":"920000804","name":"Smart 2.5GB_920000804","mode":"N"}</v>
      </c>
      <c r="G812" t="str">
        <f>ToJsonArray(supplementary_offering_legacyid[[#This Row],[Semilla04]],supplementary_offering_legacyid[[#This Row],[Json]])</f>
        <v>{"200008-04":{"offeringid":"920000804","name":"Smart 2.5GB_920000804","mode":"N"}}</v>
      </c>
    </row>
    <row r="813" spans="1:7" x14ac:dyDescent="0.25">
      <c r="A813" s="60" t="s">
        <v>4551</v>
      </c>
      <c r="B813" t="str">
        <f>findKey(supplementary_offering_legacyid[[#This Row],[Produccion]])</f>
        <v>200008-06</v>
      </c>
      <c r="C813" s="61" t="s">
        <v>4552</v>
      </c>
      <c r="D813" t="s">
        <v>4553</v>
      </c>
      <c r="E813" t="s">
        <v>2329</v>
      </c>
      <c r="F813" t="str">
        <f>ToJsonArray(supplementary_offering_legacyid[[#Headers],[offeringid]:[mode]],supplementary_offering_legacyid[[#This Row],[offeringid]:[mode]])</f>
        <v>{"offeringid":"920000806","name":"Smart 3GB_920000806","mode":"N"}</v>
      </c>
      <c r="G813" t="str">
        <f>ToJsonArray(supplementary_offering_legacyid[[#This Row],[Semilla04]],supplementary_offering_legacyid[[#This Row],[Json]])</f>
        <v>{"200008-06":{"offeringid":"920000806","name":"Smart 3GB_920000806","mode":"N"}}</v>
      </c>
    </row>
    <row r="814" spans="1:7" x14ac:dyDescent="0.25">
      <c r="A814" s="60" t="s">
        <v>4554</v>
      </c>
      <c r="B814" t="str">
        <f>findKey(supplementary_offering_legacyid[[#This Row],[Produccion]])</f>
        <v>200008-07</v>
      </c>
      <c r="C814" s="61" t="s">
        <v>4555</v>
      </c>
      <c r="D814" t="s">
        <v>4556</v>
      </c>
      <c r="E814" t="s">
        <v>2329</v>
      </c>
      <c r="F814" t="str">
        <f>ToJsonArray(supplementary_offering_legacyid[[#Headers],[offeringid]:[mode]],supplementary_offering_legacyid[[#This Row],[offeringid]:[mode]])</f>
        <v>{"offeringid":"920000807","name":"Smart 4GB_920000807","mode":"N"}</v>
      </c>
      <c r="G814" t="str">
        <f>ToJsonArray(supplementary_offering_legacyid[[#This Row],[Semilla04]],supplementary_offering_legacyid[[#This Row],[Json]])</f>
        <v>{"200008-07":{"offeringid":"920000807","name":"Smart 4GB_920000807","mode":"N"}}</v>
      </c>
    </row>
    <row r="815" spans="1:7" x14ac:dyDescent="0.25">
      <c r="A815" s="60" t="s">
        <v>4557</v>
      </c>
      <c r="B815" t="str">
        <f>findKey(supplementary_offering_legacyid[[#This Row],[Produccion]])</f>
        <v>200008-09</v>
      </c>
      <c r="C815" s="61" t="s">
        <v>4558</v>
      </c>
      <c r="D815" t="s">
        <v>4559</v>
      </c>
      <c r="E815" t="s">
        <v>2329</v>
      </c>
      <c r="F815" t="str">
        <f>ToJsonArray(supplementary_offering_legacyid[[#Headers],[offeringid]:[mode]],supplementary_offering_legacyid[[#This Row],[offeringid]:[mode]])</f>
        <v>{"offeringid":"920000809","name":"Smart 6GB_920000809","mode":"N"}</v>
      </c>
      <c r="G815" t="str">
        <f>ToJsonArray(supplementary_offering_legacyid[[#This Row],[Semilla04]],supplementary_offering_legacyid[[#This Row],[Json]])</f>
        <v>{"200008-09":{"offeringid":"920000809","name":"Smart 6GB_920000809","mode":"N"}}</v>
      </c>
    </row>
    <row r="816" spans="1:7" x14ac:dyDescent="0.25">
      <c r="A816" s="60" t="s">
        <v>4560</v>
      </c>
      <c r="B816" t="str">
        <f>findKey(supplementary_offering_legacyid[[#This Row],[Produccion]])</f>
        <v>200008-10</v>
      </c>
      <c r="C816" s="61" t="s">
        <v>4561</v>
      </c>
      <c r="D816" t="s">
        <v>4562</v>
      </c>
      <c r="E816" t="s">
        <v>2329</v>
      </c>
      <c r="F816" t="str">
        <f>ToJsonArray(supplementary_offering_legacyid[[#Headers],[offeringid]:[mode]],supplementary_offering_legacyid[[#This Row],[offeringid]:[mode]])</f>
        <v>{"offeringid":"920000810","name":"Smart 7GB_920000810","mode":"N"}</v>
      </c>
      <c r="G816" t="str">
        <f>ToJsonArray(supplementary_offering_legacyid[[#This Row],[Semilla04]],supplementary_offering_legacyid[[#This Row],[Json]])</f>
        <v>{"200008-10":{"offeringid":"920000810","name":"Smart 7GB_920000810","mode":"N"}}</v>
      </c>
    </row>
    <row r="817" spans="1:7" x14ac:dyDescent="0.25">
      <c r="A817" s="60" t="s">
        <v>4563</v>
      </c>
      <c r="B817" t="str">
        <f>findKey(supplementary_offering_legacyid[[#This Row],[Produccion]])</f>
        <v>200008-12</v>
      </c>
      <c r="C817" s="61" t="s">
        <v>4564</v>
      </c>
      <c r="D817" t="s">
        <v>4565</v>
      </c>
      <c r="E817" t="s">
        <v>2329</v>
      </c>
      <c r="F817" t="str">
        <f>ToJsonArray(supplementary_offering_legacyid[[#Headers],[offeringid]:[mode]],supplementary_offering_legacyid[[#This Row],[offeringid]:[mode]])</f>
        <v>{"offeringid":"920000812","name":"Smart sin datos_920000812","mode":"N"}</v>
      </c>
      <c r="G817" t="str">
        <f>ToJsonArray(supplementary_offering_legacyid[[#This Row],[Semilla04]],supplementary_offering_legacyid[[#This Row],[Json]])</f>
        <v>{"200008-12":{"offeringid":"920000812","name":"Smart sin datos_920000812","mode":"N"}}</v>
      </c>
    </row>
    <row r="818" spans="1:7" x14ac:dyDescent="0.25">
      <c r="A818" s="60" t="s">
        <v>4566</v>
      </c>
      <c r="B818" t="str">
        <f>findKey(supplementary_offering_legacyid[[#This Row],[Produccion]])</f>
        <v>200008-13</v>
      </c>
      <c r="C818" s="61" t="s">
        <v>4567</v>
      </c>
      <c r="D818" t="s">
        <v>4568</v>
      </c>
      <c r="E818" t="s">
        <v>2329</v>
      </c>
      <c r="F818" t="str">
        <f>ToJsonArray(supplementary_offering_legacyid[[#Headers],[offeringid]:[mode]],supplementary_offering_legacyid[[#This Row],[offeringid]:[mode]])</f>
        <v>{"offeringid":"920000813","name":"Smart sin datos_920000813","mode":"N"}</v>
      </c>
      <c r="G818" t="str">
        <f>ToJsonArray(supplementary_offering_legacyid[[#This Row],[Semilla04]],supplementary_offering_legacyid[[#This Row],[Json]])</f>
        <v>{"200008-13":{"offeringid":"920000813","name":"Smart sin datos_920000813","mode":"N"}}</v>
      </c>
    </row>
    <row r="819" spans="1:7" x14ac:dyDescent="0.25">
      <c r="A819" s="60" t="s">
        <v>4569</v>
      </c>
      <c r="B819" t="str">
        <f>findKey(supplementary_offering_legacyid[[#This Row],[Produccion]])</f>
        <v>200008-14</v>
      </c>
      <c r="C819" s="61" t="s">
        <v>4570</v>
      </c>
      <c r="D819" t="s">
        <v>4571</v>
      </c>
      <c r="E819" t="s">
        <v>2329</v>
      </c>
      <c r="F819" t="str">
        <f>ToJsonArray(supplementary_offering_legacyid[[#Headers],[offeringid]:[mode]],supplementary_offering_legacyid[[#This Row],[offeringid]:[mode]])</f>
        <v>{"offeringid":"920000814","name":"Smart sin datos_920000814","mode":"N"}</v>
      </c>
      <c r="G819" t="str">
        <f>ToJsonArray(supplementary_offering_legacyid[[#This Row],[Semilla04]],supplementary_offering_legacyid[[#This Row],[Json]])</f>
        <v>{"200008-14":{"offeringid":"920000814","name":"Smart sin datos_920000814","mode":"N"}}</v>
      </c>
    </row>
    <row r="820" spans="1:7" x14ac:dyDescent="0.25">
      <c r="A820" s="60" t="s">
        <v>4572</v>
      </c>
      <c r="B820" t="str">
        <f>findKey(supplementary_offering_legacyid[[#This Row],[Produccion]])</f>
        <v>200011-04</v>
      </c>
      <c r="C820" s="61" t="s">
        <v>4573</v>
      </c>
      <c r="D820" t="s">
        <v>4574</v>
      </c>
      <c r="E820" t="s">
        <v>2329</v>
      </c>
      <c r="F820" t="str">
        <f>ToJsonArray(supplementary_offering_legacyid[[#Headers],[offeringid]:[mode]],supplementary_offering_legacyid[[#This Row],[offeringid]:[mode]])</f>
        <v>{"offeringid":"920001104","name":"Data 10GB_920001104","mode":"N"}</v>
      </c>
      <c r="G820" t="str">
        <f>ToJsonArray(supplementary_offering_legacyid[[#This Row],[Semilla04]],supplementary_offering_legacyid[[#This Row],[Json]])</f>
        <v>{"200011-04":{"offeringid":"920001104","name":"Data 10GB_920001104","mode":"N"}}</v>
      </c>
    </row>
    <row r="821" spans="1:7" x14ac:dyDescent="0.25">
      <c r="A821" s="60" t="s">
        <v>4575</v>
      </c>
      <c r="B821" t="str">
        <f>findKey(supplementary_offering_legacyid[[#This Row],[Produccion]])</f>
        <v>200011-05</v>
      </c>
      <c r="C821" s="61" t="s">
        <v>4576</v>
      </c>
      <c r="D821" t="s">
        <v>4577</v>
      </c>
      <c r="E821" t="s">
        <v>2329</v>
      </c>
      <c r="F821" t="str">
        <f>ToJsonArray(supplementary_offering_legacyid[[#Headers],[offeringid]:[mode]],supplementary_offering_legacyid[[#This Row],[offeringid]:[mode]])</f>
        <v>{"offeringid":"920001105","name":"Data 12GB_920001105","mode":"N"}</v>
      </c>
      <c r="G821" t="str">
        <f>ToJsonArray(supplementary_offering_legacyid[[#This Row],[Semilla04]],supplementary_offering_legacyid[[#This Row],[Json]])</f>
        <v>{"200011-05":{"offeringid":"920001105","name":"Data 12GB_920001105","mode":"N"}}</v>
      </c>
    </row>
    <row r="822" spans="1:7" x14ac:dyDescent="0.25">
      <c r="A822" s="60" t="s">
        <v>4578</v>
      </c>
      <c r="B822" t="str">
        <f>findKey(supplementary_offering_legacyid[[#This Row],[Produccion]])</f>
        <v>200011-64</v>
      </c>
      <c r="C822" s="61" t="s">
        <v>4579</v>
      </c>
      <c r="D822" t="s">
        <v>4580</v>
      </c>
      <c r="E822" t="s">
        <v>2329</v>
      </c>
      <c r="F822" t="str">
        <f>ToJsonArray(supplementary_offering_legacyid[[#Headers],[offeringid]:[mode]],supplementary_offering_legacyid[[#This Row],[offeringid]:[mode]])</f>
        <v>{"offeringid":"920001164","name":"Data Unlimited_920001164","mode":"N"}</v>
      </c>
      <c r="G822" t="str">
        <f>ToJsonArray(supplementary_offering_legacyid[[#This Row],[Semilla04]],supplementary_offering_legacyid[[#This Row],[Json]])</f>
        <v>{"200011-64":{"offeringid":"920001164","name":"Data Unlimited_920001164","mode":"N"}}</v>
      </c>
    </row>
    <row r="823" spans="1:7" x14ac:dyDescent="0.25">
      <c r="A823" s="60" t="s">
        <v>4581</v>
      </c>
      <c r="B823" t="str">
        <f>findKey(supplementary_offering_legacyid[[#This Row],[Produccion]])</f>
        <v>200011-81</v>
      </c>
      <c r="C823" s="61" t="s">
        <v>4582</v>
      </c>
      <c r="D823" t="s">
        <v>4583</v>
      </c>
      <c r="E823" t="s">
        <v>2329</v>
      </c>
      <c r="F823" t="str">
        <f>ToJsonArray(supplementary_offering_legacyid[[#Headers],[offeringid]:[mode]],supplementary_offering_legacyid[[#This Row],[offeringid]:[mode]])</f>
        <v>{"offeringid":"920001181","name":"Data 16GB_920001181","mode":"N"}</v>
      </c>
      <c r="G823" t="str">
        <f>ToJsonArray(supplementary_offering_legacyid[[#This Row],[Semilla04]],supplementary_offering_legacyid[[#This Row],[Json]])</f>
        <v>{"200011-81":{"offeringid":"920001181","name":"Data 16GB_920001181","mode":"N"}}</v>
      </c>
    </row>
    <row r="824" spans="1:7" x14ac:dyDescent="0.25">
      <c r="A824" s="60" t="s">
        <v>4584</v>
      </c>
      <c r="B824" t="str">
        <f>findKey(supplementary_offering_legacyid[[#This Row],[Produccion]])</f>
        <v>200011-82</v>
      </c>
      <c r="C824" s="61" t="s">
        <v>4585</v>
      </c>
      <c r="D824" t="s">
        <v>4586</v>
      </c>
      <c r="E824" t="s">
        <v>2329</v>
      </c>
      <c r="F824" t="str">
        <f>ToJsonArray(supplementary_offering_legacyid[[#Headers],[offeringid]:[mode]],supplementary_offering_legacyid[[#This Row],[offeringid]:[mode]])</f>
        <v>{"offeringid":"920001182","name":"Data 17GB_920001182","mode":"N"}</v>
      </c>
      <c r="G824" t="str">
        <f>ToJsonArray(supplementary_offering_legacyid[[#This Row],[Semilla04]],supplementary_offering_legacyid[[#This Row],[Json]])</f>
        <v>{"200011-82":{"offeringid":"920001182","name":"Data 17GB_920001182","mode":"N"}}</v>
      </c>
    </row>
    <row r="825" spans="1:7" x14ac:dyDescent="0.25">
      <c r="A825" s="60" t="s">
        <v>4587</v>
      </c>
      <c r="B825" t="str">
        <f>findKey(supplementary_offering_legacyid[[#This Row],[Produccion]])</f>
        <v>200011-99</v>
      </c>
      <c r="C825" s="61" t="s">
        <v>4588</v>
      </c>
      <c r="D825" t="s">
        <v>4589</v>
      </c>
      <c r="E825" t="s">
        <v>2329</v>
      </c>
      <c r="F825" t="str">
        <f>ToJsonArray(supplementary_offering_legacyid[[#Headers],[offeringid]:[mode]],supplementary_offering_legacyid[[#This Row],[offeringid]:[mode]])</f>
        <v>{"offeringid":"920001199","name":"Data 16.5GB_920001199","mode":"N"}</v>
      </c>
      <c r="G825" t="str">
        <f>ToJsonArray(supplementary_offering_legacyid[[#This Row],[Semilla04]],supplementary_offering_legacyid[[#This Row],[Json]])</f>
        <v>{"200011-99":{"offeringid":"920001199","name":"Data 16.5GB_920001199","mode":"N"}}</v>
      </c>
    </row>
    <row r="826" spans="1:7" x14ac:dyDescent="0.25">
      <c r="A826" s="60" t="s">
        <v>4590</v>
      </c>
      <c r="B826" t="str">
        <f>findKey(supplementary_offering_legacyid[[#This Row],[Produccion]])</f>
        <v>200021-01</v>
      </c>
      <c r="C826" s="61" t="s">
        <v>4591</v>
      </c>
      <c r="D826" t="s">
        <v>4592</v>
      </c>
      <c r="E826" t="s">
        <v>2329</v>
      </c>
      <c r="F826" t="str">
        <f>ToJsonArray(supplementary_offering_legacyid[[#Headers],[offeringid]:[mode]],supplementary_offering_legacyid[[#This Row],[offeringid]:[mode]])</f>
        <v>{"offeringid":"920002101","name":"Data 17.5GB_920002101","mode":"N"}</v>
      </c>
      <c r="G826" t="str">
        <f>ToJsonArray(supplementary_offering_legacyid[[#This Row],[Semilla04]],supplementary_offering_legacyid[[#This Row],[Json]])</f>
        <v>{"200021-01":{"offeringid":"920002101","name":"Data 17.5GB_920002101","mode":"N"}}</v>
      </c>
    </row>
    <row r="827" spans="1:7" x14ac:dyDescent="0.25">
      <c r="A827" s="60" t="s">
        <v>4593</v>
      </c>
      <c r="B827" t="str">
        <f>findKey(supplementary_offering_legacyid[[#This Row],[Produccion]])</f>
        <v>200021-35</v>
      </c>
      <c r="C827" s="61" t="s">
        <v>4594</v>
      </c>
      <c r="D827" t="s">
        <v>4595</v>
      </c>
      <c r="E827" t="s">
        <v>2329</v>
      </c>
      <c r="F827" t="str">
        <f>ToJsonArray(supplementary_offering_legacyid[[#Headers],[offeringid]:[mode]],supplementary_offering_legacyid[[#This Row],[offeringid]:[mode]])</f>
        <v>{"offeringid":"920002135","name":"Data 16.5GB_920002135","mode":"N"}</v>
      </c>
      <c r="G827" t="str">
        <f>ToJsonArray(supplementary_offering_legacyid[[#This Row],[Semilla04]],supplementary_offering_legacyid[[#This Row],[Json]])</f>
        <v>{"200021-35":{"offeringid":"920002135","name":"Data 16.5GB_920002135","mode":"N"}}</v>
      </c>
    </row>
    <row r="828" spans="1:7" x14ac:dyDescent="0.25">
      <c r="A828" s="60" t="s">
        <v>4596</v>
      </c>
      <c r="B828" t="str">
        <f>findKey(supplementary_offering_legacyid[[#This Row],[Produccion]])</f>
        <v>200021-36</v>
      </c>
      <c r="C828" s="61" t="s">
        <v>4597</v>
      </c>
      <c r="D828" t="s">
        <v>4598</v>
      </c>
      <c r="E828" t="s">
        <v>2329</v>
      </c>
      <c r="F828" t="str">
        <f>ToJsonArray(supplementary_offering_legacyid[[#Headers],[offeringid]:[mode]],supplementary_offering_legacyid[[#This Row],[offeringid]:[mode]])</f>
        <v>{"offeringid":"920002136","name":"Data 17.5GB_920002136","mode":"N"}</v>
      </c>
      <c r="G828" t="str">
        <f>ToJsonArray(supplementary_offering_legacyid[[#This Row],[Semilla04]],supplementary_offering_legacyid[[#This Row],[Json]])</f>
        <v>{"200021-36":{"offeringid":"920002136","name":"Data 17.5GB_920002136","mode":"N"}}</v>
      </c>
    </row>
    <row r="829" spans="1:7" x14ac:dyDescent="0.25">
      <c r="A829" s="60" t="s">
        <v>4599</v>
      </c>
      <c r="B829" t="str">
        <f>findKey(supplementary_offering_legacyid[[#This Row],[Produccion]])</f>
        <v>200021-37</v>
      </c>
      <c r="C829" s="61" t="s">
        <v>4600</v>
      </c>
      <c r="D829" t="s">
        <v>4601</v>
      </c>
      <c r="E829" t="s">
        <v>2329</v>
      </c>
      <c r="F829" t="str">
        <f>ToJsonArray(supplementary_offering_legacyid[[#Headers],[offeringid]:[mode]],supplementary_offering_legacyid[[#This Row],[offeringid]:[mode]])</f>
        <v>{"offeringid":"920002137","name":"Data 18.5GB_920002137","mode":"N"}</v>
      </c>
      <c r="G829" t="str">
        <f>ToJsonArray(supplementary_offering_legacyid[[#This Row],[Semilla04]],supplementary_offering_legacyid[[#This Row],[Json]])</f>
        <v>{"200021-37":{"offeringid":"920002137","name":"Data 18.5GB_920002137","mode":"N"}}</v>
      </c>
    </row>
    <row r="830" spans="1:7" x14ac:dyDescent="0.25">
      <c r="A830" s="60" t="s">
        <v>4602</v>
      </c>
      <c r="B830" t="str">
        <f>findKey(supplementary_offering_legacyid[[#This Row],[Produccion]])</f>
        <v>200021-38</v>
      </c>
      <c r="C830" s="61" t="s">
        <v>4603</v>
      </c>
      <c r="D830" t="s">
        <v>4604</v>
      </c>
      <c r="E830" t="s">
        <v>2329</v>
      </c>
      <c r="F830" t="str">
        <f>ToJsonArray(supplementary_offering_legacyid[[#Headers],[offeringid]:[mode]],supplementary_offering_legacyid[[#This Row],[offeringid]:[mode]])</f>
        <v>{"offeringid":"920002138","name":"Data 23.5GB_920002138","mode":"N"}</v>
      </c>
      <c r="G830" t="str">
        <f>ToJsonArray(supplementary_offering_legacyid[[#This Row],[Semilla04]],supplementary_offering_legacyid[[#This Row],[Json]])</f>
        <v>{"200021-38":{"offeringid":"920002138","name":"Data 23.5GB_920002138","mode":"N"}}</v>
      </c>
    </row>
    <row r="831" spans="1:7" x14ac:dyDescent="0.25">
      <c r="A831" s="60" t="s">
        <v>4605</v>
      </c>
      <c r="B831" t="str">
        <f>findKey(supplementary_offering_legacyid[[#This Row],[Produccion]])</f>
        <v>200021-39</v>
      </c>
      <c r="C831" s="61" t="s">
        <v>4606</v>
      </c>
      <c r="D831" t="s">
        <v>4607</v>
      </c>
      <c r="E831" t="s">
        <v>2329</v>
      </c>
      <c r="F831" t="str">
        <f>ToJsonArray(supplementary_offering_legacyid[[#Headers],[offeringid]:[mode]],supplementary_offering_legacyid[[#This Row],[offeringid]:[mode]])</f>
        <v>{"offeringid":"920002139","name":"Data 0.5GB_920002139","mode":"N"}</v>
      </c>
      <c r="G831" t="str">
        <f>ToJsonArray(supplementary_offering_legacyid[[#This Row],[Semilla04]],supplementary_offering_legacyid[[#This Row],[Json]])</f>
        <v>{"200021-39":{"offeringid":"920002139","name":"Data 0.5GB_920002139","mode":"N"}}</v>
      </c>
    </row>
    <row r="832" spans="1:7" x14ac:dyDescent="0.25">
      <c r="A832" s="60" t="s">
        <v>4608</v>
      </c>
      <c r="B832" t="str">
        <f>findKey(supplementary_offering_legacyid[[#This Row],[Produccion]])</f>
        <v>200021-40</v>
      </c>
      <c r="C832" s="61" t="s">
        <v>4609</v>
      </c>
      <c r="D832" t="s">
        <v>4610</v>
      </c>
      <c r="E832" t="s">
        <v>2329</v>
      </c>
      <c r="F832" t="str">
        <f>ToJsonArray(supplementary_offering_legacyid[[#Headers],[offeringid]:[mode]],supplementary_offering_legacyid[[#This Row],[offeringid]:[mode]])</f>
        <v>{"offeringid":"920002140","name":"Data 0.8GB_920002140","mode":"N"}</v>
      </c>
      <c r="G832" t="str">
        <f>ToJsonArray(supplementary_offering_legacyid[[#This Row],[Semilla04]],supplementary_offering_legacyid[[#This Row],[Json]])</f>
        <v>{"200021-40":{"offeringid":"920002140","name":"Data 0.8GB_920002140","mode":"N"}}</v>
      </c>
    </row>
    <row r="833" spans="1:7" x14ac:dyDescent="0.25">
      <c r="A833" s="60" t="s">
        <v>4611</v>
      </c>
      <c r="B833" t="str">
        <f>findKey(supplementary_offering_legacyid[[#This Row],[Produccion]])</f>
        <v>200021-41</v>
      </c>
      <c r="C833" s="61" t="s">
        <v>4612</v>
      </c>
      <c r="D833" t="s">
        <v>4613</v>
      </c>
      <c r="E833" t="s">
        <v>2329</v>
      </c>
      <c r="F833" t="str">
        <f>ToJsonArray(supplementary_offering_legacyid[[#Headers],[offeringid]:[mode]],supplementary_offering_legacyid[[#This Row],[offeringid]:[mode]])</f>
        <v>{"offeringid":"920002141","name":"Data 1GB_920002141","mode":"N"}</v>
      </c>
      <c r="G833" t="str">
        <f>ToJsonArray(supplementary_offering_legacyid[[#This Row],[Semilla04]],supplementary_offering_legacyid[[#This Row],[Json]])</f>
        <v>{"200021-41":{"offeringid":"920002141","name":"Data 1GB_920002141","mode":"N"}}</v>
      </c>
    </row>
    <row r="834" spans="1:7" x14ac:dyDescent="0.25">
      <c r="A834" s="60" t="s">
        <v>4614</v>
      </c>
      <c r="B834" t="str">
        <f>findKey(supplementary_offering_legacyid[[#This Row],[Produccion]])</f>
        <v>300301-01</v>
      </c>
      <c r="C834" s="61" t="s">
        <v>4615</v>
      </c>
      <c r="D834" t="s">
        <v>4616</v>
      </c>
      <c r="E834" t="s">
        <v>2329</v>
      </c>
      <c r="F834" t="str">
        <f>ToJsonArray(supplementary_offering_legacyid[[#Headers],[offeringid]:[mode]],supplementary_offering_legacyid[[#This Row],[offeringid]:[mode]])</f>
        <v>{"offeringid":"930030101","name":"Sms - OnNet - Bajo_930030101","mode":"N"}</v>
      </c>
      <c r="G834" t="str">
        <f>ToJsonArray(supplementary_offering_legacyid[[#This Row],[Semilla04]],supplementary_offering_legacyid[[#This Row],[Json]])</f>
        <v>{"300301-01":{"offeringid":"930030101","name":"Sms - OnNet - Bajo_930030101","mode":"N"}}</v>
      </c>
    </row>
    <row r="835" spans="1:7" x14ac:dyDescent="0.25">
      <c r="A835" s="60" t="s">
        <v>4617</v>
      </c>
      <c r="B835" t="str">
        <f>findKey(supplementary_offering_legacyid[[#This Row],[Produccion]])</f>
        <v>300301-03</v>
      </c>
      <c r="C835" s="61" t="s">
        <v>4618</v>
      </c>
      <c r="D835" t="s">
        <v>4619</v>
      </c>
      <c r="E835" t="s">
        <v>2329</v>
      </c>
      <c r="F835" t="str">
        <f>ToJsonArray(supplementary_offering_legacyid[[#Headers],[offeringid]:[mode]],supplementary_offering_legacyid[[#This Row],[offeringid]:[mode]])</f>
        <v>{"offeringid":"930030103","name":"Sms - OnNet - Medio_930030103","mode":"N"}</v>
      </c>
      <c r="G835" t="str">
        <f>ToJsonArray(supplementary_offering_legacyid[[#This Row],[Semilla04]],supplementary_offering_legacyid[[#This Row],[Json]])</f>
        <v>{"300301-03":{"offeringid":"930030103","name":"Sms - OnNet - Medio_930030103","mode":"N"}}</v>
      </c>
    </row>
    <row r="836" spans="1:7" x14ac:dyDescent="0.25">
      <c r="A836" s="60" t="s">
        <v>4620</v>
      </c>
      <c r="B836" t="str">
        <f>findKey(supplementary_offering_legacyid[[#This Row],[Produccion]])</f>
        <v>300301-04</v>
      </c>
      <c r="C836" s="61" t="s">
        <v>4621</v>
      </c>
      <c r="D836" t="s">
        <v>4622</v>
      </c>
      <c r="E836" t="s">
        <v>2329</v>
      </c>
      <c r="F836" t="str">
        <f>ToJsonArray(supplementary_offering_legacyid[[#Headers],[offeringid]:[mode]],supplementary_offering_legacyid[[#This Row],[offeringid]:[mode]])</f>
        <v>{"offeringid":"930030104","name":"Sms-OnNet-1000_930030104","mode":"N"}</v>
      </c>
      <c r="G836" t="str">
        <f>ToJsonArray(supplementary_offering_legacyid[[#This Row],[Semilla04]],supplementary_offering_legacyid[[#This Row],[Json]])</f>
        <v>{"300301-04":{"offeringid":"930030104","name":"Sms-OnNet-1000_930030104","mode":"N"}}</v>
      </c>
    </row>
    <row r="837" spans="1:7" x14ac:dyDescent="0.25">
      <c r="A837" s="60" t="s">
        <v>4623</v>
      </c>
      <c r="B837" t="str">
        <f>findKey(supplementary_offering_legacyid[[#This Row],[Produccion]])</f>
        <v>300301-08</v>
      </c>
      <c r="C837" s="61" t="s">
        <v>4624</v>
      </c>
      <c r="D837" t="s">
        <v>4625</v>
      </c>
      <c r="E837" t="s">
        <v>2329</v>
      </c>
      <c r="F837" t="str">
        <f>ToJsonArray(supplementary_offering_legacyid[[#Headers],[offeringid]:[mode]],supplementary_offering_legacyid[[#This Row],[offeringid]:[mode]])</f>
        <v>{"offeringid":"930030108","name":"Sms-OnNet-100s_930030108","mode":"N"}</v>
      </c>
      <c r="G837" t="str">
        <f>ToJsonArray(supplementary_offering_legacyid[[#This Row],[Semilla04]],supplementary_offering_legacyid[[#This Row],[Json]])</f>
        <v>{"300301-08":{"offeringid":"930030108","name":"Sms-OnNet-100s_930030108","mode":"N"}}</v>
      </c>
    </row>
    <row r="838" spans="1:7" x14ac:dyDescent="0.25">
      <c r="A838" s="60" t="s">
        <v>4626</v>
      </c>
      <c r="B838" t="str">
        <f>findKey(supplementary_offering_legacyid[[#This Row],[Produccion]])</f>
        <v>300302-00</v>
      </c>
      <c r="C838" s="61" t="s">
        <v>4627</v>
      </c>
      <c r="D838" t="s">
        <v>4628</v>
      </c>
      <c r="E838" t="s">
        <v>2329</v>
      </c>
      <c r="F838" t="str">
        <f>ToJsonArray(supplementary_offering_legacyid[[#Headers],[offeringid]:[mode]],supplementary_offering_legacyid[[#This Row],[offeringid]:[mode]])</f>
        <v>{"offeringid":"930030200","name":"Sms - Todo destino - Bajo 0_930030200","mode":"N"}</v>
      </c>
      <c r="G838" t="str">
        <f>ToJsonArray(supplementary_offering_legacyid[[#This Row],[Semilla04]],supplementary_offering_legacyid[[#This Row],[Json]])</f>
        <v>{"300302-00":{"offeringid":"930030200","name":"Sms - Todo destino - Bajo 0_930030200","mode":"N"}}</v>
      </c>
    </row>
    <row r="839" spans="1:7" x14ac:dyDescent="0.25">
      <c r="A839" s="60" t="s">
        <v>4629</v>
      </c>
      <c r="B839" t="str">
        <f>findKey(supplementary_offering_legacyid[[#This Row],[Produccion]])</f>
        <v>300302-01</v>
      </c>
      <c r="C839" s="61" t="s">
        <v>4630</v>
      </c>
      <c r="D839" t="s">
        <v>4631</v>
      </c>
      <c r="E839" t="s">
        <v>2329</v>
      </c>
      <c r="F839" t="str">
        <f>ToJsonArray(supplementary_offering_legacyid[[#Headers],[offeringid]:[mode]],supplementary_offering_legacyid[[#This Row],[offeringid]:[mode]])</f>
        <v>{"offeringid":"930030201","name":"Sms - Todo destino - Bajo 1_930030201","mode":"N"}</v>
      </c>
      <c r="G839" t="str">
        <f>ToJsonArray(supplementary_offering_legacyid[[#This Row],[Semilla04]],supplementary_offering_legacyid[[#This Row],[Json]])</f>
        <v>{"300302-01":{"offeringid":"930030201","name":"Sms - Todo destino - Bajo 1_930030201","mode":"N"}}</v>
      </c>
    </row>
    <row r="840" spans="1:7" x14ac:dyDescent="0.25">
      <c r="A840" s="60" t="s">
        <v>4632</v>
      </c>
      <c r="B840" t="str">
        <f>findKey(supplementary_offering_legacyid[[#This Row],[Produccion]])</f>
        <v>300302-02</v>
      </c>
      <c r="C840" s="61" t="s">
        <v>4633</v>
      </c>
      <c r="D840" t="s">
        <v>4634</v>
      </c>
      <c r="E840" t="s">
        <v>2329</v>
      </c>
      <c r="F840" t="str">
        <f>ToJsonArray(supplementary_offering_legacyid[[#Headers],[offeringid]:[mode]],supplementary_offering_legacyid[[#This Row],[offeringid]:[mode]])</f>
        <v>{"offeringid":"930030202","name":"Sms-TD-Bajo 2-50sms_930030202","mode":"N"}</v>
      </c>
      <c r="G840" t="str">
        <f>ToJsonArray(supplementary_offering_legacyid[[#This Row],[Semilla04]],supplementary_offering_legacyid[[#This Row],[Json]])</f>
        <v>{"300302-02":{"offeringid":"930030202","name":"Sms-TD-Bajo 2-50sms_930030202","mode":"N"}}</v>
      </c>
    </row>
    <row r="841" spans="1:7" x14ac:dyDescent="0.25">
      <c r="A841" s="60" t="s">
        <v>4635</v>
      </c>
      <c r="B841" t="str">
        <f>findKey(supplementary_offering_legacyid[[#This Row],[Produccion]])</f>
        <v>300302-04</v>
      </c>
      <c r="C841" s="61" t="s">
        <v>4636</v>
      </c>
      <c r="D841" t="s">
        <v>4637</v>
      </c>
      <c r="E841" t="s">
        <v>2329</v>
      </c>
      <c r="F841" t="str">
        <f>ToJsonArray(supplementary_offering_legacyid[[#Headers],[offeringid]:[mode]],supplementary_offering_legacyid[[#This Row],[offeringid]:[mode]])</f>
        <v>{"offeringid":"930030204","name":"Sms-TD-Medio 2-100sms_930030204","mode":"N"}</v>
      </c>
      <c r="G841" t="str">
        <f>ToJsonArray(supplementary_offering_legacyid[[#This Row],[Semilla04]],supplementary_offering_legacyid[[#This Row],[Json]])</f>
        <v>{"300302-04":{"offeringid":"930030204","name":"Sms-TD-Medio 2-100sms_930030204","mode":"N"}}</v>
      </c>
    </row>
    <row r="842" spans="1:7" x14ac:dyDescent="0.25">
      <c r="A842" s="60" t="s">
        <v>4638</v>
      </c>
      <c r="B842" t="str">
        <f>findKey(supplementary_offering_legacyid[[#This Row],[Produccion]])</f>
        <v>300302-06</v>
      </c>
      <c r="C842" s="61" t="s">
        <v>4639</v>
      </c>
      <c r="D842" t="s">
        <v>4640</v>
      </c>
      <c r="E842" t="s">
        <v>2329</v>
      </c>
      <c r="F842" t="str">
        <f>ToJsonArray(supplementary_offering_legacyid[[#Headers],[offeringid]:[mode]],supplementary_offering_legacyid[[#This Row],[offeringid]:[mode]])</f>
        <v>{"offeringid":"930030206","name":"Sms-TD-10s_930030206","mode":"N"}</v>
      </c>
      <c r="G842" t="str">
        <f>ToJsonArray(supplementary_offering_legacyid[[#This Row],[Semilla04]],supplementary_offering_legacyid[[#This Row],[Json]])</f>
        <v>{"300302-06":{"offeringid":"930030206","name":"Sms-TD-10s_930030206","mode":"N"}}</v>
      </c>
    </row>
    <row r="843" spans="1:7" x14ac:dyDescent="0.25">
      <c r="A843" s="60" t="s">
        <v>4641</v>
      </c>
      <c r="B843" t="str">
        <f>findKey(supplementary_offering_legacyid[[#This Row],[Produccion]])</f>
        <v>300302-07</v>
      </c>
      <c r="C843" s="61" t="s">
        <v>4642</v>
      </c>
      <c r="D843" t="s">
        <v>4643</v>
      </c>
      <c r="E843" t="s">
        <v>2329</v>
      </c>
      <c r="F843" t="str">
        <f>ToJsonArray(supplementary_offering_legacyid[[#Headers],[offeringid]:[mode]],supplementary_offering_legacyid[[#This Row],[offeringid]:[mode]])</f>
        <v>{"offeringid":"930030207","name":"Sms-TD-20s_930030207","mode":"N"}</v>
      </c>
      <c r="G843" t="str">
        <f>ToJsonArray(supplementary_offering_legacyid[[#This Row],[Semilla04]],supplementary_offering_legacyid[[#This Row],[Json]])</f>
        <v>{"300302-07":{"offeringid":"930030207","name":"Sms-TD-20s_930030207","mode":"N"}}</v>
      </c>
    </row>
    <row r="844" spans="1:7" x14ac:dyDescent="0.25">
      <c r="A844" s="60" t="s">
        <v>4644</v>
      </c>
      <c r="B844" t="str">
        <f>findKey(supplementary_offering_legacyid[[#This Row],[Produccion]])</f>
        <v>300302-08</v>
      </c>
      <c r="C844" s="61" t="s">
        <v>4645</v>
      </c>
      <c r="D844" t="s">
        <v>4646</v>
      </c>
      <c r="E844" t="s">
        <v>2329</v>
      </c>
      <c r="F844" t="str">
        <f>ToJsonArray(supplementary_offering_legacyid[[#Headers],[offeringid]:[mode]],supplementary_offering_legacyid[[#This Row],[offeringid]:[mode]])</f>
        <v>{"offeringid":"930030208","name":"Sms-TD-40s_930030208","mode":"N"}</v>
      </c>
      <c r="G844" t="str">
        <f>ToJsonArray(supplementary_offering_legacyid[[#This Row],[Semilla04]],supplementary_offering_legacyid[[#This Row],[Json]])</f>
        <v>{"300302-08":{"offeringid":"930030208","name":"Sms-TD-40s_930030208","mode":"N"}}</v>
      </c>
    </row>
    <row r="845" spans="1:7" x14ac:dyDescent="0.25">
      <c r="A845" s="60" t="s">
        <v>4647</v>
      </c>
      <c r="B845" t="str">
        <f>findKey(supplementary_offering_legacyid[[#This Row],[Produccion]])</f>
        <v>300302-09</v>
      </c>
      <c r="C845" s="61" t="s">
        <v>4648</v>
      </c>
      <c r="D845" t="s">
        <v>4649</v>
      </c>
      <c r="E845" t="s">
        <v>2329</v>
      </c>
      <c r="F845" t="str">
        <f>ToJsonArray(supplementary_offering_legacyid[[#Headers],[offeringid]:[mode]],supplementary_offering_legacyid[[#This Row],[offeringid]:[mode]])</f>
        <v>{"offeringid":"930030209","name":"Sms-TD-60s_930030209","mode":"N"}</v>
      </c>
      <c r="G845" t="str">
        <f>ToJsonArray(supplementary_offering_legacyid[[#This Row],[Semilla04]],supplementary_offering_legacyid[[#This Row],[Json]])</f>
        <v>{"300302-09":{"offeringid":"930030209","name":"Sms-TD-60s_930030209","mode":"N"}}</v>
      </c>
    </row>
    <row r="846" spans="1:7" x14ac:dyDescent="0.25">
      <c r="A846" s="60" t="s">
        <v>4650</v>
      </c>
      <c r="B846" t="str">
        <f>findKey(supplementary_offering_legacyid[[#This Row],[Produccion]])</f>
        <v>300302-19</v>
      </c>
      <c r="C846" s="61" t="s">
        <v>4651</v>
      </c>
      <c r="D846" t="s">
        <v>4652</v>
      </c>
      <c r="E846" t="s">
        <v>2329</v>
      </c>
      <c r="F846" t="str">
        <f>ToJsonArray(supplementary_offering_legacyid[[#Headers],[offeringid]:[mode]],supplementary_offering_legacyid[[#This Row],[offeringid]:[mode]])</f>
        <v>{"offeringid":"930030219","name":"Sms-TD-200_930030219","mode":"N"}</v>
      </c>
      <c r="G846" t="str">
        <f>ToJsonArray(supplementary_offering_legacyid[[#This Row],[Semilla04]],supplementary_offering_legacyid[[#This Row],[Json]])</f>
        <v>{"300302-19":{"offeringid":"930030219","name":"Sms-TD-200_930030219","mode":"N"}}</v>
      </c>
    </row>
    <row r="847" spans="1:7" x14ac:dyDescent="0.25">
      <c r="A847" s="60" t="s">
        <v>4653</v>
      </c>
      <c r="B847" t="str">
        <f>findKey(supplementary_offering_legacyid[[#This Row],[Produccion]])</f>
        <v>300302-20</v>
      </c>
      <c r="C847" s="61" t="s">
        <v>4654</v>
      </c>
      <c r="D847" t="s">
        <v>4655</v>
      </c>
      <c r="E847" t="s">
        <v>2329</v>
      </c>
      <c r="F847" t="str">
        <f>ToJsonArray(supplementary_offering_legacyid[[#Headers],[offeringid]:[mode]],supplementary_offering_legacyid[[#This Row],[offeringid]:[mode]])</f>
        <v>{"offeringid":"930030220","name":"Sms-TD-20_930030220","mode":"N"}</v>
      </c>
      <c r="G847" t="str">
        <f>ToJsonArray(supplementary_offering_legacyid[[#This Row],[Semilla04]],supplementary_offering_legacyid[[#This Row],[Json]])</f>
        <v>{"300302-20":{"offeringid":"930030220","name":"Sms-TD-20_930030220","mode":"N"}}</v>
      </c>
    </row>
    <row r="848" spans="1:7" x14ac:dyDescent="0.25">
      <c r="A848" s="60" t="s">
        <v>4656</v>
      </c>
      <c r="B848" t="str">
        <f>findKey(supplementary_offering_legacyid[[#This Row],[Produccion]])</f>
        <v>300302-22</v>
      </c>
      <c r="C848" s="61" t="s">
        <v>4657</v>
      </c>
      <c r="D848" t="s">
        <v>4658</v>
      </c>
      <c r="E848" t="s">
        <v>2329</v>
      </c>
      <c r="F848" t="str">
        <f>ToJsonArray(supplementary_offering_legacyid[[#Headers],[offeringid]:[mode]],supplementary_offering_legacyid[[#This Row],[offeringid]:[mode]])</f>
        <v>{"offeringid":"930030222","name":"Sms-TD-50_930030222","mode":"N"}</v>
      </c>
      <c r="G848" t="str">
        <f>ToJsonArray(supplementary_offering_legacyid[[#This Row],[Semilla04]],supplementary_offering_legacyid[[#This Row],[Json]])</f>
        <v>{"300302-22":{"offeringid":"930030222","name":"Sms-TD-50_930030222","mode":"N"}}</v>
      </c>
    </row>
    <row r="849" spans="1:7" x14ac:dyDescent="0.25">
      <c r="A849" s="60" t="s">
        <v>4659</v>
      </c>
      <c r="B849" t="str">
        <f>findKey(supplementary_offering_legacyid[[#This Row],[Produccion]])</f>
        <v>300302-24</v>
      </c>
      <c r="C849" s="61" t="s">
        <v>4660</v>
      </c>
      <c r="D849" t="s">
        <v>4661</v>
      </c>
      <c r="E849" t="s">
        <v>2329</v>
      </c>
      <c r="F849" t="str">
        <f>ToJsonArray(supplementary_offering_legacyid[[#Headers],[offeringid]:[mode]],supplementary_offering_legacyid[[#This Row],[offeringid]:[mode]])</f>
        <v>{"offeringid":"930030224","name":"Sms-TD-100_930030224","mode":"N"}</v>
      </c>
      <c r="G849" t="str">
        <f>ToJsonArray(supplementary_offering_legacyid[[#This Row],[Semilla04]],supplementary_offering_legacyid[[#This Row],[Json]])</f>
        <v>{"300302-24":{"offeringid":"930030224","name":"Sms-TD-100_930030224","mode":"N"}}</v>
      </c>
    </row>
    <row r="850" spans="1:7" x14ac:dyDescent="0.25">
      <c r="A850" s="60" t="s">
        <v>4662</v>
      </c>
      <c r="B850" t="str">
        <f>findKey(supplementary_offering_legacyid[[#This Row],[Produccion]])</f>
        <v>300302-27</v>
      </c>
      <c r="C850" s="61" t="s">
        <v>4663</v>
      </c>
      <c r="D850" t="s">
        <v>4664</v>
      </c>
      <c r="E850" t="s">
        <v>2329</v>
      </c>
      <c r="F850" t="str">
        <f>ToJsonArray(supplementary_offering_legacyid[[#Headers],[offeringid]:[mode]],supplementary_offering_legacyid[[#This Row],[offeringid]:[mode]])</f>
        <v>{"offeringid":"930030227","name":"Sms-TD-Ilimitado_930030227","mode":"N"}</v>
      </c>
      <c r="G850" t="str">
        <f>ToJsonArray(supplementary_offering_legacyid[[#This Row],[Semilla04]],supplementary_offering_legacyid[[#This Row],[Json]])</f>
        <v>{"300302-27":{"offeringid":"930030227","name":"Sms-TD-Ilimitado_930030227","mode":"N"}}</v>
      </c>
    </row>
    <row r="851" spans="1:7" x14ac:dyDescent="0.25">
      <c r="A851" s="60" t="s">
        <v>4665</v>
      </c>
      <c r="B851" t="str">
        <f>findKey(supplementary_offering_legacyid[[#This Row],[Produccion]])</f>
        <v>300302-31</v>
      </c>
      <c r="C851" s="61" t="s">
        <v>4666</v>
      </c>
      <c r="D851" t="s">
        <v>4667</v>
      </c>
      <c r="E851" t="s">
        <v>2329</v>
      </c>
      <c r="F851" t="str">
        <f>ToJsonArray(supplementary_offering_legacyid[[#Headers],[offeringid]:[mode]],supplementary_offering_legacyid[[#This Row],[offeringid]:[mode]])</f>
        <v>{"offeringid":"930030231","name":"Sms-TD-Ilimitado_930030231","mode":"N"}</v>
      </c>
      <c r="G851" t="str">
        <f>ToJsonArray(supplementary_offering_legacyid[[#This Row],[Semilla04]],supplementary_offering_legacyid[[#This Row],[Json]])</f>
        <v>{"300302-31":{"offeringid":"930030231","name":"Sms-TD-Ilimitado_930030231","mode":"N"}}</v>
      </c>
    </row>
    <row r="852" spans="1:7" x14ac:dyDescent="0.25">
      <c r="A852" s="60" t="s">
        <v>4668</v>
      </c>
      <c r="B852" t="str">
        <f>findKey(supplementary_offering_legacyid[[#This Row],[Produccion]])</f>
        <v>301302-03</v>
      </c>
      <c r="C852" s="61" t="s">
        <v>4669</v>
      </c>
      <c r="D852" t="s">
        <v>4670</v>
      </c>
      <c r="E852" t="s">
        <v>2329</v>
      </c>
      <c r="F852" t="str">
        <f>ToJsonArray(supplementary_offering_legacyid[[#Headers],[offeringid]:[mode]],supplementary_offering_legacyid[[#This Row],[offeringid]:[mode]])</f>
        <v>{"offeringid":"930130203","name":"Sms - Todo destino - Regalo 1_930130203","mode":"N"}</v>
      </c>
      <c r="G852" t="str">
        <f>ToJsonArray(supplementary_offering_legacyid[[#This Row],[Semilla04]],supplementary_offering_legacyid[[#This Row],[Json]])</f>
        <v>{"301302-03":{"offeringid":"930130203","name":"Sms - Todo destino - Regalo 1_930130203","mode":"N"}}</v>
      </c>
    </row>
    <row r="853" spans="1:7" x14ac:dyDescent="0.25">
      <c r="A853" s="60" t="s">
        <v>4671</v>
      </c>
      <c r="B853" t="str">
        <f>findKey(supplementary_offering_legacyid[[#This Row],[Produccion]])</f>
        <v>500000-01</v>
      </c>
      <c r="C853" s="61" t="s">
        <v>4672</v>
      </c>
      <c r="D853" t="s">
        <v>4673</v>
      </c>
      <c r="E853" t="s">
        <v>2329</v>
      </c>
      <c r="F853" t="str">
        <f>ToJsonArray(supplementary_offering_legacyid[[#Headers],[offeringid]:[mode]],supplementary_offering_legacyid[[#This Row],[offeringid]:[mode]])</f>
        <v>{"offeringid":"950000001","name":"Favorito 1_950000001","mode":"N"}</v>
      </c>
      <c r="G853" t="str">
        <f>ToJsonArray(supplementary_offering_legacyid[[#This Row],[Semilla04]],supplementary_offering_legacyid[[#This Row],[Json]])</f>
        <v>{"500000-01":{"offeringid":"950000001","name":"Favorito 1_950000001","mode":"N"}}</v>
      </c>
    </row>
    <row r="854" spans="1:7" x14ac:dyDescent="0.25">
      <c r="A854" s="60" t="s">
        <v>4674</v>
      </c>
      <c r="B854" t="str">
        <f>findKey(supplementary_offering_legacyid[[#This Row],[Produccion]])</f>
        <v>500000-02</v>
      </c>
      <c r="C854" s="61" t="s">
        <v>4675</v>
      </c>
      <c r="D854" t="s">
        <v>4676</v>
      </c>
      <c r="E854" t="s">
        <v>2329</v>
      </c>
      <c r="F854" t="str">
        <f>ToJsonArray(supplementary_offering_legacyid[[#Headers],[offeringid]:[mode]],supplementary_offering_legacyid[[#This Row],[offeringid]:[mode]])</f>
        <v>{"offeringid":"950000002","name":"Favorito 2_950000002","mode":"N"}</v>
      </c>
      <c r="G854" t="str">
        <f>ToJsonArray(supplementary_offering_legacyid[[#This Row],[Semilla04]],supplementary_offering_legacyid[[#This Row],[Json]])</f>
        <v>{"500000-02":{"offeringid":"950000002","name":"Favorito 2_950000002","mode":"N"}}</v>
      </c>
    </row>
    <row r="855" spans="1:7" x14ac:dyDescent="0.25">
      <c r="A855" s="60" t="s">
        <v>4677</v>
      </c>
      <c r="B855" t="str">
        <f>findKey(supplementary_offering_legacyid[[#This Row],[Produccion]])</f>
        <v>500000-03</v>
      </c>
      <c r="C855" s="61" t="s">
        <v>4678</v>
      </c>
      <c r="D855" t="s">
        <v>4679</v>
      </c>
      <c r="E855" t="s">
        <v>2329</v>
      </c>
      <c r="F855" t="str">
        <f>ToJsonArray(supplementary_offering_legacyid[[#Headers],[offeringid]:[mode]],supplementary_offering_legacyid[[#This Row],[offeringid]:[mode]])</f>
        <v>{"offeringid":"950000003","name":"Favorito 3_950000003","mode":"N"}</v>
      </c>
      <c r="G855" t="str">
        <f>ToJsonArray(supplementary_offering_legacyid[[#This Row],[Semilla04]],supplementary_offering_legacyid[[#This Row],[Json]])</f>
        <v>{"500000-03":{"offeringid":"950000003","name":"Favorito 3_950000003","mode":"N"}}</v>
      </c>
    </row>
    <row r="856" spans="1:7" x14ac:dyDescent="0.25">
      <c r="A856" s="60" t="s">
        <v>4680</v>
      </c>
      <c r="B856" t="str">
        <f>findKey(supplementary_offering_legacyid[[#This Row],[Produccion]])</f>
        <v>500000-05</v>
      </c>
      <c r="C856" s="61" t="s">
        <v>4681</v>
      </c>
      <c r="D856" t="s">
        <v>4682</v>
      </c>
      <c r="E856" t="s">
        <v>2329</v>
      </c>
      <c r="F856" t="str">
        <f>ToJsonArray(supplementary_offering_legacyid[[#Headers],[offeringid]:[mode]],supplementary_offering_legacyid[[#This Row],[offeringid]:[mode]])</f>
        <v>{"offeringid":"950000005","name":"Favorito 5_950000005","mode":"N"}</v>
      </c>
      <c r="G856" t="str">
        <f>ToJsonArray(supplementary_offering_legacyid[[#This Row],[Semilla04]],supplementary_offering_legacyid[[#This Row],[Json]])</f>
        <v>{"500000-05":{"offeringid":"950000005","name":"Favorito 5_950000005","mode":"N"}}</v>
      </c>
    </row>
    <row r="857" spans="1:7" x14ac:dyDescent="0.25">
      <c r="A857" s="60" t="s">
        <v>4683</v>
      </c>
      <c r="B857" t="str">
        <f>findKey(supplementary_offering_legacyid[[#This Row],[Produccion]])</f>
        <v>500000-22</v>
      </c>
      <c r="C857" s="61" t="s">
        <v>4684</v>
      </c>
      <c r="D857" t="s">
        <v>4685</v>
      </c>
      <c r="E857" t="s">
        <v>2329</v>
      </c>
      <c r="F857" t="str">
        <f>ToJsonArray(supplementary_offering_legacyid[[#Headers],[offeringid]:[mode]],supplementary_offering_legacyid[[#This Row],[offeringid]:[mode]])</f>
        <v>{"offeringid":"950000022","name":"Favorito 2b_950000022","mode":"N"}</v>
      </c>
      <c r="G857" t="str">
        <f>ToJsonArray(supplementary_offering_legacyid[[#This Row],[Semilla04]],supplementary_offering_legacyid[[#This Row],[Json]])</f>
        <v>{"500000-22":{"offeringid":"950000022","name":"Favorito 2b_950000022","mode":"N"}}</v>
      </c>
    </row>
    <row r="858" spans="1:7" x14ac:dyDescent="0.25">
      <c r="A858" s="60" t="s">
        <v>4686</v>
      </c>
      <c r="B858" t="str">
        <f>findKey(supplementary_offering_legacyid[[#This Row],[Produccion]])</f>
        <v>500000-29</v>
      </c>
      <c r="C858" s="61" t="s">
        <v>4687</v>
      </c>
      <c r="D858" t="s">
        <v>4688</v>
      </c>
      <c r="E858" t="s">
        <v>2329</v>
      </c>
      <c r="F858" t="str">
        <f>ToJsonArray(supplementary_offering_legacyid[[#Headers],[offeringid]:[mode]],supplementary_offering_legacyid[[#This Row],[offeringid]:[mode]])</f>
        <v>{"offeringid":"950000029","name":"Favorito 2b 0_950000029","mode":"N"}</v>
      </c>
      <c r="G858" t="str">
        <f>ToJsonArray(supplementary_offering_legacyid[[#This Row],[Semilla04]],supplementary_offering_legacyid[[#This Row],[Json]])</f>
        <v>{"500000-29":{"offeringid":"950000029","name":"Favorito 2b 0_950000029","mode":"N"}}</v>
      </c>
    </row>
    <row r="859" spans="1:7" x14ac:dyDescent="0.25">
      <c r="A859" s="60" t="s">
        <v>4689</v>
      </c>
      <c r="B859" t="str">
        <f>findKey(supplementary_offering_legacyid[[#This Row],[Produccion]])</f>
        <v>500000-30</v>
      </c>
      <c r="C859" s="61" t="s">
        <v>4690</v>
      </c>
      <c r="D859" t="s">
        <v>4691</v>
      </c>
      <c r="E859" t="s">
        <v>2329</v>
      </c>
      <c r="F859" t="str">
        <f>ToJsonArray(supplementary_offering_legacyid[[#Headers],[offeringid]:[mode]],supplementary_offering_legacyid[[#This Row],[offeringid]:[mode]])</f>
        <v>{"offeringid":"950000030","name":"Favorito 30_950000030","mode":"N"}</v>
      </c>
      <c r="G859" t="str">
        <f>ToJsonArray(supplementary_offering_legacyid[[#This Row],[Semilla04]],supplementary_offering_legacyid[[#This Row],[Json]])</f>
        <v>{"500000-30":{"offeringid":"950000030","name":"Favorito 30_950000030","mode":"N"}}</v>
      </c>
    </row>
    <row r="860" spans="1:7" x14ac:dyDescent="0.25">
      <c r="A860" s="60" t="s">
        <v>4692</v>
      </c>
      <c r="B860" t="str">
        <f>findKey(supplementary_offering_legacyid[[#This Row],[Produccion]])</f>
        <v>500000-31</v>
      </c>
      <c r="C860" s="61" t="s">
        <v>4693</v>
      </c>
      <c r="D860" t="s">
        <v>4694</v>
      </c>
      <c r="E860" t="s">
        <v>2329</v>
      </c>
      <c r="F860" t="str">
        <f>ToJsonArray(supplementary_offering_legacyid[[#Headers],[offeringid]:[mode]],supplementary_offering_legacyid[[#This Row],[offeringid]:[mode]])</f>
        <v>{"offeringid":"950000031","name":"Favorito 31_950000031","mode":"N"}</v>
      </c>
      <c r="G860" t="str">
        <f>ToJsonArray(supplementary_offering_legacyid[[#This Row],[Semilla04]],supplementary_offering_legacyid[[#This Row],[Json]])</f>
        <v>{"500000-31":{"offeringid":"950000031","name":"Favorito 31_950000031","mode":"N"}}</v>
      </c>
    </row>
    <row r="861" spans="1:7" x14ac:dyDescent="0.25">
      <c r="A861" s="60" t="s">
        <v>4695</v>
      </c>
      <c r="B861" t="str">
        <f>findKey(supplementary_offering_legacyid[[#This Row],[Produccion]])</f>
        <v>500000-32</v>
      </c>
      <c r="C861" s="61" t="s">
        <v>4696</v>
      </c>
      <c r="D861" t="s">
        <v>4697</v>
      </c>
      <c r="E861" t="s">
        <v>2329</v>
      </c>
      <c r="F861" t="str">
        <f>ToJsonArray(supplementary_offering_legacyid[[#Headers],[offeringid]:[mode]],supplementary_offering_legacyid[[#This Row],[offeringid]:[mode]])</f>
        <v>{"offeringid":"950000032","name":"Favorito 32_950000032","mode":"N"}</v>
      </c>
      <c r="G861" t="str">
        <f>ToJsonArray(supplementary_offering_legacyid[[#This Row],[Semilla04]],supplementary_offering_legacyid[[#This Row],[Json]])</f>
        <v>{"500000-32":{"offeringid":"950000032","name":"Favorito 32_950000032","mode":"N"}}</v>
      </c>
    </row>
    <row r="862" spans="1:7" x14ac:dyDescent="0.25">
      <c r="A862" s="60" t="s">
        <v>4698</v>
      </c>
      <c r="B862" t="str">
        <f>findKey(supplementary_offering_legacyid[[#This Row],[Produccion]])</f>
        <v>500000-35</v>
      </c>
      <c r="C862" s="61" t="s">
        <v>4699</v>
      </c>
      <c r="D862" t="s">
        <v>4700</v>
      </c>
      <c r="E862" t="s">
        <v>2329</v>
      </c>
      <c r="F862" t="str">
        <f>ToJsonArray(supplementary_offering_legacyid[[#Headers],[offeringid]:[mode]],supplementary_offering_legacyid[[#This Row],[offeringid]:[mode]])</f>
        <v>{"offeringid":"950000035","name":"Favorito 35_950000035","mode":"N"}</v>
      </c>
      <c r="G862" t="str">
        <f>ToJsonArray(supplementary_offering_legacyid[[#This Row],[Semilla04]],supplementary_offering_legacyid[[#This Row],[Json]])</f>
        <v>{"500000-35":{"offeringid":"950000035","name":"Favorito 35_950000035","mode":"N"}}</v>
      </c>
    </row>
    <row r="863" spans="1:7" x14ac:dyDescent="0.25">
      <c r="A863" s="60" t="s">
        <v>4701</v>
      </c>
      <c r="B863" t="str">
        <f>findKey(supplementary_offering_legacyid[[#This Row],[Produccion]])</f>
        <v>500000-37</v>
      </c>
      <c r="C863" s="61" t="s">
        <v>4702</v>
      </c>
      <c r="D863" t="s">
        <v>4703</v>
      </c>
      <c r="E863" t="s">
        <v>2329</v>
      </c>
      <c r="F863" t="str">
        <f>ToJsonArray(supplementary_offering_legacyid[[#Headers],[offeringid]:[mode]],supplementary_offering_legacyid[[#This Row],[offeringid]:[mode]])</f>
        <v>{"offeringid":"950000037","name":"Favorito 37_950000037","mode":"N"}</v>
      </c>
      <c r="G863" t="str">
        <f>ToJsonArray(supplementary_offering_legacyid[[#This Row],[Semilla04]],supplementary_offering_legacyid[[#This Row],[Json]])</f>
        <v>{"500000-37":{"offeringid":"950000037","name":"Favorito 37_950000037","mode":"N"}}</v>
      </c>
    </row>
    <row r="864" spans="1:7" x14ac:dyDescent="0.25">
      <c r="A864" s="60" t="s">
        <v>4704</v>
      </c>
      <c r="B864" t="str">
        <f>findKey(supplementary_offering_legacyid[[#This Row],[Produccion]])</f>
        <v>500000-39</v>
      </c>
      <c r="C864" s="61" t="s">
        <v>4705</v>
      </c>
      <c r="D864" t="s">
        <v>4706</v>
      </c>
      <c r="E864" t="s">
        <v>2329</v>
      </c>
      <c r="F864" t="str">
        <f>ToJsonArray(supplementary_offering_legacyid[[#Headers],[offeringid]:[mode]],supplementary_offering_legacyid[[#This Row],[offeringid]:[mode]])</f>
        <v>{"offeringid":"950000039","name":"Favorito 39_950000039","mode":"N"}</v>
      </c>
      <c r="G864" t="str">
        <f>ToJsonArray(supplementary_offering_legacyid[[#This Row],[Semilla04]],supplementary_offering_legacyid[[#This Row],[Json]])</f>
        <v>{"500000-39":{"offeringid":"950000039","name":"Favorito 39_950000039","mode":"N"}}</v>
      </c>
    </row>
    <row r="865" spans="1:7" x14ac:dyDescent="0.25">
      <c r="A865" s="60" t="s">
        <v>4707</v>
      </c>
      <c r="B865" t="str">
        <f>findKey(supplementary_offering_legacyid[[#This Row],[Produccion]])</f>
        <v>500000-40</v>
      </c>
      <c r="C865" s="61" t="s">
        <v>4708</v>
      </c>
      <c r="D865" t="s">
        <v>4709</v>
      </c>
      <c r="E865" t="s">
        <v>2329</v>
      </c>
      <c r="F865" t="str">
        <f>ToJsonArray(supplementary_offering_legacyid[[#Headers],[offeringid]:[mode]],supplementary_offering_legacyid[[#This Row],[offeringid]:[mode]])</f>
        <v>{"offeringid":"950000040","name":"Favorito 40_950000040","mode":"N"}</v>
      </c>
      <c r="G865" t="str">
        <f>ToJsonArray(supplementary_offering_legacyid[[#This Row],[Semilla04]],supplementary_offering_legacyid[[#This Row],[Json]])</f>
        <v>{"500000-40":{"offeringid":"950000040","name":"Favorito 40_950000040","mode":"N"}}</v>
      </c>
    </row>
    <row r="866" spans="1:7" x14ac:dyDescent="0.25">
      <c r="A866" s="60" t="s">
        <v>4710</v>
      </c>
      <c r="B866" t="str">
        <f>findKey(supplementary_offering_legacyid[[#This Row],[Produccion]])</f>
        <v>500000-42</v>
      </c>
      <c r="C866" s="61" t="s">
        <v>4711</v>
      </c>
      <c r="D866" t="s">
        <v>4712</v>
      </c>
      <c r="E866" t="s">
        <v>2329</v>
      </c>
      <c r="F866" t="str">
        <f>ToJsonArray(supplementary_offering_legacyid[[#Headers],[offeringid]:[mode]],supplementary_offering_legacyid[[#This Row],[offeringid]:[mode]])</f>
        <v>{"offeringid":"950000042","name":"Favorito 42_950000042","mode":"N"}</v>
      </c>
      <c r="G866" t="str">
        <f>ToJsonArray(supplementary_offering_legacyid[[#This Row],[Semilla04]],supplementary_offering_legacyid[[#This Row],[Json]])</f>
        <v>{"500000-42":{"offeringid":"950000042","name":"Favorito 42_950000042","mode":"N"}}</v>
      </c>
    </row>
    <row r="867" spans="1:7" x14ac:dyDescent="0.25">
      <c r="A867" s="60" t="s">
        <v>4713</v>
      </c>
      <c r="B867" t="str">
        <f>findKey(supplementary_offering_legacyid[[#This Row],[Produccion]])</f>
        <v>500000-44</v>
      </c>
      <c r="C867" s="61" t="s">
        <v>4714</v>
      </c>
      <c r="D867" t="s">
        <v>4715</v>
      </c>
      <c r="E867" t="s">
        <v>2329</v>
      </c>
      <c r="F867" t="str">
        <f>ToJsonArray(supplementary_offering_legacyid[[#Headers],[offeringid]:[mode]],supplementary_offering_legacyid[[#This Row],[offeringid]:[mode]])</f>
        <v>{"offeringid":"950000044","name":"Favorito 44_950000044","mode":"N"}</v>
      </c>
      <c r="G867" t="str">
        <f>ToJsonArray(supplementary_offering_legacyid[[#This Row],[Semilla04]],supplementary_offering_legacyid[[#This Row],[Json]])</f>
        <v>{"500000-44":{"offeringid":"950000044","name":"Favorito 44_950000044","mode":"N"}}</v>
      </c>
    </row>
    <row r="868" spans="1:7" x14ac:dyDescent="0.25">
      <c r="A868" s="60" t="s">
        <v>4716</v>
      </c>
      <c r="B868" t="str">
        <f>findKey(supplementary_offering_legacyid[[#This Row],[Produccion]])</f>
        <v>500000-48</v>
      </c>
      <c r="C868" s="61" t="s">
        <v>4717</v>
      </c>
      <c r="D868" t="s">
        <v>4718</v>
      </c>
      <c r="E868" t="s">
        <v>2329</v>
      </c>
      <c r="F868" t="str">
        <f>ToJsonArray(supplementary_offering_legacyid[[#Headers],[offeringid]:[mode]],supplementary_offering_legacyid[[#This Row],[offeringid]:[mode]])</f>
        <v>{"offeringid":"950000048","name":"Favorito 48_950000048","mode":"N"}</v>
      </c>
      <c r="G868" t="str">
        <f>ToJsonArray(supplementary_offering_legacyid[[#This Row],[Semilla04]],supplementary_offering_legacyid[[#This Row],[Json]])</f>
        <v>{"500000-48":{"offeringid":"950000048","name":"Favorito 48_950000048","mode":"N"}}</v>
      </c>
    </row>
    <row r="869" spans="1:7" x14ac:dyDescent="0.25">
      <c r="A869" s="60" t="s">
        <v>4719</v>
      </c>
      <c r="B869" t="str">
        <f>findKey(supplementary_offering_legacyid[[#This Row],[Produccion]])</f>
        <v>500000-49</v>
      </c>
      <c r="C869" s="61" t="s">
        <v>4720</v>
      </c>
      <c r="D869" t="s">
        <v>4721</v>
      </c>
      <c r="E869" t="s">
        <v>2329</v>
      </c>
      <c r="F869" t="str">
        <f>ToJsonArray(supplementary_offering_legacyid[[#Headers],[offeringid]:[mode]],supplementary_offering_legacyid[[#This Row],[offeringid]:[mode]])</f>
        <v>{"offeringid":"950000049","name":"Favorito 49_950000049","mode":"N"}</v>
      </c>
      <c r="G869" t="str">
        <f>ToJsonArray(supplementary_offering_legacyid[[#This Row],[Semilla04]],supplementary_offering_legacyid[[#This Row],[Json]])</f>
        <v>{"500000-49":{"offeringid":"950000049","name":"Favorito 49_950000049","mode":"N"}}</v>
      </c>
    </row>
    <row r="870" spans="1:7" x14ac:dyDescent="0.25">
      <c r="A870" s="60" t="s">
        <v>4722</v>
      </c>
      <c r="B870" t="str">
        <f>findKey(supplementary_offering_legacyid[[#This Row],[Produccion]])</f>
        <v>500000-50</v>
      </c>
      <c r="C870" s="61" t="s">
        <v>4723</v>
      </c>
      <c r="D870" t="s">
        <v>4724</v>
      </c>
      <c r="E870" t="s">
        <v>2329</v>
      </c>
      <c r="F870" t="str">
        <f>ToJsonArray(supplementary_offering_legacyid[[#Headers],[offeringid]:[mode]],supplementary_offering_legacyid[[#This Row],[offeringid]:[mode]])</f>
        <v>{"offeringid":"950000050","name":"Favorito 50_950000050","mode":"N"}</v>
      </c>
      <c r="G870" t="str">
        <f>ToJsonArray(supplementary_offering_legacyid[[#This Row],[Semilla04]],supplementary_offering_legacyid[[#This Row],[Json]])</f>
        <v>{"500000-50":{"offeringid":"950000050","name":"Favorito 50_950000050","mode":"N"}}</v>
      </c>
    </row>
    <row r="871" spans="1:7" x14ac:dyDescent="0.25">
      <c r="A871" s="60" t="s">
        <v>4725</v>
      </c>
      <c r="B871" t="str">
        <f>findKey(supplementary_offering_legacyid[[#This Row],[Produccion]])</f>
        <v>500000-51</v>
      </c>
      <c r="C871" s="61" t="s">
        <v>4726</v>
      </c>
      <c r="D871" t="s">
        <v>4727</v>
      </c>
      <c r="E871" t="s">
        <v>2329</v>
      </c>
      <c r="F871" t="str">
        <f>ToJsonArray(supplementary_offering_legacyid[[#Headers],[offeringid]:[mode]],supplementary_offering_legacyid[[#This Row],[offeringid]:[mode]])</f>
        <v>{"offeringid":"950000051","name":"Favorito 51_950000051","mode":"N"}</v>
      </c>
      <c r="G871" t="str">
        <f>ToJsonArray(supplementary_offering_legacyid[[#This Row],[Semilla04]],supplementary_offering_legacyid[[#This Row],[Json]])</f>
        <v>{"500000-51":{"offeringid":"950000051","name":"Favorito 51_950000051","mode":"N"}}</v>
      </c>
    </row>
    <row r="872" spans="1:7" x14ac:dyDescent="0.25">
      <c r="A872" s="60" t="s">
        <v>4728</v>
      </c>
      <c r="B872" t="str">
        <f>findKey(supplementary_offering_legacyid[[#This Row],[Produccion]])</f>
        <v>500000-52</v>
      </c>
      <c r="C872" s="61" t="s">
        <v>4729</v>
      </c>
      <c r="D872" t="s">
        <v>4730</v>
      </c>
      <c r="E872" t="s">
        <v>2329</v>
      </c>
      <c r="F872" t="str">
        <f>ToJsonArray(supplementary_offering_legacyid[[#Headers],[offeringid]:[mode]],supplementary_offering_legacyid[[#This Row],[offeringid]:[mode]])</f>
        <v>{"offeringid":"950000052","name":"Favorito 52_950000052","mode":"N"}</v>
      </c>
      <c r="G872" t="str">
        <f>ToJsonArray(supplementary_offering_legacyid[[#This Row],[Semilla04]],supplementary_offering_legacyid[[#This Row],[Json]])</f>
        <v>{"500000-52":{"offeringid":"950000052","name":"Favorito 52_950000052","mode":"N"}}</v>
      </c>
    </row>
    <row r="873" spans="1:7" x14ac:dyDescent="0.25">
      <c r="A873" s="60" t="s">
        <v>4731</v>
      </c>
      <c r="B873" t="str">
        <f>findKey(supplementary_offering_legacyid[[#This Row],[Produccion]])</f>
        <v>500000-53</v>
      </c>
      <c r="C873" s="61" t="s">
        <v>4732</v>
      </c>
      <c r="D873" t="s">
        <v>4733</v>
      </c>
      <c r="E873" t="s">
        <v>2329</v>
      </c>
      <c r="F873" t="str">
        <f>ToJsonArray(supplementary_offering_legacyid[[#Headers],[offeringid]:[mode]],supplementary_offering_legacyid[[#This Row],[offeringid]:[mode]])</f>
        <v>{"offeringid":"950000053","name":"Favorito 53_950000053","mode":"N"}</v>
      </c>
      <c r="G873" t="str">
        <f>ToJsonArray(supplementary_offering_legacyid[[#This Row],[Semilla04]],supplementary_offering_legacyid[[#This Row],[Json]])</f>
        <v>{"500000-53":{"offeringid":"950000053","name":"Favorito 53_950000053","mode":"N"}}</v>
      </c>
    </row>
    <row r="874" spans="1:7" x14ac:dyDescent="0.25">
      <c r="A874" s="60" t="s">
        <v>4734</v>
      </c>
      <c r="B874" t="str">
        <f>findKey(supplementary_offering_legacyid[[#This Row],[Produccion]])</f>
        <v>500000-54</v>
      </c>
      <c r="C874" s="61" t="s">
        <v>4735</v>
      </c>
      <c r="D874" t="s">
        <v>4736</v>
      </c>
      <c r="E874" t="s">
        <v>2329</v>
      </c>
      <c r="F874" t="str">
        <f>ToJsonArray(supplementary_offering_legacyid[[#Headers],[offeringid]:[mode]],supplementary_offering_legacyid[[#This Row],[offeringid]:[mode]])</f>
        <v>{"offeringid":"950000054","name":"Favorito 54_950000054","mode":"N"}</v>
      </c>
      <c r="G874" t="str">
        <f>ToJsonArray(supplementary_offering_legacyid[[#This Row],[Semilla04]],supplementary_offering_legacyid[[#This Row],[Json]])</f>
        <v>{"500000-54":{"offeringid":"950000054","name":"Favorito 54_950000054","mode":"N"}}</v>
      </c>
    </row>
    <row r="875" spans="1:7" x14ac:dyDescent="0.25">
      <c r="A875" s="60" t="s">
        <v>4737</v>
      </c>
      <c r="B875" t="str">
        <f>findKey(supplementary_offering_legacyid[[#This Row],[Produccion]])</f>
        <v>500000-66</v>
      </c>
      <c r="C875" s="61" t="s">
        <v>4738</v>
      </c>
      <c r="D875" t="s">
        <v>4739</v>
      </c>
      <c r="E875" t="s">
        <v>2329</v>
      </c>
      <c r="F875" t="str">
        <f>ToJsonArray(supplementary_offering_legacyid[[#Headers],[offeringid]:[mode]],supplementary_offering_legacyid[[#This Row],[offeringid]:[mode]])</f>
        <v>{"offeringid":"950000066","name":"Favorito 66_950000066","mode":"N"}</v>
      </c>
      <c r="G875" t="str">
        <f>ToJsonArray(supplementary_offering_legacyid[[#This Row],[Semilla04]],supplementary_offering_legacyid[[#This Row],[Json]])</f>
        <v>{"500000-66":{"offeringid":"950000066","name":"Favorito 66_950000066","mode":"N"}}</v>
      </c>
    </row>
    <row r="876" spans="1:7" x14ac:dyDescent="0.25">
      <c r="A876" s="60" t="s">
        <v>4740</v>
      </c>
      <c r="B876" t="str">
        <f>findKey(supplementary_offering_legacyid[[#This Row],[Produccion]])</f>
        <v>500000-74</v>
      </c>
      <c r="C876" s="61" t="s">
        <v>4741</v>
      </c>
      <c r="D876" t="s">
        <v>4742</v>
      </c>
      <c r="E876" t="s">
        <v>2329</v>
      </c>
      <c r="F876" t="str">
        <f>ToJsonArray(supplementary_offering_legacyid[[#Headers],[offeringid]:[mode]],supplementary_offering_legacyid[[#This Row],[offeringid]:[mode]])</f>
        <v>{"offeringid":"950000074","name":"Favorito 74_950000074","mode":"N"}</v>
      </c>
      <c r="G876" t="str">
        <f>ToJsonArray(supplementary_offering_legacyid[[#This Row],[Semilla04]],supplementary_offering_legacyid[[#This Row],[Json]])</f>
        <v>{"500000-74":{"offeringid":"950000074","name":"Favorito 74_950000074","mode":"N"}}</v>
      </c>
    </row>
    <row r="877" spans="1:7" x14ac:dyDescent="0.25">
      <c r="A877" s="60" t="s">
        <v>4743</v>
      </c>
      <c r="B877" t="str">
        <f>findKey(supplementary_offering_legacyid[[#This Row],[Produccion]])</f>
        <v>500000-76</v>
      </c>
      <c r="C877" s="61" t="s">
        <v>4744</v>
      </c>
      <c r="D877" t="s">
        <v>4745</v>
      </c>
      <c r="E877" t="s">
        <v>2329</v>
      </c>
      <c r="F877" t="str">
        <f>ToJsonArray(supplementary_offering_legacyid[[#Headers],[offeringid]:[mode]],supplementary_offering_legacyid[[#This Row],[offeringid]:[mode]])</f>
        <v>{"offeringid":"950000076","name":"Favorito 76_950000076","mode":"N"}</v>
      </c>
      <c r="G877" t="str">
        <f>ToJsonArray(supplementary_offering_legacyid[[#This Row],[Semilla04]],supplementary_offering_legacyid[[#This Row],[Json]])</f>
        <v>{"500000-76":{"offeringid":"950000076","name":"Favorito 76_950000076","mode":"N"}}</v>
      </c>
    </row>
    <row r="878" spans="1:7" x14ac:dyDescent="0.25">
      <c r="A878" s="60" t="s">
        <v>4746</v>
      </c>
      <c r="B878" t="str">
        <f>findKey(supplementary_offering_legacyid[[#This Row],[Produccion]])</f>
        <v>500000-79</v>
      </c>
      <c r="C878" s="61" t="s">
        <v>4747</v>
      </c>
      <c r="D878" t="s">
        <v>4748</v>
      </c>
      <c r="E878" t="s">
        <v>2329</v>
      </c>
      <c r="F878" t="str">
        <f>ToJsonArray(supplementary_offering_legacyid[[#Headers],[offeringid]:[mode]],supplementary_offering_legacyid[[#This Row],[offeringid]:[mode]])</f>
        <v>{"offeringid":"950000079","name":"Favorito 79_950000079","mode":"N"}</v>
      </c>
      <c r="G878" t="str">
        <f>ToJsonArray(supplementary_offering_legacyid[[#This Row],[Semilla04]],supplementary_offering_legacyid[[#This Row],[Json]])</f>
        <v>{"500000-79":{"offeringid":"950000079","name":"Favorito 79_950000079","mode":"N"}}</v>
      </c>
    </row>
    <row r="879" spans="1:7" x14ac:dyDescent="0.25">
      <c r="A879" s="60" t="s">
        <v>4749</v>
      </c>
      <c r="B879" t="str">
        <f>findKey(supplementary_offering_legacyid[[#This Row],[Produccion]])</f>
        <v>500000-80</v>
      </c>
      <c r="C879" s="61" t="s">
        <v>4750</v>
      </c>
      <c r="D879" t="s">
        <v>4751</v>
      </c>
      <c r="E879" t="s">
        <v>2329</v>
      </c>
      <c r="F879" t="str">
        <f>ToJsonArray(supplementary_offering_legacyid[[#Headers],[offeringid]:[mode]],supplementary_offering_legacyid[[#This Row],[offeringid]:[mode]])</f>
        <v>{"offeringid":"950000080","name":"Favorito 80_950000080","mode":"N"}</v>
      </c>
      <c r="G879" t="str">
        <f>ToJsonArray(supplementary_offering_legacyid[[#This Row],[Semilla04]],supplementary_offering_legacyid[[#This Row],[Json]])</f>
        <v>{"500000-80":{"offeringid":"950000080","name":"Favorito 80_950000080","mode":"N"}}</v>
      </c>
    </row>
    <row r="880" spans="1:7" x14ac:dyDescent="0.25">
      <c r="A880" s="60" t="s">
        <v>4752</v>
      </c>
      <c r="B880" t="str">
        <f>findKey(supplementary_offering_legacyid[[#This Row],[Produccion]])</f>
        <v>500000-83</v>
      </c>
      <c r="C880" s="61" t="s">
        <v>4753</v>
      </c>
      <c r="D880" t="s">
        <v>4754</v>
      </c>
      <c r="E880" t="s">
        <v>2329</v>
      </c>
      <c r="F880" t="str">
        <f>ToJsonArray(supplementary_offering_legacyid[[#Headers],[offeringid]:[mode]],supplementary_offering_legacyid[[#This Row],[offeringid]:[mode]])</f>
        <v>{"offeringid":"950000083","name":"Favorito 83_950000083","mode":"N"}</v>
      </c>
      <c r="G880" t="str">
        <f>ToJsonArray(supplementary_offering_legacyid[[#This Row],[Semilla04]],supplementary_offering_legacyid[[#This Row],[Json]])</f>
        <v>{"500000-83":{"offeringid":"950000083","name":"Favorito 83_950000083","mode":"N"}}</v>
      </c>
    </row>
    <row r="881" spans="1:7" x14ac:dyDescent="0.25">
      <c r="A881" s="60" t="s">
        <v>4755</v>
      </c>
      <c r="B881" t="str">
        <f>findKey(supplementary_offering_legacyid[[#This Row],[Produccion]])</f>
        <v>500001-67</v>
      </c>
      <c r="C881" s="61" t="s">
        <v>4756</v>
      </c>
      <c r="D881" t="s">
        <v>4757</v>
      </c>
      <c r="E881" t="s">
        <v>2329</v>
      </c>
      <c r="F881" t="str">
        <f>ToJsonArray(supplementary_offering_legacyid[[#Headers],[offeringid]:[mode]],supplementary_offering_legacyid[[#This Row],[offeringid]:[mode]])</f>
        <v>{"offeringid":"950000167","name":"Voz-TD-42000s_950000167","mode":"N"}</v>
      </c>
      <c r="G881" t="str">
        <f>ToJsonArray(supplementary_offering_legacyid[[#This Row],[Semilla04]],supplementary_offering_legacyid[[#This Row],[Json]])</f>
        <v>{"500001-67":{"offeringid":"950000167","name":"Voz-TD-42000s_950000167","mode":"N"}}</v>
      </c>
    </row>
    <row r="882" spans="1:7" x14ac:dyDescent="0.25">
      <c r="A882" s="60" t="s">
        <v>4758</v>
      </c>
      <c r="B882" t="str">
        <f>findKey(supplementary_offering_legacyid[[#This Row],[Produccion]])</f>
        <v>500001-69</v>
      </c>
      <c r="C882" s="61" t="s">
        <v>4759</v>
      </c>
      <c r="D882" t="s">
        <v>4760</v>
      </c>
      <c r="E882" t="s">
        <v>2329</v>
      </c>
      <c r="F882" t="str">
        <f>ToJsonArray(supplementary_offering_legacyid[[#Headers],[offeringid]:[mode]],supplementary_offering_legacyid[[#This Row],[offeringid]:[mode]])</f>
        <v>{"offeringid":"950000169","name":"Voz-TD-30000s_950000169","mode":"N"}</v>
      </c>
      <c r="G882" t="str">
        <f>ToJsonArray(supplementary_offering_legacyid[[#This Row],[Semilla04]],supplementary_offering_legacyid[[#This Row],[Json]])</f>
        <v>{"500001-69":{"offeringid":"950000169","name":"Voz-TD-30000s_950000169","mode":"N"}}</v>
      </c>
    </row>
    <row r="883" spans="1:7" x14ac:dyDescent="0.25">
      <c r="A883" s="60" t="s">
        <v>4761</v>
      </c>
      <c r="B883" t="str">
        <f>findKey(supplementary_offering_legacyid[[#This Row],[Produccion]])</f>
        <v>500002-05</v>
      </c>
      <c r="C883" s="61" t="s">
        <v>4762</v>
      </c>
      <c r="D883" t="s">
        <v>4763</v>
      </c>
      <c r="E883" t="s">
        <v>2329</v>
      </c>
      <c r="F883" t="str">
        <f>ToJsonArray(supplementary_offering_legacyid[[#Headers],[offeringid]:[mode]],supplementary_offering_legacyid[[#This Row],[offeringid]:[mode]])</f>
        <v>{"offeringid":"950000205","name":"Favorito Bolsa 8k_950000205","mode":"N"}</v>
      </c>
      <c r="G883" t="str">
        <f>ToJsonArray(supplementary_offering_legacyid[[#This Row],[Semilla04]],supplementary_offering_legacyid[[#This Row],[Json]])</f>
        <v>{"500002-05":{"offeringid":"950000205","name":"Favorito Bolsa 8k_950000205","mode":"N"}}</v>
      </c>
    </row>
    <row r="884" spans="1:7" x14ac:dyDescent="0.25">
      <c r="A884" s="60" t="s">
        <v>4764</v>
      </c>
      <c r="B884" t="str">
        <f>findKey(supplementary_offering_legacyid[[#This Row],[Produccion]])</f>
        <v>500003-07</v>
      </c>
      <c r="C884" s="61" t="s">
        <v>4765</v>
      </c>
      <c r="D884" t="s">
        <v>4766</v>
      </c>
      <c r="E884" t="s">
        <v>2329</v>
      </c>
      <c r="F884" t="str">
        <f>ToJsonArray(supplementary_offering_legacyid[[#Headers],[offeringid]:[mode]],supplementary_offering_legacyid[[#This Row],[offeringid]:[mode]])</f>
        <v>{"offeringid":"950000307","name":"Favorito Tigo 07_950000307","mode":"N"}</v>
      </c>
      <c r="G884" t="str">
        <f>ToJsonArray(supplementary_offering_legacyid[[#This Row],[Semilla04]],supplementary_offering_legacyid[[#This Row],[Json]])</f>
        <v>{"500003-07":{"offeringid":"950000307","name":"Favorito Tigo 07_950000307","mode":"N"}}</v>
      </c>
    </row>
    <row r="885" spans="1:7" x14ac:dyDescent="0.25">
      <c r="A885" s="60" t="s">
        <v>4767</v>
      </c>
      <c r="B885" t="str">
        <f>findKey(supplementary_offering_legacyid[[#This Row],[Produccion]])</f>
        <v>600000-01</v>
      </c>
      <c r="C885" s="61" t="s">
        <v>4768</v>
      </c>
      <c r="D885" t="s">
        <v>4769</v>
      </c>
      <c r="E885" t="s">
        <v>2329</v>
      </c>
      <c r="F885" t="str">
        <f>ToJsonArray(supplementary_offering_legacyid[[#Headers],[offeringid]:[mode]],supplementary_offering_legacyid[[#This Row],[offeringid]:[mode]])</f>
        <v>{"offeringid":"960000001","name":"Noticias 1_960000001","mode":"N"}</v>
      </c>
      <c r="G885" t="str">
        <f>ToJsonArray(supplementary_offering_legacyid[[#This Row],[Semilla04]],supplementary_offering_legacyid[[#This Row],[Json]])</f>
        <v>{"600000-01":{"offeringid":"960000001","name":"Noticias 1_960000001","mode":"N"}}</v>
      </c>
    </row>
    <row r="886" spans="1:7" x14ac:dyDescent="0.25">
      <c r="A886" s="60" t="s">
        <v>4770</v>
      </c>
      <c r="B886" t="str">
        <f>findKey(supplementary_offering_legacyid[[#This Row],[Produccion]])</f>
        <v>700000-07</v>
      </c>
      <c r="C886" s="61" t="s">
        <v>4771</v>
      </c>
      <c r="D886" t="s">
        <v>4772</v>
      </c>
      <c r="E886" t="s">
        <v>2329</v>
      </c>
      <c r="F886" t="str">
        <f>ToJsonArray(supplementary_offering_legacyid[[#Headers],[offeringid]:[mode]],supplementary_offering_legacyid[[#This Row],[offeringid]:[mode]])</f>
        <v>{"offeringid":"970000007","name":"Deezer 7.900_970000007","mode":"N"}</v>
      </c>
      <c r="G886" t="str">
        <f>ToJsonArray(supplementary_offering_legacyid[[#This Row],[Semilla04]],supplementary_offering_legacyid[[#This Row],[Json]])</f>
        <v>{"700000-07":{"offeringid":"970000007","name":"Deezer 7.900_970000007","mode":"N"}}</v>
      </c>
    </row>
    <row r="887" spans="1:7" x14ac:dyDescent="0.25">
      <c r="A887" s="60" t="s">
        <v>4773</v>
      </c>
      <c r="B887" t="str">
        <f>findKey(supplementary_offering_legacyid[[#This Row],[Produccion]])</f>
        <v>700000-10</v>
      </c>
      <c r="C887" s="61" t="s">
        <v>4774</v>
      </c>
      <c r="D887" t="s">
        <v>4775</v>
      </c>
      <c r="E887" t="s">
        <v>2329</v>
      </c>
      <c r="F887" t="str">
        <f>ToJsonArray(supplementary_offering_legacyid[[#Headers],[offeringid]:[mode]],supplementary_offering_legacyid[[#This Row],[offeringid]:[mode]])</f>
        <v>{"offeringid":"970000010","name":"Deezer 10.800_970000010","mode":"N"}</v>
      </c>
      <c r="G887" t="str">
        <f>ToJsonArray(supplementary_offering_legacyid[[#This Row],[Semilla04]],supplementary_offering_legacyid[[#This Row],[Json]])</f>
        <v>{"700000-10":{"offeringid":"970000010","name":"Deezer 10.800_970000010","mode":"N"}}</v>
      </c>
    </row>
    <row r="888" spans="1:7" x14ac:dyDescent="0.25">
      <c r="A888" s="60" t="s">
        <v>4776</v>
      </c>
      <c r="B888" t="str">
        <f>findKey(supplementary_offering_legacyid[[#This Row],[Produccion]])</f>
        <v>700000-12</v>
      </c>
      <c r="C888" s="61" t="s">
        <v>4777</v>
      </c>
      <c r="D888" t="s">
        <v>4778</v>
      </c>
      <c r="E888" t="s">
        <v>2329</v>
      </c>
      <c r="F888" t="str">
        <f>ToJsonArray(supplementary_offering_legacyid[[#Headers],[offeringid]:[mode]],supplementary_offering_legacyid[[#This Row],[offeringid]:[mode]])</f>
        <v>{"offeringid":"970000012","name":"Deezer 12.000_970000012","mode":"N"}</v>
      </c>
      <c r="G888" t="str">
        <f>ToJsonArray(supplementary_offering_legacyid[[#This Row],[Semilla04]],supplementary_offering_legacyid[[#This Row],[Json]])</f>
        <v>{"700000-12":{"offeringid":"970000012","name":"Deezer 12.000_970000012","mode":"N"}}</v>
      </c>
    </row>
    <row r="889" spans="1:7" x14ac:dyDescent="0.25">
      <c r="A889" s="60" t="s">
        <v>4779</v>
      </c>
      <c r="B889" t="str">
        <f>findKey(supplementary_offering_legacyid[[#This Row],[Produccion]])</f>
        <v>700000-15</v>
      </c>
      <c r="C889" s="61" t="s">
        <v>4780</v>
      </c>
      <c r="D889" t="s">
        <v>4781</v>
      </c>
      <c r="E889" t="s">
        <v>2329</v>
      </c>
      <c r="F889" t="str">
        <f>ToJsonArray(supplementary_offering_legacyid[[#Headers],[offeringid]:[mode]],supplementary_offering_legacyid[[#This Row],[offeringid]:[mode]])</f>
        <v>{"offeringid":"970000015","name":"Deezer 15.900_970000015","mode":"N"}</v>
      </c>
      <c r="G889" t="str">
        <f>ToJsonArray(supplementary_offering_legacyid[[#This Row],[Semilla04]],supplementary_offering_legacyid[[#This Row],[Json]])</f>
        <v>{"700000-15":{"offeringid":"970000015","name":"Deezer 15.900_970000015","mode":"N"}}</v>
      </c>
    </row>
    <row r="890" spans="1:7" x14ac:dyDescent="0.25">
      <c r="A890" s="60" t="s">
        <v>4782</v>
      </c>
      <c r="B890" t="str">
        <f>findKey(supplementary_offering_legacyid[[#This Row],[Produccion]])</f>
        <v>700000-23</v>
      </c>
      <c r="C890" s="61" t="s">
        <v>4783</v>
      </c>
      <c r="D890" t="s">
        <v>4784</v>
      </c>
      <c r="E890" t="s">
        <v>2329</v>
      </c>
      <c r="F890" t="str">
        <f>ToJsonArray(supplementary_offering_legacyid[[#Headers],[offeringid]:[mode]],supplementary_offering_legacyid[[#This Row],[offeringid]:[mode]])</f>
        <v>{"offeringid":"970000023","name":"Deezer2 12.000_970000023","mode":"N"}</v>
      </c>
      <c r="G890" t="str">
        <f>ToJsonArray(supplementary_offering_legacyid[[#This Row],[Semilla04]],supplementary_offering_legacyid[[#This Row],[Json]])</f>
        <v>{"700000-23":{"offeringid":"970000023","name":"Deezer2 12.000_970000023","mode":"N"}}</v>
      </c>
    </row>
    <row r="891" spans="1:7" x14ac:dyDescent="0.25">
      <c r="A891" s="60" t="s">
        <v>4785</v>
      </c>
      <c r="B891" t="str">
        <f>findKey(supplementary_offering_legacyid[[#This Row],[Produccion]])</f>
        <v>700000-26</v>
      </c>
      <c r="C891" s="61" t="s">
        <v>4786</v>
      </c>
      <c r="D891" t="s">
        <v>4787</v>
      </c>
      <c r="E891" t="s">
        <v>2329</v>
      </c>
      <c r="F891" t="str">
        <f>ToJsonArray(supplementary_offering_legacyid[[#Headers],[offeringid]:[mode]],supplementary_offering_legacyid[[#This Row],[offeringid]:[mode]])</f>
        <v>{"offeringid":"970000026","name":"Deezer2 8500_970000026","mode":"N"}</v>
      </c>
      <c r="G891" t="str">
        <f>ToJsonArray(supplementary_offering_legacyid[[#This Row],[Semilla04]],supplementary_offering_legacyid[[#This Row],[Json]])</f>
        <v>{"700000-26":{"offeringid":"970000026","name":"Deezer2 8500_970000026","mode":"N"}}</v>
      </c>
    </row>
    <row r="892" spans="1:7" x14ac:dyDescent="0.25">
      <c r="A892" s="60" t="s">
        <v>4788</v>
      </c>
      <c r="B892" t="str">
        <f>findKey(supplementary_offering_legacyid[[#This Row],[Produccion]])</f>
        <v>700000-29</v>
      </c>
      <c r="C892" s="61" t="s">
        <v>4789</v>
      </c>
      <c r="D892" t="s">
        <v>4790</v>
      </c>
      <c r="E892" t="s">
        <v>2329</v>
      </c>
      <c r="F892" t="str">
        <f>ToJsonArray(supplementary_offering_legacyid[[#Headers],[offeringid]:[mode]],supplementary_offering_legacyid[[#This Row],[offeringid]:[mode]])</f>
        <v>{"offeringid":"970000029","name":"Deezer2 Ilimitado_970000029","mode":"N"}</v>
      </c>
      <c r="G892" t="str">
        <f>ToJsonArray(supplementary_offering_legacyid[[#This Row],[Semilla04]],supplementary_offering_legacyid[[#This Row],[Json]])</f>
        <v>{"700000-29":{"offeringid":"970000029","name":"Deezer2 Ilimitado_970000029","mode":"N"}}</v>
      </c>
    </row>
    <row r="893" spans="1:7" x14ac:dyDescent="0.25">
      <c r="A893" s="60" t="s">
        <v>4791</v>
      </c>
      <c r="B893" t="str">
        <f>findKey(supplementary_offering_legacyid[[#This Row],[Produccion]])</f>
        <v>700000-32</v>
      </c>
      <c r="C893" s="61" t="s">
        <v>4792</v>
      </c>
      <c r="D893" t="s">
        <v>4793</v>
      </c>
      <c r="E893" t="s">
        <v>2329</v>
      </c>
      <c r="F893" t="str">
        <f>ToJsonArray(supplementary_offering_legacyid[[#Headers],[offeringid]:[mode]],supplementary_offering_legacyid[[#This Row],[offeringid]:[mode]])</f>
        <v>{"offeringid":"970000032","name":"Deezer2 11952_970000032","mode":"N"}</v>
      </c>
      <c r="G893" t="str">
        <f>ToJsonArray(supplementary_offering_legacyid[[#This Row],[Semilla04]],supplementary_offering_legacyid[[#This Row],[Json]])</f>
        <v>{"700000-32":{"offeringid":"970000032","name":"Deezer2 11952_970000032","mode":"N"}}</v>
      </c>
    </row>
    <row r="894" spans="1:7" x14ac:dyDescent="0.25">
      <c r="A894" s="60" t="s">
        <v>4794</v>
      </c>
      <c r="B894" t="str">
        <f>findKey(supplementary_offering_legacyid[[#This Row],[Produccion]])</f>
        <v>800000-20</v>
      </c>
      <c r="C894" s="61" t="s">
        <v>4795</v>
      </c>
      <c r="D894" t="s">
        <v>4796</v>
      </c>
      <c r="E894" t="s">
        <v>2329</v>
      </c>
      <c r="F894" t="str">
        <f>ToJsonArray(supplementary_offering_legacyid[[#Headers],[offeringid]:[mode]],supplementary_offering_legacyid[[#This Row],[offeringid]:[mode]])</f>
        <v>{"offeringid":"980000020","name":"SDP 8GB-2D_980000020","mode":"N"}</v>
      </c>
      <c r="G894" t="str">
        <f>ToJsonArray(supplementary_offering_legacyid[[#This Row],[Semilla04]],supplementary_offering_legacyid[[#This Row],[Json]])</f>
        <v>{"800000-20":{"offeringid":"980000020","name":"SDP 8GB-2D_980000020","mode":"N"}}</v>
      </c>
    </row>
    <row r="895" spans="1:7" x14ac:dyDescent="0.25">
      <c r="A895" s="60" t="s">
        <v>4797</v>
      </c>
      <c r="B895" t="str">
        <f>findKey(supplementary_offering_legacyid[[#This Row],[Produccion]])</f>
        <v>800000-24</v>
      </c>
      <c r="C895" s="61" t="s">
        <v>4798</v>
      </c>
      <c r="D895" t="s">
        <v>4799</v>
      </c>
      <c r="E895" t="s">
        <v>2329</v>
      </c>
      <c r="F895" t="str">
        <f>ToJsonArray(supplementary_offering_legacyid[[#Headers],[offeringid]:[mode]],supplementary_offering_legacyid[[#This Row],[offeringid]:[mode]])</f>
        <v>{"offeringid":"980000024","name":"SDP 10GB-5D_980000024","mode":"N"}</v>
      </c>
      <c r="G895" t="str">
        <f>ToJsonArray(supplementary_offering_legacyid[[#This Row],[Semilla04]],supplementary_offering_legacyid[[#This Row],[Json]])</f>
        <v>{"800000-24":{"offeringid":"980000024","name":"SDP 10GB-5D_980000024","mode":"N"}}</v>
      </c>
    </row>
    <row r="896" spans="1:7" x14ac:dyDescent="0.25">
      <c r="A896" s="60" t="s">
        <v>4800</v>
      </c>
      <c r="B896" t="str">
        <f>findKey(supplementary_offering_legacyid[[#This Row],[Produccion]])</f>
        <v>800000-25</v>
      </c>
      <c r="C896" s="61" t="s">
        <v>4801</v>
      </c>
      <c r="D896" t="s">
        <v>4802</v>
      </c>
      <c r="E896" t="s">
        <v>2329</v>
      </c>
      <c r="F896" t="str">
        <f>ToJsonArray(supplementary_offering_legacyid[[#Headers],[offeringid]:[mode]],supplementary_offering_legacyid[[#This Row],[offeringid]:[mode]])</f>
        <v>{"offeringid":"980000025","name":"SDP 6GB-2D_980000025","mode":"N"}</v>
      </c>
      <c r="G896" t="str">
        <f>ToJsonArray(supplementary_offering_legacyid[[#This Row],[Semilla04]],supplementary_offering_legacyid[[#This Row],[Json]])</f>
        <v>{"800000-25":{"offeringid":"980000025","name":"SDP 6GB-2D_980000025","mode":"N"}}</v>
      </c>
    </row>
    <row r="897" spans="1:7" x14ac:dyDescent="0.25">
      <c r="A897" s="60" t="s">
        <v>4803</v>
      </c>
      <c r="B897" t="str">
        <f>findKey(supplementary_offering_legacyid[[#This Row],[Produccion]])</f>
        <v>800000-26</v>
      </c>
      <c r="C897" s="61" t="s">
        <v>4804</v>
      </c>
      <c r="D897" t="s">
        <v>4805</v>
      </c>
      <c r="E897" t="s">
        <v>2329</v>
      </c>
      <c r="F897" t="str">
        <f>ToJsonArray(supplementary_offering_legacyid[[#Headers],[offeringid]:[mode]],supplementary_offering_legacyid[[#This Row],[offeringid]:[mode]])</f>
        <v>{"offeringid":"980000026","name":"SDP 7.5GB-2D_980000026","mode":"N"}</v>
      </c>
      <c r="G897" t="str">
        <f>ToJsonArray(supplementary_offering_legacyid[[#This Row],[Semilla04]],supplementary_offering_legacyid[[#This Row],[Json]])</f>
        <v>{"800000-26":{"offeringid":"980000026","name":"SDP 7.5GB-2D_980000026","mode":"N"}}</v>
      </c>
    </row>
    <row r="898" spans="1:7" x14ac:dyDescent="0.25">
      <c r="A898" s="60" t="s">
        <v>4806</v>
      </c>
      <c r="B898" t="str">
        <f>findKey(supplementary_offering_legacyid[[#This Row],[Produccion]])</f>
        <v>800000-27</v>
      </c>
      <c r="C898" s="61" t="s">
        <v>4807</v>
      </c>
      <c r="D898" t="s">
        <v>4808</v>
      </c>
      <c r="E898" t="s">
        <v>2329</v>
      </c>
      <c r="F898" t="str">
        <f>ToJsonArray(supplementary_offering_legacyid[[#Headers],[offeringid]:[mode]],supplementary_offering_legacyid[[#This Row],[offeringid]:[mode]])</f>
        <v>{"offeringid":"980000027","name":"SDP 9GB-2D_980000027","mode":"N"}</v>
      </c>
      <c r="G898" t="str">
        <f>ToJsonArray(supplementary_offering_legacyid[[#This Row],[Semilla04]],supplementary_offering_legacyid[[#This Row],[Json]])</f>
        <v>{"800000-27":{"offeringid":"980000027","name":"SDP 9GB-2D_980000027","mode":"N"}}</v>
      </c>
    </row>
    <row r="899" spans="1:7" x14ac:dyDescent="0.25">
      <c r="A899" s="60" t="s">
        <v>4809</v>
      </c>
      <c r="B899" t="str">
        <f>findKey(supplementary_offering_legacyid[[#This Row],[Produccion]])</f>
        <v>800000-28</v>
      </c>
      <c r="C899" s="61" t="s">
        <v>4810</v>
      </c>
      <c r="D899" t="s">
        <v>4811</v>
      </c>
      <c r="E899" t="s">
        <v>2329</v>
      </c>
      <c r="F899" t="str">
        <f>ToJsonArray(supplementary_offering_legacyid[[#Headers],[offeringid]:[mode]],supplementary_offering_legacyid[[#This Row],[offeringid]:[mode]])</f>
        <v>{"offeringid":"980000028","name":"SDP 10GB-3D_980000028","mode":"N"}</v>
      </c>
      <c r="G899" t="str">
        <f>ToJsonArray(supplementary_offering_legacyid[[#This Row],[Semilla04]],supplementary_offering_legacyid[[#This Row],[Json]])</f>
        <v>{"800000-28":{"offeringid":"980000028","name":"SDP 10GB-3D_980000028","mode":"N"}}</v>
      </c>
    </row>
    <row r="900" spans="1:7" x14ac:dyDescent="0.25">
      <c r="A900" s="60" t="s">
        <v>4812</v>
      </c>
      <c r="B900" t="str">
        <f>findKey(supplementary_offering_legacyid[[#This Row],[Produccion]])</f>
        <v>800000-29</v>
      </c>
      <c r="C900" s="61" t="s">
        <v>4813</v>
      </c>
      <c r="D900" t="s">
        <v>4814</v>
      </c>
      <c r="E900" t="s">
        <v>2329</v>
      </c>
      <c r="F900" t="str">
        <f>ToJsonArray(supplementary_offering_legacyid[[#Headers],[offeringid]:[mode]],supplementary_offering_legacyid[[#This Row],[offeringid]:[mode]])</f>
        <v>{"offeringid":"980000029","name":"SDP 11GB-3D_980000029","mode":"N"}</v>
      </c>
      <c r="G900" t="str">
        <f>ToJsonArray(supplementary_offering_legacyid[[#This Row],[Semilla04]],supplementary_offering_legacyid[[#This Row],[Json]])</f>
        <v>{"800000-29":{"offeringid":"980000029","name":"SDP 11GB-3D_980000029","mode":"N"}}</v>
      </c>
    </row>
    <row r="901" spans="1:7" x14ac:dyDescent="0.25">
      <c r="A901" s="60" t="s">
        <v>4815</v>
      </c>
      <c r="B901" t="str">
        <f>findKey(supplementary_offering_legacyid[[#This Row],[Produccion]])</f>
        <v>800000-30</v>
      </c>
      <c r="C901" s="61" t="s">
        <v>4816</v>
      </c>
      <c r="D901" t="s">
        <v>4817</v>
      </c>
      <c r="E901" t="s">
        <v>2329</v>
      </c>
      <c r="F901" t="str">
        <f>ToJsonArray(supplementary_offering_legacyid[[#Headers],[offeringid]:[mode]],supplementary_offering_legacyid[[#This Row],[offeringid]:[mode]])</f>
        <v>{"offeringid":"980000030","name":"SDP 14GB-5D_980000030","mode":"N"}</v>
      </c>
      <c r="G901" t="str">
        <f>ToJsonArray(supplementary_offering_legacyid[[#This Row],[Semilla04]],supplementary_offering_legacyid[[#This Row],[Json]])</f>
        <v>{"800000-30":{"offeringid":"980000030","name":"SDP 14GB-5D_980000030","mode":"N"}}</v>
      </c>
    </row>
    <row r="902" spans="1:7" x14ac:dyDescent="0.25">
      <c r="A902" s="60" t="s">
        <v>4818</v>
      </c>
      <c r="B902" t="str">
        <f>findKey(supplementary_offering_legacyid[[#This Row],[Produccion]])</f>
        <v>800000-42</v>
      </c>
      <c r="C902" s="61" t="s">
        <v>4819</v>
      </c>
      <c r="D902" t="s">
        <v>4820</v>
      </c>
      <c r="E902" t="s">
        <v>2329</v>
      </c>
      <c r="F902" t="str">
        <f>ToJsonArray(supplementary_offering_legacyid[[#Headers],[offeringid]:[mode]],supplementary_offering_legacyid[[#This Row],[offeringid]:[mode]])</f>
        <v>{"offeringid":"980000042","name":"SDP 11GB-5D_980000042","mode":"N"}</v>
      </c>
      <c r="G902" t="str">
        <f>ToJsonArray(supplementary_offering_legacyid[[#This Row],[Semilla04]],supplementary_offering_legacyid[[#This Row],[Json]])</f>
        <v>{"800000-42":{"offeringid":"980000042","name":"SDP 11GB-5D_980000042","mode":"N"}}</v>
      </c>
    </row>
    <row r="903" spans="1:7" x14ac:dyDescent="0.25">
      <c r="A903" s="60" t="s">
        <v>4821</v>
      </c>
      <c r="B903" t="str">
        <f>findKey(supplementary_offering_legacyid[[#This Row],[Produccion]])</f>
        <v>800000-43</v>
      </c>
      <c r="C903" s="61" t="s">
        <v>4822</v>
      </c>
      <c r="D903" t="s">
        <v>4823</v>
      </c>
      <c r="E903" t="s">
        <v>2329</v>
      </c>
      <c r="F903" t="str">
        <f>ToJsonArray(supplementary_offering_legacyid[[#Headers],[offeringid]:[mode]],supplementary_offering_legacyid[[#This Row],[offeringid]:[mode]])</f>
        <v>{"offeringid":"980000043","name":"SDP 11GB-6D_980000043","mode":"N"}</v>
      </c>
      <c r="G903" t="str">
        <f>ToJsonArray(supplementary_offering_legacyid[[#This Row],[Semilla04]],supplementary_offering_legacyid[[#This Row],[Json]])</f>
        <v>{"800000-43":{"offeringid":"980000043","name":"SDP 11GB-6D_980000043","mode":"N"}}</v>
      </c>
    </row>
    <row r="904" spans="1:7" x14ac:dyDescent="0.25">
      <c r="A904" s="60" t="s">
        <v>4824</v>
      </c>
      <c r="B904" t="str">
        <f>findKey(supplementary_offering_legacyid[[#This Row],[Produccion]])</f>
        <v>800000-54</v>
      </c>
      <c r="C904" s="61" t="s">
        <v>4825</v>
      </c>
      <c r="D904" t="s">
        <v>4826</v>
      </c>
      <c r="E904" t="s">
        <v>2329</v>
      </c>
      <c r="F904" t="str">
        <f>ToJsonArray(supplementary_offering_legacyid[[#Headers],[offeringid]:[mode]],supplementary_offering_legacyid[[#This Row],[offeringid]:[mode]])</f>
        <v>{"offeringid":"980000054","name":"SDP 20GB-6D_980000054","mode":"N"}</v>
      </c>
      <c r="G904" t="str">
        <f>ToJsonArray(supplementary_offering_legacyid[[#This Row],[Semilla04]],supplementary_offering_legacyid[[#This Row],[Json]])</f>
        <v>{"800000-54":{"offeringid":"980000054","name":"SDP 20GB-6D_980000054","mode":"N"}}</v>
      </c>
    </row>
    <row r="905" spans="1:7" x14ac:dyDescent="0.25">
      <c r="A905" s="60" t="s">
        <v>4827</v>
      </c>
      <c r="B905" t="str">
        <f>findKey(supplementary_offering_legacyid[[#This Row],[Produccion]])</f>
        <v>800000-60</v>
      </c>
      <c r="C905" s="61" t="s">
        <v>4828</v>
      </c>
      <c r="D905" t="s">
        <v>4829</v>
      </c>
      <c r="E905" t="s">
        <v>2329</v>
      </c>
      <c r="F905" t="str">
        <f>ToJsonArray(supplementary_offering_legacyid[[#Headers],[offeringid]:[mode]],supplementary_offering_legacyid[[#This Row],[offeringid]:[mode]])</f>
        <v>{"offeringid":"980000060","name":"SDP 12GB-3D_980000060","mode":"N"}</v>
      </c>
      <c r="G905" t="str">
        <f>ToJsonArray(supplementary_offering_legacyid[[#This Row],[Semilla04]],supplementary_offering_legacyid[[#This Row],[Json]])</f>
        <v>{"800000-60":{"offeringid":"980000060","name":"SDP 12GB-3D_980000060","mode":"N"}}</v>
      </c>
    </row>
    <row r="906" spans="1:7" x14ac:dyDescent="0.25">
      <c r="A906" s="60" t="s">
        <v>4830</v>
      </c>
      <c r="B906" t="str">
        <f>findKey(supplementary_offering_legacyid[[#This Row],[Produccion]])</f>
        <v>800000-61</v>
      </c>
      <c r="C906" s="61" t="s">
        <v>4831</v>
      </c>
      <c r="D906" t="s">
        <v>4832</v>
      </c>
      <c r="E906" t="s">
        <v>2329</v>
      </c>
      <c r="F906" t="str">
        <f>ToJsonArray(supplementary_offering_legacyid[[#Headers],[offeringid]:[mode]],supplementary_offering_legacyid[[#This Row],[offeringid]:[mode]])</f>
        <v>{"offeringid":"980000061","name":"SDP 15GB-3D_980000061","mode":"N"}</v>
      </c>
      <c r="G906" t="str">
        <f>ToJsonArray(supplementary_offering_legacyid[[#This Row],[Semilla04]],supplementary_offering_legacyid[[#This Row],[Json]])</f>
        <v>{"800000-61":{"offeringid":"980000061","name":"SDP 15GB-3D_980000061","mode":"N"}}</v>
      </c>
    </row>
    <row r="907" spans="1:7" x14ac:dyDescent="0.25">
      <c r="A907" s="60" t="s">
        <v>4833</v>
      </c>
      <c r="B907" t="str">
        <f>findKey(supplementary_offering_legacyid[[#This Row],[Produccion]])</f>
        <v>800000-67</v>
      </c>
      <c r="C907" s="61" t="s">
        <v>4834</v>
      </c>
      <c r="D907" t="s">
        <v>4835</v>
      </c>
      <c r="E907" t="s">
        <v>2329</v>
      </c>
      <c r="F907" t="str">
        <f>ToJsonArray(supplementary_offering_legacyid[[#Headers],[offeringid]:[mode]],supplementary_offering_legacyid[[#This Row],[offeringid]:[mode]])</f>
        <v>{"offeringid":"980000067","name":"SDP 6GB-3D_980000067","mode":"N"}</v>
      </c>
      <c r="G907" t="str">
        <f>ToJsonArray(supplementary_offering_legacyid[[#This Row],[Semilla04]],supplementary_offering_legacyid[[#This Row],[Json]])</f>
        <v>{"800000-67":{"offeringid":"980000067","name":"SDP 6GB-3D_980000067","mode":"N"}}</v>
      </c>
    </row>
    <row r="908" spans="1:7" x14ac:dyDescent="0.25">
      <c r="A908" s="60" t="s">
        <v>4836</v>
      </c>
      <c r="B908" t="str">
        <f>findKey(supplementary_offering_legacyid[[#This Row],[Produccion]])</f>
        <v>800000-69</v>
      </c>
      <c r="C908" s="61" t="s">
        <v>4837</v>
      </c>
      <c r="D908" t="s">
        <v>4838</v>
      </c>
      <c r="E908" t="s">
        <v>2329</v>
      </c>
      <c r="F908" t="str">
        <f>ToJsonArray(supplementary_offering_legacyid[[#Headers],[offeringid]:[mode]],supplementary_offering_legacyid[[#This Row],[offeringid]:[mode]])</f>
        <v>{"offeringid":"980000069","name":"SDP 10GB-3D_980000069","mode":"N"}</v>
      </c>
      <c r="G908" t="str">
        <f>ToJsonArray(supplementary_offering_legacyid[[#This Row],[Semilla04]],supplementary_offering_legacyid[[#This Row],[Json]])</f>
        <v>{"800000-69":{"offeringid":"980000069","name":"SDP 10GB-3D_980000069","mode":"N"}}</v>
      </c>
    </row>
    <row r="909" spans="1:7" x14ac:dyDescent="0.25">
      <c r="A909" s="60" t="s">
        <v>4839</v>
      </c>
      <c r="B909" t="str">
        <f>findKey(supplementary_offering_legacyid[[#This Row],[Produccion]])</f>
        <v>800000-70</v>
      </c>
      <c r="C909" s="61" t="s">
        <v>4840</v>
      </c>
      <c r="D909" t="s">
        <v>4841</v>
      </c>
      <c r="E909" t="s">
        <v>2329</v>
      </c>
      <c r="F909" t="str">
        <f>ToJsonArray(supplementary_offering_legacyid[[#Headers],[offeringid]:[mode]],supplementary_offering_legacyid[[#This Row],[offeringid]:[mode]])</f>
        <v>{"offeringid":"980000070","name":"SDP 12GB-3D_980000070","mode":"N"}</v>
      </c>
      <c r="G909" t="str">
        <f>ToJsonArray(supplementary_offering_legacyid[[#This Row],[Semilla04]],supplementary_offering_legacyid[[#This Row],[Json]])</f>
        <v>{"800000-70":{"offeringid":"980000070","name":"SDP 12GB-3D_980000070","mode":"N"}}</v>
      </c>
    </row>
    <row r="910" spans="1:7" x14ac:dyDescent="0.25">
      <c r="A910" s="60" t="s">
        <v>4842</v>
      </c>
      <c r="B910" t="str">
        <f>findKey(supplementary_offering_legacyid[[#This Row],[Produccion]])</f>
        <v>800000-72</v>
      </c>
      <c r="C910" s="61" t="s">
        <v>4843</v>
      </c>
      <c r="D910" t="s">
        <v>4844</v>
      </c>
      <c r="E910" t="s">
        <v>2329</v>
      </c>
      <c r="F910" t="str">
        <f>ToJsonArray(supplementary_offering_legacyid[[#Headers],[offeringid]:[mode]],supplementary_offering_legacyid[[#This Row],[offeringid]:[mode]])</f>
        <v>{"offeringid":"980000072","name":"SDP 10GB-5D_980000072","mode":"N"}</v>
      </c>
      <c r="G910" t="str">
        <f>ToJsonArray(supplementary_offering_legacyid[[#This Row],[Semilla04]],supplementary_offering_legacyid[[#This Row],[Json]])</f>
        <v>{"800000-72":{"offeringid":"980000072","name":"SDP 10GB-5D_980000072","mode":"N"}}</v>
      </c>
    </row>
    <row r="911" spans="1:7" x14ac:dyDescent="0.25">
      <c r="A911" s="60" t="s">
        <v>4845</v>
      </c>
      <c r="B911" t="str">
        <f>findKey(supplementary_offering_legacyid[[#This Row],[Produccion]])</f>
        <v>800000-74</v>
      </c>
      <c r="C911" s="61" t="s">
        <v>4846</v>
      </c>
      <c r="D911" t="s">
        <v>4847</v>
      </c>
      <c r="E911" t="s">
        <v>2329</v>
      </c>
      <c r="F911" t="str">
        <f>ToJsonArray(supplementary_offering_legacyid[[#Headers],[offeringid]:[mode]],supplementary_offering_legacyid[[#This Row],[offeringid]:[mode]])</f>
        <v>{"offeringid":"980000074","name":"SDP 15GB-5D_980000074","mode":"N"}</v>
      </c>
      <c r="G911" t="str">
        <f>ToJsonArray(supplementary_offering_legacyid[[#This Row],[Semilla04]],supplementary_offering_legacyid[[#This Row],[Json]])</f>
        <v>{"800000-74":{"offeringid":"980000074","name":"SDP 15GB-5D_980000074","mode":"N"}}</v>
      </c>
    </row>
    <row r="912" spans="1:7" x14ac:dyDescent="0.25">
      <c r="A912" s="60" t="s">
        <v>4848</v>
      </c>
      <c r="B912" t="str">
        <f>findKey(supplementary_offering_legacyid[[#This Row],[Produccion]])</f>
        <v>810001-01</v>
      </c>
      <c r="C912" s="61" t="s">
        <v>4849</v>
      </c>
      <c r="D912" t="s">
        <v>4850</v>
      </c>
      <c r="E912" t="s">
        <v>2329</v>
      </c>
      <c r="F912" t="str">
        <f>ToJsonArray(supplementary_offering_legacyid[[#Headers],[offeringid]:[mode]],supplementary_offering_legacyid[[#This Row],[offeringid]:[mode]])</f>
        <v>{"offeringid":"981000101","name":"SDP 400TD-2D_981000101","mode":"N"}</v>
      </c>
      <c r="G912" t="str">
        <f>ToJsonArray(supplementary_offering_legacyid[[#This Row],[Semilla04]],supplementary_offering_legacyid[[#This Row],[Json]])</f>
        <v>{"810001-01":{"offeringid":"981000101","name":"SDP 400TD-2D_981000101","mode":"N"}}</v>
      </c>
    </row>
    <row r="913" spans="1:7" x14ac:dyDescent="0.25">
      <c r="A913" s="60" t="s">
        <v>4851</v>
      </c>
      <c r="B913" t="str">
        <f>findKey(supplementary_offering_legacyid[[#This Row],[Produccion]])</f>
        <v>810001-04</v>
      </c>
      <c r="C913" s="61" t="s">
        <v>4852</v>
      </c>
      <c r="D913" t="s">
        <v>4853</v>
      </c>
      <c r="E913" t="s">
        <v>2329</v>
      </c>
      <c r="F913" t="str">
        <f>ToJsonArray(supplementary_offering_legacyid[[#Headers],[offeringid]:[mode]],supplementary_offering_legacyid[[#This Row],[offeringid]:[mode]])</f>
        <v>{"offeringid":"981000104","name":"SDP 2000TD-5D_981000104","mode":"N"}</v>
      </c>
      <c r="G913" t="str">
        <f>ToJsonArray(supplementary_offering_legacyid[[#This Row],[Semilla04]],supplementary_offering_legacyid[[#This Row],[Json]])</f>
        <v>{"810001-04":{"offeringid":"981000104","name":"SDP 2000TD-5D_981000104","mode":"N"}}</v>
      </c>
    </row>
    <row r="914" spans="1:7" x14ac:dyDescent="0.25">
      <c r="A914" s="60" t="s">
        <v>4854</v>
      </c>
      <c r="B914" t="str">
        <f>findKey(supplementary_offering_legacyid[[#This Row],[Produccion]])</f>
        <v>810003-02</v>
      </c>
      <c r="C914" s="61" t="s">
        <v>4855</v>
      </c>
      <c r="D914" t="s">
        <v>4856</v>
      </c>
      <c r="E914" t="s">
        <v>2329</v>
      </c>
      <c r="F914" t="str">
        <f>ToJsonArray(supplementary_offering_legacyid[[#Headers],[offeringid]:[mode]],supplementary_offering_legacyid[[#This Row],[offeringid]:[mode]])</f>
        <v>{"offeringid":"981000302","name":"SDP 200SMS-5D_981000302","mode":"N"}</v>
      </c>
      <c r="G914" t="str">
        <f>ToJsonArray(supplementary_offering_legacyid[[#This Row],[Semilla04]],supplementary_offering_legacyid[[#This Row],[Json]])</f>
        <v>{"810003-02":{"offeringid":"981000302","name":"SDP 200SMS-5D_981000302","mode":"N"}}</v>
      </c>
    </row>
    <row r="915" spans="1:7" x14ac:dyDescent="0.25">
      <c r="A915" s="60" t="s">
        <v>4857</v>
      </c>
      <c r="B915" t="str">
        <f>findKey(supplementary_offering_legacyid[[#This Row],[Produccion]])</f>
        <v>810004-01</v>
      </c>
      <c r="C915" s="61" t="s">
        <v>4858</v>
      </c>
      <c r="D915" t="s">
        <v>4859</v>
      </c>
      <c r="E915" t="s">
        <v>2329</v>
      </c>
      <c r="F915" t="str">
        <f>ToJsonArray(supplementary_offering_legacyid[[#Headers],[offeringid]:[mode]],supplementary_offering_legacyid[[#This Row],[offeringid]:[mode]])</f>
        <v>{"offeringid":"981000401","name":"SDP CUGV-2D_981000401","mode":"N"}</v>
      </c>
      <c r="G915" t="str">
        <f>ToJsonArray(supplementary_offering_legacyid[[#This Row],[Semilla04]],supplementary_offering_legacyid[[#This Row],[Json]])</f>
        <v>{"810004-01":{"offeringid":"981000401","name":"SDP CUGV-2D_981000401","mode":"N"}}</v>
      </c>
    </row>
    <row r="916" spans="1:7" x14ac:dyDescent="0.25">
      <c r="A916" s="60" t="s">
        <v>4860</v>
      </c>
      <c r="B916" t="str">
        <f>findKey(supplementary_offering_legacyid[[#This Row],[Produccion]])</f>
        <v>810004-05</v>
      </c>
      <c r="C916" s="61" t="s">
        <v>4861</v>
      </c>
      <c r="D916" t="s">
        <v>4862</v>
      </c>
      <c r="E916" t="s">
        <v>2329</v>
      </c>
      <c r="F916" t="str">
        <f>ToJsonArray(supplementary_offering_legacyid[[#Headers],[offeringid]:[mode]],supplementary_offering_legacyid[[#This Row],[offeringid]:[mode]])</f>
        <v>{"offeringid":"981000405","name":"SDP CUGV-5D_981000405","mode":"N"}</v>
      </c>
      <c r="G916" t="str">
        <f>ToJsonArray(supplementary_offering_legacyid[[#This Row],[Semilla04]],supplementary_offering_legacyid[[#This Row],[Json]])</f>
        <v>{"810004-05":{"offeringid":"981000405","name":"SDP CUGV-5D_981000405","mode":"N"}}</v>
      </c>
    </row>
    <row r="917" spans="1:7" x14ac:dyDescent="0.25">
      <c r="A917" s="60" t="s">
        <v>4863</v>
      </c>
      <c r="B917" t="str">
        <f>findKey(supplementary_offering_legacyid[[#This Row],[Produccion]])</f>
        <v>810004-07</v>
      </c>
      <c r="C917" s="61" t="s">
        <v>4864</v>
      </c>
      <c r="D917" t="s">
        <v>4865</v>
      </c>
      <c r="E917" t="s">
        <v>2329</v>
      </c>
      <c r="F917" t="str">
        <f>ToJsonArray(supplementary_offering_legacyid[[#Headers],[offeringid]:[mode]],supplementary_offering_legacyid[[#This Row],[offeringid]:[mode]])</f>
        <v>{"offeringid":"981000407","name":"SDP CUGV-3D_981000407","mode":"N"}</v>
      </c>
      <c r="G917" t="str">
        <f>ToJsonArray(supplementary_offering_legacyid[[#This Row],[Semilla04]],supplementary_offering_legacyid[[#This Row],[Json]])</f>
        <v>{"810004-07":{"offeringid":"981000407","name":"SDP CUGV-3D_981000407","mode":"N"}}</v>
      </c>
    </row>
    <row r="918" spans="1:7" x14ac:dyDescent="0.25">
      <c r="A918" s="60" t="s">
        <v>4866</v>
      </c>
      <c r="B918" t="str">
        <f>findKey(supplementary_offering_legacyid[[#This Row],[Produccion]])</f>
        <v>810004-09</v>
      </c>
      <c r="C918" s="61" t="s">
        <v>4867</v>
      </c>
      <c r="D918" t="s">
        <v>4868</v>
      </c>
      <c r="E918" t="s">
        <v>2329</v>
      </c>
      <c r="F918" t="str">
        <f>ToJsonArray(supplementary_offering_legacyid[[#Headers],[offeringid]:[mode]],supplementary_offering_legacyid[[#This Row],[offeringid]:[mode]])</f>
        <v>{"offeringid":"981000409","name":"CUG-4D_981000409","mode":"N"}</v>
      </c>
      <c r="G918" t="str">
        <f>ToJsonArray(supplementary_offering_legacyid[[#This Row],[Semilla04]],supplementary_offering_legacyid[[#This Row],[Json]])</f>
        <v>{"810004-09":{"offeringid":"981000409","name":"CUG-4D_981000409","mode":"N"}}</v>
      </c>
    </row>
    <row r="919" spans="1:7" x14ac:dyDescent="0.25">
      <c r="A919" s="60" t="s">
        <v>4869</v>
      </c>
      <c r="B919" t="str">
        <f>findKey(supplementary_offering_legacyid[[#This Row],[Produccion]])</f>
        <v>810004-10</v>
      </c>
      <c r="C919" s="61" t="s">
        <v>4870</v>
      </c>
      <c r="D919" t="s">
        <v>4871</v>
      </c>
      <c r="E919" t="s">
        <v>2329</v>
      </c>
      <c r="F919" t="str">
        <f>ToJsonArray(supplementary_offering_legacyid[[#Headers],[offeringid]:[mode]],supplementary_offering_legacyid[[#This Row],[offeringid]:[mode]])</f>
        <v>{"offeringid":"981000410","name":"CUG-4D_981000410","mode":"N"}</v>
      </c>
      <c r="G919" t="str">
        <f>ToJsonArray(supplementary_offering_legacyid[[#This Row],[Semilla04]],supplementary_offering_legacyid[[#This Row],[Json]])</f>
        <v>{"810004-10":{"offeringid":"981000410","name":"CUG-4D_981000410","mode":"N"}}</v>
      </c>
    </row>
    <row r="920" spans="1:7" x14ac:dyDescent="0.25">
      <c r="A920" s="60" t="s">
        <v>4872</v>
      </c>
      <c r="B920" t="str">
        <f>findKey(supplementary_offering_legacyid[[#This Row],[Produccion]])</f>
        <v>810004-12</v>
      </c>
      <c r="C920" s="61" t="s">
        <v>4873</v>
      </c>
      <c r="D920" t="s">
        <v>4874</v>
      </c>
      <c r="E920" t="s">
        <v>2329</v>
      </c>
      <c r="F920" t="str">
        <f>ToJsonArray(supplementary_offering_legacyid[[#Headers],[offeringid]:[mode]],supplementary_offering_legacyid[[#This Row],[offeringid]:[mode]])</f>
        <v>{"offeringid":"981000412","name":"CUG-3D_981000412","mode":"N"}</v>
      </c>
      <c r="G920" t="str">
        <f>ToJsonArray(supplementary_offering_legacyid[[#This Row],[Semilla04]],supplementary_offering_legacyid[[#This Row],[Json]])</f>
        <v>{"810004-12":{"offeringid":"981000412","name":"CUG-3D_981000412","mode":"N"}}</v>
      </c>
    </row>
    <row r="921" spans="1:7" x14ac:dyDescent="0.25">
      <c r="A921" s="60" t="s">
        <v>4875</v>
      </c>
      <c r="B921" t="str">
        <f>findKey(supplementary_offering_legacyid[[#This Row],[Produccion]])</f>
        <v>810004-22</v>
      </c>
      <c r="C921" s="61" t="s">
        <v>4876</v>
      </c>
      <c r="D921" t="s">
        <v>4877</v>
      </c>
      <c r="E921" t="s">
        <v>2329</v>
      </c>
      <c r="F921" t="str">
        <f>ToJsonArray(supplementary_offering_legacyid[[#Headers],[offeringid]:[mode]],supplementary_offering_legacyid[[#This Row],[offeringid]:[mode]])</f>
        <v>{"offeringid":"981000422","name":"CUG-5D_981000422","mode":"N"}</v>
      </c>
      <c r="G921" t="str">
        <f>ToJsonArray(supplementary_offering_legacyid[[#This Row],[Semilla04]],supplementary_offering_legacyid[[#This Row],[Json]])</f>
        <v>{"810004-22":{"offeringid":"981000422","name":"CUG-5D_981000422","mode":"N"}}</v>
      </c>
    </row>
    <row r="922" spans="1:7" x14ac:dyDescent="0.25">
      <c r="A922" s="60" t="s">
        <v>4878</v>
      </c>
      <c r="B922" t="str">
        <f>findKey(supplementary_offering_legacyid[[#This Row],[Produccion]])</f>
        <v>810004-24</v>
      </c>
      <c r="C922" s="61" t="s">
        <v>4879</v>
      </c>
      <c r="D922" t="s">
        <v>4880</v>
      </c>
      <c r="E922" t="s">
        <v>2329</v>
      </c>
      <c r="F922" t="str">
        <f>ToJsonArray(supplementary_offering_legacyid[[#Headers],[offeringid]:[mode]],supplementary_offering_legacyid[[#This Row],[offeringid]:[mode]])</f>
        <v>{"offeringid":"981000424","name":"CUG-5D_981000424","mode":"N"}</v>
      </c>
      <c r="G922" t="str">
        <f>ToJsonArray(supplementary_offering_legacyid[[#This Row],[Semilla04]],supplementary_offering_legacyid[[#This Row],[Json]])</f>
        <v>{"810004-24":{"offeringid":"981000424","name":"CUG-5D_981000424","mode":"N"}}</v>
      </c>
    </row>
    <row r="923" spans="1:7" x14ac:dyDescent="0.25">
      <c r="A923" s="60" t="s">
        <v>4881</v>
      </c>
      <c r="B923" t="str">
        <f>findKey(supplementary_offering_legacyid[[#This Row],[Produccion]])</f>
        <v>810004-25</v>
      </c>
      <c r="C923" s="61" t="s">
        <v>4882</v>
      </c>
      <c r="D923" t="s">
        <v>4883</v>
      </c>
      <c r="E923" t="s">
        <v>2329</v>
      </c>
      <c r="F923" t="str">
        <f>ToJsonArray(supplementary_offering_legacyid[[#Headers],[offeringid]:[mode]],supplementary_offering_legacyid[[#This Row],[offeringid]:[mode]])</f>
        <v>{"offeringid":"981000425","name":"CUG-5D_981000425","mode":"N"}</v>
      </c>
      <c r="G923" t="str">
        <f>ToJsonArray(supplementary_offering_legacyid[[#This Row],[Semilla04]],supplementary_offering_legacyid[[#This Row],[Json]])</f>
        <v>{"810004-25":{"offeringid":"981000425","name":"CUG-5D_981000425","mode":"N"}}</v>
      </c>
    </row>
    <row r="924" spans="1:7" x14ac:dyDescent="0.25">
      <c r="A924" s="60" t="s">
        <v>4884</v>
      </c>
      <c r="B924" t="str">
        <f>findKey(supplementary_offering_legacyid[[#This Row],[Produccion]])</f>
        <v>810004-27</v>
      </c>
      <c r="C924" s="61" t="s">
        <v>4885</v>
      </c>
      <c r="D924" t="s">
        <v>4886</v>
      </c>
      <c r="E924" t="s">
        <v>2329</v>
      </c>
      <c r="F924" t="str">
        <f>ToJsonArray(supplementary_offering_legacyid[[#Headers],[offeringid]:[mode]],supplementary_offering_legacyid[[#This Row],[offeringid]:[mode]])</f>
        <v>{"offeringid":"981000427","name":"CUG-4D_981000427","mode":"N"}</v>
      </c>
      <c r="G924" t="str">
        <f>ToJsonArray(supplementary_offering_legacyid[[#This Row],[Semilla04]],supplementary_offering_legacyid[[#This Row],[Json]])</f>
        <v>{"810004-27":{"offeringid":"981000427","name":"CUG-4D_981000427","mode":"N"}}</v>
      </c>
    </row>
    <row r="925" spans="1:7" x14ac:dyDescent="0.25">
      <c r="A925" s="60" t="s">
        <v>4887</v>
      </c>
      <c r="B925" t="str">
        <f>findKey(supplementary_offering_legacyid[[#This Row],[Produccion]])</f>
        <v>810004-29</v>
      </c>
      <c r="C925" s="61" t="s">
        <v>4888</v>
      </c>
      <c r="D925" t="s">
        <v>4889</v>
      </c>
      <c r="E925" t="s">
        <v>2329</v>
      </c>
      <c r="F925" t="str">
        <f>ToJsonArray(supplementary_offering_legacyid[[#Headers],[offeringid]:[mode]],supplementary_offering_legacyid[[#This Row],[offeringid]:[mode]])</f>
        <v>{"offeringid":"981000429","name":"CUG-5D_981000429","mode":"N"}</v>
      </c>
      <c r="G925" t="str">
        <f>ToJsonArray(supplementary_offering_legacyid[[#This Row],[Semilla04]],supplementary_offering_legacyid[[#This Row],[Json]])</f>
        <v>{"810004-29":{"offeringid":"981000429","name":"CUG-5D_981000429","mode":"N"}}</v>
      </c>
    </row>
    <row r="926" spans="1:7" x14ac:dyDescent="0.25">
      <c r="A926" s="60" t="s">
        <v>4890</v>
      </c>
      <c r="B926" t="str">
        <f>findKey(supplementary_offering_legacyid[[#This Row],[Produccion]])</f>
        <v>830004-01</v>
      </c>
      <c r="C926" s="61" t="s">
        <v>4891</v>
      </c>
      <c r="D926" t="s">
        <v>4892</v>
      </c>
      <c r="E926" t="s">
        <v>2329</v>
      </c>
      <c r="F926" t="str">
        <f>ToJsonArray(supplementary_offering_legacyid[[#Headers],[offeringid]:[mode]],supplementary_offering_legacyid[[#This Row],[offeringid]:[mode]])</f>
        <v>{"offeringid":"983000401","name":"SDP CUGS-2D_983000401","mode":"N"}</v>
      </c>
      <c r="G926" t="str">
        <f>ToJsonArray(supplementary_offering_legacyid[[#This Row],[Semilla04]],supplementary_offering_legacyid[[#This Row],[Json]])</f>
        <v>{"830004-01":{"offeringid":"983000401","name":"SDP CUGS-2D_983000401","mode":"N"}}</v>
      </c>
    </row>
    <row r="927" spans="1:7" x14ac:dyDescent="0.25">
      <c r="A927" s="60" t="s">
        <v>4893</v>
      </c>
      <c r="B927" t="str">
        <f>findKey(supplementary_offering_legacyid[[#This Row],[Produccion]])</f>
        <v>830004-02</v>
      </c>
      <c r="C927" s="61" t="s">
        <v>4894</v>
      </c>
      <c r="D927" t="s">
        <v>4895</v>
      </c>
      <c r="E927" t="s">
        <v>2329</v>
      </c>
      <c r="F927" t="str">
        <f>ToJsonArray(supplementary_offering_legacyid[[#Headers],[offeringid]:[mode]],supplementary_offering_legacyid[[#This Row],[offeringid]:[mode]])</f>
        <v>{"offeringid":"983000402","name":"SDP CUGS-3D_983000402","mode":"N"}</v>
      </c>
      <c r="G927" t="str">
        <f>ToJsonArray(supplementary_offering_legacyid[[#This Row],[Semilla04]],supplementary_offering_legacyid[[#This Row],[Json]])</f>
        <v>{"830004-02":{"offeringid":"983000402","name":"SDP CUGS-3D_983000402","mode":"N"}}</v>
      </c>
    </row>
    <row r="928" spans="1:7" x14ac:dyDescent="0.25">
      <c r="A928" s="60" t="s">
        <v>4896</v>
      </c>
      <c r="B928" t="str">
        <f>findKey(supplementary_offering_legacyid[[#This Row],[Produccion]])</f>
        <v>830004-05</v>
      </c>
      <c r="C928" s="61" t="s">
        <v>4897</v>
      </c>
      <c r="D928" t="s">
        <v>4898</v>
      </c>
      <c r="E928" t="s">
        <v>2329</v>
      </c>
      <c r="F928" t="str">
        <f>ToJsonArray(supplementary_offering_legacyid[[#Headers],[offeringid]:[mode]],supplementary_offering_legacyid[[#This Row],[offeringid]:[mode]])</f>
        <v>{"offeringid":"983000405","name":"SDP CUGS-5D_983000405","mode":"N"}</v>
      </c>
      <c r="G928" t="str">
        <f>ToJsonArray(supplementary_offering_legacyid[[#This Row],[Semilla04]],supplementary_offering_legacyid[[#This Row],[Json]])</f>
        <v>{"830004-05":{"offeringid":"983000405","name":"SDP CUGS-5D_983000405","mode":"N"}}</v>
      </c>
    </row>
    <row r="929" spans="1:7" x14ac:dyDescent="0.25">
      <c r="A929" s="60" t="s">
        <v>4899</v>
      </c>
      <c r="B929" t="str">
        <f>findKey(supplementary_offering_legacyid[[#This Row],[Produccion]])</f>
        <v>VFAV-008</v>
      </c>
      <c r="C929" s="61" t="s">
        <v>4900</v>
      </c>
      <c r="D929" t="s">
        <v>4901</v>
      </c>
      <c r="E929" t="s">
        <v>2329</v>
      </c>
      <c r="F929" t="str">
        <f>ToJsonArray(supplementary_offering_legacyid[[#Headers],[offeringid]:[mode]],supplementary_offering_legacyid[[#This Row],[offeringid]:[mode]])</f>
        <v>{"offeringid":"990000174","name":"2 Fav Allnet_990000174","mode":"N"}</v>
      </c>
      <c r="G929" t="str">
        <f>ToJsonArray(supplementary_offering_legacyid[[#This Row],[Semilla04]],supplementary_offering_legacyid[[#This Row],[Json]])</f>
        <v>{"VFAV-008":{"offeringid":"990000174","name":"2 Fav Allnet_990000174","mode":"N"}}</v>
      </c>
    </row>
    <row r="930" spans="1:7" x14ac:dyDescent="0.25">
      <c r="A930" s="60" t="s">
        <v>4902</v>
      </c>
      <c r="B930" t="str">
        <f>findKey(supplementary_offering_legacyid[[#This Row],[Produccion]])</f>
        <v>VFAV-009</v>
      </c>
      <c r="C930" s="61" t="s">
        <v>4903</v>
      </c>
      <c r="D930" t="s">
        <v>4904</v>
      </c>
      <c r="E930" t="s">
        <v>2329</v>
      </c>
      <c r="F930" t="str">
        <f>ToJsonArray(supplementary_offering_legacyid[[#Headers],[offeringid]:[mode]],supplementary_offering_legacyid[[#This Row],[offeringid]:[mode]])</f>
        <v>{"offeringid":"990000175","name":"Favorito ilimitado 4_990000175","mode":"N"}</v>
      </c>
      <c r="G930" t="str">
        <f>ToJsonArray(supplementary_offering_legacyid[[#This Row],[Semilla04]],supplementary_offering_legacyid[[#This Row],[Json]])</f>
        <v>{"VFAV-009":{"offeringid":"990000175","name":"Favorito ilimitado 4_990000175","mode":"N"}}</v>
      </c>
    </row>
    <row r="931" spans="1:7" x14ac:dyDescent="0.25">
      <c r="A931" s="60" t="s">
        <v>4905</v>
      </c>
      <c r="B931" t="str">
        <f>findKey(supplementary_offering_legacyid[[#This Row],[Produccion]])</f>
        <v>VFAV-010</v>
      </c>
      <c r="C931" s="61" t="s">
        <v>4906</v>
      </c>
      <c r="D931" t="s">
        <v>4907</v>
      </c>
      <c r="E931" t="s">
        <v>2329</v>
      </c>
      <c r="F931" t="str">
        <f>ToJsonArray(supplementary_offering_legacyid[[#Headers],[offeringid]:[mode]],supplementary_offering_legacyid[[#This Row],[offeringid]:[mode]])</f>
        <v>{"offeringid":"990000176","name":"2 Fav Allnet_990000176","mode":"N"}</v>
      </c>
      <c r="G931" t="str">
        <f>ToJsonArray(supplementary_offering_legacyid[[#This Row],[Semilla04]],supplementary_offering_legacyid[[#This Row],[Json]])</f>
        <v>{"VFAV-010":{"offeringid":"990000176","name":"2 Fav Allnet_990000176","mode":"N"}}</v>
      </c>
    </row>
    <row r="932" spans="1:7" x14ac:dyDescent="0.25">
      <c r="A932" s="60" t="s">
        <v>4908</v>
      </c>
      <c r="B932" t="str">
        <f>findKey(supplementary_offering_legacyid[[#This Row],[Produccion]])</f>
        <v>VFAV-011</v>
      </c>
      <c r="C932" s="61" t="s">
        <v>4909</v>
      </c>
      <c r="D932" t="s">
        <v>4910</v>
      </c>
      <c r="E932" t="s">
        <v>2329</v>
      </c>
      <c r="F932" t="str">
        <f>ToJsonArray(supplementary_offering_legacyid[[#Headers],[offeringid]:[mode]],supplementary_offering_legacyid[[#This Row],[offeringid]:[mode]])</f>
        <v>{"offeringid":"990000177","name":"Favorito ilimitado 4_990000177","mode":"N"}</v>
      </c>
      <c r="G932" t="str">
        <f>ToJsonArray(supplementary_offering_legacyid[[#This Row],[Semilla04]],supplementary_offering_legacyid[[#This Row],[Json]])</f>
        <v>{"VFAV-011":{"offeringid":"990000177","name":"Favorito ilimitado 4_990000177","mode":"N"}}</v>
      </c>
    </row>
    <row r="933" spans="1:7" x14ac:dyDescent="0.25">
      <c r="A933" s="60" t="s">
        <v>4911</v>
      </c>
      <c r="B933" t="str">
        <f>findKey(supplementary_offering_legacyid[[#This Row],[Produccion]])</f>
        <v>VFAV-012</v>
      </c>
      <c r="C933" s="61" t="s">
        <v>4912</v>
      </c>
      <c r="D933" t="s">
        <v>4913</v>
      </c>
      <c r="E933" t="s">
        <v>2329</v>
      </c>
      <c r="F933" t="str">
        <f>ToJsonArray(supplementary_offering_legacyid[[#Headers],[offeringid]:[mode]],supplementary_offering_legacyid[[#This Row],[offeringid]:[mode]])</f>
        <v>{"offeringid":"990000178","name":"2 Fav Allnet_990000178","mode":"N"}</v>
      </c>
      <c r="G933" t="str">
        <f>ToJsonArray(supplementary_offering_legacyid[[#This Row],[Semilla04]],supplementary_offering_legacyid[[#This Row],[Json]])</f>
        <v>{"VFAV-012":{"offeringid":"990000178","name":"2 Fav Allnet_990000178","mode":"N"}}</v>
      </c>
    </row>
    <row r="934" spans="1:7" x14ac:dyDescent="0.25">
      <c r="A934" s="60" t="s">
        <v>4914</v>
      </c>
      <c r="B934" t="str">
        <f>findKey(supplementary_offering_legacyid[[#This Row],[Produccion]])</f>
        <v>VFAV-013</v>
      </c>
      <c r="C934" s="61" t="s">
        <v>4915</v>
      </c>
      <c r="D934" t="s">
        <v>4916</v>
      </c>
      <c r="E934" t="s">
        <v>2329</v>
      </c>
      <c r="F934" t="str">
        <f>ToJsonArray(supplementary_offering_legacyid[[#Headers],[offeringid]:[mode]],supplementary_offering_legacyid[[#This Row],[offeringid]:[mode]])</f>
        <v>{"offeringid":"990000179","name":"Favorito ilimitado 5_990000179","mode":"N"}</v>
      </c>
      <c r="G934" t="str">
        <f>ToJsonArray(supplementary_offering_legacyid[[#This Row],[Semilla04]],supplementary_offering_legacyid[[#This Row],[Json]])</f>
        <v>{"VFAV-013":{"offeringid":"990000179","name":"Favorito ilimitado 5_990000179","mode":"N"}}</v>
      </c>
    </row>
    <row r="935" spans="1:7" x14ac:dyDescent="0.25">
      <c r="A935" s="60" t="s">
        <v>4917</v>
      </c>
      <c r="B935" t="str">
        <f>findKey(supplementary_offering_legacyid[[#This Row],[Produccion]])</f>
        <v>VFAV-014</v>
      </c>
      <c r="C935" s="61" t="s">
        <v>4918</v>
      </c>
      <c r="D935" t="s">
        <v>4919</v>
      </c>
      <c r="E935" t="s">
        <v>2329</v>
      </c>
      <c r="F935" t="str">
        <f>ToJsonArray(supplementary_offering_legacyid[[#Headers],[offeringid]:[mode]],supplementary_offering_legacyid[[#This Row],[offeringid]:[mode]])</f>
        <v>{"offeringid":"990000180","name":"2 Fav Allnet_990000180","mode":"N"}</v>
      </c>
      <c r="G935" t="str">
        <f>ToJsonArray(supplementary_offering_legacyid[[#This Row],[Semilla04]],supplementary_offering_legacyid[[#This Row],[Json]])</f>
        <v>{"VFAV-014":{"offeringid":"990000180","name":"2 Fav Allnet_990000180","mode":"N"}}</v>
      </c>
    </row>
    <row r="936" spans="1:7" x14ac:dyDescent="0.25">
      <c r="A936" s="60" t="s">
        <v>4920</v>
      </c>
      <c r="B936" t="str">
        <f>findKey(supplementary_offering_legacyid[[#This Row],[Produccion]])</f>
        <v>VFAV-017</v>
      </c>
      <c r="C936" s="61" t="s">
        <v>4921</v>
      </c>
      <c r="D936" t="s">
        <v>4922</v>
      </c>
      <c r="E936" t="s">
        <v>2329</v>
      </c>
      <c r="F936" t="str">
        <f>ToJsonArray(supplementary_offering_legacyid[[#Headers],[offeringid]:[mode]],supplementary_offering_legacyid[[#This Row],[offeringid]:[mode]])</f>
        <v>{"offeringid":"990000181","name":"Favorito ilimitado 5_990000181","mode":"N"}</v>
      </c>
      <c r="G936" t="str">
        <f>ToJsonArray(supplementary_offering_legacyid[[#This Row],[Semilla04]],supplementary_offering_legacyid[[#This Row],[Json]])</f>
        <v>{"VFAV-017":{"offeringid":"990000181","name":"Favorito ilimitado 5_990000181","mode":"N"}}</v>
      </c>
    </row>
    <row r="937" spans="1:7" x14ac:dyDescent="0.25">
      <c r="A937" s="60" t="s">
        <v>4923</v>
      </c>
      <c r="B937" t="str">
        <f>findKey(supplementary_offering_legacyid[[#This Row],[Produccion]])</f>
        <v>VFAV-018</v>
      </c>
      <c r="C937" s="61" t="s">
        <v>4924</v>
      </c>
      <c r="D937" t="s">
        <v>4925</v>
      </c>
      <c r="E937" t="s">
        <v>2329</v>
      </c>
      <c r="F937" t="str">
        <f>ToJsonArray(supplementary_offering_legacyid[[#Headers],[offeringid]:[mode]],supplementary_offering_legacyid[[#This Row],[offeringid]:[mode]])</f>
        <v>{"offeringid":"990000182","name":"3 Fav Allnet_990000182","mode":"N"}</v>
      </c>
      <c r="G937" t="str">
        <f>ToJsonArray(supplementary_offering_legacyid[[#This Row],[Semilla04]],supplementary_offering_legacyid[[#This Row],[Json]])</f>
        <v>{"VFAV-018":{"offeringid":"990000182","name":"3 Fav Allnet_990000182","mode":"N"}}</v>
      </c>
    </row>
    <row r="938" spans="1:7" x14ac:dyDescent="0.25">
      <c r="A938" s="60" t="s">
        <v>4926</v>
      </c>
      <c r="B938" t="str">
        <f>findKey(supplementary_offering_legacyid[[#This Row],[Produccion]])</f>
        <v>VFAV-020</v>
      </c>
      <c r="C938" s="61" t="s">
        <v>4927</v>
      </c>
      <c r="D938" t="s">
        <v>4928</v>
      </c>
      <c r="E938" t="s">
        <v>2329</v>
      </c>
      <c r="F938" t="str">
        <f>ToJsonArray(supplementary_offering_legacyid[[#Headers],[offeringid]:[mode]],supplementary_offering_legacyid[[#This Row],[offeringid]:[mode]])</f>
        <v>{"offeringid":"990000183","name":"3 Fav Allnet_990000183","mode":"N"}</v>
      </c>
      <c r="G938" t="str">
        <f>ToJsonArray(supplementary_offering_legacyid[[#This Row],[Semilla04]],supplementary_offering_legacyid[[#This Row],[Json]])</f>
        <v>{"VFAV-020":{"offeringid":"990000183","name":"3 Fav Allnet_990000183","mode":"N"}}</v>
      </c>
    </row>
    <row r="939" spans="1:7" x14ac:dyDescent="0.25">
      <c r="A939" s="60" t="s">
        <v>4929</v>
      </c>
      <c r="B939" t="str">
        <f>findKey(supplementary_offering_legacyid[[#This Row],[Produccion]])</f>
        <v>VFAV-023</v>
      </c>
      <c r="C939" s="61" t="s">
        <v>4930</v>
      </c>
      <c r="D939" t="s">
        <v>4931</v>
      </c>
      <c r="E939" t="s">
        <v>2329</v>
      </c>
      <c r="F939" t="str">
        <f>ToJsonArray(supplementary_offering_legacyid[[#Headers],[offeringid]:[mode]],supplementary_offering_legacyid[[#This Row],[offeringid]:[mode]])</f>
        <v>{"offeringid":"990000184","name":"Favorito ilimitado 5_990000184","mode":"N"}</v>
      </c>
      <c r="G939" t="str">
        <f>ToJsonArray(supplementary_offering_legacyid[[#This Row],[Semilla04]],supplementary_offering_legacyid[[#This Row],[Json]])</f>
        <v>{"VFAV-023":{"offeringid":"990000184","name":"Favorito ilimitado 5_990000184","mode":"N"}}</v>
      </c>
    </row>
    <row r="940" spans="1:7" x14ac:dyDescent="0.25">
      <c r="A940" s="60" t="s">
        <v>4932</v>
      </c>
      <c r="B940" t="str">
        <f>findKey(supplementary_offering_legacyid[[#This Row],[Produccion]])</f>
        <v>VFAV-026</v>
      </c>
      <c r="C940" s="61" t="s">
        <v>4933</v>
      </c>
      <c r="D940" t="s">
        <v>4934</v>
      </c>
      <c r="E940" t="s">
        <v>2329</v>
      </c>
      <c r="F940" t="str">
        <f>ToJsonArray(supplementary_offering_legacyid[[#Headers],[offeringid]:[mode]],supplementary_offering_legacyid[[#This Row],[offeringid]:[mode]])</f>
        <v>{"offeringid":"990000185","name":"4 Fav Allnet_990000185","mode":"N"}</v>
      </c>
      <c r="G940" t="str">
        <f>ToJsonArray(supplementary_offering_legacyid[[#This Row],[Semilla04]],supplementary_offering_legacyid[[#This Row],[Json]])</f>
        <v>{"VFAV-026":{"offeringid":"990000185","name":"4 Fav Allnet_990000185","mode":"N"}}</v>
      </c>
    </row>
    <row r="941" spans="1:7" x14ac:dyDescent="0.25">
      <c r="A941" s="60" t="s">
        <v>4935</v>
      </c>
      <c r="B941" t="str">
        <f>findKey(supplementary_offering_legacyid[[#This Row],[Produccion]])</f>
        <v>VFAV-027</v>
      </c>
      <c r="C941" s="61" t="s">
        <v>4936</v>
      </c>
      <c r="D941" t="s">
        <v>4937</v>
      </c>
      <c r="E941" t="s">
        <v>2329</v>
      </c>
      <c r="F941" t="str">
        <f>ToJsonArray(supplementary_offering_legacyid[[#Headers],[offeringid]:[mode]],supplementary_offering_legacyid[[#This Row],[offeringid]:[mode]])</f>
        <v>{"offeringid":"990000186","name":"Favorito ilimitado 6_990000186","mode":"N"}</v>
      </c>
      <c r="G941" t="str">
        <f>ToJsonArray(supplementary_offering_legacyid[[#This Row],[Semilla04]],supplementary_offering_legacyid[[#This Row],[Json]])</f>
        <v>{"VFAV-027":{"offeringid":"990000186","name":"Favorito ilimitado 6_990000186","mode":"N"}}</v>
      </c>
    </row>
    <row r="942" spans="1:7" x14ac:dyDescent="0.25">
      <c r="A942" s="60" t="s">
        <v>4938</v>
      </c>
      <c r="B942" t="str">
        <f>findKey(supplementary_offering_legacyid[[#This Row],[Produccion]])</f>
        <v>VFAV-029</v>
      </c>
      <c r="C942" s="61" t="s">
        <v>4939</v>
      </c>
      <c r="D942" t="s">
        <v>4940</v>
      </c>
      <c r="E942" t="s">
        <v>2329</v>
      </c>
      <c r="F942" t="str">
        <f>ToJsonArray(supplementary_offering_legacyid[[#Headers],[offeringid]:[mode]],supplementary_offering_legacyid[[#This Row],[offeringid]:[mode]])</f>
        <v>{"offeringid":"990000187","name":"Favorito ilimitado 7_990000187","mode":"N"}</v>
      </c>
      <c r="G942" t="str">
        <f>ToJsonArray(supplementary_offering_legacyid[[#This Row],[Semilla04]],supplementary_offering_legacyid[[#This Row],[Json]])</f>
        <v>{"VFAV-029":{"offeringid":"990000187","name":"Favorito ilimitado 7_990000187","mode":"N"}}</v>
      </c>
    </row>
    <row r="943" spans="1:7" x14ac:dyDescent="0.25">
      <c r="A943" s="60" t="s">
        <v>4941</v>
      </c>
      <c r="B943" t="str">
        <f>findKey(supplementary_offering_legacyid[[#This Row],[Produccion]])</f>
        <v>VFAV-030</v>
      </c>
      <c r="C943" s="61" t="s">
        <v>4942</v>
      </c>
      <c r="D943" t="s">
        <v>4943</v>
      </c>
      <c r="E943" t="s">
        <v>2329</v>
      </c>
      <c r="F943" t="str">
        <f>ToJsonArray(supplementary_offering_legacyid[[#Headers],[offeringid]:[mode]],supplementary_offering_legacyid[[#This Row],[offeringid]:[mode]])</f>
        <v>{"offeringid":"990000188","name":"5 Fav Allnet_990000188","mode":"N"}</v>
      </c>
      <c r="G943" t="str">
        <f>ToJsonArray(supplementary_offering_legacyid[[#This Row],[Semilla04]],supplementary_offering_legacyid[[#This Row],[Json]])</f>
        <v>{"VFAV-030":{"offeringid":"990000188","name":"5 Fav Allnet_990000188","mode":"N"}}</v>
      </c>
    </row>
    <row r="944" spans="1:7" x14ac:dyDescent="0.25">
      <c r="A944" s="60" t="s">
        <v>4944</v>
      </c>
      <c r="B944" t="str">
        <f>findKey(supplementary_offering_legacyid[[#This Row],[Produccion]])</f>
        <v>VTD-013</v>
      </c>
      <c r="C944" s="61" t="s">
        <v>4945</v>
      </c>
      <c r="D944" t="s">
        <v>4946</v>
      </c>
      <c r="E944" t="s">
        <v>2329</v>
      </c>
      <c r="F944" t="str">
        <f>ToJsonArray(supplementary_offering_legacyid[[#Headers],[offeringid]:[mode]],supplementary_offering_legacyid[[#This Row],[offeringid]:[mode]])</f>
        <v>{"offeringid":"990000189","name":"Voz-TD_Sec-280m_990000189","mode":"N"}</v>
      </c>
      <c r="G944" t="str">
        <f>ToJsonArray(supplementary_offering_legacyid[[#This Row],[Semilla04]],supplementary_offering_legacyid[[#This Row],[Json]])</f>
        <v>{"VTD-013":{"offeringid":"990000189","name":"Voz-TD_Sec-280m_990000189","mode":"N"}}</v>
      </c>
    </row>
    <row r="945" spans="1:7" x14ac:dyDescent="0.25">
      <c r="A945" s="60" t="s">
        <v>4947</v>
      </c>
      <c r="B945" t="str">
        <f>findKey(supplementary_offering_legacyid[[#This Row],[Produccion]])</f>
        <v>VTD-014</v>
      </c>
      <c r="C945" s="61" t="s">
        <v>4948</v>
      </c>
      <c r="D945" t="s">
        <v>4949</v>
      </c>
      <c r="E945" t="s">
        <v>2329</v>
      </c>
      <c r="F945" t="str">
        <f>ToJsonArray(supplementary_offering_legacyid[[#Headers],[offeringid]:[mode]],supplementary_offering_legacyid[[#This Row],[offeringid]:[mode]])</f>
        <v>{"offeringid":"990000190","name":"Voz-TD_Sec-340m_990000190","mode":"N"}</v>
      </c>
      <c r="G945" t="str">
        <f>ToJsonArray(supplementary_offering_legacyid[[#This Row],[Semilla04]],supplementary_offering_legacyid[[#This Row],[Json]])</f>
        <v>{"VTD-014":{"offeringid":"990000190","name":"Voz-TD_Sec-340m_990000190","mode":"N"}}</v>
      </c>
    </row>
    <row r="946" spans="1:7" x14ac:dyDescent="0.25">
      <c r="A946" s="60" t="s">
        <v>4950</v>
      </c>
      <c r="B946" t="str">
        <f>findKey(supplementary_offering_legacyid[[#This Row],[Produccion]])</f>
        <v>VTD-015</v>
      </c>
      <c r="C946" s="61" t="s">
        <v>4951</v>
      </c>
      <c r="D946" t="s">
        <v>4952</v>
      </c>
      <c r="E946" t="s">
        <v>2329</v>
      </c>
      <c r="F946" t="str">
        <f>ToJsonArray(supplementary_offering_legacyid[[#Headers],[offeringid]:[mode]],supplementary_offering_legacyid[[#This Row],[offeringid]:[mode]])</f>
        <v>{"offeringid":"990000191","name":"Voz-TD_Seg-390m_990000191","mode":"N"}</v>
      </c>
      <c r="G946" t="str">
        <f>ToJsonArray(supplementary_offering_legacyid[[#This Row],[Semilla04]],supplementary_offering_legacyid[[#This Row],[Json]])</f>
        <v>{"VTD-015":{"offeringid":"990000191","name":"Voz-TD_Seg-390m_990000191","mode":"N"}}</v>
      </c>
    </row>
    <row r="947" spans="1:7" x14ac:dyDescent="0.25">
      <c r="A947" s="60" t="s">
        <v>4953</v>
      </c>
      <c r="B947" t="str">
        <f>findKey(supplementary_offering_legacyid[[#This Row],[Produccion]])</f>
        <v>VTD-017</v>
      </c>
      <c r="C947" s="61" t="s">
        <v>4954</v>
      </c>
      <c r="D947" t="s">
        <v>4955</v>
      </c>
      <c r="E947" t="s">
        <v>2329</v>
      </c>
      <c r="F947" t="str">
        <f>ToJsonArray(supplementary_offering_legacyid[[#Headers],[offeringid]:[mode]],supplementary_offering_legacyid[[#This Row],[offeringid]:[mode]])</f>
        <v>{"offeringid":"990000192","name":"Voz-TD_Seg-600m_990000192","mode":"N"}</v>
      </c>
      <c r="G947" t="str">
        <f>ToJsonArray(supplementary_offering_legacyid[[#This Row],[Semilla04]],supplementary_offering_legacyid[[#This Row],[Json]])</f>
        <v>{"VTD-017":{"offeringid":"990000192","name":"Voz-TD_Seg-600m_990000192","mode":"N"}}</v>
      </c>
    </row>
    <row r="948" spans="1:7" x14ac:dyDescent="0.25">
      <c r="A948" s="60" t="s">
        <v>4956</v>
      </c>
      <c r="B948" t="str">
        <f>findKey(supplementary_offering_legacyid[[#This Row],[Produccion]])</f>
        <v>VTD-018</v>
      </c>
      <c r="C948" s="61" t="s">
        <v>4957</v>
      </c>
      <c r="D948" t="s">
        <v>4958</v>
      </c>
      <c r="E948" t="s">
        <v>2329</v>
      </c>
      <c r="F948" t="str">
        <f>ToJsonArray(supplementary_offering_legacyid[[#Headers],[offeringid]:[mode]],supplementary_offering_legacyid[[#This Row],[offeringid]:[mode]])</f>
        <v>{"offeringid":"990000193","name":"Voz-TD_Seg-650m_990000193","mode":"N"}</v>
      </c>
      <c r="G948" t="str">
        <f>ToJsonArray(supplementary_offering_legacyid[[#This Row],[Semilla04]],supplementary_offering_legacyid[[#This Row],[Json]])</f>
        <v>{"VTD-018":{"offeringid":"990000193","name":"Voz-TD_Seg-650m_990000193","mode":"N"}}</v>
      </c>
    </row>
    <row r="949" spans="1:7" x14ac:dyDescent="0.25">
      <c r="A949" s="60" t="s">
        <v>4959</v>
      </c>
      <c r="B949" t="str">
        <f>findKey(supplementary_offering_legacyid[[#This Row],[Produccion]])</f>
        <v>VTD-020</v>
      </c>
      <c r="C949" s="61" t="s">
        <v>4960</v>
      </c>
      <c r="D949" t="s">
        <v>4961</v>
      </c>
      <c r="E949" t="s">
        <v>2329</v>
      </c>
      <c r="F949" t="str">
        <f>ToJsonArray(supplementary_offering_legacyid[[#Headers],[offeringid]:[mode]],supplementary_offering_legacyid[[#This Row],[offeringid]:[mode]])</f>
        <v>{"offeringid":"990000194","name":"Voz-TD_Seg-800m_990000194","mode":"N"}</v>
      </c>
      <c r="G949" t="str">
        <f>ToJsonArray(supplementary_offering_legacyid[[#This Row],[Semilla04]],supplementary_offering_legacyid[[#This Row],[Json]])</f>
        <v>{"VTD-020":{"offeringid":"990000194","name":"Voz-TD_Seg-800m_990000194","mode":"N"}}</v>
      </c>
    </row>
    <row r="950" spans="1:7" x14ac:dyDescent="0.25">
      <c r="A950" s="60" t="s">
        <v>4962</v>
      </c>
      <c r="B950" t="str">
        <f>findKey(supplementary_offering_legacyid[[#This Row],[Produccion]])</f>
        <v>VTD-021</v>
      </c>
      <c r="C950" s="61" t="s">
        <v>4963</v>
      </c>
      <c r="D950" t="s">
        <v>4964</v>
      </c>
      <c r="E950" t="s">
        <v>2329</v>
      </c>
      <c r="F950" t="str">
        <f>ToJsonArray(supplementary_offering_legacyid[[#Headers],[offeringid]:[mode]],supplementary_offering_legacyid[[#This Row],[offeringid]:[mode]])</f>
        <v>{"offeringid":"990000195","name":"Voz-TD_Seg-1000m_990000195","mode":"N"}</v>
      </c>
      <c r="G950" t="str">
        <f>ToJsonArray(supplementary_offering_legacyid[[#This Row],[Semilla04]],supplementary_offering_legacyid[[#This Row],[Json]])</f>
        <v>{"VTD-021":{"offeringid":"990000195","name":"Voz-TD_Seg-1000m_990000195","mode":"N"}}</v>
      </c>
    </row>
    <row r="951" spans="1:7" x14ac:dyDescent="0.25">
      <c r="A951" s="60" t="s">
        <v>4965</v>
      </c>
      <c r="B951" t="str">
        <f>findKey(supplementary_offering_legacyid[[#This Row],[Produccion]])</f>
        <v>VTD-022</v>
      </c>
      <c r="C951" s="61" t="s">
        <v>4966</v>
      </c>
      <c r="D951" t="s">
        <v>4967</v>
      </c>
      <c r="E951" t="s">
        <v>2329</v>
      </c>
      <c r="F951" t="str">
        <f>ToJsonArray(supplementary_offering_legacyid[[#Headers],[offeringid]:[mode]],supplementary_offering_legacyid[[#This Row],[offeringid]:[mode]])</f>
        <v>{"offeringid":"990000196","name":"Voz-TD_Seg-1300m_990000196","mode":"N"}</v>
      </c>
      <c r="G951" t="str">
        <f>ToJsonArray(supplementary_offering_legacyid[[#This Row],[Semilla04]],supplementary_offering_legacyid[[#This Row],[Json]])</f>
        <v>{"VTD-022":{"offeringid":"990000196","name":"Voz-TD_Seg-1300m_990000196","mode":"N"}}</v>
      </c>
    </row>
    <row r="952" spans="1:7" x14ac:dyDescent="0.25">
      <c r="A952" s="60" t="s">
        <v>4968</v>
      </c>
      <c r="B952" t="str">
        <f>findKey(supplementary_offering_legacyid[[#This Row],[Produccion]])</f>
        <v>VTD-023</v>
      </c>
      <c r="C952" s="61" t="s">
        <v>4969</v>
      </c>
      <c r="D952" t="s">
        <v>4970</v>
      </c>
      <c r="E952" t="s">
        <v>2329</v>
      </c>
      <c r="F952" t="str">
        <f>ToJsonArray(supplementary_offering_legacyid[[#Headers],[offeringid]:[mode]],supplementary_offering_legacyid[[#This Row],[offeringid]:[mode]])</f>
        <v>{"offeringid":"990000197","name":"Voz-TD_Seg-1500m_990000197","mode":"N"}</v>
      </c>
      <c r="G952" t="str">
        <f>ToJsonArray(supplementary_offering_legacyid[[#This Row],[Semilla04]],supplementary_offering_legacyid[[#This Row],[Json]])</f>
        <v>{"VTD-023":{"offeringid":"990000197","name":"Voz-TD_Seg-1500m_990000197","mode":"N"}}</v>
      </c>
    </row>
    <row r="953" spans="1:7" x14ac:dyDescent="0.25">
      <c r="A953" s="60" t="s">
        <v>4971</v>
      </c>
      <c r="B953" t="str">
        <f>findKey(supplementary_offering_legacyid[[#This Row],[Produccion]])</f>
        <v>VTD-024</v>
      </c>
      <c r="C953" s="61" t="s">
        <v>4972</v>
      </c>
      <c r="D953" t="s">
        <v>4973</v>
      </c>
      <c r="E953" t="s">
        <v>2329</v>
      </c>
      <c r="F953" t="str">
        <f>ToJsonArray(supplementary_offering_legacyid[[#Headers],[offeringid]:[mode]],supplementary_offering_legacyid[[#This Row],[offeringid]:[mode]])</f>
        <v>{"offeringid":"990000198","name":"Voz-TD_Seg-1700m_990000198","mode":"N"}</v>
      </c>
      <c r="G953" t="str">
        <f>ToJsonArray(supplementary_offering_legacyid[[#This Row],[Semilla04]],supplementary_offering_legacyid[[#This Row],[Json]])</f>
        <v>{"VTD-024":{"offeringid":"990000198","name":"Voz-TD_Seg-1700m_990000198","mode":"N"}}</v>
      </c>
    </row>
    <row r="954" spans="1:7" x14ac:dyDescent="0.25">
      <c r="A954" s="60" t="s">
        <v>4974</v>
      </c>
      <c r="B954" t="str">
        <f>findKey(supplementary_offering_legacyid[[#This Row],[Produccion]])</f>
        <v>VTD-025</v>
      </c>
      <c r="C954" s="61" t="s">
        <v>4975</v>
      </c>
      <c r="D954" t="s">
        <v>4976</v>
      </c>
      <c r="E954" t="s">
        <v>2329</v>
      </c>
      <c r="F954" t="str">
        <f>ToJsonArray(supplementary_offering_legacyid[[#Headers],[offeringid]:[mode]],supplementary_offering_legacyid[[#This Row],[offeringid]:[mode]])</f>
        <v>{"offeringid":"990000199","name":"Voz-TD_Seg-3000m_990000199","mode":"N"}</v>
      </c>
      <c r="G954" t="str">
        <f>ToJsonArray(supplementary_offering_legacyid[[#This Row],[Semilla04]],supplementary_offering_legacyid[[#This Row],[Json]])</f>
        <v>{"VTD-025":{"offeringid":"990000199","name":"Voz-TD_Seg-3000m_990000199","mode":"N"}}</v>
      </c>
    </row>
    <row r="955" spans="1:7" x14ac:dyDescent="0.25">
      <c r="A955" s="60" t="s">
        <v>4977</v>
      </c>
      <c r="B955" t="str">
        <f>findKey(supplementary_offering_legacyid[[#This Row],[Produccion]])</f>
        <v>VTD-030</v>
      </c>
      <c r="C955" s="61" t="s">
        <v>4978</v>
      </c>
      <c r="D955" t="s">
        <v>4979</v>
      </c>
      <c r="E955" t="s">
        <v>2329</v>
      </c>
      <c r="F955" t="str">
        <f>ToJsonArray(supplementary_offering_legacyid[[#Headers],[offeringid]:[mode]],supplementary_offering_legacyid[[#This Row],[offeringid]:[mode]])</f>
        <v>{"offeringid":"990000200","name":"Voz-TD-Ilimitado_990000200","mode":"N"}</v>
      </c>
      <c r="G955" t="str">
        <f>ToJsonArray(supplementary_offering_legacyid[[#This Row],[Semilla04]],supplementary_offering_legacyid[[#This Row],[Json]])</f>
        <v>{"VTD-030":{"offeringid":"990000200","name":"Voz-TD-Ilimitado_990000200","mode":"N"}}</v>
      </c>
    </row>
    <row r="956" spans="1:7" x14ac:dyDescent="0.25">
      <c r="A956" s="60" t="s">
        <v>4980</v>
      </c>
      <c r="B956" t="str">
        <f>findKey(supplementary_offering_legacyid[[#This Row],[Produccion]])</f>
        <v>VTD-040</v>
      </c>
      <c r="C956" s="61" t="s">
        <v>4981</v>
      </c>
      <c r="D956" t="s">
        <v>4982</v>
      </c>
      <c r="E956" t="s">
        <v>2329</v>
      </c>
      <c r="F956" t="str">
        <f>ToJsonArray(supplementary_offering_legacyid[[#Headers],[offeringid]:[mode]],supplementary_offering_legacyid[[#This Row],[offeringid]:[mode]])</f>
        <v>{"offeringid":"990000201","name":"Voz-TD-24000 seg_990000201","mode":"N"}</v>
      </c>
      <c r="G956" t="str">
        <f>ToJsonArray(supplementary_offering_legacyid[[#This Row],[Semilla04]],supplementary_offering_legacyid[[#This Row],[Json]])</f>
        <v>{"VTD-040":{"offeringid":"990000201","name":"Voz-TD-24000 seg_990000201","mode":"N"}}</v>
      </c>
    </row>
    <row r="957" spans="1:7" x14ac:dyDescent="0.25">
      <c r="A957" s="60" t="s">
        <v>4983</v>
      </c>
      <c r="B957" t="str">
        <f>findKey(supplementary_offering_legacyid[[#This Row],[Produccion]])</f>
        <v>VTD-047</v>
      </c>
      <c r="C957" s="61" t="s">
        <v>4984</v>
      </c>
      <c r="D957" t="s">
        <v>4985</v>
      </c>
      <c r="E957" t="s">
        <v>2329</v>
      </c>
      <c r="F957" t="str">
        <f>ToJsonArray(supplementary_offering_legacyid[[#Headers],[offeringid]:[mode]],supplementary_offering_legacyid[[#This Row],[offeringid]:[mode]])</f>
        <v>{"offeringid":"990000202","name":"Voz-TD-30000 seg_990000202","mode":"N"}</v>
      </c>
      <c r="G957" t="str">
        <f>ToJsonArray(supplementary_offering_legacyid[[#This Row],[Semilla04]],supplementary_offering_legacyid[[#This Row],[Json]])</f>
        <v>{"VTD-047":{"offeringid":"990000202","name":"Voz-TD-30000 seg_990000202","mode":"N"}}</v>
      </c>
    </row>
    <row r="958" spans="1:7" x14ac:dyDescent="0.25">
      <c r="A958" s="60" t="s">
        <v>4986</v>
      </c>
      <c r="B958" t="str">
        <f>findKey(supplementary_offering_legacyid[[#This Row],[Produccion]])</f>
        <v>VTD-052</v>
      </c>
      <c r="C958" s="61" t="s">
        <v>4987</v>
      </c>
      <c r="D958" t="s">
        <v>4988</v>
      </c>
      <c r="E958" t="s">
        <v>2329</v>
      </c>
      <c r="F958" t="str">
        <f>ToJsonArray(supplementary_offering_legacyid[[#Headers],[offeringid]:[mode]],supplementary_offering_legacyid[[#This Row],[offeringid]:[mode]])</f>
        <v>{"offeringid":"990000203","name":"Voz-TD-30000 seg_990000203","mode":"N"}</v>
      </c>
      <c r="G958" t="str">
        <f>ToJsonArray(supplementary_offering_legacyid[[#This Row],[Semilla04]],supplementary_offering_legacyid[[#This Row],[Json]])</f>
        <v>{"VTD-052":{"offeringid":"990000203","name":"Voz-TD-30000 seg_990000203","mode":"N"}}</v>
      </c>
    </row>
    <row r="959" spans="1:7" x14ac:dyDescent="0.25">
      <c r="A959" s="60" t="s">
        <v>4989</v>
      </c>
      <c r="B959" t="str">
        <f>findKey(supplementary_offering_legacyid[[#This Row],[Produccion]])</f>
        <v>VTD-053</v>
      </c>
      <c r="C959" s="61" t="s">
        <v>4990</v>
      </c>
      <c r="D959" t="s">
        <v>4991</v>
      </c>
      <c r="E959" t="s">
        <v>2329</v>
      </c>
      <c r="F959" t="str">
        <f>ToJsonArray(supplementary_offering_legacyid[[#Headers],[offeringid]:[mode]],supplementary_offering_legacyid[[#This Row],[offeringid]:[mode]])</f>
        <v>{"offeringid":"990000204","name":"Voz-TD-48000 seg_990000204","mode":"N"}</v>
      </c>
      <c r="G959" t="str">
        <f>ToJsonArray(supplementary_offering_legacyid[[#This Row],[Semilla04]],supplementary_offering_legacyid[[#This Row],[Json]])</f>
        <v>{"VTD-053":{"offeringid":"990000204","name":"Voz-TD-48000 seg_990000204","mode":"N"}}</v>
      </c>
    </row>
    <row r="960" spans="1:7" x14ac:dyDescent="0.25">
      <c r="A960" s="60" t="s">
        <v>4992</v>
      </c>
      <c r="B960" t="str">
        <f>findKey(supplementary_offering_legacyid[[#This Row],[Produccion]])</f>
        <v>VTD-056</v>
      </c>
      <c r="C960" s="61" t="s">
        <v>4993</v>
      </c>
      <c r="D960" t="s">
        <v>4994</v>
      </c>
      <c r="E960" t="s">
        <v>2329</v>
      </c>
      <c r="F960" t="str">
        <f>ToJsonArray(supplementary_offering_legacyid[[#Headers],[offeringid]:[mode]],supplementary_offering_legacyid[[#This Row],[offeringid]:[mode]])</f>
        <v>{"offeringid":"990000205","name":"Voz-TD-54000 seg_990000205","mode":"N"}</v>
      </c>
      <c r="G960" t="str">
        <f>ToJsonArray(supplementary_offering_legacyid[[#This Row],[Semilla04]],supplementary_offering_legacyid[[#This Row],[Json]])</f>
        <v>{"VTD-056":{"offeringid":"990000205","name":"Voz-TD-54000 seg_990000205","mode":"N"}}</v>
      </c>
    </row>
    <row r="961" spans="1:7" x14ac:dyDescent="0.25">
      <c r="A961" s="60" t="s">
        <v>4995</v>
      </c>
      <c r="B961" t="str">
        <f>findKey(supplementary_offering_legacyid[[#This Row],[Produccion]])</f>
        <v>VTD-058</v>
      </c>
      <c r="C961" s="61" t="s">
        <v>4996</v>
      </c>
      <c r="D961" t="s">
        <v>4997</v>
      </c>
      <c r="E961" t="s">
        <v>2329</v>
      </c>
      <c r="F961" t="str">
        <f>ToJsonArray(supplementary_offering_legacyid[[#Headers],[offeringid]:[mode]],supplementary_offering_legacyid[[#This Row],[offeringid]:[mode]])</f>
        <v>{"offeringid":"990000206","name":"Voz-TD-60000 seg_990000206","mode":"N"}</v>
      </c>
      <c r="G961" t="str">
        <f>ToJsonArray(supplementary_offering_legacyid[[#This Row],[Semilla04]],supplementary_offering_legacyid[[#This Row],[Json]])</f>
        <v>{"VTD-058":{"offeringid":"990000206","name":"Voz-TD-60000 seg_990000206","mode":"N"}}</v>
      </c>
    </row>
    <row r="962" spans="1:7" x14ac:dyDescent="0.25">
      <c r="A962" s="60" t="s">
        <v>4998</v>
      </c>
      <c r="B962" t="str">
        <f>findKey(supplementary_offering_legacyid[[#This Row],[Produccion]])</f>
        <v>VTIG-008</v>
      </c>
      <c r="C962" s="61" t="s">
        <v>4999</v>
      </c>
      <c r="D962" t="s">
        <v>5000</v>
      </c>
      <c r="E962" t="s">
        <v>2329</v>
      </c>
      <c r="F962" t="str">
        <f>ToJsonArray(supplementary_offering_legacyid[[#Headers],[offeringid]:[mode]],supplementary_offering_legacyid[[#This Row],[offeringid]:[mode]])</f>
        <v>{"offeringid":"990000207","name":"Voz-OnNet-Ilimitado_990000207","mode":"N"}</v>
      </c>
      <c r="G962" t="str">
        <f>ToJsonArray(supplementary_offering_legacyid[[#This Row],[Semilla04]],supplementary_offering_legacyid[[#This Row],[Json]])</f>
        <v>{"VTIG-008":{"offeringid":"990000207","name":"Voz-OnNet-Ilimitado_990000207","mode":"N"}}</v>
      </c>
    </row>
    <row r="963" spans="1:7" x14ac:dyDescent="0.25">
      <c r="A963" s="60" t="s">
        <v>5001</v>
      </c>
      <c r="B963" t="str">
        <f>findKey(supplementary_offering_legacyid[[#This Row],[Produccion]])</f>
        <v>100022-13</v>
      </c>
      <c r="C963" s="61" t="s">
        <v>5002</v>
      </c>
      <c r="D963" t="s">
        <v>5003</v>
      </c>
      <c r="E963" t="s">
        <v>2329</v>
      </c>
      <c r="F963" t="str">
        <f>ToJsonArray(supplementary_offering_legacyid[[#Headers],[offeringid]:[mode]],supplementary_offering_legacyid[[#This Row],[offeringid]:[mode]])</f>
        <v>{"offeringid":"910002213","name":"Voz-TD-2678400s_910002213","mode":"N"}</v>
      </c>
      <c r="G963" t="str">
        <f>ToJsonArray(supplementary_offering_legacyid[[#This Row],[Semilla04]],supplementary_offering_legacyid[[#This Row],[Json]])</f>
        <v>{"100022-13":{"offeringid":"910002213","name":"Voz-TD-2678400s_910002213","mode":"N"}}</v>
      </c>
    </row>
    <row r="964" spans="1:7" x14ac:dyDescent="0.25">
      <c r="A964" s="60" t="s">
        <v>5004</v>
      </c>
      <c r="B964" t="str">
        <f>findKey(supplementary_offering_legacyid[[#This Row],[Produccion]])</f>
        <v>100022-14</v>
      </c>
      <c r="C964" s="61" t="s">
        <v>5005</v>
      </c>
      <c r="D964" t="s">
        <v>5006</v>
      </c>
      <c r="E964" t="s">
        <v>2329</v>
      </c>
      <c r="F964" t="str">
        <f>ToJsonArray(supplementary_offering_legacyid[[#Headers],[offeringid]:[mode]],supplementary_offering_legacyid[[#This Row],[offeringid]:[mode]])</f>
        <v>{"offeringid":"910002214","name":"Voz-TD-2678400s_910002214","mode":"N"}</v>
      </c>
      <c r="G964" t="str">
        <f>ToJsonArray(supplementary_offering_legacyid[[#This Row],[Semilla04]],supplementary_offering_legacyid[[#This Row],[Json]])</f>
        <v>{"100022-14":{"offeringid":"910002214","name":"Voz-TD-2678400s_910002214","mode":"N"}}</v>
      </c>
    </row>
    <row r="965" spans="1:7" x14ac:dyDescent="0.25">
      <c r="A965" s="60" t="s">
        <v>5007</v>
      </c>
      <c r="B965" t="str">
        <f>findKey(supplementary_offering_legacyid[[#This Row],[Produccion]])</f>
        <v>200008-69</v>
      </c>
      <c r="C965" s="61" t="s">
        <v>5008</v>
      </c>
      <c r="D965" t="s">
        <v>5009</v>
      </c>
      <c r="E965" t="s">
        <v>2329</v>
      </c>
      <c r="F965" t="str">
        <f>ToJsonArray(supplementary_offering_legacyid[[#Headers],[offeringid]:[mode]],supplementary_offering_legacyid[[#This Row],[offeringid]:[mode]])</f>
        <v>{"offeringid":"920000869","name":"Smart sin navegacion_920000869","mode":"N"}</v>
      </c>
      <c r="G965" t="str">
        <f>ToJsonArray(supplementary_offering_legacyid[[#This Row],[Semilla04]],supplementary_offering_legacyid[[#This Row],[Json]])</f>
        <v>{"200008-69":{"offeringid":"920000869","name":"Smart sin navegacion_920000869","mode":"N"}}</v>
      </c>
    </row>
    <row r="966" spans="1:7" x14ac:dyDescent="0.25">
      <c r="A966" s="60" t="s">
        <v>5010</v>
      </c>
      <c r="B966" t="str">
        <f>findKey(supplementary_offering_legacyid[[#This Row],[Produccion]])</f>
        <v>200008-70</v>
      </c>
      <c r="C966" s="61" t="s">
        <v>5011</v>
      </c>
      <c r="D966" t="s">
        <v>5012</v>
      </c>
      <c r="E966" t="s">
        <v>2329</v>
      </c>
      <c r="F966" t="str">
        <f>ToJsonArray(supplementary_offering_legacyid[[#Headers],[offeringid]:[mode]],supplementary_offering_legacyid[[#This Row],[offeringid]:[mode]])</f>
        <v>{"offeringid":"920000870","name":"Smart sin navegacion_920000870","mode":"N"}</v>
      </c>
      <c r="G966" t="str">
        <f>ToJsonArray(supplementary_offering_legacyid[[#This Row],[Semilla04]],supplementary_offering_legacyid[[#This Row],[Json]])</f>
        <v>{"200008-70":{"offeringid":"920000870","name":"Smart sin navegacion_920000870","mode":"N"}}</v>
      </c>
    </row>
    <row r="967" spans="1:7" x14ac:dyDescent="0.25">
      <c r="A967" s="60" t="s">
        <v>5013</v>
      </c>
      <c r="B967" t="str">
        <f>findKey(supplementary_offering_legacyid[[#This Row],[Produccion]])</f>
        <v>200021-83</v>
      </c>
      <c r="C967" s="61" t="s">
        <v>5014</v>
      </c>
      <c r="D967" t="s">
        <v>5015</v>
      </c>
      <c r="E967" t="s">
        <v>2329</v>
      </c>
      <c r="F967" t="str">
        <f>ToJsonArray(supplementary_offering_legacyid[[#Headers],[offeringid]:[mode]],supplementary_offering_legacyid[[#This Row],[offeringid]:[mode]])</f>
        <v>{"offeringid":"920002183","name":"Data 3.5GB_920002183","mode":"N"}</v>
      </c>
      <c r="G967" t="str">
        <f>ToJsonArray(supplementary_offering_legacyid[[#This Row],[Semilla04]],supplementary_offering_legacyid[[#This Row],[Json]])</f>
        <v>{"200021-83":{"offeringid":"920002183","name":"Data 3.5GB_920002183","mode":"N"}}</v>
      </c>
    </row>
    <row r="968" spans="1:7" x14ac:dyDescent="0.25">
      <c r="A968" s="60" t="s">
        <v>5016</v>
      </c>
      <c r="B968" t="str">
        <f>findKey(supplementary_offering_legacyid[[#This Row],[Produccion]])</f>
        <v>300302-98</v>
      </c>
      <c r="C968" s="61" t="s">
        <v>5017</v>
      </c>
      <c r="D968" t="s">
        <v>5018</v>
      </c>
      <c r="E968" t="s">
        <v>2329</v>
      </c>
      <c r="F968" t="str">
        <f>ToJsonArray(supplementary_offering_legacyid[[#Headers],[offeringid]:[mode]],supplementary_offering_legacyid[[#This Row],[offeringid]:[mode]])</f>
        <v>{"offeringid":"930030298","name":"Sms-TD-Ilimitado_930030298","mode":"N"}</v>
      </c>
      <c r="G968" t="str">
        <f>ToJsonArray(supplementary_offering_legacyid[[#This Row],[Semilla04]],supplementary_offering_legacyid[[#This Row],[Json]])</f>
        <v>{"300302-98":{"offeringid":"930030298","name":"Sms-TD-Ilimitado_930030298","mode":"N"}}</v>
      </c>
    </row>
    <row r="969" spans="1:7" x14ac:dyDescent="0.25">
      <c r="A969" s="60" t="s">
        <v>5019</v>
      </c>
      <c r="B969" t="str">
        <f>findKey(supplementary_offering_legacyid[[#This Row],[Produccion]])</f>
        <v>300302-99</v>
      </c>
      <c r="C969" s="61" t="s">
        <v>5020</v>
      </c>
      <c r="D969" t="s">
        <v>5021</v>
      </c>
      <c r="E969" t="s">
        <v>2329</v>
      </c>
      <c r="F969" t="str">
        <f>ToJsonArray(supplementary_offering_legacyid[[#Headers],[offeringid]:[mode]],supplementary_offering_legacyid[[#This Row],[offeringid]:[mode]])</f>
        <v>{"offeringid":"930030299","name":"Sms-TD-Ilimitado_930030299","mode":"N"}</v>
      </c>
      <c r="G969" t="str">
        <f>ToJsonArray(supplementary_offering_legacyid[[#This Row],[Semilla04]],supplementary_offering_legacyid[[#This Row],[Json]])</f>
        <v>{"300302-99":{"offeringid":"930030299","name":"Sms-TD-Ilimitado_930030299","mode":"N"}}</v>
      </c>
    </row>
    <row r="970" spans="1:7" x14ac:dyDescent="0.25">
      <c r="A970" s="60" t="s">
        <v>5022</v>
      </c>
      <c r="B970" t="str">
        <f>findKey(supplementary_offering_legacyid[[#This Row],[Produccion]])</f>
        <v>200021-84</v>
      </c>
      <c r="C970" s="61" t="s">
        <v>5023</v>
      </c>
      <c r="D970" t="s">
        <v>5024</v>
      </c>
      <c r="E970" t="s">
        <v>2329</v>
      </c>
      <c r="F970" t="str">
        <f>ToJsonArray(supplementary_offering_legacyid[[#Headers],[offeringid]:[mode]],supplementary_offering_legacyid[[#This Row],[offeringid]:[mode]])</f>
        <v>{"offeringid":"920002184","name":"Data 4GB_920002184","mode":"N"}</v>
      </c>
      <c r="G970" t="str">
        <f>ToJsonArray(supplementary_offering_legacyid[[#This Row],[Semilla04]],supplementary_offering_legacyid[[#This Row],[Json]])</f>
        <v>{"200021-84":{"offeringid":"920002184","name":"Data 4GB_920002184","mode":"N"}}</v>
      </c>
    </row>
    <row r="971" spans="1:7" x14ac:dyDescent="0.25">
      <c r="A971" s="60" t="s">
        <v>5025</v>
      </c>
      <c r="B971" t="str">
        <f>findKey(supplementary_offering_legacyid[[#This Row],[Produccion]])</f>
        <v>810004-88</v>
      </c>
      <c r="C971" s="61" t="s">
        <v>5026</v>
      </c>
      <c r="D971" t="s">
        <v>5027</v>
      </c>
      <c r="E971" t="s">
        <v>2329</v>
      </c>
      <c r="F971" t="str">
        <f>ToJsonArray(supplementary_offering_legacyid[[#Headers],[offeringid]:[mode]],supplementary_offering_legacyid[[#This Row],[offeringid]:[mode]])</f>
        <v>{"offeringid":"981000488","name":"CUG-4Fav_981000488","mode":"N"}</v>
      </c>
      <c r="G971" t="str">
        <f>ToJsonArray(supplementary_offering_legacyid[[#This Row],[Semilla04]],supplementary_offering_legacyid[[#This Row],[Json]])</f>
        <v>{"810004-88":{"offeringid":"981000488","name":"CUG-4Fav_981000488","mode":"N"}}</v>
      </c>
    </row>
    <row r="972" spans="1:7" x14ac:dyDescent="0.25">
      <c r="A972" s="60" t="s">
        <v>5028</v>
      </c>
      <c r="B972" t="str">
        <f>findKey(supplementary_offering_legacyid[[#This Row],[Produccion]])</f>
        <v>810004-89</v>
      </c>
      <c r="C972" s="61" t="s">
        <v>5029</v>
      </c>
      <c r="D972" t="s">
        <v>5030</v>
      </c>
      <c r="E972" t="s">
        <v>2329</v>
      </c>
      <c r="F972" t="str">
        <f>ToJsonArray(supplementary_offering_legacyid[[#Headers],[offeringid]:[mode]],supplementary_offering_legacyid[[#This Row],[offeringid]:[mode]])</f>
        <v>{"offeringid":"981000489","name":"CUG-4Fav_981000489","mode":"N"}</v>
      </c>
      <c r="G972" t="str">
        <f>ToJsonArray(supplementary_offering_legacyid[[#This Row],[Semilla04]],supplementary_offering_legacyid[[#This Row],[Json]])</f>
        <v>{"810004-89":{"offeringid":"981000489","name":"CUG-4Fav_981000489","mode":"N"}}</v>
      </c>
    </row>
    <row r="973" spans="1:7" x14ac:dyDescent="0.25">
      <c r="A973" s="60" t="s">
        <v>5031</v>
      </c>
      <c r="B973" t="str">
        <f>findKey(supplementary_offering_legacyid[[#This Row],[Produccion]])</f>
        <v>99999990</v>
      </c>
      <c r="C973" s="61" t="s">
        <v>5032</v>
      </c>
      <c r="D973" t="s">
        <v>2170</v>
      </c>
      <c r="E973" t="s">
        <v>2329</v>
      </c>
      <c r="F973" t="str">
        <f>ToJsonArray(supplementary_offering_legacyid[[#Headers],[offeringid]:[mode]],supplementary_offering_legacyid[[#This Row],[offeringid]:[mode]])</f>
        <v>{"offeringid":"990000163","name":"workarround-favorite0","mode":"N"}</v>
      </c>
      <c r="G973" t="str">
        <f>ToJsonArray(supplementary_offering_legacyid[[#This Row],[Semilla04]],supplementary_offering_legacyid[[#This Row],[Json]])</f>
        <v>{"99999990":{"offeringid":"990000163","name":"workarround-favorite0","mode":"N"}}</v>
      </c>
    </row>
    <row r="974" spans="1:7" x14ac:dyDescent="0.25">
      <c r="A974" s="60" t="s">
        <v>5033</v>
      </c>
      <c r="B974" t="str">
        <f>findKey(supplementary_offering_legacyid[[#This Row],[Produccion]])</f>
        <v>99999991</v>
      </c>
      <c r="C974" s="61" t="s">
        <v>5034</v>
      </c>
      <c r="D974" t="s">
        <v>2171</v>
      </c>
      <c r="E974" t="s">
        <v>2329</v>
      </c>
      <c r="F974" t="str">
        <f>ToJsonArray(supplementary_offering_legacyid[[#Headers],[offeringid]:[mode]],supplementary_offering_legacyid[[#This Row],[offeringid]:[mode]])</f>
        <v>{"offeringid":"990000162","name":"workarround-favorite1","mode":"N"}</v>
      </c>
      <c r="G974" t="str">
        <f>ToJsonArray(supplementary_offering_legacyid[[#This Row],[Semilla04]],supplementary_offering_legacyid[[#This Row],[Json]])</f>
        <v>{"99999991":{"offeringid":"990000162","name":"workarround-favorite1","mode":"N"}}</v>
      </c>
    </row>
    <row r="975" spans="1:7" x14ac:dyDescent="0.25">
      <c r="A975" s="60" t="s">
        <v>5035</v>
      </c>
      <c r="B975" t="str">
        <f>findKey(supplementary_offering_legacyid[[#This Row],[Produccion]])</f>
        <v>99999993</v>
      </c>
      <c r="C975" s="61" t="s">
        <v>5036</v>
      </c>
      <c r="D975" t="s">
        <v>2172</v>
      </c>
      <c r="E975" t="s">
        <v>2329</v>
      </c>
      <c r="F975" t="str">
        <f>ToJsonArray(supplementary_offering_legacyid[[#Headers],[offeringid]:[mode]],supplementary_offering_legacyid[[#This Row],[offeringid]:[mode]])</f>
        <v>{"offeringid":"990000161","name":"workarround-cug","mode":"N"}</v>
      </c>
      <c r="G975" t="str">
        <f>ToJsonArray(supplementary_offering_legacyid[[#This Row],[Semilla04]],supplementary_offering_legacyid[[#This Row],[Json]])</f>
        <v>{"99999993":{"offeringid":"990000161","name":"workarround-cug","mode":"N"}}</v>
      </c>
    </row>
    <row r="976" spans="1:7" x14ac:dyDescent="0.25">
      <c r="A976" s="60" t="s">
        <v>5037</v>
      </c>
      <c r="B976" t="str">
        <f>findKey(supplementary_offering_legacyid[[#This Row],[Produccion]])</f>
        <v>200001-24</v>
      </c>
      <c r="C976" s="61" t="s">
        <v>5038</v>
      </c>
      <c r="D976" t="s">
        <v>5039</v>
      </c>
      <c r="E976" t="s">
        <v>2329</v>
      </c>
      <c r="F976" t="str">
        <f>ToJsonArray(supplementary_offering_legacyid[[#Headers],[offeringid]:[mode]],supplementary_offering_legacyid[[#This Row],[offeringid]:[mode]])</f>
        <v>{"offeringid":"920000124","name":"Data 10Gb_920000124","mode":"N"}</v>
      </c>
      <c r="G976" t="str">
        <f>ToJsonArray(supplementary_offering_legacyid[[#This Row],[Semilla04]],supplementary_offering_legacyid[[#This Row],[Json]])</f>
        <v>{"200001-24":{"offeringid":"920000124","name":"Data 10Gb_920000124","mode":"N"}}</v>
      </c>
    </row>
    <row r="977" spans="1:7" x14ac:dyDescent="0.25">
      <c r="A977" s="60" t="s">
        <v>5040</v>
      </c>
      <c r="B977" t="str">
        <f>findKey(supplementary_offering_legacyid[[#This Row],[Produccion]])</f>
        <v>17088899638</v>
      </c>
      <c r="C977" s="61" t="s">
        <v>5041</v>
      </c>
      <c r="D977" t="s">
        <v>234</v>
      </c>
      <c r="E977" t="s">
        <v>2189</v>
      </c>
      <c r="F977" t="str">
        <f>ToJsonArray(supplementary_offering_legacyid[[#Headers],[offeringid]:[mode]],supplementary_offering_legacyid[[#This Row],[offeringid]:[mode]])</f>
        <v>{"offeringid":"990000216","name":"Paquete SMS 5.3","mode":"I"}</v>
      </c>
      <c r="G977" t="str">
        <f>ToJsonArray(supplementary_offering_legacyid[[#This Row],[Semilla04]],supplementary_offering_legacyid[[#This Row],[Json]])</f>
        <v>{"17088899638":{"offeringid":"990000216","name":"Paquete SMS 5.3","mode":"I"}}</v>
      </c>
    </row>
    <row r="978" spans="1:7" x14ac:dyDescent="0.25">
      <c r="A978" s="60" t="s">
        <v>5042</v>
      </c>
      <c r="B978" t="str">
        <f>findKey(supplementary_offering_legacyid[[#This Row],[Produccion]])</f>
        <v>17088898006</v>
      </c>
      <c r="C978" s="61" t="s">
        <v>5043</v>
      </c>
      <c r="D978" t="s">
        <v>237</v>
      </c>
      <c r="E978" t="s">
        <v>2189</v>
      </c>
      <c r="F978" t="str">
        <f>ToJsonArray(supplementary_offering_legacyid[[#Headers],[offeringid]:[mode]],supplementary_offering_legacyid[[#This Row],[offeringid]:[mode]])</f>
        <v>{"offeringid":"990000217","name":"Paquete Datos 5.3","mode":"I"}</v>
      </c>
      <c r="G978" t="str">
        <f>ToJsonArray(supplementary_offering_legacyid[[#This Row],[Semilla04]],supplementary_offering_legacyid[[#This Row],[Json]])</f>
        <v>{"17088898006":{"offeringid":"990000217","name":"Paquete Datos 5.3","mode":"I"}}</v>
      </c>
    </row>
    <row r="979" spans="1:7" x14ac:dyDescent="0.25">
      <c r="A979" s="60" t="s">
        <v>5044</v>
      </c>
      <c r="B979" t="str">
        <f>findKey(supplementary_offering_legacyid[[#This Row],[Produccion]])</f>
        <v>17098060109</v>
      </c>
      <c r="C979" s="61" t="s">
        <v>5045</v>
      </c>
      <c r="D979" t="s">
        <v>1362</v>
      </c>
      <c r="E979" t="s">
        <v>2189</v>
      </c>
      <c r="F979" t="str">
        <f>ToJsonArray(supplementary_offering_legacyid[[#Headers],[offeringid]:[mode]],supplementary_offering_legacyid[[#This Row],[offeringid]:[mode]])</f>
        <v>{"offeringid":"990000245","name":"Paquete Datos 5.11","mode":"I"}</v>
      </c>
      <c r="G979" t="str">
        <f>ToJsonArray(supplementary_offering_legacyid[[#This Row],[Semilla04]],supplementary_offering_legacyid[[#This Row],[Json]])</f>
        <v>{"17098060109":{"offeringid":"990000245","name":"Paquete Datos 5.11","mode":"I"}}</v>
      </c>
    </row>
    <row r="980" spans="1:7" x14ac:dyDescent="0.25">
      <c r="A980" s="60" t="s">
        <v>5046</v>
      </c>
      <c r="B980" t="str">
        <f>findKey(supplementary_offering_legacyid[[#This Row],[Produccion]])</f>
        <v>17098063181</v>
      </c>
      <c r="C980" s="61" t="s">
        <v>5047</v>
      </c>
      <c r="D980" t="s">
        <v>1363</v>
      </c>
      <c r="E980" t="s">
        <v>2189</v>
      </c>
      <c r="F980" t="str">
        <f>ToJsonArray(supplementary_offering_legacyid[[#Headers],[offeringid]:[mode]],supplementary_offering_legacyid[[#This Row],[offeringid]:[mode]])</f>
        <v>{"offeringid":"990000244","name":"Paquete SMS 5.11","mode":"I"}</v>
      </c>
      <c r="G980" t="str">
        <f>ToJsonArray(supplementary_offering_legacyid[[#This Row],[Semilla04]],supplementary_offering_legacyid[[#This Row],[Json]])</f>
        <v>{"17098063181":{"offeringid":"990000244","name":"Paquete SMS 5.11","mode":"I"}}</v>
      </c>
    </row>
    <row r="981" spans="1:7" x14ac:dyDescent="0.25">
      <c r="A981" s="60" t="s">
        <v>5048</v>
      </c>
      <c r="B981" t="str">
        <f>findKey(supplementary_offering_legacyid[[#This Row],[Produccion]])</f>
        <v>380247871014</v>
      </c>
      <c r="C981" s="61" t="s">
        <v>5049</v>
      </c>
      <c r="D981" t="s">
        <v>2162</v>
      </c>
      <c r="E981" t="s">
        <v>2189</v>
      </c>
      <c r="F981" t="str">
        <f>ToJsonArray(supplementary_offering_legacyid[[#Headers],[offeringid]:[mode]],supplementary_offering_legacyid[[#This Row],[offeringid]:[mode]])</f>
        <v>{"offeringid":"990000246","name":"Paquete SMS Fidelizacion Pospago 5.0","mode":"I"}</v>
      </c>
      <c r="G981" t="str">
        <f>ToJsonArray(supplementary_offering_legacyid[[#This Row],[Semilla04]],supplementary_offering_legacyid[[#This Row],[Json]])</f>
        <v>{"380247871014":{"offeringid":"990000246","name":"Paquete SMS Fidelizacion Pospago 5.0","mode":"I"}}</v>
      </c>
    </row>
    <row r="982" spans="1:7" x14ac:dyDescent="0.25">
      <c r="A982" s="60" t="s">
        <v>5050</v>
      </c>
      <c r="B982" t="str">
        <f>findKey(supplementary_offering_legacyid[[#This Row],[Produccion]])</f>
        <v>380247869382</v>
      </c>
      <c r="C982" s="61" t="s">
        <v>5051</v>
      </c>
      <c r="D982" t="s">
        <v>2158</v>
      </c>
      <c r="E982" t="s">
        <v>2189</v>
      </c>
      <c r="F982" t="str">
        <f>ToJsonArray(supplementary_offering_legacyid[[#Headers],[offeringid]:[mode]],supplementary_offering_legacyid[[#This Row],[offeringid]:[mode]])</f>
        <v>{"offeringid":"990000247","name":"Paquete Datos Fidelizacion Pospago 5.0","mode":"I"}</v>
      </c>
      <c r="G982" t="str">
        <f>ToJsonArray(supplementary_offering_legacyid[[#This Row],[Semilla04]],supplementary_offering_legacyid[[#This Row],[Json]])</f>
        <v>{"380247869382":{"offeringid":"990000247","name":"Paquete Datos Fidelizacion Pospago 5.0","mode":"I"}}</v>
      </c>
    </row>
    <row r="983" spans="1:7" x14ac:dyDescent="0.25">
      <c r="A983" s="60" t="s">
        <v>5052</v>
      </c>
      <c r="B983" t="str">
        <f>findKey(supplementary_offering_legacyid[[#This Row],[Produccion]])</f>
        <v>380247867942</v>
      </c>
      <c r="C983" s="61" t="s">
        <v>5053</v>
      </c>
      <c r="D983" t="s">
        <v>2160</v>
      </c>
      <c r="E983" t="s">
        <v>2189</v>
      </c>
      <c r="F983" t="str">
        <f>ToJsonArray(supplementary_offering_legacyid[[#Headers],[offeringid]:[mode]],supplementary_offering_legacyid[[#This Row],[offeringid]:[mode]])</f>
        <v>{"offeringid":"990000248","name":"Paquete SMS Pospago 5.3 con Descuento","mode":"I"}</v>
      </c>
      <c r="G983" t="str">
        <f>ToJsonArray(supplementary_offering_legacyid[[#This Row],[Semilla04]],supplementary_offering_legacyid[[#This Row],[Json]])</f>
        <v>{"380247867942":{"offeringid":"990000248","name":"Paquete SMS Pospago 5.3 con Descuento","mode":"I"}}</v>
      </c>
    </row>
    <row r="984" spans="1:7" x14ac:dyDescent="0.25">
      <c r="A984" s="60" t="s">
        <v>5054</v>
      </c>
      <c r="B984" t="str">
        <f>findKey(supplementary_offering_legacyid[[#This Row],[Produccion]])</f>
        <v>380247869478</v>
      </c>
      <c r="C984" s="61" t="s">
        <v>5055</v>
      </c>
      <c r="D984" t="s">
        <v>2156</v>
      </c>
      <c r="E984" t="s">
        <v>2189</v>
      </c>
      <c r="F984" t="str">
        <f>ToJsonArray(supplementary_offering_legacyid[[#Headers],[offeringid]:[mode]],supplementary_offering_legacyid[[#This Row],[offeringid]:[mode]])</f>
        <v>{"offeringid":"990000249","name":"Paquete Datos Pospago 5.3 con Descuento","mode":"I"}</v>
      </c>
      <c r="G984" t="str">
        <f>ToJsonArray(supplementary_offering_legacyid[[#This Row],[Semilla04]],supplementary_offering_legacyid[[#This Row],[Json]])</f>
        <v>{"380247869478":{"offeringid":"990000249","name":"Paquete Datos Pospago 5.3 con Descuento","mode":"I"}}</v>
      </c>
    </row>
    <row r="985" spans="1:7" x14ac:dyDescent="0.25">
      <c r="A985" s="60" t="s">
        <v>5056</v>
      </c>
      <c r="B985" t="str">
        <f>findKey(supplementary_offering_legacyid[[#This Row],[Produccion]])</f>
        <v>17094296271</v>
      </c>
      <c r="C985" s="61" t="s">
        <v>5057</v>
      </c>
      <c r="D985" t="s">
        <v>1361</v>
      </c>
      <c r="E985" t="s">
        <v>2189</v>
      </c>
      <c r="F985" t="str">
        <f>ToJsonArray(supplementary_offering_legacyid[[#Headers],[offeringid]:[mode]],supplementary_offering_legacyid[[#This Row],[offeringid]:[mode]])</f>
        <v>{"offeringid":"990000222","name":"Addon Amazon Video","mode":"I"}</v>
      </c>
      <c r="G985" t="str">
        <f>ToJsonArray(supplementary_offering_legacyid[[#This Row],[Semilla04]],supplementary_offering_legacyid[[#This Row],[Json]])</f>
        <v>{"17094296271":{"offeringid":"990000222","name":"Addon Amazon Video","mode":"I"}}</v>
      </c>
    </row>
    <row r="986" spans="1:7" x14ac:dyDescent="0.25">
      <c r="A986" s="60" t="s">
        <v>5058</v>
      </c>
      <c r="B986" t="str">
        <f>findKey(supplementary_offering_legacyid[[#This Row],[Produccion]])</f>
        <v>17094296399</v>
      </c>
      <c r="C986" s="61" t="s">
        <v>5059</v>
      </c>
      <c r="D986" t="s">
        <v>1357</v>
      </c>
      <c r="E986" t="s">
        <v>2189</v>
      </c>
      <c r="F986" t="str">
        <f>ToJsonArray(supplementary_offering_legacyid[[#Headers],[offeringid]:[mode]],supplementary_offering_legacyid[[#This Row],[offeringid]:[mode]])</f>
        <v>{"offeringid":"990000223","name":"Addon Amazon Video (Incluido)","mode":"I"}</v>
      </c>
      <c r="G986" t="str">
        <f>ToJsonArray(supplementary_offering_legacyid[[#This Row],[Semilla04]],supplementary_offering_legacyid[[#This Row],[Json]])</f>
        <v>{"17094296399":{"offeringid":"990000223","name":"Addon Amazon Video (Incluido)","mode":"I"}}</v>
      </c>
    </row>
    <row r="987" spans="1:7" x14ac:dyDescent="0.25">
      <c r="A987" s="60" t="s">
        <v>5060</v>
      </c>
      <c r="B987" t="str">
        <f>findKey(supplementary_offering_legacyid[[#This Row],[Produccion]])</f>
        <v>17094299471</v>
      </c>
      <c r="C987" s="61" t="s">
        <v>5061</v>
      </c>
      <c r="D987" t="s">
        <v>1359</v>
      </c>
      <c r="E987" t="s">
        <v>2189</v>
      </c>
      <c r="F987" t="str">
        <f>ToJsonArray(supplementary_offering_legacyid[[#Headers],[offeringid]:[mode]],supplementary_offering_legacyid[[#This Row],[offeringid]:[mode]])</f>
        <v>{"offeringid":"990000224","name":"Addon Amazon Video (Promocion)","mode":"I"}</v>
      </c>
      <c r="G987" t="str">
        <f>ToJsonArray(supplementary_offering_legacyid[[#This Row],[Semilla04]],supplementary_offering_legacyid[[#This Row],[Json]])</f>
        <v>{"17094299471":{"offeringid":"990000224","name":"Addon Amazon Video (Promocion)","mode":"I"}}</v>
      </c>
    </row>
    <row r="988" spans="1:7" x14ac:dyDescent="0.25">
      <c r="A988" s="60" t="s">
        <v>5062</v>
      </c>
      <c r="B988" t="str">
        <f>findKey(supplementary_offering_legacyid[[#This Row],[Produccion]])</f>
        <v>17094297039</v>
      </c>
      <c r="C988" s="61" t="s">
        <v>5063</v>
      </c>
      <c r="D988" t="s">
        <v>1355</v>
      </c>
      <c r="E988" t="s">
        <v>2189</v>
      </c>
      <c r="F988" t="str">
        <f>ToJsonArray(supplementary_offering_legacyid[[#Headers],[offeringid]:[mode]],supplementary_offering_legacyid[[#This Row],[offeringid]:[mode]])</f>
        <v>{"offeringid":"990000225","name":"Addon Amazon Music","mode":"I"}</v>
      </c>
      <c r="G988" t="str">
        <f>ToJsonArray(supplementary_offering_legacyid[[#This Row],[Semilla04]],supplementary_offering_legacyid[[#This Row],[Json]])</f>
        <v>{"17094297039":{"offeringid":"990000225","name":"Addon Amazon Music","mode":"I"}}</v>
      </c>
    </row>
    <row r="989" spans="1:7" x14ac:dyDescent="0.25">
      <c r="A989" s="60" t="s">
        <v>5064</v>
      </c>
      <c r="B989" t="str">
        <f>findKey(supplementary_offering_legacyid[[#This Row],[Produccion]])</f>
        <v>17094295599</v>
      </c>
      <c r="C989" s="61" t="s">
        <v>5065</v>
      </c>
      <c r="D989" t="s">
        <v>1349</v>
      </c>
      <c r="E989" t="s">
        <v>2189</v>
      </c>
      <c r="F989" t="str">
        <f>ToJsonArray(supplementary_offering_legacyid[[#Headers],[offeringid]:[mode]],supplementary_offering_legacyid[[#This Row],[offeringid]:[mode]])</f>
        <v>{"offeringid":"990000226","name":"Addon Deezer","mode":"I"}</v>
      </c>
      <c r="G989" t="str">
        <f>ToJsonArray(supplementary_offering_legacyid[[#This Row],[Semilla04]],supplementary_offering_legacyid[[#This Row],[Json]])</f>
        <v>{"17094295599":{"offeringid":"990000226","name":"Addon Deezer","mode":"I"}}</v>
      </c>
    </row>
    <row r="990" spans="1:7" x14ac:dyDescent="0.25">
      <c r="A990" s="60" t="s">
        <v>5066</v>
      </c>
      <c r="B990" t="str">
        <f>findKey(supplementary_offering_legacyid[[#This Row],[Produccion]])</f>
        <v>17094298575</v>
      </c>
      <c r="C990" s="61" t="s">
        <v>5067</v>
      </c>
      <c r="D990" t="s">
        <v>1351</v>
      </c>
      <c r="E990" t="s">
        <v>2189</v>
      </c>
      <c r="F990" t="str">
        <f>ToJsonArray(supplementary_offering_legacyid[[#Headers],[offeringid]:[mode]],supplementary_offering_legacyid[[#This Row],[offeringid]:[mode]])</f>
        <v>{"offeringid":"990000227","name":"Addon Deezer (incluido)","mode":"I"}</v>
      </c>
      <c r="G990" t="str">
        <f>ToJsonArray(supplementary_offering_legacyid[[#This Row],[Semilla04]],supplementary_offering_legacyid[[#This Row],[Json]])</f>
        <v>{"17094298575":{"offeringid":"990000227","name":"Addon Deezer (incluido)","mode":"I"}}</v>
      </c>
    </row>
    <row r="991" spans="1:7" x14ac:dyDescent="0.25">
      <c r="A991" s="60" t="s">
        <v>5068</v>
      </c>
      <c r="B991" t="str">
        <f>findKey(supplementary_offering_legacyid[[#This Row],[Produccion]])</f>
        <v>17094299343</v>
      </c>
      <c r="C991" s="61" t="s">
        <v>5069</v>
      </c>
      <c r="D991" t="s">
        <v>1353</v>
      </c>
      <c r="E991" t="s">
        <v>2189</v>
      </c>
      <c r="F991" t="str">
        <f>ToJsonArray(supplementary_offering_legacyid[[#Headers],[offeringid]:[mode]],supplementary_offering_legacyid[[#This Row],[offeringid]:[mode]])</f>
        <v>{"offeringid":"990000228","name":"Addon Amazon Music (Incluido)","mode":"I"}</v>
      </c>
      <c r="G991" t="str">
        <f>ToJsonArray(supplementary_offering_legacyid[[#This Row],[Semilla04]],supplementary_offering_legacyid[[#This Row],[Json]])</f>
        <v>{"17094299343":{"offeringid":"990000228","name":"Addon Amazon Music (Incluido)","mode":"I"}}</v>
      </c>
    </row>
    <row r="992" spans="1:7" x14ac:dyDescent="0.25">
      <c r="A992" s="60" t="s">
        <v>5070</v>
      </c>
      <c r="B992" t="str">
        <f>findKey(supplementary_offering_legacyid[[#This Row],[Produccion]])</f>
        <v>17101192360</v>
      </c>
      <c r="C992" s="61" t="s">
        <v>5071</v>
      </c>
      <c r="D992" t="s">
        <v>5072</v>
      </c>
      <c r="E992" t="s">
        <v>2189</v>
      </c>
      <c r="F992" t="str">
        <f>ToJsonArray(supplementary_offering_legacyid[[#Headers],[offeringid]:[mode]],supplementary_offering_legacyid[[#This Row],[offeringid]:[mode]])</f>
        <v>{"offeringid":"990000295","name":"Addon Deezer (Promocion)","mode":"I"}</v>
      </c>
      <c r="G992" t="str">
        <f>ToJsonArray(supplementary_offering_legacyid[[#This Row],[Semilla04]],supplementary_offering_legacyid[[#This Row],[Json]])</f>
        <v>{"17101192360":{"offeringid":"990000295","name":"Addon Deezer (Promocion)","mode":"I"}}</v>
      </c>
    </row>
    <row r="993" spans="1:7" x14ac:dyDescent="0.25">
      <c r="A993" s="60" t="s">
        <v>5073</v>
      </c>
      <c r="B993" t="str">
        <f>findKey(supplementary_offering_legacyid[[#This Row],[Produccion]])</f>
        <v>17099252530</v>
      </c>
      <c r="C993" s="61" t="s">
        <v>5074</v>
      </c>
      <c r="D993" t="s">
        <v>5075</v>
      </c>
      <c r="E993" t="s">
        <v>2189</v>
      </c>
      <c r="F993" t="str">
        <f>ToJsonArray(supplementary_offering_legacyid[[#Headers],[offeringid]:[mode]],supplementary_offering_legacyid[[#This Row],[offeringid]:[mode]])</f>
        <v>{"offeringid":"990000294","name":"Addon Amazon Music (Promocion)","mode":"I"}</v>
      </c>
      <c r="G993" t="str">
        <f>ToJsonArray(supplementary_offering_legacyid[[#This Row],[Semilla04]],supplementary_offering_legacyid[[#This Row],[Json]])</f>
        <v>{"17099252530":{"offeringid":"990000294","name":"Addon Amazon Music (Promocion)","mode":"I"}}</v>
      </c>
    </row>
    <row r="994" spans="1:7" x14ac:dyDescent="0.25">
      <c r="A994" s="60" t="s">
        <v>5076</v>
      </c>
      <c r="B994" t="str">
        <f>findKey(supplementary_offering_legacyid[[#This Row],[Produccion]])</f>
        <v>17083125246</v>
      </c>
      <c r="C994" s="61" t="s">
        <v>5077</v>
      </c>
      <c r="D994" t="s">
        <v>818</v>
      </c>
      <c r="E994" t="s">
        <v>2189</v>
      </c>
      <c r="F994" t="str">
        <f>ToJsonArray(supplementary_offering_legacyid[[#Headers],[offeringid]:[mode]],supplementary_offering_legacyid[[#This Row],[offeringid]:[mode]])</f>
        <v>{"offeringid":"990000401","name":"PQT Corp Localizacion Movil LBS PR1","mode":"I"}</v>
      </c>
      <c r="G994" t="str">
        <f>ToJsonArray(supplementary_offering_legacyid[[#This Row],[Semilla04]],supplementary_offering_legacyid[[#This Row],[Json]])</f>
        <v>{"17083125246":{"offeringid":"990000401","name":"PQT Corp Localizacion Movil LBS PR1","mode":"I"}}</v>
      </c>
    </row>
    <row r="995" spans="1:7" x14ac:dyDescent="0.25">
      <c r="A995" s="60" t="s">
        <v>5078</v>
      </c>
      <c r="B995" t="str">
        <f>findKey(supplementary_offering_legacyid[[#This Row],[Produccion]])</f>
        <v>17083125545</v>
      </c>
      <c r="C995" s="61" t="s">
        <v>5079</v>
      </c>
      <c r="D995" t="s">
        <v>819</v>
      </c>
      <c r="E995" t="s">
        <v>2189</v>
      </c>
      <c r="F995" t="str">
        <f>ToJsonArray(supplementary_offering_legacyid[[#Headers],[offeringid]:[mode]],supplementary_offering_legacyid[[#This Row],[offeringid]:[mode]])</f>
        <v>{"offeringid":"990000403","name":"PQT Corp Localizacion Movil LBS PR3","mode":"I"}</v>
      </c>
      <c r="G995" t="str">
        <f>ToJsonArray(supplementary_offering_legacyid[[#This Row],[Semilla04]],supplementary_offering_legacyid[[#This Row],[Json]])</f>
        <v>{"17083125545":{"offeringid":"990000403","name":"PQT Corp Localizacion Movil LBS PR3","mode":"I"}}</v>
      </c>
    </row>
    <row r="996" spans="1:7" x14ac:dyDescent="0.25">
      <c r="A996" s="60" t="s">
        <v>5080</v>
      </c>
      <c r="B996" t="str">
        <f>findKey(supplementary_offering_legacyid[[#This Row],[Produccion]])</f>
        <v>17083122174</v>
      </c>
      <c r="C996" s="61" t="s">
        <v>5081</v>
      </c>
      <c r="D996" t="s">
        <v>820</v>
      </c>
      <c r="E996" t="s">
        <v>2189</v>
      </c>
      <c r="F996" t="str">
        <f>ToJsonArray(supplementary_offering_legacyid[[#Headers],[offeringid]:[mode]],supplementary_offering_legacyid[[#This Row],[offeringid]:[mode]])</f>
        <v>{"offeringid":"990000405","name":"PQT Corp Localizacion Movil LBS PR10","mode":"I"}</v>
      </c>
      <c r="G996" t="str">
        <f>ToJsonArray(supplementary_offering_legacyid[[#This Row],[Semilla04]],supplementary_offering_legacyid[[#This Row],[Json]])</f>
        <v>{"17083122174":{"offeringid":"990000405","name":"PQT Corp Localizacion Movil LBS PR10","mode":"I"}}</v>
      </c>
    </row>
    <row r="997" spans="1:7" x14ac:dyDescent="0.25">
      <c r="A997" s="60" t="s">
        <v>5082</v>
      </c>
      <c r="B997" t="str">
        <f>findKey(supplementary_offering_legacyid[[#This Row],[Produccion]])</f>
        <v>17083124478</v>
      </c>
      <c r="C997" s="61" t="s">
        <v>5083</v>
      </c>
      <c r="D997" t="s">
        <v>821</v>
      </c>
      <c r="E997" t="s">
        <v>2189</v>
      </c>
      <c r="F997" t="str">
        <f>ToJsonArray(supplementary_offering_legacyid[[#Headers],[offeringid]:[mode]],supplementary_offering_legacyid[[#This Row],[offeringid]:[mode]])</f>
        <v>{"offeringid":"990000407","name":"PQT Corp Localizacion Movil LBS PR20","mode":"I"}</v>
      </c>
      <c r="G997" t="str">
        <f>ToJsonArray(supplementary_offering_legacyid[[#This Row],[Semilla04]],supplementary_offering_legacyid[[#This Row],[Json]])</f>
        <v>{"17083124478":{"offeringid":"990000407","name":"PQT Corp Localizacion Movil LBS PR20","mode":"I"}}</v>
      </c>
    </row>
    <row r="998" spans="1:7" x14ac:dyDescent="0.25">
      <c r="A998" s="60" t="s">
        <v>5084</v>
      </c>
      <c r="B998" t="str">
        <f>findKey(supplementary_offering_legacyid[[#This Row],[Produccion]])</f>
        <v>Plan CRM 525 - Activity</v>
      </c>
      <c r="C998" s="61" t="s">
        <v>5085</v>
      </c>
      <c r="D998" t="s">
        <v>5086</v>
      </c>
      <c r="E998" t="s">
        <v>2189</v>
      </c>
      <c r="F998" t="str">
        <f>ToJsonArray(supplementary_offering_legacyid[[#Headers],[offeringid]:[mode]],supplementary_offering_legacyid[[#This Row],[offeringid]:[mode]])</f>
        <v>{"offeringid":"990000411","name":"SMS Flexy plan Basic","mode":"I"}</v>
      </c>
      <c r="G998" t="str">
        <f>ToJsonArray(supplementary_offering_legacyid[[#This Row],[Semilla04]],supplementary_offering_legacyid[[#This Row],[Json]])</f>
        <v>{"Plan CRM 525 - Activity":{"offeringid":"990000411","name":"SMS Flexy plan Basic","mode":"I"}}</v>
      </c>
    </row>
    <row r="999" spans="1:7" x14ac:dyDescent="0.25">
      <c r="A999" s="60" t="s">
        <v>5087</v>
      </c>
      <c r="B999" t="str">
        <f>findKey(supplementary_offering_legacyid[[#This Row],[Produccion]])</f>
        <v>Plan CRM 526 - Activity</v>
      </c>
      <c r="C999" s="61" t="s">
        <v>5088</v>
      </c>
      <c r="D999" t="s">
        <v>5089</v>
      </c>
      <c r="E999" t="s">
        <v>2189</v>
      </c>
      <c r="F999" t="str">
        <f>ToJsonArray(supplementary_offering_legacyid[[#Headers],[offeringid]:[mode]],supplementary_offering_legacyid[[#This Row],[offeringid]:[mode]])</f>
        <v>{"offeringid":"990000412","name":"SMS Flexy plan Plus","mode":"I"}</v>
      </c>
      <c r="G999" t="str">
        <f>ToJsonArray(supplementary_offering_legacyid[[#This Row],[Semilla04]],supplementary_offering_legacyid[[#This Row],[Json]])</f>
        <v>{"Plan CRM 526 - Activity":{"offeringid":"990000412","name":"SMS Flexy plan Plus","mode":"I"}}</v>
      </c>
    </row>
    <row r="1000" spans="1:7" x14ac:dyDescent="0.25">
      <c r="A1000" s="60" t="s">
        <v>5090</v>
      </c>
      <c r="B1000" t="str">
        <f>findKey(supplementary_offering_legacyid[[#This Row],[Produccion]])</f>
        <v>17083123936</v>
      </c>
      <c r="C1000" s="61" t="s">
        <v>5091</v>
      </c>
      <c r="D1000" t="s">
        <v>645</v>
      </c>
      <c r="E1000" t="s">
        <v>2189</v>
      </c>
      <c r="F1000" t="str">
        <f>ToJsonArray(supplementary_offering_legacyid[[#Headers],[offeringid]:[mode]],supplementary_offering_legacyid[[#This Row],[offeringid]:[mode]])</f>
        <v>{"offeringid":"990000420","name":"PQT Corp TodoDestino 200MIN y Voz a NIT Infinito F2","mode":"I"}</v>
      </c>
      <c r="G1000" t="str">
        <f>ToJsonArray(supplementary_offering_legacyid[[#This Row],[Semilla04]],supplementary_offering_legacyid[[#This Row],[Json]])</f>
        <v>{"17083123936":{"offeringid":"990000420","name":"PQT Corp TodoDestino 200MIN y Voz a NIT Infinito F2","mode":"I"}}</v>
      </c>
    </row>
    <row r="1001" spans="1:7" x14ac:dyDescent="0.25">
      <c r="A1001" s="60" t="s">
        <v>5092</v>
      </c>
      <c r="B1001" t="str">
        <f>findKey(supplementary_offering_legacyid[[#This Row],[Produccion]])</f>
        <v>17083657479</v>
      </c>
      <c r="C1001" s="61" t="s">
        <v>5093</v>
      </c>
      <c r="D1001" t="s">
        <v>649</v>
      </c>
      <c r="E1001" t="s">
        <v>2189</v>
      </c>
      <c r="F1001" t="str">
        <f>ToJsonArray(supplementary_offering_legacyid[[#Headers],[offeringid]:[mode]],supplementary_offering_legacyid[[#This Row],[offeringid]:[mode]])</f>
        <v>{"offeringid":"990000421","name":"PQT Corp TodoDestino 500MIN y Voz a NIT Infinito F2","mode":"I"}</v>
      </c>
      <c r="G1001" t="str">
        <f>ToJsonArray(supplementary_offering_legacyid[[#This Row],[Semilla04]],supplementary_offering_legacyid[[#This Row],[Json]])</f>
        <v>{"17083657479":{"offeringid":"990000421","name":"PQT Corp TodoDestino 500MIN y Voz a NIT Infinito F2","mode":"I"}}</v>
      </c>
    </row>
    <row r="1002" spans="1:7" x14ac:dyDescent="0.25">
      <c r="A1002" s="60" t="s">
        <v>5094</v>
      </c>
      <c r="B1002" t="str">
        <f>findKey(supplementary_offering_legacyid[[#This Row],[Produccion]])</f>
        <v>17083662891</v>
      </c>
      <c r="C1002" s="61" t="s">
        <v>5095</v>
      </c>
      <c r="D1002" t="s">
        <v>672</v>
      </c>
      <c r="E1002" t="s">
        <v>2189</v>
      </c>
      <c r="F1002" t="str">
        <f>ToJsonArray(supplementary_offering_legacyid[[#Headers],[offeringid]:[mode]],supplementary_offering_legacyid[[#This Row],[offeringid]:[mode]])</f>
        <v>{"offeringid":"990000422","name":"PQT Corp Navegacion 1GB WA + Mail","mode":"I"}</v>
      </c>
      <c r="G1002" t="str">
        <f>ToJsonArray(supplementary_offering_legacyid[[#This Row],[Semilla04]],supplementary_offering_legacyid[[#This Row],[Json]])</f>
        <v>{"17083662891":{"offeringid":"990000422","name":"PQT Corp Navegacion 1GB WA + Mail","mode":"I"}}</v>
      </c>
    </row>
    <row r="1003" spans="1:7" x14ac:dyDescent="0.25">
      <c r="A1003" s="60" t="s">
        <v>5096</v>
      </c>
      <c r="B1003" t="str">
        <f>findKey(supplementary_offering_legacyid[[#This Row],[Produccion]])</f>
        <v>17083655495</v>
      </c>
      <c r="C1003" s="61" t="s">
        <v>5097</v>
      </c>
      <c r="D1003" t="s">
        <v>639</v>
      </c>
      <c r="E1003" t="s">
        <v>2189</v>
      </c>
      <c r="F1003" t="str">
        <f>ToJsonArray(supplementary_offering_legacyid[[#Headers],[offeringid]:[mode]],supplementary_offering_legacyid[[#This Row],[offeringid]:[mode]])</f>
        <v>{"offeringid":"990000423","name":"PQT Corp TodoDestino 100SMS  F2","mode":"I"}</v>
      </c>
      <c r="G1003" t="str">
        <f>ToJsonArray(supplementary_offering_legacyid[[#This Row],[Semilla04]],supplementary_offering_legacyid[[#This Row],[Json]])</f>
        <v>{"17083655495":{"offeringid":"990000423","name":"PQT Corp TodoDestino 100SMS  F2","mode":"I"}}</v>
      </c>
    </row>
    <row r="1004" spans="1:7" x14ac:dyDescent="0.25">
      <c r="A1004" s="60" t="s">
        <v>5098</v>
      </c>
      <c r="B1004" t="str">
        <f>findKey(supplementary_offering_legacyid[[#This Row],[Produccion]])</f>
        <v>17083656327</v>
      </c>
      <c r="C1004" s="61" t="s">
        <v>5099</v>
      </c>
      <c r="D1004" t="s">
        <v>653</v>
      </c>
      <c r="E1004" t="s">
        <v>2189</v>
      </c>
      <c r="F1004" t="str">
        <f>ToJsonArray(supplementary_offering_legacyid[[#Headers],[offeringid]:[mode]],supplementary_offering_legacyid[[#This Row],[offeringid]:[mode]])</f>
        <v>{"offeringid":"990000424","name":"PQT Corp TodoDestino 1000MIN y Voz a NIT Infinito F2","mode":"I"}</v>
      </c>
      <c r="G1004" t="str">
        <f>ToJsonArray(supplementary_offering_legacyid[[#This Row],[Semilla04]],supplementary_offering_legacyid[[#This Row],[Json]])</f>
        <v>{"17083656327":{"offeringid":"990000424","name":"PQT Corp TodoDestino 1000MIN y Voz a NIT Infinito F2","mode":"I"}}</v>
      </c>
    </row>
    <row r="1005" spans="1:7" x14ac:dyDescent="0.25">
      <c r="A1005" s="60" t="s">
        <v>5100</v>
      </c>
      <c r="B1005" t="str">
        <f>findKey(supplementary_offering_legacyid[[#This Row],[Produccion]])</f>
        <v>17083657287</v>
      </c>
      <c r="C1005" s="61" t="s">
        <v>5101</v>
      </c>
      <c r="D1005" t="s">
        <v>665</v>
      </c>
      <c r="E1005" t="s">
        <v>2189</v>
      </c>
      <c r="F1005" t="str">
        <f>ToJsonArray(supplementary_offering_legacyid[[#Headers],[offeringid]:[mode]],supplementary_offering_legacyid[[#This Row],[offeringid]:[mode]])</f>
        <v>{"offeringid":"990000425","name":"PQT Corp TodoDestino Voz Infinitos F2","mode":"I"}</v>
      </c>
      <c r="G1005" t="str">
        <f>ToJsonArray(supplementary_offering_legacyid[[#This Row],[Semilla04]],supplementary_offering_legacyid[[#This Row],[Json]])</f>
        <v>{"17083657287":{"offeringid":"990000425","name":"PQT Corp TodoDestino Voz Infinitos F2","mode":"I"}}</v>
      </c>
    </row>
    <row r="1006" spans="1:7" x14ac:dyDescent="0.25">
      <c r="A1006" s="60" t="s">
        <v>5102</v>
      </c>
      <c r="B1006" t="str">
        <f>findKey(supplementary_offering_legacyid[[#This Row],[Produccion]])</f>
        <v>17083657031</v>
      </c>
      <c r="C1006" s="61" t="s">
        <v>5103</v>
      </c>
      <c r="D1006" t="s">
        <v>642</v>
      </c>
      <c r="E1006" t="s">
        <v>2189</v>
      </c>
      <c r="F1006" t="str">
        <f>ToJsonArray(supplementary_offering_legacyid[[#Headers],[offeringid]:[mode]],supplementary_offering_legacyid[[#This Row],[offeringid]:[mode]])</f>
        <v>{"offeringid":"990000426","name":"PQT Corp TodoDestino SMS Infinito F2","mode":"I"}</v>
      </c>
      <c r="G1006" t="str">
        <f>ToJsonArray(supplementary_offering_legacyid[[#This Row],[Semilla04]],supplementary_offering_legacyid[[#This Row],[Json]])</f>
        <v>{"17083657031":{"offeringid":"990000426","name":"PQT Corp TodoDestino SMS Infinito F2","mode":"I"}}</v>
      </c>
    </row>
    <row r="1007" spans="1:7" x14ac:dyDescent="0.25">
      <c r="A1007" s="60" t="s">
        <v>5104</v>
      </c>
      <c r="B1007" t="str">
        <f>findKey(supplementary_offering_legacyid[[#This Row],[Produccion]])</f>
        <v>17083664619</v>
      </c>
      <c r="C1007" s="61" t="s">
        <v>5105</v>
      </c>
      <c r="D1007" t="s">
        <v>702</v>
      </c>
      <c r="E1007" t="s">
        <v>2189</v>
      </c>
      <c r="F1007" t="str">
        <f>ToJsonArray(supplementary_offering_legacyid[[#Headers],[offeringid]:[mode]],supplementary_offering_legacyid[[#This Row],[offeringid]:[mode]])</f>
        <v>{"offeringid":"990000427","name":"PQT Corp Navegacion 25GB WA + Mail","mode":"I"}</v>
      </c>
      <c r="G1007" t="str">
        <f>ToJsonArray(supplementary_offering_legacyid[[#This Row],[Semilla04]],supplementary_offering_legacyid[[#This Row],[Json]])</f>
        <v>{"17083664619":{"offeringid":"990000427","name":"PQT Corp Navegacion 25GB WA + Mail","mode":"I"}}</v>
      </c>
    </row>
    <row r="1008" spans="1:7" x14ac:dyDescent="0.25">
      <c r="A1008" s="60" t="s">
        <v>5106</v>
      </c>
      <c r="B1008" t="str">
        <f>findKey(supplementary_offering_legacyid[[#This Row],[Produccion]])</f>
        <v>17083665195</v>
      </c>
      <c r="C1008" s="61" t="s">
        <v>5107</v>
      </c>
      <c r="D1008" t="s">
        <v>678</v>
      </c>
      <c r="E1008" t="s">
        <v>2189</v>
      </c>
      <c r="F1008" t="str">
        <f>ToJsonArray(supplementary_offering_legacyid[[#Headers],[offeringid]:[mode]],supplementary_offering_legacyid[[#This Row],[offeringid]:[mode]])</f>
        <v>{"offeringid":"990000428","name":"PQT Corp Navegacion 3,5 GB WA + Mail","mode":"I"}</v>
      </c>
      <c r="G1008" t="str">
        <f>ToJsonArray(supplementary_offering_legacyid[[#This Row],[Semilla04]],supplementary_offering_legacyid[[#This Row],[Json]])</f>
        <v>{"17083665195":{"offeringid":"990000428","name":"PQT Corp Navegacion 3,5 GB WA + Mail","mode":"I"}}</v>
      </c>
    </row>
    <row r="1009" spans="1:7" x14ac:dyDescent="0.25">
      <c r="A1009" s="60" t="s">
        <v>5108</v>
      </c>
      <c r="B1009" t="str">
        <f>findKey(supplementary_offering_legacyid[[#This Row],[Produccion]])</f>
        <v>17083665579</v>
      </c>
      <c r="C1009" s="61" t="s">
        <v>5109</v>
      </c>
      <c r="D1009" t="s">
        <v>682</v>
      </c>
      <c r="E1009" t="s">
        <v>2189</v>
      </c>
      <c r="F1009" t="str">
        <f>ToJsonArray(supplementary_offering_legacyid[[#Headers],[offeringid]:[mode]],supplementary_offering_legacyid[[#This Row],[offeringid]:[mode]])</f>
        <v>{"offeringid":"990000429","name":"PQT Corp Navegacion 5GB WA + Mail","mode":"I"}</v>
      </c>
      <c r="G1009" t="str">
        <f>ToJsonArray(supplementary_offering_legacyid[[#This Row],[Semilla04]],supplementary_offering_legacyid[[#This Row],[Json]])</f>
        <v>{"17083665579":{"offeringid":"990000429","name":"PQT Corp Navegacion 5GB WA + Mail","mode":"I"}}</v>
      </c>
    </row>
    <row r="1010" spans="1:7" x14ac:dyDescent="0.25">
      <c r="A1010" s="60" t="s">
        <v>5110</v>
      </c>
      <c r="B1010" t="str">
        <f>findKey(supplementary_offering_legacyid[[#This Row],[Produccion]])</f>
        <v>17083664811</v>
      </c>
      <c r="C1010" s="61" t="s">
        <v>5111</v>
      </c>
      <c r="D1010" t="s">
        <v>686</v>
      </c>
      <c r="E1010" t="s">
        <v>2189</v>
      </c>
      <c r="F1010" t="str">
        <f>ToJsonArray(supplementary_offering_legacyid[[#Headers],[offeringid]:[mode]],supplementary_offering_legacyid[[#This Row],[offeringid]:[mode]])</f>
        <v>{"offeringid":"990000430","name":"PQT Corp Navegacion 7GB WA + Mail","mode":"I"}</v>
      </c>
      <c r="G1010" t="str">
        <f>ToJsonArray(supplementary_offering_legacyid[[#This Row],[Semilla04]],supplementary_offering_legacyid[[#This Row],[Json]])</f>
        <v>{"17083664811":{"offeringid":"990000430","name":"PQT Corp Navegacion 7GB WA + Mail","mode":"I"}}</v>
      </c>
    </row>
    <row r="1011" spans="1:7" x14ac:dyDescent="0.25">
      <c r="A1011" s="60" t="s">
        <v>5112</v>
      </c>
      <c r="B1011" t="str">
        <f>findKey(supplementary_offering_legacyid[[#This Row],[Produccion]])</f>
        <v>17083665003</v>
      </c>
      <c r="C1011" s="61" t="s">
        <v>5113</v>
      </c>
      <c r="D1011" t="s">
        <v>694</v>
      </c>
      <c r="E1011" t="s">
        <v>2189</v>
      </c>
      <c r="F1011" t="str">
        <f>ToJsonArray(supplementary_offering_legacyid[[#Headers],[offeringid]:[mode]],supplementary_offering_legacyid[[#This Row],[offeringid]:[mode]])</f>
        <v>{"offeringid":"990000431","name":"PQT Corp Navegacion 11GB WA + Mail","mode":"I"}</v>
      </c>
      <c r="G1011" t="str">
        <f>ToJsonArray(supplementary_offering_legacyid[[#This Row],[Semilla04]],supplementary_offering_legacyid[[#This Row],[Json]])</f>
        <v>{"17083665003":{"offeringid":"990000431","name":"PQT Corp Navegacion 11GB WA + Mail","mode":"I"}}</v>
      </c>
    </row>
    <row r="1012" spans="1:7" x14ac:dyDescent="0.25">
      <c r="A1012" s="60" t="s">
        <v>5114</v>
      </c>
      <c r="B1012" t="str">
        <f>findKey(supplementary_offering_legacyid[[#This Row],[Produccion]])</f>
        <v>17091810620</v>
      </c>
      <c r="C1012" s="61" t="s">
        <v>5115</v>
      </c>
      <c r="D1012" t="s">
        <v>5116</v>
      </c>
      <c r="E1012" t="s">
        <v>2189</v>
      </c>
      <c r="F1012" t="str">
        <f>ToJsonArray(supplementary_offering_legacyid[[#Headers],[offeringid]:[mode]],supplementary_offering_legacyid[[#This Row],[offeringid]:[mode]])</f>
        <v>{"offeringid":"990000432","name":"Combos B2BÂ  Voz y SMS nacional ilimitado + 8 GB P3","mode":"I"}</v>
      </c>
      <c r="G1012" t="str">
        <f>ToJsonArray(supplementary_offering_legacyid[[#This Row],[Semilla04]],supplementary_offering_legacyid[[#This Row],[Json]])</f>
        <v>{"17091810620":{"offeringid":"990000432","name":"Combos B2BÂ  Voz y SMS nacional ilimitado + 8 GB P3","mode":"I"}}</v>
      </c>
    </row>
    <row r="1013" spans="1:7" x14ac:dyDescent="0.25">
      <c r="A1013" s="60" t="s">
        <v>5117</v>
      </c>
      <c r="B1013" t="str">
        <f>findKey(supplementary_offering_legacyid[[#This Row],[Produccion]])</f>
        <v>17091809852</v>
      </c>
      <c r="C1013" s="61" t="s">
        <v>5118</v>
      </c>
      <c r="D1013" t="s">
        <v>5119</v>
      </c>
      <c r="E1013" t="s">
        <v>2189</v>
      </c>
      <c r="F1013" t="str">
        <f>ToJsonArray(supplementary_offering_legacyid[[#Headers],[offeringid]:[mode]],supplementary_offering_legacyid[[#This Row],[offeringid]:[mode]])</f>
        <v>{"offeringid":"990000433","name":"Combos B2BÂ  Voz y SMS nacional ilimitado + 8 GB P1","mode":"I"}</v>
      </c>
      <c r="G1013" t="str">
        <f>ToJsonArray(supplementary_offering_legacyid[[#This Row],[Semilla04]],supplementary_offering_legacyid[[#This Row],[Json]])</f>
        <v>{"17091809852":{"offeringid":"990000433","name":"Combos B2BÂ  Voz y SMS nacional ilimitado + 8 GB P1","mode":"I"}}</v>
      </c>
    </row>
    <row r="1014" spans="1:7" x14ac:dyDescent="0.25">
      <c r="A1014" s="60" t="s">
        <v>5120</v>
      </c>
      <c r="B1014" t="str">
        <f>findKey(supplementary_offering_legacyid[[#This Row],[Produccion]])</f>
        <v>17091812924</v>
      </c>
      <c r="C1014" s="61" t="s">
        <v>5121</v>
      </c>
      <c r="D1014" t="s">
        <v>5122</v>
      </c>
      <c r="E1014" t="s">
        <v>2189</v>
      </c>
      <c r="F1014" t="str">
        <f>ToJsonArray(supplementary_offering_legacyid[[#Headers],[offeringid]:[mode]],supplementary_offering_legacyid[[#This Row],[offeringid]:[mode]])</f>
        <v>{"offeringid":"990000434","name":"Combos B2BÂ  Voz y SMS nacional ilimitado + 8 GB P2","mode":"I"}</v>
      </c>
      <c r="G1014" t="str">
        <f>ToJsonArray(supplementary_offering_legacyid[[#This Row],[Semilla04]],supplementary_offering_legacyid[[#This Row],[Json]])</f>
        <v>{"17091812924":{"offeringid":"990000434","name":"Combos B2BÂ  Voz y SMS nacional ilimitado + 8 GB P2","mode":"I"}}</v>
      </c>
    </row>
    <row r="1015" spans="1:7" x14ac:dyDescent="0.25">
      <c r="A1015" s="60" t="s">
        <v>5123</v>
      </c>
      <c r="B1015" t="str">
        <f>findKey(supplementary_offering_legacyid[[#This Row],[Produccion]])</f>
        <v>17091810908</v>
      </c>
      <c r="C1015" s="61" t="s">
        <v>5124</v>
      </c>
      <c r="D1015" t="s">
        <v>5125</v>
      </c>
      <c r="E1015" t="s">
        <v>2189</v>
      </c>
      <c r="F1015" t="str">
        <f>ToJsonArray(supplementary_offering_legacyid[[#Headers],[offeringid]:[mode]],supplementary_offering_legacyid[[#This Row],[offeringid]:[mode]])</f>
        <v>{"offeringid":"990000435","name":"Combos B2BÂ  Voz y SMS nacional ilimitado + 12 GB P3","mode":"I"}</v>
      </c>
      <c r="G1015" t="str">
        <f>ToJsonArray(supplementary_offering_legacyid[[#This Row],[Semilla04]],supplementary_offering_legacyid[[#This Row],[Json]])</f>
        <v>{"17091810908":{"offeringid":"990000435","name":"Combos B2BÂ  Voz y SMS nacional ilimitado + 12 GB P3","mode":"I"}}</v>
      </c>
    </row>
    <row r="1016" spans="1:7" x14ac:dyDescent="0.25">
      <c r="A1016" s="60" t="s">
        <v>5126</v>
      </c>
      <c r="B1016" t="str">
        <f>findKey(supplementary_offering_legacyid[[#This Row],[Produccion]])</f>
        <v>17091809372</v>
      </c>
      <c r="C1016" s="61" t="s">
        <v>5127</v>
      </c>
      <c r="D1016" t="s">
        <v>5128</v>
      </c>
      <c r="E1016" t="s">
        <v>2189</v>
      </c>
      <c r="F1016" t="str">
        <f>ToJsonArray(supplementary_offering_legacyid[[#Headers],[offeringid]:[mode]],supplementary_offering_legacyid[[#This Row],[offeringid]:[mode]])</f>
        <v>{"offeringid":"990000436","name":"Combos B2BÂ  Voz y SMS nacional ilimitado + 12 GB P1","mode":"I"}</v>
      </c>
      <c r="G1016" t="str">
        <f>ToJsonArray(supplementary_offering_legacyid[[#This Row],[Semilla04]],supplementary_offering_legacyid[[#This Row],[Json]])</f>
        <v>{"17091809372":{"offeringid":"990000436","name":"Combos B2BÂ  Voz y SMS nacional ilimitado + 12 GB P1","mode":"I"}}</v>
      </c>
    </row>
    <row r="1017" spans="1:7" x14ac:dyDescent="0.25">
      <c r="A1017" s="60" t="s">
        <v>5129</v>
      </c>
      <c r="B1017" t="str">
        <f>findKey(supplementary_offering_legacyid[[#This Row],[Produccion]])</f>
        <v>17091812444</v>
      </c>
      <c r="C1017" s="61" t="s">
        <v>5130</v>
      </c>
      <c r="D1017" t="s">
        <v>5131</v>
      </c>
      <c r="E1017" t="s">
        <v>2189</v>
      </c>
      <c r="F1017" t="str">
        <f>ToJsonArray(supplementary_offering_legacyid[[#Headers],[offeringid]:[mode]],supplementary_offering_legacyid[[#This Row],[offeringid]:[mode]])</f>
        <v>{"offeringid":"990000437","name":"Combos B2BÂ  Voz y SMS nacional ilimitado + 12 GB P2","mode":"I"}</v>
      </c>
      <c r="G1017" t="str">
        <f>ToJsonArray(supplementary_offering_legacyid[[#This Row],[Semilla04]],supplementary_offering_legacyid[[#This Row],[Json]])</f>
        <v>{"17091812444":{"offeringid":"990000437","name":"Combos B2BÂ  Voz y SMS nacional ilimitado + 12 GB P2","mode":"I"}}</v>
      </c>
    </row>
    <row r="1018" spans="1:7" x14ac:dyDescent="0.25">
      <c r="A1018" s="60" t="s">
        <v>5132</v>
      </c>
      <c r="B1018" t="str">
        <f>findKey(supplementary_offering_legacyid[[#This Row],[Produccion]])</f>
        <v>17091810140</v>
      </c>
      <c r="C1018" s="61" t="s">
        <v>5133</v>
      </c>
      <c r="D1018" t="s">
        <v>5134</v>
      </c>
      <c r="E1018" t="s">
        <v>2189</v>
      </c>
      <c r="F1018" t="str">
        <f>ToJsonArray(supplementary_offering_legacyid[[#Headers],[offeringid]:[mode]],supplementary_offering_legacyid[[#This Row],[offeringid]:[mode]])</f>
        <v>{"offeringid":"990000438","name":"Combos B2BÂ  Voz y SMS nacional ilimitado + 20 GB P2","mode":"I"}</v>
      </c>
      <c r="G1018" t="str">
        <f>ToJsonArray(supplementary_offering_legacyid[[#This Row],[Semilla04]],supplementary_offering_legacyid[[#This Row],[Json]])</f>
        <v>{"17091810140":{"offeringid":"990000438","name":"Combos B2BÂ  Voz y SMS nacional ilimitado + 20 GB P2","mode":"I"}}</v>
      </c>
    </row>
    <row r="1019" spans="1:7" x14ac:dyDescent="0.25">
      <c r="A1019" s="60" t="s">
        <v>5135</v>
      </c>
      <c r="B1019" t="str">
        <f>findKey(supplementary_offering_legacyid[[#This Row],[Produccion]])</f>
        <v>17091813212</v>
      </c>
      <c r="C1019" s="61" t="s">
        <v>5136</v>
      </c>
      <c r="D1019" t="s">
        <v>5137</v>
      </c>
      <c r="E1019" t="s">
        <v>2189</v>
      </c>
      <c r="F1019" t="str">
        <f>ToJsonArray(supplementary_offering_legacyid[[#Headers],[offeringid]:[mode]],supplementary_offering_legacyid[[#This Row],[offeringid]:[mode]])</f>
        <v>{"offeringid":"990000439","name":"Combos B2BÂ  Voz y SMS nacional ilimitado + 20 GB P3","mode":"I"}</v>
      </c>
      <c r="G1019" t="str">
        <f>ToJsonArray(supplementary_offering_legacyid[[#This Row],[Semilla04]],supplementary_offering_legacyid[[#This Row],[Json]])</f>
        <v>{"17091813212":{"offeringid":"990000439","name":"Combos B2BÂ  Voz y SMS nacional ilimitado + 20 GB P3","mode":"I"}}</v>
      </c>
    </row>
    <row r="1020" spans="1:7" x14ac:dyDescent="0.25">
      <c r="A1020" s="60" t="s">
        <v>5138</v>
      </c>
      <c r="B1020" t="str">
        <f>findKey(supplementary_offering_legacyid[[#This Row],[Produccion]])</f>
        <v>17091811676</v>
      </c>
      <c r="C1020" s="61" t="s">
        <v>5139</v>
      </c>
      <c r="D1020" t="s">
        <v>5140</v>
      </c>
      <c r="E1020" t="s">
        <v>2189</v>
      </c>
      <c r="F1020" t="str">
        <f>ToJsonArray(supplementary_offering_legacyid[[#Headers],[offeringid]:[mode]],supplementary_offering_legacyid[[#This Row],[offeringid]:[mode]])</f>
        <v>{"offeringid":"990000440","name":"Combos B2BÂ  Voz y SMS nacional ilimitado + 20 GB P1","mode":"I"}</v>
      </c>
      <c r="G1020" t="str">
        <f>ToJsonArray(supplementary_offering_legacyid[[#This Row],[Semilla04]],supplementary_offering_legacyid[[#This Row],[Json]])</f>
        <v>{"17091811676":{"offeringid":"990000440","name":"Combos B2BÂ  Voz y SMS nacional ilimitado + 20 GB P1","mode":"I"}}</v>
      </c>
    </row>
    <row r="1021" spans="1:7" x14ac:dyDescent="0.25">
      <c r="A1021" s="60" t="s">
        <v>5141</v>
      </c>
      <c r="B1021" t="str">
        <f>findKey(supplementary_offering_legacyid[[#This Row],[Produccion]])</f>
        <v>17091810524</v>
      </c>
      <c r="C1021" s="61" t="s">
        <v>5142</v>
      </c>
      <c r="D1021" t="s">
        <v>5143</v>
      </c>
      <c r="E1021" t="s">
        <v>2189</v>
      </c>
      <c r="F1021" t="str">
        <f>ToJsonArray(supplementary_offering_legacyid[[#Headers],[offeringid]:[mode]],supplementary_offering_legacyid[[#This Row],[offeringid]:[mode]])</f>
        <v>{"offeringid":"990000441","name":"Combos B2BÂ  Voz y SMS nacional ilimitado + 35 GB P1","mode":"I"}</v>
      </c>
      <c r="G1021" t="str">
        <f>ToJsonArray(supplementary_offering_legacyid[[#This Row],[Semilla04]],supplementary_offering_legacyid[[#This Row],[Json]])</f>
        <v>{"17091810524":{"offeringid":"990000441","name":"Combos B2BÂ  Voz y SMS nacional ilimitado + 35 GB P1","mode":"I"}}</v>
      </c>
    </row>
    <row r="1022" spans="1:7" x14ac:dyDescent="0.25">
      <c r="A1022" s="60" t="s">
        <v>5144</v>
      </c>
      <c r="B1022" t="str">
        <f>findKey(supplementary_offering_legacyid[[#This Row],[Produccion]])</f>
        <v>17091809756</v>
      </c>
      <c r="C1022" s="61" t="s">
        <v>5145</v>
      </c>
      <c r="D1022" t="s">
        <v>5146</v>
      </c>
      <c r="E1022" t="s">
        <v>2189</v>
      </c>
      <c r="F1022" t="str">
        <f>ToJsonArray(supplementary_offering_legacyid[[#Headers],[offeringid]:[mode]],supplementary_offering_legacyid[[#This Row],[offeringid]:[mode]])</f>
        <v>{"offeringid":"990000442","name":"Combos B2BÂ  Voz y SMS nacional ilimitado + 35 GB P3","mode":"I"}</v>
      </c>
      <c r="G1022" t="str">
        <f>ToJsonArray(supplementary_offering_legacyid[[#This Row],[Semilla04]],supplementary_offering_legacyid[[#This Row],[Json]])</f>
        <v>{"17091809756":{"offeringid":"990000442","name":"Combos B2BÂ  Voz y SMS nacional ilimitado + 35 GB P3","mode":"I"}}</v>
      </c>
    </row>
    <row r="1023" spans="1:7" x14ac:dyDescent="0.25">
      <c r="A1023" s="60" t="s">
        <v>5147</v>
      </c>
      <c r="B1023" t="str">
        <f>findKey(supplementary_offering_legacyid[[#This Row],[Produccion]])</f>
        <v>17091812060</v>
      </c>
      <c r="C1023" s="61" t="s">
        <v>5148</v>
      </c>
      <c r="D1023" t="s">
        <v>5149</v>
      </c>
      <c r="E1023" t="s">
        <v>2189</v>
      </c>
      <c r="F1023" t="str">
        <f>ToJsonArray(supplementary_offering_legacyid[[#Headers],[offeringid]:[mode]],supplementary_offering_legacyid[[#This Row],[offeringid]:[mode]])</f>
        <v>{"offeringid":"990000443","name":"Combos B2BÂ  Voz y SMS nacional ilimitado + 35 GB P2","mode":"I"}</v>
      </c>
      <c r="G1023" t="str">
        <f>ToJsonArray(supplementary_offering_legacyid[[#This Row],[Semilla04]],supplementary_offering_legacyid[[#This Row],[Json]])</f>
        <v>{"17091812060":{"offeringid":"990000443","name":"Combos B2BÂ  Voz y SMS nacional ilimitado + 35 GB P2","mode":"I"}}</v>
      </c>
    </row>
    <row r="1024" spans="1:7" x14ac:dyDescent="0.25">
      <c r="A1024" s="60" t="s">
        <v>5150</v>
      </c>
      <c r="B1024" t="str">
        <f>findKey(supplementary_offering_legacyid[[#This Row],[Produccion]])</f>
        <v>17091811292</v>
      </c>
      <c r="C1024" s="61" t="s">
        <v>5151</v>
      </c>
      <c r="D1024" t="s">
        <v>5152</v>
      </c>
      <c r="E1024" t="s">
        <v>2189</v>
      </c>
      <c r="F1024" t="str">
        <f>ToJsonArray(supplementary_offering_legacyid[[#Headers],[offeringid]:[mode]],supplementary_offering_legacyid[[#This Row],[offeringid]:[mode]])</f>
        <v>{"offeringid":"990000444","name":"Combos B2BÂ  Voz y SMS nacional ilimitado + 50 GB P2","mode":"I"}</v>
      </c>
      <c r="G1024" t="str">
        <f>ToJsonArray(supplementary_offering_legacyid[[#This Row],[Semilla04]],supplementary_offering_legacyid[[#This Row],[Json]])</f>
        <v>{"17091811292":{"offeringid":"990000444","name":"Combos B2BÂ  Voz y SMS nacional ilimitado + 50 GB P2","mode":"I"}}</v>
      </c>
    </row>
    <row r="1025" spans="1:7" x14ac:dyDescent="0.25">
      <c r="A1025" s="60" t="s">
        <v>5153</v>
      </c>
      <c r="B1025" t="str">
        <f>findKey(supplementary_offering_legacyid[[#This Row],[Produccion]])</f>
        <v>17091812828</v>
      </c>
      <c r="C1025" s="61" t="s">
        <v>5154</v>
      </c>
      <c r="D1025" t="s">
        <v>5155</v>
      </c>
      <c r="E1025" t="s">
        <v>2189</v>
      </c>
      <c r="F1025" t="str">
        <f>ToJsonArray(supplementary_offering_legacyid[[#Headers],[offeringid]:[mode]],supplementary_offering_legacyid[[#This Row],[offeringid]:[mode]])</f>
        <v>{"offeringid":"990000445","name":"Combos B2BÂ  Voz y SMS nacional ilimitado + 50 GB P1","mode":"I"}</v>
      </c>
      <c r="G1025" t="str">
        <f>ToJsonArray(supplementary_offering_legacyid[[#This Row],[Semilla04]],supplementary_offering_legacyid[[#This Row],[Json]])</f>
        <v>{"17091812828":{"offeringid":"990000445","name":"Combos B2BÂ  Voz y SMS nacional ilimitado + 50 GB P1","mode":"I"}}</v>
      </c>
    </row>
    <row r="1026" spans="1:7" x14ac:dyDescent="0.25">
      <c r="A1026" s="60" t="s">
        <v>5156</v>
      </c>
      <c r="B1026" t="str">
        <f>findKey(supplementary_offering_legacyid[[#This Row],[Produccion]])</f>
        <v>17091811388</v>
      </c>
      <c r="C1026" s="61" t="s">
        <v>5157</v>
      </c>
      <c r="D1026" t="s">
        <v>5158</v>
      </c>
      <c r="E1026" t="s">
        <v>2189</v>
      </c>
      <c r="F1026" t="str">
        <f>ToJsonArray(supplementary_offering_legacyid[[#Headers],[offeringid]:[mode]],supplementary_offering_legacyid[[#This Row],[offeringid]:[mode]])</f>
        <v>{"offeringid":"990000446","name":"Combos B2BÂ  Voz y SMS nacional ilimitado + 50 GB P3","mode":"I"}</v>
      </c>
      <c r="G1026" t="str">
        <f>ToJsonArray(supplementary_offering_legacyid[[#This Row],[Semilla04]],supplementary_offering_legacyid[[#This Row],[Json]])</f>
        <v>{"17091811388":{"offeringid":"990000446","name":"Combos B2BÂ  Voz y SMS nacional ilimitado + 50 GB P3","mode":"I"}}</v>
      </c>
    </row>
    <row r="1027" spans="1:7" x14ac:dyDescent="0.25">
      <c r="A1027" s="60" t="s">
        <v>5159</v>
      </c>
      <c r="B1027" t="str">
        <f>findKey(supplementary_offering_legacyid[[#This Row],[Produccion]])</f>
        <v>358124951789</v>
      </c>
      <c r="C1027" s="61" t="s">
        <v>5160</v>
      </c>
      <c r="D1027" t="s">
        <v>2014</v>
      </c>
      <c r="E1027" t="s">
        <v>2189</v>
      </c>
      <c r="F1027" t="str">
        <f>ToJsonArray(supplementary_offering_legacyid[[#Headers],[offeringid]:[mode]],supplementary_offering_legacyid[[#This Row],[offeringid]:[mode]])</f>
        <v>{"offeringid":"990000447","name":"500MIN TD , SMS TD y Voz a Tigo inf, 5.5 GB, WA+Mail+FB, CUG P1","mode":"I"}</v>
      </c>
      <c r="G1027" t="str">
        <f>ToJsonArray(supplementary_offering_legacyid[[#This Row],[Semilla04]],supplementary_offering_legacyid[[#This Row],[Json]])</f>
        <v>{"358124951789":{"offeringid":"990000447","name":"500MIN TD , SMS TD y Voz a Tigo inf, 5.5 GB, WA+Mail+FB, CUG P1","mode":"I"}}</v>
      </c>
    </row>
    <row r="1028" spans="1:7" x14ac:dyDescent="0.25">
      <c r="A1028" s="60" t="s">
        <v>5161</v>
      </c>
      <c r="B1028" t="str">
        <f>findKey(supplementary_offering_legacyid[[#This Row],[Produccion]])</f>
        <v>358124950253</v>
      </c>
      <c r="C1028" s="61" t="s">
        <v>5162</v>
      </c>
      <c r="D1028" t="s">
        <v>2015</v>
      </c>
      <c r="E1028" t="s">
        <v>2189</v>
      </c>
      <c r="F1028" t="str">
        <f>ToJsonArray(supplementary_offering_legacyid[[#Headers],[offeringid]:[mode]],supplementary_offering_legacyid[[#This Row],[offeringid]:[mode]])</f>
        <v>{"offeringid":"990000448","name":"500MIN TD , SMS TD y Voz a Tigo inf, 5.5 GB, WA+Mail+FB inf P2","mode":"I"}</v>
      </c>
      <c r="G1028" t="str">
        <f>ToJsonArray(supplementary_offering_legacyid[[#This Row],[Semilla04]],supplementary_offering_legacyid[[#This Row],[Json]])</f>
        <v>{"358124950253":{"offeringid":"990000448","name":"500MIN TD , SMS TD y Voz a Tigo inf, 5.5 GB, WA+Mail+FB inf P2","mode":"I"}}</v>
      </c>
    </row>
    <row r="1029" spans="1:7" x14ac:dyDescent="0.25">
      <c r="A1029" s="60" t="s">
        <v>5163</v>
      </c>
      <c r="B1029" t="str">
        <f>findKey(supplementary_offering_legacyid[[#This Row],[Produccion]])</f>
        <v>358124953325</v>
      </c>
      <c r="C1029" s="61" t="s">
        <v>5164</v>
      </c>
      <c r="D1029" t="s">
        <v>2016</v>
      </c>
      <c r="E1029" t="s">
        <v>2189</v>
      </c>
      <c r="F1029" t="str">
        <f>ToJsonArray(supplementary_offering_legacyid[[#Headers],[offeringid]:[mode]],supplementary_offering_legacyid[[#This Row],[offeringid]:[mode]])</f>
        <v>{"offeringid":"990000449","name":"500MIN TD, SMS TD y Voz a Tigo inf, 5.5 GB, WA+Mail+FB inf P3","mode":"I"}</v>
      </c>
      <c r="G1029" t="str">
        <f>ToJsonArray(supplementary_offering_legacyid[[#This Row],[Semilla04]],supplementary_offering_legacyid[[#This Row],[Json]])</f>
        <v>{"358124953325":{"offeringid":"990000449","name":"500MIN TD, SMS TD y Voz a Tigo inf, 5.5 GB, WA+Mail+FB inf P3","mode":"I"}}</v>
      </c>
    </row>
    <row r="1030" spans="1:7" x14ac:dyDescent="0.25">
      <c r="A1030" s="60" t="s">
        <v>5165</v>
      </c>
      <c r="B1030" t="str">
        <f>findKey(supplementary_offering_legacyid[[#This Row],[Produccion]])</f>
        <v>17083123103</v>
      </c>
      <c r="C1030" s="61" t="s">
        <v>5166</v>
      </c>
      <c r="D1030" t="s">
        <v>324</v>
      </c>
      <c r="E1030" t="s">
        <v>2189</v>
      </c>
      <c r="F1030" t="str">
        <f>ToJsonArray(supplementary_offering_legacyid[[#Headers],[offeringid]:[mode]],supplementary_offering_legacyid[[#This Row],[offeringid]:[mode]])</f>
        <v>{"offeringid":"990000450","name":"PQT Corp LDI 50","mode":"I"}</v>
      </c>
      <c r="G1030" t="str">
        <f>ToJsonArray(supplementary_offering_legacyid[[#This Row],[Semilla04]],supplementary_offering_legacyid[[#This Row],[Json]])</f>
        <v>{"17083123103":{"offeringid":"990000450","name":"PQT Corp LDI 50","mode":"I"}}</v>
      </c>
    </row>
    <row r="1031" spans="1:7" x14ac:dyDescent="0.25">
      <c r="A1031" s="60" t="s">
        <v>5167</v>
      </c>
      <c r="B1031" t="str">
        <f>findKey(supplementary_offering_legacyid[[#This Row],[Produccion]])</f>
        <v>17083128352</v>
      </c>
      <c r="C1031" s="61" t="s">
        <v>5168</v>
      </c>
      <c r="D1031" t="s">
        <v>326</v>
      </c>
      <c r="E1031" t="s">
        <v>2189</v>
      </c>
      <c r="F1031" t="str">
        <f>ToJsonArray(supplementary_offering_legacyid[[#Headers],[offeringid]:[mode]],supplementary_offering_legacyid[[#This Row],[offeringid]:[mode]])</f>
        <v>{"offeringid":"990000451","name":"PQT Corp LDI 100","mode":"I"}</v>
      </c>
      <c r="G1031" t="str">
        <f>ToJsonArray(supplementary_offering_legacyid[[#This Row],[Semilla04]],supplementary_offering_legacyid[[#This Row],[Json]])</f>
        <v>{"17083128352":{"offeringid":"990000451","name":"PQT Corp LDI 100","mode":"I"}}</v>
      </c>
    </row>
    <row r="1032" spans="1:7" x14ac:dyDescent="0.25">
      <c r="A1032" s="60" t="s">
        <v>5169</v>
      </c>
      <c r="B1032" t="str">
        <f>findKey(supplementary_offering_legacyid[[#This Row],[Produccion]])</f>
        <v>17083126816</v>
      </c>
      <c r="C1032" s="61" t="s">
        <v>5170</v>
      </c>
      <c r="D1032" t="s">
        <v>327</v>
      </c>
      <c r="E1032" t="s">
        <v>2189</v>
      </c>
      <c r="F1032" t="str">
        <f>ToJsonArray(supplementary_offering_legacyid[[#Headers],[offeringid]:[mode]],supplementary_offering_legacyid[[#This Row],[offeringid]:[mode]])</f>
        <v>{"offeringid":"990000452","name":"PQT Corp LDI 180","mode":"I"}</v>
      </c>
      <c r="G1032" t="str">
        <f>ToJsonArray(supplementary_offering_legacyid[[#This Row],[Semilla04]],supplementary_offering_legacyid[[#This Row],[Json]])</f>
        <v>{"17083126816":{"offeringid":"990000452","name":"PQT Corp LDI 180","mode":"I"}}</v>
      </c>
    </row>
    <row r="1033" spans="1:7" x14ac:dyDescent="0.25">
      <c r="A1033" s="60" t="s">
        <v>5171</v>
      </c>
      <c r="B1033" t="str">
        <f>findKey(supplementary_offering_legacyid[[#This Row],[Produccion]])</f>
        <v>17083129792</v>
      </c>
      <c r="C1033" s="61" t="s">
        <v>5172</v>
      </c>
      <c r="D1033" t="s">
        <v>328</v>
      </c>
      <c r="E1033" t="s">
        <v>2189</v>
      </c>
      <c r="F1033" t="str">
        <f>ToJsonArray(supplementary_offering_legacyid[[#Headers],[offeringid]:[mode]],supplementary_offering_legacyid[[#This Row],[offeringid]:[mode]])</f>
        <v>{"offeringid":"990000453","name":"PQT Corp LDI 330","mode":"I"}</v>
      </c>
      <c r="G1033" t="str">
        <f>ToJsonArray(supplementary_offering_legacyid[[#This Row],[Semilla04]],supplementary_offering_legacyid[[#This Row],[Json]])</f>
        <v>{"17083129792":{"offeringid":"990000453","name":"PQT Corp LDI 330","mode":"I"}}</v>
      </c>
    </row>
    <row r="1034" spans="1:7" x14ac:dyDescent="0.25">
      <c r="A1034" s="60" t="s">
        <v>5173</v>
      </c>
      <c r="B1034" t="str">
        <f>findKey(supplementary_offering_legacyid[[#This Row],[Produccion]])</f>
        <v>168771481791</v>
      </c>
      <c r="C1034" s="61" t="s">
        <v>5174</v>
      </c>
      <c r="D1034" t="s">
        <v>2007</v>
      </c>
      <c r="E1034" t="s">
        <v>2189</v>
      </c>
      <c r="F1034" t="str">
        <f>ToJsonArray(supplementary_offering_legacyid[[#Headers],[offeringid]:[mode]],supplementary_offering_legacyid[[#This Row],[offeringid]:[mode]])</f>
        <v>{"offeringid":"990000454","name":"1000MIN TD, SMS TD y Voz a Tigo infinito, 3 GB WA+Mail+FB P2","mode":"I"}</v>
      </c>
      <c r="G1034" t="str">
        <f>ToJsonArray(supplementary_offering_legacyid[[#This Row],[Semilla04]],supplementary_offering_legacyid[[#This Row],[Json]])</f>
        <v>{"168771481791":{"offeringid":"990000454","name":"1000MIN TD, SMS TD y Voz a Tigo infinito, 3 GB WA+Mail+FB P2","mode":"I"}}</v>
      </c>
    </row>
    <row r="1035" spans="1:7" x14ac:dyDescent="0.25">
      <c r="A1035" s="60" t="s">
        <v>5175</v>
      </c>
      <c r="B1035" t="str">
        <f>findKey(supplementary_offering_legacyid[[#This Row],[Produccion]])</f>
        <v>168771484479</v>
      </c>
      <c r="C1035" s="61" t="s">
        <v>5176</v>
      </c>
      <c r="D1035" t="s">
        <v>2006</v>
      </c>
      <c r="E1035" t="s">
        <v>2189</v>
      </c>
      <c r="F1035" t="str">
        <f>ToJsonArray(supplementary_offering_legacyid[[#Headers],[offeringid]:[mode]],supplementary_offering_legacyid[[#This Row],[offeringid]:[mode]])</f>
        <v>{"offeringid":"990000455","name":"1000MIN TD, SMS TD y Voz a Tigo infinito, 3 GB WA+Mail+FB P1","mode":"I"}</v>
      </c>
      <c r="G1035" t="str">
        <f>ToJsonArray(supplementary_offering_legacyid[[#This Row],[Semilla04]],supplementary_offering_legacyid[[#This Row],[Json]])</f>
        <v>{"168771484479":{"offeringid":"990000455","name":"1000MIN TD, SMS TD y Voz a Tigo infinito, 3 GB WA+Mail+FB P1","mode":"I"}}</v>
      </c>
    </row>
    <row r="1036" spans="1:7" x14ac:dyDescent="0.25">
      <c r="A1036" s="60" t="s">
        <v>5177</v>
      </c>
      <c r="B1036" t="str">
        <f>findKey(supplementary_offering_legacyid[[#This Row],[Produccion]])</f>
        <v>168771484863</v>
      </c>
      <c r="C1036" s="61" t="s">
        <v>5178</v>
      </c>
      <c r="D1036" t="s">
        <v>2008</v>
      </c>
      <c r="E1036" t="s">
        <v>2189</v>
      </c>
      <c r="F1036" t="str">
        <f>ToJsonArray(supplementary_offering_legacyid[[#Headers],[offeringid]:[mode]],supplementary_offering_legacyid[[#This Row],[offeringid]:[mode]])</f>
        <v>{"offeringid":"990000456","name":"1000MIN TD, SMS TD y Voz a Tigo infinito, 3 GB WA+Mail+FB P3","mode":"I"}</v>
      </c>
      <c r="G1036" t="str">
        <f>ToJsonArray(supplementary_offering_legacyid[[#This Row],[Semilla04]],supplementary_offering_legacyid[[#This Row],[Json]])</f>
        <v>{"168771484863":{"offeringid":"990000456","name":"1000MIN TD, SMS TD y Voz a Tigo infinito, 3 GB WA+Mail+FB P3","mode":"I"}}</v>
      </c>
    </row>
    <row r="1037" spans="1:7" x14ac:dyDescent="0.25">
      <c r="A1037" s="60" t="s">
        <v>5179</v>
      </c>
      <c r="B1037" t="str">
        <f>findKey(supplementary_offering_legacyid[[#This Row],[Produccion]])</f>
        <v>168771481983</v>
      </c>
      <c r="C1037" s="61" t="s">
        <v>5180</v>
      </c>
      <c r="D1037" t="s">
        <v>2133</v>
      </c>
      <c r="E1037" t="s">
        <v>2189</v>
      </c>
      <c r="F1037" t="str">
        <f>ToJsonArray(supplementary_offering_legacyid[[#Headers],[offeringid]:[mode]],supplementary_offering_legacyid[[#This Row],[offeringid]:[mode]])</f>
        <v>{"offeringid":"990000457","name":"400MIN TD, SMS TD y Voz a Tigo infinito, 1 GB WA+Mail+FB P2","mode":"I"}</v>
      </c>
      <c r="G1037" t="str">
        <f>ToJsonArray(supplementary_offering_legacyid[[#This Row],[Semilla04]],supplementary_offering_legacyid[[#This Row],[Json]])</f>
        <v>{"168771481983":{"offeringid":"990000457","name":"400MIN TD, SMS TD y Voz a Tigo infinito, 1 GB WA+Mail+FB P2","mode":"I"}}</v>
      </c>
    </row>
    <row r="1038" spans="1:7" x14ac:dyDescent="0.25">
      <c r="A1038" s="60" t="s">
        <v>5181</v>
      </c>
      <c r="B1038" t="str">
        <f>findKey(supplementary_offering_legacyid[[#This Row],[Produccion]])</f>
        <v>168771484287</v>
      </c>
      <c r="C1038" s="61" t="s">
        <v>5182</v>
      </c>
      <c r="D1038" t="s">
        <v>2132</v>
      </c>
      <c r="E1038" t="s">
        <v>2189</v>
      </c>
      <c r="F1038" t="str">
        <f>ToJsonArray(supplementary_offering_legacyid[[#Headers],[offeringid]:[mode]],supplementary_offering_legacyid[[#This Row],[offeringid]:[mode]])</f>
        <v>{"offeringid":"990000458","name":"400MIN TD, SMS TD y Voz a Tigo infinito, 1 GB WA+Mail+FB P1","mode":"I"}</v>
      </c>
      <c r="G1038" t="str">
        <f>ToJsonArray(supplementary_offering_legacyid[[#This Row],[Semilla04]],supplementary_offering_legacyid[[#This Row],[Json]])</f>
        <v>{"168771484287":{"offeringid":"990000458","name":"400MIN TD, SMS TD y Voz a Tigo infinito, 1 GB WA+Mail+FB P1","mode":"I"}}</v>
      </c>
    </row>
    <row r="1039" spans="1:7" x14ac:dyDescent="0.25">
      <c r="A1039" s="60" t="s">
        <v>5183</v>
      </c>
      <c r="B1039" t="str">
        <f>findKey(supplementary_offering_legacyid[[#This Row],[Produccion]])</f>
        <v>168771485055</v>
      </c>
      <c r="C1039" s="61" t="s">
        <v>5184</v>
      </c>
      <c r="D1039" t="s">
        <v>2134</v>
      </c>
      <c r="E1039" t="s">
        <v>2189</v>
      </c>
      <c r="F1039" t="str">
        <f>ToJsonArray(supplementary_offering_legacyid[[#Headers],[offeringid]:[mode]],supplementary_offering_legacyid[[#This Row],[offeringid]:[mode]])</f>
        <v>{"offeringid":"990000459","name":"400MIN TD, SMS TD y Voz a Tigo infinito, 1 GB WA+Mail+FB P3","mode":"I"}</v>
      </c>
      <c r="G1039" t="str">
        <f>ToJsonArray(supplementary_offering_legacyid[[#This Row],[Semilla04]],supplementary_offering_legacyid[[#This Row],[Json]])</f>
        <v>{"168771485055":{"offeringid":"990000459","name":"400MIN TD, SMS TD y Voz a Tigo infinito, 1 GB WA+Mail+FB P3","mode":"I"}}</v>
      </c>
    </row>
    <row r="1040" spans="1:7" x14ac:dyDescent="0.25">
      <c r="A1040" s="60" t="s">
        <v>5185</v>
      </c>
      <c r="B1040" t="str">
        <f>findKey(supplementary_offering_legacyid[[#This Row],[Produccion]])</f>
        <v>358124949869</v>
      </c>
      <c r="C1040" s="61" t="s">
        <v>5186</v>
      </c>
      <c r="D1040" t="s">
        <v>2011</v>
      </c>
      <c r="E1040" t="s">
        <v>2189</v>
      </c>
      <c r="F1040" t="str">
        <f>ToJsonArray(supplementary_offering_legacyid[[#Headers],[offeringid]:[mode]],supplementary_offering_legacyid[[#This Row],[offeringid]:[mode]])</f>
        <v>{"offeringid":"990000460","name":"1000 MIN TD, SMS y Voz a Tigo inf, 6.5 GB, WA+Mail+FB, CUG P1","mode":"I"}</v>
      </c>
      <c r="G1040" t="str">
        <f>ToJsonArray(supplementary_offering_legacyid[[#This Row],[Semilla04]],supplementary_offering_legacyid[[#This Row],[Json]])</f>
        <v>{"358124949869":{"offeringid":"990000460","name":"1000 MIN TD, SMS y Voz a Tigo inf, 6.5 GB, WA+Mail+FB, CUG P1","mode":"I"}}</v>
      </c>
    </row>
    <row r="1041" spans="1:7" x14ac:dyDescent="0.25">
      <c r="A1041" s="60" t="s">
        <v>5187</v>
      </c>
      <c r="B1041" t="str">
        <f>findKey(supplementary_offering_legacyid[[#This Row],[Produccion]])</f>
        <v>358124951405</v>
      </c>
      <c r="C1041" s="61" t="s">
        <v>5188</v>
      </c>
      <c r="D1041" t="s">
        <v>2013</v>
      </c>
      <c r="E1041" t="s">
        <v>2189</v>
      </c>
      <c r="F1041" t="str">
        <f>ToJsonArray(supplementary_offering_legacyid[[#Headers],[offeringid]:[mode]],supplementary_offering_legacyid[[#This Row],[offeringid]:[mode]])</f>
        <v>{"offeringid":"990000461","name":"1000 MIN TD, SMS y Voz a Tigo inf, 6.5 GB, WA+Mail+FB inf P3","mode":"I"}</v>
      </c>
      <c r="G1041" t="str">
        <f>ToJsonArray(supplementary_offering_legacyid[[#This Row],[Semilla04]],supplementary_offering_legacyid[[#This Row],[Json]])</f>
        <v>{"358124951405":{"offeringid":"990000461","name":"1000 MIN TD, SMS y Voz a Tigo inf, 6.5 GB, WA+Mail+FB inf P3","mode":"I"}}</v>
      </c>
    </row>
    <row r="1042" spans="1:7" x14ac:dyDescent="0.25">
      <c r="A1042" s="60" t="s">
        <v>5189</v>
      </c>
      <c r="B1042" t="str">
        <f>findKey(supplementary_offering_legacyid[[#This Row],[Produccion]])</f>
        <v>358124952941</v>
      </c>
      <c r="C1042" s="61" t="s">
        <v>5190</v>
      </c>
      <c r="D1042" t="s">
        <v>2012</v>
      </c>
      <c r="E1042" t="s">
        <v>2189</v>
      </c>
      <c r="F1042" t="str">
        <f>ToJsonArray(supplementary_offering_legacyid[[#Headers],[offeringid]:[mode]],supplementary_offering_legacyid[[#This Row],[offeringid]:[mode]])</f>
        <v>{"offeringid":"990000462","name":"1000 MIN TD, SMS y Voz a Tigo inf, 6.5 GB, WA+Mail+FB inf P2","mode":"I"}</v>
      </c>
      <c r="G1042" t="str">
        <f>ToJsonArray(supplementary_offering_legacyid[[#This Row],[Semilla04]],supplementary_offering_legacyid[[#This Row],[Json]])</f>
        <v>{"358124952941":{"offeringid":"990000462","name":"1000 MIN TD, SMS y Voz a Tigo inf, 6.5 GB, WA+Mail+FB inf P2","mode":"I"}}</v>
      </c>
    </row>
    <row r="1043" spans="1:7" x14ac:dyDescent="0.25">
      <c r="A1043" s="60" t="s">
        <v>5191</v>
      </c>
      <c r="B1043" t="str">
        <f>findKey(supplementary_offering_legacyid[[#This Row],[Produccion]])</f>
        <v>168771482559</v>
      </c>
      <c r="C1043" s="61" t="s">
        <v>5192</v>
      </c>
      <c r="D1043" t="s">
        <v>2131</v>
      </c>
      <c r="E1043" t="s">
        <v>2189</v>
      </c>
      <c r="F1043" t="str">
        <f>ToJsonArray(supplementary_offering_legacyid[[#Headers],[offeringid]:[mode]],supplementary_offering_legacyid[[#This Row],[offeringid]:[mode]])</f>
        <v>{"offeringid":"990000463","name":"1500MIN TD,SMS TD y Voz a Tigo infinito, 3,5 GB WA+ Mail+FB P3","mode":"I"}</v>
      </c>
      <c r="G1043" t="str">
        <f>ToJsonArray(supplementary_offering_legacyid[[#This Row],[Semilla04]],supplementary_offering_legacyid[[#This Row],[Json]])</f>
        <v>{"168771482559":{"offeringid":"990000463","name":"1500MIN TD,SMS TD y Voz a Tigo infinito, 3,5 GB WA+ Mail+FB P3","mode":"I"}}</v>
      </c>
    </row>
    <row r="1044" spans="1:7" x14ac:dyDescent="0.25">
      <c r="A1044" s="60" t="s">
        <v>5193</v>
      </c>
      <c r="B1044" t="str">
        <f>findKey(supplementary_offering_legacyid[[#This Row],[Produccion]])</f>
        <v>168771483327</v>
      </c>
      <c r="C1044" s="61" t="s">
        <v>5194</v>
      </c>
      <c r="D1044" t="s">
        <v>2009</v>
      </c>
      <c r="E1044" t="s">
        <v>2189</v>
      </c>
      <c r="F1044" t="str">
        <f>ToJsonArray(supplementary_offering_legacyid[[#Headers],[offeringid]:[mode]],supplementary_offering_legacyid[[#This Row],[offeringid]:[mode]])</f>
        <v>{"offeringid":"990000464","name":"1500MIN TD,SMS TD y Voz a Tigo infinito, 3,5 GB WA+ Mail+FB P1","mode":"I"}</v>
      </c>
      <c r="G1044" t="str">
        <f>ToJsonArray(supplementary_offering_legacyid[[#This Row],[Semilla04]],supplementary_offering_legacyid[[#This Row],[Json]])</f>
        <v>{"168771483327":{"offeringid":"990000464","name":"1500MIN TD,SMS TD y Voz a Tigo infinito, 3,5 GB WA+ Mail+FB P1","mode":"I"}}</v>
      </c>
    </row>
    <row r="1045" spans="1:7" x14ac:dyDescent="0.25">
      <c r="A1045" s="60" t="s">
        <v>5195</v>
      </c>
      <c r="B1045" t="str">
        <f>findKey(supplementary_offering_legacyid[[#This Row],[Produccion]])</f>
        <v>168771484095</v>
      </c>
      <c r="C1045" s="61" t="s">
        <v>5196</v>
      </c>
      <c r="D1045" t="s">
        <v>2010</v>
      </c>
      <c r="E1045" t="s">
        <v>2189</v>
      </c>
      <c r="F1045" t="str">
        <f>ToJsonArray(supplementary_offering_legacyid[[#Headers],[offeringid]:[mode]],supplementary_offering_legacyid[[#This Row],[offeringid]:[mode]])</f>
        <v>{"offeringid":"990000465","name":"1500MIN TD,SMS TD y Voz a Tigo infinito, 3,5 GB WA+ Mail+FB P2","mode":"I"}</v>
      </c>
      <c r="G1045" t="str">
        <f>ToJsonArray(supplementary_offering_legacyid[[#This Row],[Semilla04]],supplementary_offering_legacyid[[#This Row],[Json]])</f>
        <v>{"168771484095":{"offeringid":"990000465","name":"1500MIN TD,SMS TD y Voz a Tigo infinito, 3,5 GB WA+ Mail+FB P2","mode":"I"}}</v>
      </c>
    </row>
    <row r="1046" spans="1:7" x14ac:dyDescent="0.25">
      <c r="A1046" s="60" t="s">
        <v>5197</v>
      </c>
      <c r="B1046" t="str">
        <f>findKey(supplementary_offering_legacyid[[#This Row],[Produccion]])</f>
        <v>168771482367</v>
      </c>
      <c r="C1046" s="61" t="s">
        <v>5198</v>
      </c>
      <c r="D1046" t="s">
        <v>2137</v>
      </c>
      <c r="E1046" t="s">
        <v>2189</v>
      </c>
      <c r="F1046" t="str">
        <f>ToJsonArray(supplementary_offering_legacyid[[#Headers],[offeringid]:[mode]],supplementary_offering_legacyid[[#This Row],[offeringid]:[mode]])</f>
        <v>{"offeringid":"990000466","name":"500MIN TD, SMS TD y Voz a Tigo infinito, 1,5 GB WA+Mail+FB P3","mode":"I"}</v>
      </c>
      <c r="G1046" t="str">
        <f>ToJsonArray(supplementary_offering_legacyid[[#This Row],[Semilla04]],supplementary_offering_legacyid[[#This Row],[Json]])</f>
        <v>{"168771482367":{"offeringid":"990000466","name":"500MIN TD, SMS TD y Voz a Tigo infinito, 1,5 GB WA+Mail+FB P3","mode":"I"}}</v>
      </c>
    </row>
    <row r="1047" spans="1:7" x14ac:dyDescent="0.25">
      <c r="A1047" s="60" t="s">
        <v>5199</v>
      </c>
      <c r="B1047" t="str">
        <f>findKey(supplementary_offering_legacyid[[#This Row],[Produccion]])</f>
        <v>168771483519</v>
      </c>
      <c r="C1047" s="61" t="s">
        <v>5200</v>
      </c>
      <c r="D1047" t="s">
        <v>2135</v>
      </c>
      <c r="E1047" t="s">
        <v>2189</v>
      </c>
      <c r="F1047" t="str">
        <f>ToJsonArray(supplementary_offering_legacyid[[#Headers],[offeringid]:[mode]],supplementary_offering_legacyid[[#This Row],[offeringid]:[mode]])</f>
        <v>{"offeringid":"990000467","name":"500MIN TD, SMS TD y Voz a Tigo infinito, 1,5 GB WA+Mail+FB P1","mode":"I"}</v>
      </c>
      <c r="G1047" t="str">
        <f>ToJsonArray(supplementary_offering_legacyid[[#This Row],[Semilla04]],supplementary_offering_legacyid[[#This Row],[Json]])</f>
        <v>{"168771483519":{"offeringid":"990000467","name":"500MIN TD, SMS TD y Voz a Tigo infinito, 1,5 GB WA+Mail+FB P1","mode":"I"}}</v>
      </c>
    </row>
    <row r="1048" spans="1:7" x14ac:dyDescent="0.25">
      <c r="A1048" s="60" t="s">
        <v>5201</v>
      </c>
      <c r="B1048" t="str">
        <f>findKey(supplementary_offering_legacyid[[#This Row],[Produccion]])</f>
        <v>168771483903</v>
      </c>
      <c r="C1048" s="61" t="s">
        <v>5202</v>
      </c>
      <c r="D1048" t="s">
        <v>2136</v>
      </c>
      <c r="E1048" t="s">
        <v>2189</v>
      </c>
      <c r="F1048" t="str">
        <f>ToJsonArray(supplementary_offering_legacyid[[#Headers],[offeringid]:[mode]],supplementary_offering_legacyid[[#This Row],[offeringid]:[mode]])</f>
        <v>{"offeringid":"990000468","name":"500MIN TD, SMS TD y Voz a Tigo infinito, 1,5 GB WA+Mail+FB P2","mode":"I"}</v>
      </c>
      <c r="G1048" t="str">
        <f>ToJsonArray(supplementary_offering_legacyid[[#This Row],[Semilla04]],supplementary_offering_legacyid[[#This Row],[Json]])</f>
        <v>{"168771483903":{"offeringid":"990000468","name":"500MIN TD, SMS TD y Voz a Tigo infinito, 1,5 GB WA+Mail+FB P2","mode":"I"}}</v>
      </c>
    </row>
    <row r="1049" spans="1:7" x14ac:dyDescent="0.25">
      <c r="A1049" s="60" t="s">
        <v>5203</v>
      </c>
      <c r="B1049" t="str">
        <f>findKey(supplementary_offering_legacyid[[#This Row],[Produccion]])</f>
        <v>168771483135</v>
      </c>
      <c r="C1049" s="61" t="s">
        <v>5204</v>
      </c>
      <c r="D1049" t="s">
        <v>2139</v>
      </c>
      <c r="E1049" t="s">
        <v>2189</v>
      </c>
      <c r="F1049" t="str">
        <f>ToJsonArray(supplementary_offering_legacyid[[#Headers],[offeringid]:[mode]],supplementary_offering_legacyid[[#This Row],[offeringid]:[mode]])</f>
        <v>{"offeringid":"990000469","name":"700MIN TD, SMS TD y Voz a Tigo infinito, 2,5 GB WA+Mail+FB P2","mode":"I"}</v>
      </c>
      <c r="G1049" t="str">
        <f>ToJsonArray(supplementary_offering_legacyid[[#This Row],[Semilla04]],supplementary_offering_legacyid[[#This Row],[Json]])</f>
        <v>{"168771483135":{"offeringid":"990000469","name":"700MIN TD, SMS TD y Voz a Tigo infinito, 2,5 GB WA+Mail+FB P2","mode":"I"}}</v>
      </c>
    </row>
    <row r="1050" spans="1:7" x14ac:dyDescent="0.25">
      <c r="A1050" s="60" t="s">
        <v>5205</v>
      </c>
      <c r="B1050" t="str">
        <f>findKey(supplementary_offering_legacyid[[#This Row],[Produccion]])</f>
        <v>168771484671</v>
      </c>
      <c r="C1050" s="61" t="s">
        <v>5206</v>
      </c>
      <c r="D1050" t="s">
        <v>2140</v>
      </c>
      <c r="E1050" t="s">
        <v>2189</v>
      </c>
      <c r="F1050" t="str">
        <f>ToJsonArray(supplementary_offering_legacyid[[#Headers],[offeringid]:[mode]],supplementary_offering_legacyid[[#This Row],[offeringid]:[mode]])</f>
        <v>{"offeringid":"990000470","name":"700MIN TD, SMS TD y Voz a Tigo infinito, 2,5 GB WA+Mail+FB P3","mode":"I"}</v>
      </c>
      <c r="G1050" t="str">
        <f>ToJsonArray(supplementary_offering_legacyid[[#This Row],[Semilla04]],supplementary_offering_legacyid[[#This Row],[Json]])</f>
        <v>{"168771484671":{"offeringid":"990000470","name":"700MIN TD, SMS TD y Voz a Tigo infinito, 2,5 GB WA+Mail+FB P3","mode":"I"}}</v>
      </c>
    </row>
    <row r="1051" spans="1:7" x14ac:dyDescent="0.25">
      <c r="A1051" s="60" t="s">
        <v>5207</v>
      </c>
      <c r="B1051" t="str">
        <f>findKey(supplementary_offering_legacyid[[#This Row],[Produccion]])</f>
        <v>168771485439</v>
      </c>
      <c r="C1051" s="61" t="s">
        <v>5208</v>
      </c>
      <c r="D1051" t="s">
        <v>2138</v>
      </c>
      <c r="E1051" t="s">
        <v>2189</v>
      </c>
      <c r="F1051" t="str">
        <f>ToJsonArray(supplementary_offering_legacyid[[#Headers],[offeringid]:[mode]],supplementary_offering_legacyid[[#This Row],[offeringid]:[mode]])</f>
        <v>{"offeringid":"990000471","name":"700MIN TD, SMS TD y Voz a Tigo infinito, 2,5 GB WA+Mail+FB P1","mode":"I"}</v>
      </c>
      <c r="G1051" t="str">
        <f>ToJsonArray(supplementary_offering_legacyid[[#This Row],[Semilla04]],supplementary_offering_legacyid[[#This Row],[Json]])</f>
        <v>{"168771485439":{"offeringid":"990000471","name":"700MIN TD, SMS TD y Voz a Tigo infinito, 2,5 GB WA+Mail+FB P1","mode":"I"}}</v>
      </c>
    </row>
    <row r="1052" spans="1:7" x14ac:dyDescent="0.25">
      <c r="A1052" s="60" t="s">
        <v>5209</v>
      </c>
      <c r="B1052" t="str">
        <f>findKey(supplementary_offering_legacyid[[#This Row],[Produccion]])</f>
        <v>17101190600</v>
      </c>
      <c r="C1052" s="61" t="s">
        <v>5210</v>
      </c>
      <c r="D1052" t="s">
        <v>1325</v>
      </c>
      <c r="E1052" t="s">
        <v>2189</v>
      </c>
      <c r="F1052" t="str">
        <f>ToJsonArray(supplementary_offering_legacyid[[#Headers],[offeringid]:[mode]],supplementary_offering_legacyid[[#This Row],[offeringid]:[mode]])</f>
        <v>{"offeringid":"990000472","name":"Combo B2B ilimitado 20 GB P3","mode":"I"}</v>
      </c>
      <c r="G1052" t="str">
        <f>ToJsonArray(supplementary_offering_legacyid[[#This Row],[Semilla04]],supplementary_offering_legacyid[[#This Row],[Json]])</f>
        <v>{"17101190600":{"offeringid":"990000472","name":"Combo B2B ilimitado 20 GB P3","mode":"I"}}</v>
      </c>
    </row>
    <row r="1053" spans="1:7" x14ac:dyDescent="0.25">
      <c r="A1053" s="60" t="s">
        <v>5211</v>
      </c>
      <c r="B1053" t="str">
        <f>findKey(supplementary_offering_legacyid[[#This Row],[Produccion]])</f>
        <v>17101189832</v>
      </c>
      <c r="C1053" s="61" t="s">
        <v>5212</v>
      </c>
      <c r="D1053" t="s">
        <v>1323</v>
      </c>
      <c r="E1053" t="s">
        <v>2189</v>
      </c>
      <c r="F1053" t="str">
        <f>ToJsonArray(supplementary_offering_legacyid[[#Headers],[offeringid]:[mode]],supplementary_offering_legacyid[[#This Row],[offeringid]:[mode]])</f>
        <v>{"offeringid":"990000473","name":"Combo B2B ilimitado 20 GB P1","mode":"I"}</v>
      </c>
      <c r="G1053" t="str">
        <f>ToJsonArray(supplementary_offering_legacyid[[#This Row],[Semilla04]],supplementary_offering_legacyid[[#This Row],[Json]])</f>
        <v>{"17101189832":{"offeringid":"990000473","name":"Combo B2B ilimitado 20 GB P1","mode":"I"}}</v>
      </c>
    </row>
    <row r="1054" spans="1:7" x14ac:dyDescent="0.25">
      <c r="A1054" s="60" t="s">
        <v>5213</v>
      </c>
      <c r="B1054" t="str">
        <f>findKey(supplementary_offering_legacyid[[#This Row],[Produccion]])</f>
        <v>17101192904</v>
      </c>
      <c r="C1054" s="61" t="s">
        <v>5214</v>
      </c>
      <c r="D1054" t="s">
        <v>1324</v>
      </c>
      <c r="E1054" t="s">
        <v>2189</v>
      </c>
      <c r="F1054" t="str">
        <f>ToJsonArray(supplementary_offering_legacyid[[#Headers],[offeringid]:[mode]],supplementary_offering_legacyid[[#This Row],[offeringid]:[mode]])</f>
        <v>{"offeringid":"990000474","name":"Combo B2B ilimitado 20 GB P2","mode":"I"}</v>
      </c>
      <c r="G1054" t="str">
        <f>ToJsonArray(supplementary_offering_legacyid[[#This Row],[Semilla04]],supplementary_offering_legacyid[[#This Row],[Json]])</f>
        <v>{"17101192904":{"offeringid":"990000474","name":"Combo B2B ilimitado 20 GB P2","mode":"I"}}</v>
      </c>
    </row>
    <row r="1055" spans="1:7" x14ac:dyDescent="0.25">
      <c r="A1055" s="60" t="s">
        <v>5215</v>
      </c>
      <c r="B1055" t="str">
        <f>findKey(supplementary_offering_legacyid[[#This Row],[Produccion]])</f>
        <v>17101189160</v>
      </c>
      <c r="C1055" s="61" t="s">
        <v>5216</v>
      </c>
      <c r="D1055" t="s">
        <v>1327</v>
      </c>
      <c r="E1055" t="s">
        <v>2189</v>
      </c>
      <c r="F1055" t="str">
        <f>ToJsonArray(supplementary_offering_legacyid[[#Headers],[offeringid]:[mode]],supplementary_offering_legacyid[[#This Row],[offeringid]:[mode]])</f>
        <v>{"offeringid":"990000475","name":"Combo B2B ilimitado 35 GB P2","mode":"I"}</v>
      </c>
      <c r="G1055" t="str">
        <f>ToJsonArray(supplementary_offering_legacyid[[#This Row],[Semilla04]],supplementary_offering_legacyid[[#This Row],[Json]])</f>
        <v>{"17101189160":{"offeringid":"990000475","name":"Combo B2B ilimitado 35 GB P2","mode":"I"}}</v>
      </c>
    </row>
    <row r="1056" spans="1:7" x14ac:dyDescent="0.25">
      <c r="A1056" s="60" t="s">
        <v>5217</v>
      </c>
      <c r="B1056" t="str">
        <f>findKey(supplementary_offering_legacyid[[#This Row],[Produccion]])</f>
        <v>17101192232</v>
      </c>
      <c r="C1056" s="61" t="s">
        <v>5218</v>
      </c>
      <c r="D1056" t="s">
        <v>1328</v>
      </c>
      <c r="E1056" t="s">
        <v>2189</v>
      </c>
      <c r="F1056" t="str">
        <f>ToJsonArray(supplementary_offering_legacyid[[#Headers],[offeringid]:[mode]],supplementary_offering_legacyid[[#This Row],[offeringid]:[mode]])</f>
        <v>{"offeringid":"990000476","name":"Combo B2B ilimitado 35 GB P3","mode":"I"}</v>
      </c>
      <c r="G1056" t="str">
        <f>ToJsonArray(supplementary_offering_legacyid[[#This Row],[Semilla04]],supplementary_offering_legacyid[[#This Row],[Json]])</f>
        <v>{"17101192232":{"offeringid":"990000476","name":"Combo B2B ilimitado 35 GB P3","mode":"I"}}</v>
      </c>
    </row>
    <row r="1057" spans="1:7" x14ac:dyDescent="0.25">
      <c r="A1057" s="60" t="s">
        <v>5219</v>
      </c>
      <c r="B1057" t="str">
        <f>findKey(supplementary_offering_legacyid[[#This Row],[Produccion]])</f>
        <v>17101192136</v>
      </c>
      <c r="C1057" s="61" t="s">
        <v>5220</v>
      </c>
      <c r="D1057" t="s">
        <v>1326</v>
      </c>
      <c r="E1057" t="s">
        <v>2189</v>
      </c>
      <c r="F1057" t="str">
        <f>ToJsonArray(supplementary_offering_legacyid[[#Headers],[offeringid]:[mode]],supplementary_offering_legacyid[[#This Row],[offeringid]:[mode]])</f>
        <v>{"offeringid":"990000477","name":"Combo B2B ilimitado 35 GB P1","mode":"I"}</v>
      </c>
      <c r="G1057" t="str">
        <f>ToJsonArray(supplementary_offering_legacyid[[#This Row],[Semilla04]],supplementary_offering_legacyid[[#This Row],[Json]])</f>
        <v>{"17101192136":{"offeringid":"990000477","name":"Combo B2B ilimitado 35 GB P1","mode":"I"}}</v>
      </c>
    </row>
    <row r="1058" spans="1:7" x14ac:dyDescent="0.25">
      <c r="A1058" s="60" t="s">
        <v>5221</v>
      </c>
      <c r="B1058" t="str">
        <f>findKey(supplementary_offering_legacyid[[#This Row],[Produccion]])</f>
        <v>17101190696</v>
      </c>
      <c r="C1058" s="61" t="s">
        <v>5222</v>
      </c>
      <c r="D1058" t="s">
        <v>1329</v>
      </c>
      <c r="E1058" t="s">
        <v>2189</v>
      </c>
      <c r="F1058" t="str">
        <f>ToJsonArray(supplementary_offering_legacyid[[#Headers],[offeringid]:[mode]],supplementary_offering_legacyid[[#This Row],[offeringid]:[mode]])</f>
        <v>{"offeringid":"990000478","name":"Combo B2B ilimitado 50 GB P1","mode":"I"}</v>
      </c>
      <c r="G1058" t="str">
        <f>ToJsonArray(supplementary_offering_legacyid[[#This Row],[Semilla04]],supplementary_offering_legacyid[[#This Row],[Json]])</f>
        <v>{"17101190696":{"offeringid":"990000478","name":"Combo B2B ilimitado 50 GB P1","mode":"I"}}</v>
      </c>
    </row>
    <row r="1059" spans="1:7" x14ac:dyDescent="0.25">
      <c r="A1059" s="60" t="s">
        <v>5223</v>
      </c>
      <c r="B1059" t="str">
        <f>findKey(supplementary_offering_legacyid[[#This Row],[Produccion]])</f>
        <v>17101189928</v>
      </c>
      <c r="C1059" s="61" t="s">
        <v>5224</v>
      </c>
      <c r="D1059" t="s">
        <v>1331</v>
      </c>
      <c r="E1059" t="s">
        <v>2189</v>
      </c>
      <c r="F1059" t="str">
        <f>ToJsonArray(supplementary_offering_legacyid[[#Headers],[offeringid]:[mode]],supplementary_offering_legacyid[[#This Row],[offeringid]:[mode]])</f>
        <v>{"offeringid":"990000479","name":"Combo B2B ilimitado 50 GB P3","mode":"I"}</v>
      </c>
      <c r="G1059" t="str">
        <f>ToJsonArray(supplementary_offering_legacyid[[#This Row],[Semilla04]],supplementary_offering_legacyid[[#This Row],[Json]])</f>
        <v>{"17101189928":{"offeringid":"990000479","name":"Combo B2B ilimitado 50 GB P3","mode":"I"}}</v>
      </c>
    </row>
    <row r="1060" spans="1:7" x14ac:dyDescent="0.25">
      <c r="A1060" s="60" t="s">
        <v>5225</v>
      </c>
      <c r="B1060" t="str">
        <f>findKey(supplementary_offering_legacyid[[#This Row],[Produccion]])</f>
        <v>17101191464</v>
      </c>
      <c r="C1060" s="61" t="s">
        <v>5226</v>
      </c>
      <c r="D1060" t="s">
        <v>1330</v>
      </c>
      <c r="E1060" t="s">
        <v>2189</v>
      </c>
      <c r="F1060" t="str">
        <f>ToJsonArray(supplementary_offering_legacyid[[#Headers],[offeringid]:[mode]],supplementary_offering_legacyid[[#This Row],[offeringid]:[mode]])</f>
        <v>{"offeringid":"990000480","name":"Combo B2B ilimitado 50 GB P2","mode":"I"}</v>
      </c>
      <c r="G1060" t="str">
        <f>ToJsonArray(supplementary_offering_legacyid[[#This Row],[Semilla04]],supplementary_offering_legacyid[[#This Row],[Json]])</f>
        <v>{"17101191464":{"offeringid":"990000480","name":"Combo B2B ilimitado 50 GB P2","mode":"I"}}</v>
      </c>
    </row>
    <row r="1061" spans="1:7" x14ac:dyDescent="0.25">
      <c r="A1061" s="60" t="s">
        <v>5227</v>
      </c>
      <c r="B1061" t="str">
        <f>findKey(supplementary_offering_legacyid[[#This Row],[Produccion]])</f>
        <v>17085863626</v>
      </c>
      <c r="C1061" s="61" t="s">
        <v>5228</v>
      </c>
      <c r="D1061" t="s">
        <v>1191</v>
      </c>
      <c r="E1061" t="s">
        <v>2189</v>
      </c>
      <c r="F1061" t="str">
        <f>ToJsonArray(supplementary_offering_legacyid[[#Headers],[offeringid]:[mode]],supplementary_offering_legacyid[[#This Row],[offeringid]:[mode]])</f>
        <v>{"offeringid":"990000481","name":"Combo SMS Todo destino Infinito P3","mode":"I"}</v>
      </c>
      <c r="G1061" t="str">
        <f>ToJsonArray(supplementary_offering_legacyid[[#This Row],[Semilla04]],supplementary_offering_legacyid[[#This Row],[Json]])</f>
        <v>{"17085863626":{"offeringid":"990000481","name":"Combo SMS Todo destino Infinito P3","mode":"I"}}</v>
      </c>
    </row>
    <row r="1062" spans="1:7" x14ac:dyDescent="0.25">
      <c r="A1062" s="60" t="s">
        <v>5229</v>
      </c>
      <c r="B1062" t="str">
        <f>findKey(supplementary_offering_legacyid[[#This Row],[Produccion]])</f>
        <v>17102546677</v>
      </c>
      <c r="C1062" s="61" t="s">
        <v>5230</v>
      </c>
      <c r="D1062" t="s">
        <v>1314</v>
      </c>
      <c r="E1062" t="s">
        <v>2189</v>
      </c>
      <c r="F1062" t="str">
        <f>ToJsonArray(supplementary_offering_legacyid[[#Headers],[offeringid]:[mode]],supplementary_offering_legacyid[[#This Row],[offeringid]:[mode]])</f>
        <v>{"offeringid":"990000482","name":"Combos B2B Voz ilimitado + 8 GB P2","mode":"I"}</v>
      </c>
      <c r="G1062" t="str">
        <f>ToJsonArray(supplementary_offering_legacyid[[#This Row],[Semilla04]],supplementary_offering_legacyid[[#This Row],[Json]])</f>
        <v>{"17102546677":{"offeringid":"990000482","name":"Combos B2B Voz ilimitado + 8 GB P2","mode":"I"}}</v>
      </c>
    </row>
    <row r="1063" spans="1:7" x14ac:dyDescent="0.25">
      <c r="A1063" s="60" t="s">
        <v>5231</v>
      </c>
      <c r="B1063" t="str">
        <f>findKey(supplementary_offering_legacyid[[#This Row],[Produccion]])</f>
        <v>368598214742</v>
      </c>
      <c r="C1063" s="61" t="s">
        <v>5232</v>
      </c>
      <c r="D1063" t="s">
        <v>1318</v>
      </c>
      <c r="E1063" t="s">
        <v>2189</v>
      </c>
      <c r="F1063" t="str">
        <f>ToJsonArray(supplementary_offering_legacyid[[#Headers],[offeringid]:[mode]],supplementary_offering_legacyid[[#This Row],[offeringid]:[mode]])</f>
        <v>{"offeringid":"990000483","name":"Combos B2B Voz ilimitado + 8 GB P1","mode":"I"}</v>
      </c>
      <c r="G1063" t="str">
        <f>ToJsonArray(supplementary_offering_legacyid[[#This Row],[Semilla04]],supplementary_offering_legacyid[[#This Row],[Json]])</f>
        <v>{"368598214742":{"offeringid":"990000483","name":"Combos B2B Voz ilimitado + 8 GB P1","mode":"I"}}</v>
      </c>
    </row>
    <row r="1064" spans="1:7" x14ac:dyDescent="0.25">
      <c r="A1064" s="60" t="s">
        <v>5233</v>
      </c>
      <c r="B1064" t="str">
        <f>findKey(supplementary_offering_legacyid[[#This Row],[Produccion]])</f>
        <v>368598216278</v>
      </c>
      <c r="C1064" s="61" t="s">
        <v>5234</v>
      </c>
      <c r="D1064" t="s">
        <v>1316</v>
      </c>
      <c r="E1064" t="s">
        <v>2189</v>
      </c>
      <c r="F1064" t="str">
        <f>ToJsonArray(supplementary_offering_legacyid[[#Headers],[offeringid]:[mode]],supplementary_offering_legacyid[[#This Row],[offeringid]:[mode]])</f>
        <v>{"offeringid":"990000484","name":"Combos B2B Voz ilimitado + 8 GB P3","mode":"I"}</v>
      </c>
      <c r="G1064" t="str">
        <f>ToJsonArray(supplementary_offering_legacyid[[#This Row],[Semilla04]],supplementary_offering_legacyid[[#This Row],[Json]])</f>
        <v>{"368598216278":{"offeringid":"990000484","name":"Combos B2B Voz ilimitado + 8 GB P3","mode":"I"}}</v>
      </c>
    </row>
    <row r="1065" spans="1:7" x14ac:dyDescent="0.25">
      <c r="A1065" s="60" t="s">
        <v>5235</v>
      </c>
      <c r="B1065" t="str">
        <f>findKey(supplementary_offering_legacyid[[#This Row],[Produccion]])</f>
        <v>17083126904</v>
      </c>
      <c r="C1065" s="61" t="s">
        <v>5236</v>
      </c>
      <c r="D1065" t="s">
        <v>453</v>
      </c>
      <c r="E1065" t="s">
        <v>2189</v>
      </c>
      <c r="F1065" t="str">
        <f>ToJsonArray(supplementary_offering_legacyid[[#Headers],[offeringid]:[mode]],supplementary_offering_legacyid[[#This Row],[offeringid]:[mode]])</f>
        <v>{"offeringid":"990000485","name":"PQT Corp CUG 10000","mode":"I"}</v>
      </c>
      <c r="G1065" t="str">
        <f>ToJsonArray(supplementary_offering_legacyid[[#This Row],[Semilla04]],supplementary_offering_legacyid[[#This Row],[Json]])</f>
        <v>{"17083126904":{"offeringid":"990000485","name":"PQT Corp CUG 10000","mode":"I"}}</v>
      </c>
    </row>
    <row r="1066" spans="1:7" x14ac:dyDescent="0.25">
      <c r="A1066" s="60" t="s">
        <v>5237</v>
      </c>
      <c r="B1066" t="str">
        <f>findKey(supplementary_offering_legacyid[[#This Row],[Produccion]])</f>
        <v>17083127560</v>
      </c>
      <c r="C1066" s="61" t="s">
        <v>5238</v>
      </c>
      <c r="D1066" t="s">
        <v>451</v>
      </c>
      <c r="E1066" t="s">
        <v>2189</v>
      </c>
      <c r="F1066" t="str">
        <f>ToJsonArray(supplementary_offering_legacyid[[#Headers],[offeringid]:[mode]],supplementary_offering_legacyid[[#This Row],[offeringid]:[mode]])</f>
        <v>{"offeringid":"990000486","name":"PQT Corp CUG 1000","mode":"I"}</v>
      </c>
      <c r="G1066" t="str">
        <f>ToJsonArray(supplementary_offering_legacyid[[#This Row],[Semilla04]],supplementary_offering_legacyid[[#This Row],[Json]])</f>
        <v>{"17083127560":{"offeringid":"990000486","name":"PQT Corp CUG 1000","mode":"I"}}</v>
      </c>
    </row>
    <row r="1067" spans="1:7" x14ac:dyDescent="0.25">
      <c r="A1067" s="60" t="s">
        <v>5239</v>
      </c>
      <c r="B1067" t="str">
        <f>findKey(supplementary_offering_legacyid[[#This Row],[Produccion]])</f>
        <v>17083129096</v>
      </c>
      <c r="C1067" s="61" t="s">
        <v>5240</v>
      </c>
      <c r="D1067" t="s">
        <v>452</v>
      </c>
      <c r="E1067" t="s">
        <v>2189</v>
      </c>
      <c r="F1067" t="str">
        <f>ToJsonArray(supplementary_offering_legacyid[[#Headers],[offeringid]:[mode]],supplementary_offering_legacyid[[#This Row],[offeringid]:[mode]])</f>
        <v>{"offeringid":"990000487","name":"PQT Corp CUG 5000","mode":"I"}</v>
      </c>
      <c r="G1067" t="str">
        <f>ToJsonArray(supplementary_offering_legacyid[[#This Row],[Semilla04]],supplementary_offering_legacyid[[#This Row],[Json]])</f>
        <v>{"17083129096":{"offeringid":"990000487","name":"PQT Corp CUG 5000","mode":"I"}}</v>
      </c>
    </row>
    <row r="1068" spans="1:7" x14ac:dyDescent="0.25">
      <c r="A1068" s="60" t="s">
        <v>5241</v>
      </c>
      <c r="B1068" t="str">
        <f>findKey(supplementary_offering_legacyid[[#This Row],[Produccion]])</f>
        <v>17083129120</v>
      </c>
      <c r="C1068" s="61" t="s">
        <v>5242</v>
      </c>
      <c r="D1068" t="s">
        <v>450</v>
      </c>
      <c r="E1068" t="s">
        <v>2189</v>
      </c>
      <c r="F1068" t="str">
        <f>ToJsonArray(supplementary_offering_legacyid[[#Headers],[offeringid]:[mode]],supplementary_offering_legacyid[[#This Row],[offeringid]:[mode]])</f>
        <v>{"offeringid":"990000488","name":"PQT Corp CUG 500","mode":"I"}</v>
      </c>
      <c r="G1068" t="str">
        <f>ToJsonArray(supplementary_offering_legacyid[[#This Row],[Semilla04]],supplementary_offering_legacyid[[#This Row],[Json]])</f>
        <v>{"17083129120":{"offeringid":"990000488","name":"PQT Corp CUG 500","mode":"I"}}</v>
      </c>
    </row>
    <row r="1069" spans="1:7" x14ac:dyDescent="0.25">
      <c r="A1069" s="60" t="s">
        <v>5243</v>
      </c>
      <c r="B1069" t="str">
        <f>findKey(supplementary_offering_legacyid[[#This Row],[Produccion]])</f>
        <v>17083665771</v>
      </c>
      <c r="C1069" s="61" t="s">
        <v>5244</v>
      </c>
      <c r="D1069" t="s">
        <v>698</v>
      </c>
      <c r="E1069" t="s">
        <v>2189</v>
      </c>
      <c r="F1069" t="str">
        <f>ToJsonArray(supplementary_offering_legacyid[[#Headers],[offeringid]:[mode]],supplementary_offering_legacyid[[#This Row],[offeringid]:[mode]])</f>
        <v>{"offeringid":"990000489","name":"PQT Corp Navegacion 13GB WA + Mail","mode":"I"}</v>
      </c>
      <c r="G1069" t="str">
        <f>ToJsonArray(supplementary_offering_legacyid[[#This Row],[Semilla04]],supplementary_offering_legacyid[[#This Row],[Json]])</f>
        <v>{"17083665771":{"offeringid":"990000489","name":"PQT Corp Navegacion 13GB WA + Mail","mode":"I"}}</v>
      </c>
    </row>
    <row r="1070" spans="1:7" x14ac:dyDescent="0.25">
      <c r="A1070" s="60" t="s">
        <v>5245</v>
      </c>
      <c r="B1070" t="str">
        <f>findKey(supplementary_offering_legacyid[[#This Row],[Produccion]])</f>
        <v>17083664427</v>
      </c>
      <c r="C1070" s="61" t="s">
        <v>5246</v>
      </c>
      <c r="D1070" t="s">
        <v>670</v>
      </c>
      <c r="E1070" t="s">
        <v>2189</v>
      </c>
      <c r="F1070" t="str">
        <f>ToJsonArray(supplementary_offering_legacyid[[#Headers],[offeringid]:[mode]],supplementary_offering_legacyid[[#This Row],[offeringid]:[mode]])</f>
        <v>{"offeringid":"990000490","name":"PQT Corp Navegacion 1Gb F2","mode":"I"}</v>
      </c>
      <c r="G1070" t="str">
        <f>ToJsonArray(supplementary_offering_legacyid[[#This Row],[Semilla04]],supplementary_offering_legacyid[[#This Row],[Json]])</f>
        <v>{"17083664427":{"offeringid":"990000490","name":"PQT Corp Navegacion 1Gb F2","mode":"I"}}</v>
      </c>
    </row>
    <row r="1071" spans="1:7" x14ac:dyDescent="0.25">
      <c r="A1071" s="60" t="s">
        <v>5247</v>
      </c>
      <c r="B1071" t="str">
        <f>findKey(supplementary_offering_legacyid[[#This Row],[Produccion]])</f>
        <v>17083122473</v>
      </c>
      <c r="C1071" s="61" t="s">
        <v>5248</v>
      </c>
      <c r="D1071" t="s">
        <v>802</v>
      </c>
      <c r="E1071" t="s">
        <v>2189</v>
      </c>
      <c r="F1071" t="str">
        <f>ToJsonArray(supplementary_offering_legacyid[[#Headers],[offeringid]:[mode]],supplementary_offering_legacyid[[#This Row],[offeringid]:[mode]])</f>
        <v>{"offeringid":"990000491","name":"PQT Corp Navegacion 250Mb","mode":"I"}</v>
      </c>
      <c r="G1071" t="str">
        <f>ToJsonArray(supplementary_offering_legacyid[[#This Row],[Semilla04]],supplementary_offering_legacyid[[#This Row],[Json]])</f>
        <v>{"17083122473":{"offeringid":"990000491","name":"PQT Corp Navegacion 250Mb","mode":"I"}}</v>
      </c>
    </row>
    <row r="1072" spans="1:7" x14ac:dyDescent="0.25">
      <c r="A1072" s="60" t="s">
        <v>5249</v>
      </c>
      <c r="B1072" t="str">
        <f>findKey(supplementary_offering_legacyid[[#This Row],[Produccion]])</f>
        <v>17083664331</v>
      </c>
      <c r="C1072" s="61" t="s">
        <v>5250</v>
      </c>
      <c r="D1072" t="s">
        <v>668</v>
      </c>
      <c r="E1072" t="s">
        <v>2189</v>
      </c>
      <c r="F1072" t="str">
        <f>ToJsonArray(supplementary_offering_legacyid[[#Headers],[offeringid]:[mode]],supplementary_offering_legacyid[[#This Row],[offeringid]:[mode]])</f>
        <v>{"offeringid":"990000492","name":"PQT Corp Navegacion 500MB WA + Mail","mode":"I"}</v>
      </c>
      <c r="G1072" t="str">
        <f>ToJsonArray(supplementary_offering_legacyid[[#This Row],[Semilla04]],supplementary_offering_legacyid[[#This Row],[Json]])</f>
        <v>{"17083664331":{"offeringid":"990000492","name":"PQT Corp Navegacion 500MB WA + Mail","mode":"I"}}</v>
      </c>
    </row>
    <row r="1073" spans="1:7" x14ac:dyDescent="0.25">
      <c r="A1073" s="60" t="s">
        <v>5251</v>
      </c>
      <c r="B1073" t="str">
        <f>findKey(supplementary_offering_legacyid[[#This Row],[Produccion]])</f>
        <v>17083666347</v>
      </c>
      <c r="C1073" s="61" t="s">
        <v>5252</v>
      </c>
      <c r="D1073" t="s">
        <v>690</v>
      </c>
      <c r="E1073" t="s">
        <v>2189</v>
      </c>
      <c r="F1073" t="str">
        <f>ToJsonArray(supplementary_offering_legacyid[[#Headers],[offeringid]:[mode]],supplementary_offering_legacyid[[#This Row],[offeringid]:[mode]])</f>
        <v>{"offeringid":"990000493","name":"PQT Corp Navegacion 9GB WA + Mail","mode":"I"}</v>
      </c>
      <c r="G1073" t="str">
        <f>ToJsonArray(supplementary_offering_legacyid[[#This Row],[Semilla04]],supplementary_offering_legacyid[[#This Row],[Json]])</f>
        <v>{"17083666347":{"offeringid":"990000493","name":"PQT Corp Navegacion 9GB WA + Mail","mode":"I"}}</v>
      </c>
    </row>
    <row r="1074" spans="1:7" x14ac:dyDescent="0.25">
      <c r="A1074" s="60" t="s">
        <v>5253</v>
      </c>
      <c r="B1074" t="str">
        <f>findKey(supplementary_offering_legacyid[[#This Row],[Produccion]])</f>
        <v>17083663083</v>
      </c>
      <c r="C1074" s="61" t="s">
        <v>5254</v>
      </c>
      <c r="D1074" t="s">
        <v>704</v>
      </c>
      <c r="E1074" t="s">
        <v>2189</v>
      </c>
      <c r="F1074" t="str">
        <f>ToJsonArray(supplementary_offering_legacyid[[#Headers],[offeringid]:[mode]],supplementary_offering_legacyid[[#This Row],[offeringid]:[mode]])</f>
        <v>{"offeringid":"990000494","name":"PQT Corp Navegacion Infinita WA + Mail","mode":"I"}</v>
      </c>
      <c r="G1074" t="str">
        <f>ToJsonArray(supplementary_offering_legacyid[[#This Row],[Semilla04]],supplementary_offering_legacyid[[#This Row],[Json]])</f>
        <v>{"17083663083":{"offeringid":"990000494","name":"PQT Corp Navegacion Infinita WA + Mail","mode":"I"}}</v>
      </c>
    </row>
    <row r="1075" spans="1:7" x14ac:dyDescent="0.25">
      <c r="A1075" s="60" t="s">
        <v>5255</v>
      </c>
      <c r="B1075" t="str">
        <f>findKey(supplementary_offering_legacyid[[#This Row],[Produccion]])</f>
        <v>67108981554</v>
      </c>
      <c r="C1075" s="61" t="s">
        <v>5256</v>
      </c>
      <c r="D1075" t="s">
        <v>667</v>
      </c>
      <c r="E1075" t="s">
        <v>2189</v>
      </c>
      <c r="F1075" t="str">
        <f>ToJsonArray(supplementary_offering_legacyid[[#Headers],[offeringid]:[mode]],supplementary_offering_legacyid[[#This Row],[offeringid]:[mode]])</f>
        <v>{"offeringid":"990000495","name":"PQT Corp Tigo 100 MIN","mode":"I"}</v>
      </c>
      <c r="G1075" t="str">
        <f>ToJsonArray(supplementary_offering_legacyid[[#This Row],[Semilla04]],supplementary_offering_legacyid[[#This Row],[Json]])</f>
        <v>{"67108981554":{"offeringid":"990000495","name":"PQT Corp Tigo 100 MIN","mode":"I"}}</v>
      </c>
    </row>
    <row r="1076" spans="1:7" x14ac:dyDescent="0.25">
      <c r="A1076" s="60" t="s">
        <v>5257</v>
      </c>
      <c r="B1076" t="str">
        <f>findKey(supplementary_offering_legacyid[[#This Row],[Produccion]])</f>
        <v>17083126024</v>
      </c>
      <c r="C1076" s="61" t="s">
        <v>5258</v>
      </c>
      <c r="D1076" t="s">
        <v>455</v>
      </c>
      <c r="E1076" t="s">
        <v>2189</v>
      </c>
      <c r="F1076" t="str">
        <f>ToJsonArray(supplementary_offering_legacyid[[#Headers],[offeringid]:[mode]],supplementary_offering_legacyid[[#This Row],[offeringid]:[mode]])</f>
        <v>{"offeringid":"990000496","name":"PQT Corp Tigo 150","mode":"I"}</v>
      </c>
      <c r="G1076" t="str">
        <f>ToJsonArray(supplementary_offering_legacyid[[#This Row],[Semilla04]],supplementary_offering_legacyid[[#This Row],[Json]])</f>
        <v>{"17083126024":{"offeringid":"990000496","name":"PQT Corp Tigo 150","mode":"I"}}</v>
      </c>
    </row>
    <row r="1077" spans="1:7" x14ac:dyDescent="0.25">
      <c r="A1077" s="60" t="s">
        <v>5259</v>
      </c>
      <c r="B1077" t="str">
        <f>findKey(supplementary_offering_legacyid[[#This Row],[Produccion]])</f>
        <v>17083126792</v>
      </c>
      <c r="C1077" s="61" t="s">
        <v>5260</v>
      </c>
      <c r="D1077" t="s">
        <v>457</v>
      </c>
      <c r="E1077" t="s">
        <v>2189</v>
      </c>
      <c r="F1077" t="str">
        <f>ToJsonArray(supplementary_offering_legacyid[[#Headers],[offeringid]:[mode]],supplementary_offering_legacyid[[#This Row],[offeringid]:[mode]])</f>
        <v>{"offeringid":"990000497","name":"PQT Corp Tigo 500","mode":"I"}</v>
      </c>
      <c r="G1077" t="str">
        <f>ToJsonArray(supplementary_offering_legacyid[[#This Row],[Semilla04]],supplementary_offering_legacyid[[#This Row],[Json]])</f>
        <v>{"17083126792":{"offeringid":"990000497","name":"PQT Corp Tigo 500","mode":"I"}}</v>
      </c>
    </row>
    <row r="1078" spans="1:7" x14ac:dyDescent="0.25">
      <c r="A1078" s="60" t="s">
        <v>5261</v>
      </c>
      <c r="B1078" t="str">
        <f>findKey(supplementary_offering_legacyid[[#This Row],[Produccion]])</f>
        <v>17083129840</v>
      </c>
      <c r="C1078" s="61" t="s">
        <v>5262</v>
      </c>
      <c r="D1078" t="s">
        <v>458</v>
      </c>
      <c r="E1078" t="s">
        <v>2189</v>
      </c>
      <c r="F1078" t="str">
        <f>ToJsonArray(supplementary_offering_legacyid[[#Headers],[offeringid]:[mode]],supplementary_offering_legacyid[[#This Row],[offeringid]:[mode]])</f>
        <v>{"offeringid":"990000498","name":"PQT Corp Tigo 700","mode":"I"}</v>
      </c>
      <c r="G1078" t="str">
        <f>ToJsonArray(supplementary_offering_legacyid[[#This Row],[Semilla04]],supplementary_offering_legacyid[[#This Row],[Json]])</f>
        <v>{"17083129840":{"offeringid":"990000498","name":"PQT Corp Tigo 700","mode":"I"}}</v>
      </c>
    </row>
    <row r="1079" spans="1:7" x14ac:dyDescent="0.25">
      <c r="A1079" s="60" t="s">
        <v>5263</v>
      </c>
      <c r="B1079" t="str">
        <f>findKey(supplementary_offering_legacyid[[#This Row],[Produccion]])</f>
        <v>17083126768</v>
      </c>
      <c r="C1079" s="61" t="s">
        <v>5264</v>
      </c>
      <c r="D1079" t="s">
        <v>459</v>
      </c>
      <c r="E1079" t="s">
        <v>2189</v>
      </c>
      <c r="F1079" t="str">
        <f>ToJsonArray(supplementary_offering_legacyid[[#Headers],[offeringid]:[mode]],supplementary_offering_legacyid[[#This Row],[offeringid]:[mode]])</f>
        <v>{"offeringid":"990001022","name":"PQT Corp Tigo 900","mode":"I"}</v>
      </c>
      <c r="G1079" t="str">
        <f>ToJsonArray(supplementary_offering_legacyid[[#This Row],[Semilla04]],supplementary_offering_legacyid[[#This Row],[Json]])</f>
        <v>{"17083126768":{"offeringid":"990001022","name":"PQT Corp Tigo 900","mode":"I"}}</v>
      </c>
    </row>
    <row r="1080" spans="1:7" x14ac:dyDescent="0.25">
      <c r="A1080" s="60" t="s">
        <v>5265</v>
      </c>
      <c r="B1080" t="str">
        <f>findKey(supplementary_offering_legacyid[[#This Row],[Produccion]])</f>
        <v>168771482079</v>
      </c>
      <c r="C1080" s="61" t="s">
        <v>5266</v>
      </c>
      <c r="D1080" t="s">
        <v>2142</v>
      </c>
      <c r="E1080" t="s">
        <v>2189</v>
      </c>
      <c r="F1080" t="str">
        <f>ToJsonArray(supplementary_offering_legacyid[[#Headers],[offeringid]:[mode]],supplementary_offering_legacyid[[#This Row],[offeringid]:[mode]])</f>
        <v>{"offeringid":"990000499","name":"PQTCorp TD 1300MIN Voz OnNet y SMS Infinitos P2","mode":"I"}</v>
      </c>
      <c r="G1080" t="str">
        <f>ToJsonArray(supplementary_offering_legacyid[[#This Row],[Semilla04]],supplementary_offering_legacyid[[#This Row],[Json]])</f>
        <v>{"168771482079":{"offeringid":"990000499","name":"PQTCorp TD 1300MIN Voz OnNet y SMS Infinitos P2","mode":"I"}}</v>
      </c>
    </row>
    <row r="1081" spans="1:7" x14ac:dyDescent="0.25">
      <c r="A1081" s="60" t="s">
        <v>5267</v>
      </c>
      <c r="B1081" t="str">
        <f>findKey(supplementary_offering_legacyid[[#This Row],[Produccion]])</f>
        <v>168771484383</v>
      </c>
      <c r="C1081" s="61" t="s">
        <v>5268</v>
      </c>
      <c r="D1081" t="s">
        <v>2141</v>
      </c>
      <c r="E1081" t="s">
        <v>2189</v>
      </c>
      <c r="F1081" t="str">
        <f>ToJsonArray(supplementary_offering_legacyid[[#Headers],[offeringid]:[mode]],supplementary_offering_legacyid[[#This Row],[offeringid]:[mode]])</f>
        <v>{"offeringid":"990000500","name":"PQTCorp TD 1300MIN Voz OnNet y SMS Infinitos P1","mode":"I"}</v>
      </c>
      <c r="G1081" t="str">
        <f>ToJsonArray(supplementary_offering_legacyid[[#This Row],[Semilla04]],supplementary_offering_legacyid[[#This Row],[Json]])</f>
        <v>{"168771484383":{"offeringid":"990000500","name":"PQTCorp TD 1300MIN Voz OnNet y SMS Infinitos P1","mode":"I"}}</v>
      </c>
    </row>
    <row r="1082" spans="1:7" x14ac:dyDescent="0.25">
      <c r="A1082" s="60" t="s">
        <v>5269</v>
      </c>
      <c r="B1082" t="str">
        <f>findKey(supplementary_offering_legacyid[[#This Row],[Produccion]])</f>
        <v>168771483615</v>
      </c>
      <c r="C1082" s="61" t="s">
        <v>5270</v>
      </c>
      <c r="D1082" t="s">
        <v>2144</v>
      </c>
      <c r="E1082" t="s">
        <v>2189</v>
      </c>
      <c r="F1082" t="str">
        <f>ToJsonArray(supplementary_offering_legacyid[[#Headers],[offeringid]:[mode]],supplementary_offering_legacyid[[#This Row],[offeringid]:[mode]])</f>
        <v>{"offeringid":"990000501","name":"PQTCorp TD 2000MIN Voz OnNet y SMS Infinitos P2","mode":"I"}</v>
      </c>
      <c r="G1082" t="str">
        <f>ToJsonArray(supplementary_offering_legacyid[[#This Row],[Semilla04]],supplementary_offering_legacyid[[#This Row],[Json]])</f>
        <v>{"168771483615":{"offeringid":"990000501","name":"PQTCorp TD 2000MIN Voz OnNet y SMS Infinitos P2","mode":"I"}}</v>
      </c>
    </row>
    <row r="1083" spans="1:7" x14ac:dyDescent="0.25">
      <c r="A1083" s="60" t="s">
        <v>5271</v>
      </c>
      <c r="B1083" t="str">
        <f>findKey(supplementary_offering_legacyid[[#This Row],[Produccion]])</f>
        <v>168771485151</v>
      </c>
      <c r="C1083" s="61" t="s">
        <v>5272</v>
      </c>
      <c r="D1083" t="s">
        <v>2143</v>
      </c>
      <c r="E1083" t="s">
        <v>2189</v>
      </c>
      <c r="F1083" t="str">
        <f>ToJsonArray(supplementary_offering_legacyid[[#Headers],[offeringid]:[mode]],supplementary_offering_legacyid[[#This Row],[offeringid]:[mode]])</f>
        <v>{"offeringid":"990000502","name":"PQTCorp TD 2000MIN Voz OnNet y SMS Infinitos P1","mode":"I"}</v>
      </c>
      <c r="G1083" t="str">
        <f>ToJsonArray(supplementary_offering_legacyid[[#This Row],[Semilla04]],supplementary_offering_legacyid[[#This Row],[Json]])</f>
        <v>{"168771485151":{"offeringid":"990000502","name":"PQTCorp TD 2000MIN Voz OnNet y SMS Infinitos P1","mode":"I"}}</v>
      </c>
    </row>
    <row r="1084" spans="1:7" x14ac:dyDescent="0.25">
      <c r="A1084" s="60" t="s">
        <v>5273</v>
      </c>
      <c r="B1084" t="str">
        <f>findKey(supplementary_offering_legacyid[[#This Row],[Produccion]])</f>
        <v>168771482175</v>
      </c>
      <c r="C1084" s="61" t="s">
        <v>5274</v>
      </c>
      <c r="D1084" t="s">
        <v>2147</v>
      </c>
      <c r="E1084" t="s">
        <v>2189</v>
      </c>
      <c r="F1084" t="str">
        <f>ToJsonArray(supplementary_offering_legacyid[[#Headers],[offeringid]:[mode]],supplementary_offering_legacyid[[#This Row],[offeringid]:[mode]])</f>
        <v>{"offeringid":"990000503","name":"PQTCorp TD 500MIN 100SMS y Voz a NIT Infinito CUG P2","mode":"I"}</v>
      </c>
      <c r="G1084" t="str">
        <f>ToJsonArray(supplementary_offering_legacyid[[#This Row],[Semilla04]],supplementary_offering_legacyid[[#This Row],[Json]])</f>
        <v>{"168771482175":{"offeringid":"990000503","name":"PQTCorp TD 500MIN 100SMS y Voz a NIT Infinito CUG P2","mode":"I"}}</v>
      </c>
    </row>
    <row r="1085" spans="1:7" x14ac:dyDescent="0.25">
      <c r="A1085" s="60" t="s">
        <v>5275</v>
      </c>
      <c r="B1085" t="str">
        <f>findKey(supplementary_offering_legacyid[[#This Row],[Produccion]])</f>
        <v>168771483711</v>
      </c>
      <c r="C1085" s="61" t="s">
        <v>5276</v>
      </c>
      <c r="D1085" t="s">
        <v>2145</v>
      </c>
      <c r="E1085" t="s">
        <v>2189</v>
      </c>
      <c r="F1085" t="str">
        <f>ToJsonArray(supplementary_offering_legacyid[[#Headers],[offeringid]:[mode]],supplementary_offering_legacyid[[#This Row],[offeringid]:[mode]])</f>
        <v>{"offeringid":"990000504","name":"PQTCorp TD 500MIN 100SMS y Voz a NIT Infinito CUG P1","mode":"I"}</v>
      </c>
      <c r="G1085" t="str">
        <f>ToJsonArray(supplementary_offering_legacyid[[#This Row],[Semilla04]],supplementary_offering_legacyid[[#This Row],[Json]])</f>
        <v>{"168771483711":{"offeringid":"990000504","name":"PQTCorp TD 500MIN 100SMS y Voz a NIT Infinito CUG P1","mode":"I"}}</v>
      </c>
    </row>
    <row r="1086" spans="1:7" x14ac:dyDescent="0.25">
      <c r="A1086" s="60" t="s">
        <v>5277</v>
      </c>
      <c r="B1086" t="str">
        <f>findKey(supplementary_offering_legacyid[[#This Row],[Produccion]])</f>
        <v>168771482943</v>
      </c>
      <c r="C1086" s="61" t="s">
        <v>5278</v>
      </c>
      <c r="D1086" t="s">
        <v>2146</v>
      </c>
      <c r="E1086" t="s">
        <v>2189</v>
      </c>
      <c r="F1086" t="str">
        <f>ToJsonArray(supplementary_offering_legacyid[[#Headers],[offeringid]:[mode]],supplementary_offering_legacyid[[#This Row],[offeringid]:[mode]])</f>
        <v>{"offeringid":"990000505","name":"PQTCorp TD 600MIN 100SMS y Voz a NIT Infinito CUG P2","mode":"I"}</v>
      </c>
      <c r="G1086" t="str">
        <f>ToJsonArray(supplementary_offering_legacyid[[#This Row],[Semilla04]],supplementary_offering_legacyid[[#This Row],[Json]])</f>
        <v>{"168771482943":{"offeringid":"990000505","name":"PQTCorp TD 600MIN 100SMS y Voz a NIT Infinito CUG P2","mode":"I"}}</v>
      </c>
    </row>
    <row r="1087" spans="1:7" x14ac:dyDescent="0.25">
      <c r="A1087" s="60" t="s">
        <v>5279</v>
      </c>
      <c r="B1087" t="str">
        <f>findKey(supplementary_offering_legacyid[[#This Row],[Produccion]])</f>
        <v>168771485247</v>
      </c>
      <c r="C1087" s="61" t="s">
        <v>5280</v>
      </c>
      <c r="D1087" t="s">
        <v>2148</v>
      </c>
      <c r="E1087" t="s">
        <v>2189</v>
      </c>
      <c r="F1087" t="str">
        <f>ToJsonArray(supplementary_offering_legacyid[[#Headers],[offeringid]:[mode]],supplementary_offering_legacyid[[#This Row],[offeringid]:[mode]])</f>
        <v>{"offeringid":"990000506","name":"PQTCorp TD 600MIN 100SMS y Voz a NIT Infinito CUG P1","mode":"I"}</v>
      </c>
      <c r="G1087" t="str">
        <f>ToJsonArray(supplementary_offering_legacyid[[#This Row],[Semilla04]],supplementary_offering_legacyid[[#This Row],[Json]])</f>
        <v>{"168771485247":{"offeringid":"990000506","name":"PQTCorp TD 600MIN 100SMS y Voz a NIT Infinito CUG P1","mode":"I"}}</v>
      </c>
    </row>
    <row r="1088" spans="1:7" x14ac:dyDescent="0.25">
      <c r="A1088" s="60" t="s">
        <v>5281</v>
      </c>
      <c r="B1088" t="str">
        <f>findKey(supplementary_offering_legacyid[[#This Row],[Produccion]])</f>
        <v>168771482751</v>
      </c>
      <c r="C1088" s="61" t="s">
        <v>5282</v>
      </c>
      <c r="D1088" t="s">
        <v>185</v>
      </c>
      <c r="E1088" t="s">
        <v>2189</v>
      </c>
      <c r="F1088" t="str">
        <f>ToJsonArray(supplementary_offering_legacyid[[#Headers],[offeringid]:[mode]],supplementary_offering_legacyid[[#This Row],[offeringid]:[mode]])</f>
        <v>{"offeringid":"990000507","name":"PQTCorp TD Voz y SMS Infinitos P2","mode":"I"}</v>
      </c>
      <c r="G1088" t="str">
        <f>ToJsonArray(supplementary_offering_legacyid[[#This Row],[Semilla04]],supplementary_offering_legacyid[[#This Row],[Json]])</f>
        <v>{"168771482751":{"offeringid":"990000507","name":"PQTCorp TD Voz y SMS Infinitos P2","mode":"I"}}</v>
      </c>
    </row>
    <row r="1089" spans="1:7" x14ac:dyDescent="0.25">
      <c r="A1089" s="60" t="s">
        <v>5283</v>
      </c>
      <c r="B1089" t="str">
        <f>findKey(supplementary_offering_legacyid[[#This Row],[Produccion]])</f>
        <v>168771485631</v>
      </c>
      <c r="C1089" s="61" t="s">
        <v>5284</v>
      </c>
      <c r="D1089" t="s">
        <v>2149</v>
      </c>
      <c r="E1089" t="s">
        <v>2189</v>
      </c>
      <c r="F1089" t="str">
        <f>ToJsonArray(supplementary_offering_legacyid[[#Headers],[offeringid]:[mode]],supplementary_offering_legacyid[[#This Row],[offeringid]:[mode]])</f>
        <v>{"offeringid":"990000508","name":"PQTCorp TD Voz y SMS Infinitos P1","mode":"I"}</v>
      </c>
      <c r="G1089" t="str">
        <f>ToJsonArray(supplementary_offering_legacyid[[#This Row],[Semilla04]],supplementary_offering_legacyid[[#This Row],[Json]])</f>
        <v>{"168771485631":{"offeringid":"990000508","name":"PQTCorp TD Voz y SMS Infinitos P1","mode":"I"}}</v>
      </c>
    </row>
    <row r="1090" spans="1:7" x14ac:dyDescent="0.25">
      <c r="A1090" s="60" t="s">
        <v>5285</v>
      </c>
      <c r="B1090" t="str">
        <f>findKey(supplementary_offering_legacyid[[#This Row],[Produccion]])</f>
        <v>168771481695</v>
      </c>
      <c r="C1090" s="61" t="s">
        <v>5286</v>
      </c>
      <c r="D1090" t="s">
        <v>194</v>
      </c>
      <c r="E1090" t="s">
        <v>2189</v>
      </c>
      <c r="F1090" t="str">
        <f>ToJsonArray(supplementary_offering_legacyid[[#Headers],[offeringid]:[mode]],supplementary_offering_legacyid[[#This Row],[offeringid]:[mode]])</f>
        <v>{"offeringid":"990000509","name":"Prom Voz y SMS TD infinitos, 12 GB WA + Mail + FB P3","mode":"I"}</v>
      </c>
      <c r="G1090" t="str">
        <f>ToJsonArray(supplementary_offering_legacyid[[#This Row],[Semilla04]],supplementary_offering_legacyid[[#This Row],[Json]])</f>
        <v>{"168771481695":{"offeringid":"990000509","name":"Prom Voz y SMS TD infinitos, 12 GB WA + Mail + FB P3","mode":"I"}}</v>
      </c>
    </row>
    <row r="1091" spans="1:7" x14ac:dyDescent="0.25">
      <c r="A1091" s="60" t="s">
        <v>5287</v>
      </c>
      <c r="B1091" t="str">
        <f>findKey(supplementary_offering_legacyid[[#This Row],[Produccion]])</f>
        <v>168771483039</v>
      </c>
      <c r="C1091" s="61" t="s">
        <v>5288</v>
      </c>
      <c r="D1091" t="s">
        <v>193</v>
      </c>
      <c r="E1091" t="s">
        <v>2189</v>
      </c>
      <c r="F1091" t="str">
        <f>ToJsonArray(supplementary_offering_legacyid[[#Headers],[offeringid]:[mode]],supplementary_offering_legacyid[[#This Row],[offeringid]:[mode]])</f>
        <v>{"offeringid":"990000510","name":"Prom Voz y SMS TD infinitos, 12 GB WA + Mail + FB P1","mode":"I"}</v>
      </c>
      <c r="G1091" t="str">
        <f>ToJsonArray(supplementary_offering_legacyid[[#This Row],[Semilla04]],supplementary_offering_legacyid[[#This Row],[Json]])</f>
        <v>{"168771483039":{"offeringid":"990000510","name":"Prom Voz y SMS TD infinitos, 12 GB WA + Mail + FB P1","mode":"I"}}</v>
      </c>
    </row>
    <row r="1092" spans="1:7" x14ac:dyDescent="0.25">
      <c r="A1092" s="60" t="s">
        <v>5289</v>
      </c>
      <c r="B1092" t="str">
        <f>findKey(supplementary_offering_legacyid[[#This Row],[Produccion]])</f>
        <v>168771484575</v>
      </c>
      <c r="C1092" s="61" t="s">
        <v>5290</v>
      </c>
      <c r="D1092" t="s">
        <v>195</v>
      </c>
      <c r="E1092" t="s">
        <v>2189</v>
      </c>
      <c r="F1092" t="str">
        <f>ToJsonArray(supplementary_offering_legacyid[[#Headers],[offeringid]:[mode]],supplementary_offering_legacyid[[#This Row],[offeringid]:[mode]])</f>
        <v>{"offeringid":"990000511","name":"Prom Voz y SMS TD infinitos, 12 GB WA + Mail + FB P2","mode":"I"}</v>
      </c>
      <c r="G1092" t="str">
        <f>ToJsonArray(supplementary_offering_legacyid[[#This Row],[Semilla04]],supplementary_offering_legacyid[[#This Row],[Json]])</f>
        <v>{"168771484575":{"offeringid":"990000511","name":"Prom Voz y SMS TD infinitos, 12 GB WA + Mail + FB P2","mode":"I"}}</v>
      </c>
    </row>
    <row r="1093" spans="1:7" x14ac:dyDescent="0.25">
      <c r="A1093" s="60" t="s">
        <v>5291</v>
      </c>
      <c r="B1093" t="str">
        <f>findKey(supplementary_offering_legacyid[[#This Row],[Produccion]])</f>
        <v>168771483231</v>
      </c>
      <c r="C1093" s="61" t="s">
        <v>5292</v>
      </c>
      <c r="D1093" t="s">
        <v>197</v>
      </c>
      <c r="E1093" t="s">
        <v>2189</v>
      </c>
      <c r="F1093" t="str">
        <f>ToJsonArray(supplementary_offering_legacyid[[#Headers],[offeringid]:[mode]],supplementary_offering_legacyid[[#This Row],[offeringid]:[mode]])</f>
        <v>{"offeringid":"990000512","name":"Prom Voz y SMS TD infinitos, 3,5 GB WA + Mail + FB P2","mode":"I"}</v>
      </c>
      <c r="G1093" t="str">
        <f>ToJsonArray(supplementary_offering_legacyid[[#This Row],[Semilla04]],supplementary_offering_legacyid[[#This Row],[Json]])</f>
        <v>{"168771483231":{"offeringid":"990000512","name":"Prom Voz y SMS TD infinitos, 3,5 GB WA + Mail + FB P2","mode":"I"}}</v>
      </c>
    </row>
    <row r="1094" spans="1:7" x14ac:dyDescent="0.25">
      <c r="A1094" s="60" t="s">
        <v>5293</v>
      </c>
      <c r="B1094" t="str">
        <f>findKey(supplementary_offering_legacyid[[#This Row],[Produccion]])</f>
        <v>168771483999</v>
      </c>
      <c r="C1094" s="61" t="s">
        <v>5294</v>
      </c>
      <c r="D1094" t="s">
        <v>198</v>
      </c>
      <c r="E1094" t="s">
        <v>2189</v>
      </c>
      <c r="F1094" t="str">
        <f>ToJsonArray(supplementary_offering_legacyid[[#Headers],[offeringid]:[mode]],supplementary_offering_legacyid[[#This Row],[offeringid]:[mode]])</f>
        <v>{"offeringid":"990000513","name":"Prom Voz y SMS TD infinitos, 3,5 GB WA + Mail + FB P3","mode":"I"}</v>
      </c>
      <c r="G1094" t="str">
        <f>ToJsonArray(supplementary_offering_legacyid[[#This Row],[Semilla04]],supplementary_offering_legacyid[[#This Row],[Json]])</f>
        <v>{"168771483999":{"offeringid":"990000513","name":"Prom Voz y SMS TD infinitos, 3,5 GB WA + Mail + FB P3","mode":"I"}}</v>
      </c>
    </row>
    <row r="1095" spans="1:7" x14ac:dyDescent="0.25">
      <c r="A1095" s="60" t="s">
        <v>5295</v>
      </c>
      <c r="B1095" t="str">
        <f>findKey(supplementary_offering_legacyid[[#This Row],[Produccion]])</f>
        <v>168771484767</v>
      </c>
      <c r="C1095" s="61" t="s">
        <v>5296</v>
      </c>
      <c r="D1095" t="s">
        <v>196</v>
      </c>
      <c r="E1095" t="s">
        <v>2189</v>
      </c>
      <c r="F1095" t="str">
        <f>ToJsonArray(supplementary_offering_legacyid[[#Headers],[offeringid]:[mode]],supplementary_offering_legacyid[[#This Row],[offeringid]:[mode]])</f>
        <v>{"offeringid":"990000514","name":"Prom Voz y SMS TD infinitos, 3,5 GB WA + Mail + FB P1","mode":"I"}</v>
      </c>
      <c r="G1095" t="str">
        <f>ToJsonArray(supplementary_offering_legacyid[[#This Row],[Semilla04]],supplementary_offering_legacyid[[#This Row],[Json]])</f>
        <v>{"168771484767":{"offeringid":"990000514","name":"Prom Voz y SMS TD infinitos, 3,5 GB WA + Mail + FB P1","mode":"I"}}</v>
      </c>
    </row>
    <row r="1096" spans="1:7" x14ac:dyDescent="0.25">
      <c r="A1096" s="60" t="s">
        <v>5297</v>
      </c>
      <c r="B1096" t="str">
        <f>findKey(supplementary_offering_legacyid[[#This Row],[Produccion]])</f>
        <v>168771482463</v>
      </c>
      <c r="C1096" s="61" t="s">
        <v>5298</v>
      </c>
      <c r="D1096" t="s">
        <v>199</v>
      </c>
      <c r="E1096" t="s">
        <v>2189</v>
      </c>
      <c r="F1096" t="str">
        <f>ToJsonArray(supplementary_offering_legacyid[[#Headers],[offeringid]:[mode]],supplementary_offering_legacyid[[#This Row],[offeringid]:[mode]])</f>
        <v>{"offeringid":"990000515","name":"Prom Voz y SMS TD infinitos, 8 GB WA + Mail FB P1","mode":"I"}</v>
      </c>
      <c r="G1096" t="str">
        <f>ToJsonArray(supplementary_offering_legacyid[[#This Row],[Semilla04]],supplementary_offering_legacyid[[#This Row],[Json]])</f>
        <v>{"168771482463":{"offeringid":"990000515","name":"Prom Voz y SMS TD infinitos, 8 GB WA + Mail FB P1","mode":"I"}}</v>
      </c>
    </row>
    <row r="1097" spans="1:7" x14ac:dyDescent="0.25">
      <c r="A1097" s="60" t="s">
        <v>5299</v>
      </c>
      <c r="B1097" t="str">
        <f>findKey(supplementary_offering_legacyid[[#This Row],[Produccion]])</f>
        <v>17101202391</v>
      </c>
      <c r="C1097" s="61" t="s">
        <v>5300</v>
      </c>
      <c r="D1097" t="s">
        <v>201</v>
      </c>
      <c r="E1097" t="s">
        <v>2189</v>
      </c>
      <c r="F1097" t="str">
        <f>ToJsonArray(supplementary_offering_legacyid[[#Headers],[offeringid]:[mode]],supplementary_offering_legacyid[[#This Row],[offeringid]:[mode]])</f>
        <v>{"offeringid":"990000516","name":"Prom Voz y SMS TD infinitos, 8 GB WA + Mail FB P3","mode":"I"}</v>
      </c>
      <c r="G1097" t="str">
        <f>ToJsonArray(supplementary_offering_legacyid[[#This Row],[Semilla04]],supplementary_offering_legacyid[[#This Row],[Json]])</f>
        <v>{"17101202391":{"offeringid":"990000516","name":"Prom Voz y SMS TD infinitos, 8 GB WA + Mail FB P3","mode":"I"}}</v>
      </c>
    </row>
    <row r="1098" spans="1:7" x14ac:dyDescent="0.25">
      <c r="A1098" s="60" t="s">
        <v>5301</v>
      </c>
      <c r="B1098" t="str">
        <f>findKey(supplementary_offering_legacyid[[#This Row],[Produccion]])</f>
        <v>17101203927</v>
      </c>
      <c r="C1098" s="61" t="s">
        <v>5302</v>
      </c>
      <c r="D1098" t="s">
        <v>200</v>
      </c>
      <c r="E1098" t="s">
        <v>2189</v>
      </c>
      <c r="F1098" t="str">
        <f>ToJsonArray(supplementary_offering_legacyid[[#Headers],[offeringid]:[mode]],supplementary_offering_legacyid[[#This Row],[offeringid]:[mode]])</f>
        <v>{"offeringid":"990000517","name":"Prom Voz y SMS TD infinitos, 8 GB WA + Mail FB P2","mode":"I"}</v>
      </c>
      <c r="G1098" t="str">
        <f>ToJsonArray(supplementary_offering_legacyid[[#This Row],[Semilla04]],supplementary_offering_legacyid[[#This Row],[Json]])</f>
        <v>{"17101203927":{"offeringid":"990000517","name":"Prom Voz y SMS TD infinitos, 8 GB WA + Mail FB P2","mode":"I"}}</v>
      </c>
    </row>
    <row r="1099" spans="1:7" x14ac:dyDescent="0.25">
      <c r="A1099" s="60" t="s">
        <v>5303</v>
      </c>
      <c r="B1099" t="str">
        <f>findKey(supplementary_offering_legacyid[[#This Row],[Produccion]])</f>
        <v>168771486464</v>
      </c>
      <c r="C1099" s="61" t="s">
        <v>5304</v>
      </c>
      <c r="D1099" t="s">
        <v>202</v>
      </c>
      <c r="E1099" t="s">
        <v>2189</v>
      </c>
      <c r="F1099" t="str">
        <f>ToJsonArray(supplementary_offering_legacyid[[#Headers],[offeringid]:[mode]],supplementary_offering_legacyid[[#This Row],[offeringid]:[mode]])</f>
        <v>{"offeringid":"990000518","name":"Voz y SMS TD infinitos, 4 GB WA + Mail + FB P1","mode":"I"}</v>
      </c>
      <c r="G1099" t="str">
        <f>ToJsonArray(supplementary_offering_legacyid[[#This Row],[Semilla04]],supplementary_offering_legacyid[[#This Row],[Json]])</f>
        <v>{"168771486464":{"offeringid":"990000518","name":"Voz y SMS TD infinitos, 4 GB WA + Mail + FB P1","mode":"I"}}</v>
      </c>
    </row>
    <row r="1100" spans="1:7" x14ac:dyDescent="0.25">
      <c r="A1100" s="60" t="s">
        <v>5305</v>
      </c>
      <c r="B1100" t="str">
        <f>findKey(supplementary_offering_legacyid[[#This Row],[Produccion]])</f>
        <v>168771488000</v>
      </c>
      <c r="C1100" s="61" t="s">
        <v>5306</v>
      </c>
      <c r="D1100" t="s">
        <v>203</v>
      </c>
      <c r="E1100" t="s">
        <v>2189</v>
      </c>
      <c r="F1100" t="str">
        <f>ToJsonArray(supplementary_offering_legacyid[[#Headers],[offeringid]:[mode]],supplementary_offering_legacyid[[#This Row],[offeringid]:[mode]])</f>
        <v>{"offeringid":"990000519","name":"Voz y SMS TD infinitos, 4 GB WA + Mail + FB P2","mode":"I"}</v>
      </c>
      <c r="G1100" t="str">
        <f>ToJsonArray(supplementary_offering_legacyid[[#This Row],[Semilla04]],supplementary_offering_legacyid[[#This Row],[Json]])</f>
        <v>{"168771488000":{"offeringid":"990000519","name":"Voz y SMS TD infinitos, 4 GB WA + Mail + FB P2","mode":"I"}}</v>
      </c>
    </row>
    <row r="1101" spans="1:7" x14ac:dyDescent="0.25">
      <c r="A1101" s="60" t="s">
        <v>5307</v>
      </c>
      <c r="B1101" t="str">
        <f>findKey(supplementary_offering_legacyid[[#This Row],[Produccion]])</f>
        <v>168771489536</v>
      </c>
      <c r="C1101" s="61" t="s">
        <v>5308</v>
      </c>
      <c r="D1101" t="s">
        <v>204</v>
      </c>
      <c r="E1101" t="s">
        <v>2189</v>
      </c>
      <c r="F1101" t="str">
        <f>ToJsonArray(supplementary_offering_legacyid[[#Headers],[offeringid]:[mode]],supplementary_offering_legacyid[[#This Row],[offeringid]:[mode]])</f>
        <v>{"offeringid":"990000520","name":"Voz y SMS TD infinitos, 4 GB WA + Mail + FB P3","mode":"I"}</v>
      </c>
      <c r="G1101" t="str">
        <f>ToJsonArray(supplementary_offering_legacyid[[#This Row],[Semilla04]],supplementary_offering_legacyid[[#This Row],[Json]])</f>
        <v>{"168771489536":{"offeringid":"990000520","name":"Voz y SMS TD infinitos, 4 GB WA + Mail + FB P3","mode":"I"}}</v>
      </c>
    </row>
    <row r="1102" spans="1:7" x14ac:dyDescent="0.25">
      <c r="A1102" s="60" t="s">
        <v>5309</v>
      </c>
      <c r="B1102" t="str">
        <f>findKey(supplementary_offering_legacyid[[#This Row],[Produccion]])</f>
        <v>168771486080</v>
      </c>
      <c r="C1102" s="61" t="s">
        <v>5310</v>
      </c>
      <c r="D1102" t="s">
        <v>207</v>
      </c>
      <c r="E1102" t="s">
        <v>2189</v>
      </c>
      <c r="F1102" t="str">
        <f>ToJsonArray(supplementary_offering_legacyid[[#Headers],[offeringid]:[mode]],supplementary_offering_legacyid[[#This Row],[offeringid]:[mode]])</f>
        <v>{"offeringid":"990000521","name":"Voz y SMS TD infinitos, 5 GB WA + Mail + FB P3","mode":"I"}</v>
      </c>
      <c r="G1102" t="str">
        <f>ToJsonArray(supplementary_offering_legacyid[[#This Row],[Semilla04]],supplementary_offering_legacyid[[#This Row],[Json]])</f>
        <v>{"168771486080":{"offeringid":"990000521","name":"Voz y SMS TD infinitos, 5 GB WA + Mail + FB P3","mode":"I"}}</v>
      </c>
    </row>
    <row r="1103" spans="1:7" x14ac:dyDescent="0.25">
      <c r="A1103" s="60" t="s">
        <v>5311</v>
      </c>
      <c r="B1103" t="str">
        <f>findKey(supplementary_offering_legacyid[[#This Row],[Produccion]])</f>
        <v>168771486848</v>
      </c>
      <c r="C1103" s="61" t="s">
        <v>5312</v>
      </c>
      <c r="D1103" t="s">
        <v>205</v>
      </c>
      <c r="E1103" t="s">
        <v>2189</v>
      </c>
      <c r="F1103" t="str">
        <f>ToJsonArray(supplementary_offering_legacyid[[#Headers],[offeringid]:[mode]],supplementary_offering_legacyid[[#This Row],[offeringid]:[mode]])</f>
        <v>{"offeringid":"990000522","name":"Voz y SMS TD infinitos, 5 GB WA + Mail + FB P1","mode":"I"}</v>
      </c>
      <c r="G1103" t="str">
        <f>ToJsonArray(supplementary_offering_legacyid[[#This Row],[Semilla04]],supplementary_offering_legacyid[[#This Row],[Json]])</f>
        <v>{"168771486848":{"offeringid":"990000522","name":"Voz y SMS TD infinitos, 5 GB WA + Mail + FB P1","mode":"I"}}</v>
      </c>
    </row>
    <row r="1104" spans="1:7" x14ac:dyDescent="0.25">
      <c r="A1104" s="60" t="s">
        <v>5313</v>
      </c>
      <c r="B1104" t="str">
        <f>findKey(supplementary_offering_legacyid[[#This Row],[Produccion]])</f>
        <v>168771488384</v>
      </c>
      <c r="C1104" s="61" t="s">
        <v>5314</v>
      </c>
      <c r="D1104" t="s">
        <v>206</v>
      </c>
      <c r="E1104" t="s">
        <v>2189</v>
      </c>
      <c r="F1104" t="str">
        <f>ToJsonArray(supplementary_offering_legacyid[[#Headers],[offeringid]:[mode]],supplementary_offering_legacyid[[#This Row],[offeringid]:[mode]])</f>
        <v>{"offeringid":"990000523","name":"Voz y SMS TD infinitos, 5 GB WA + Mail + FB P2","mode":"I"}</v>
      </c>
      <c r="G1104" t="str">
        <f>ToJsonArray(supplementary_offering_legacyid[[#This Row],[Semilla04]],supplementary_offering_legacyid[[#This Row],[Json]])</f>
        <v>{"168771488384":{"offeringid":"990000523","name":"Voz y SMS TD infinitos, 5 GB WA + Mail + FB P2","mode":"I"}}</v>
      </c>
    </row>
    <row r="1105" spans="1:7" x14ac:dyDescent="0.25">
      <c r="A1105" s="60" t="s">
        <v>5315</v>
      </c>
      <c r="B1105" t="str">
        <f>findKey(supplementary_offering_legacyid[[#This Row],[Produccion]])</f>
        <v>168771487616</v>
      </c>
      <c r="C1105" s="61" t="s">
        <v>5316</v>
      </c>
      <c r="D1105" t="s">
        <v>209</v>
      </c>
      <c r="E1105" t="s">
        <v>2189</v>
      </c>
      <c r="F1105" t="str">
        <f>ToJsonArray(supplementary_offering_legacyid[[#Headers],[offeringid]:[mode]],supplementary_offering_legacyid[[#This Row],[offeringid]:[mode]])</f>
        <v>{"offeringid":"990000524","name":"Voz y SMS TD infinitos, 6 GB WA + Mail + FB P2","mode":"I"}</v>
      </c>
      <c r="G1105" t="str">
        <f>ToJsonArray(supplementary_offering_legacyid[[#This Row],[Semilla04]],supplementary_offering_legacyid[[#This Row],[Json]])</f>
        <v>{"168771487616":{"offeringid":"990000524","name":"Voz y SMS TD infinitos, 6 GB WA + Mail + FB P2","mode":"I"}}</v>
      </c>
    </row>
    <row r="1106" spans="1:7" x14ac:dyDescent="0.25">
      <c r="A1106" s="60" t="s">
        <v>5317</v>
      </c>
      <c r="B1106" t="str">
        <f>findKey(supplementary_offering_legacyid[[#This Row],[Produccion]])</f>
        <v>168771487808</v>
      </c>
      <c r="C1106" s="61" t="s">
        <v>5318</v>
      </c>
      <c r="D1106" t="s">
        <v>210</v>
      </c>
      <c r="E1106" t="s">
        <v>2189</v>
      </c>
      <c r="F1106" t="str">
        <f>ToJsonArray(supplementary_offering_legacyid[[#Headers],[offeringid]:[mode]],supplementary_offering_legacyid[[#This Row],[offeringid]:[mode]])</f>
        <v>{"offeringid":"990000525","name":"Voz y SMS TD infinitos, 6 GB WA + Mail + FB P3","mode":"I"}</v>
      </c>
      <c r="G1106" t="str">
        <f>ToJsonArray(supplementary_offering_legacyid[[#This Row],[Semilla04]],supplementary_offering_legacyid[[#This Row],[Json]])</f>
        <v>{"168771487808":{"offeringid":"990000525","name":"Voz y SMS TD infinitos, 6 GB WA + Mail + FB P3","mode":"I"}}</v>
      </c>
    </row>
    <row r="1107" spans="1:7" x14ac:dyDescent="0.25">
      <c r="A1107" s="60" t="s">
        <v>5319</v>
      </c>
      <c r="B1107" t="str">
        <f>findKey(supplementary_offering_legacyid[[#This Row],[Produccion]])</f>
        <v>168771489152</v>
      </c>
      <c r="C1107" s="61" t="s">
        <v>5320</v>
      </c>
      <c r="D1107" t="s">
        <v>208</v>
      </c>
      <c r="E1107" t="s">
        <v>2189</v>
      </c>
      <c r="F1107" t="str">
        <f>ToJsonArray(supplementary_offering_legacyid[[#Headers],[offeringid]:[mode]],supplementary_offering_legacyid[[#This Row],[offeringid]:[mode]])</f>
        <v>{"offeringid":"990000526","name":"Voz y SMS TD infinitos, 6 GB WA + Mail + FB P1","mode":"I"}</v>
      </c>
      <c r="G1107" t="str">
        <f>ToJsonArray(supplementary_offering_legacyid[[#This Row],[Semilla04]],supplementary_offering_legacyid[[#This Row],[Json]])</f>
        <v>{"168771489152":{"offeringid":"990000526","name":"Voz y SMS TD infinitos, 6 GB WA + Mail + FB P1","mode":"I"}}</v>
      </c>
    </row>
    <row r="1108" spans="1:7" x14ac:dyDescent="0.25">
      <c r="A1108" s="60" t="s">
        <v>5321</v>
      </c>
      <c r="B1108" t="str">
        <f>findKey(supplementary_offering_legacyid[[#This Row],[Produccion]])</f>
        <v>168771486272</v>
      </c>
      <c r="C1108" s="61" t="s">
        <v>5322</v>
      </c>
      <c r="D1108" t="s">
        <v>211</v>
      </c>
      <c r="E1108" t="s">
        <v>2189</v>
      </c>
      <c r="F1108" t="str">
        <f>ToJsonArray(supplementary_offering_legacyid[[#Headers],[offeringid]:[mode]],supplementary_offering_legacyid[[#This Row],[offeringid]:[mode]])</f>
        <v>{"offeringid":"990000527","name":"Voz y SMS TD infinitos, 7 GB WA + Mail + FB P1","mode":"I"}</v>
      </c>
      <c r="G1108" t="str">
        <f>ToJsonArray(supplementary_offering_legacyid[[#This Row],[Semilla04]],supplementary_offering_legacyid[[#This Row],[Json]])</f>
        <v>{"168771486272":{"offeringid":"990000527","name":"Voz y SMS TD infinitos, 7 GB WA + Mail + FB P1","mode":"I"}}</v>
      </c>
    </row>
    <row r="1109" spans="1:7" x14ac:dyDescent="0.25">
      <c r="A1109" s="60" t="s">
        <v>5323</v>
      </c>
      <c r="B1109" t="str">
        <f>findKey(supplementary_offering_legacyid[[#This Row],[Produccion]])</f>
        <v>168771487040</v>
      </c>
      <c r="C1109" s="61" t="s">
        <v>5324</v>
      </c>
      <c r="D1109" t="s">
        <v>213</v>
      </c>
      <c r="E1109" t="s">
        <v>2189</v>
      </c>
      <c r="F1109" t="str">
        <f>ToJsonArray(supplementary_offering_legacyid[[#Headers],[offeringid]:[mode]],supplementary_offering_legacyid[[#This Row],[offeringid]:[mode]])</f>
        <v>{"offeringid":"990000528","name":"Voz y SMS TD infinitos, 7 GB WA + Mail + FB P3","mode":"I"}</v>
      </c>
      <c r="G1109" t="str">
        <f>ToJsonArray(supplementary_offering_legacyid[[#This Row],[Semilla04]],supplementary_offering_legacyid[[#This Row],[Json]])</f>
        <v>{"168771487040":{"offeringid":"990000528","name":"Voz y SMS TD infinitos, 7 GB WA + Mail + FB P3","mode":"I"}}</v>
      </c>
    </row>
    <row r="1110" spans="1:7" x14ac:dyDescent="0.25">
      <c r="A1110" s="60" t="s">
        <v>5325</v>
      </c>
      <c r="B1110" t="str">
        <f>findKey(supplementary_offering_legacyid[[#This Row],[Produccion]])</f>
        <v>168771489344</v>
      </c>
      <c r="C1110" s="61" t="s">
        <v>5326</v>
      </c>
      <c r="D1110" t="s">
        <v>212</v>
      </c>
      <c r="E1110" t="s">
        <v>2189</v>
      </c>
      <c r="F1110" t="str">
        <f>ToJsonArray(supplementary_offering_legacyid[[#Headers],[offeringid]:[mode]],supplementary_offering_legacyid[[#This Row],[offeringid]:[mode]])</f>
        <v>{"offeringid":"990000529","name":"Voz y SMS TD infinitos, 7 GB WA + Mail + FB P2","mode":"I"}</v>
      </c>
      <c r="G1110" t="str">
        <f>ToJsonArray(supplementary_offering_legacyid[[#This Row],[Semilla04]],supplementary_offering_legacyid[[#This Row],[Json]])</f>
        <v>{"168771489344":{"offeringid":"990000529","name":"Voz y SMS TD infinitos, 7 GB WA + Mail + FB P2","mode":"I"}}</v>
      </c>
    </row>
    <row r="1111" spans="1:7" x14ac:dyDescent="0.25">
      <c r="A1111" s="60" t="s">
        <v>5327</v>
      </c>
      <c r="B1111" t="str">
        <f>findKey(supplementary_offering_legacyid[[#This Row],[Produccion]])</f>
        <v>358124950637</v>
      </c>
      <c r="C1111" s="61" t="s">
        <v>5328</v>
      </c>
      <c r="D1111" t="s">
        <v>2018</v>
      </c>
      <c r="E1111" t="s">
        <v>2189</v>
      </c>
      <c r="F1111" t="str">
        <f>ToJsonArray(supplementary_offering_legacyid[[#Headers],[offeringid]:[mode]],supplementary_offering_legacyid[[#This Row],[offeringid]:[mode]])</f>
        <v>{"offeringid":"990000530","name":"Voz y SMS TD infinitos, 7 GB, WA+Mail+FB P2","mode":"I"}</v>
      </c>
      <c r="G1111" t="str">
        <f>ToJsonArray(supplementary_offering_legacyid[[#This Row],[Semilla04]],supplementary_offering_legacyid[[#This Row],[Json]])</f>
        <v>{"358124950637":{"offeringid":"990000530","name":"Voz y SMS TD infinitos, 7 GB, WA+Mail+FB P2","mode":"I"}}</v>
      </c>
    </row>
    <row r="1112" spans="1:7" x14ac:dyDescent="0.25">
      <c r="A1112" s="60" t="s">
        <v>5329</v>
      </c>
      <c r="B1112" t="str">
        <f>findKey(supplementary_offering_legacyid[[#This Row],[Produccion]])</f>
        <v>358124952173</v>
      </c>
      <c r="C1112" s="61" t="s">
        <v>5330</v>
      </c>
      <c r="D1112" t="s">
        <v>2019</v>
      </c>
      <c r="E1112" t="s">
        <v>2189</v>
      </c>
      <c r="F1112" t="str">
        <f>ToJsonArray(supplementary_offering_legacyid[[#Headers],[offeringid]:[mode]],supplementary_offering_legacyid[[#This Row],[offeringid]:[mode]])</f>
        <v>{"offeringid":"990000531","name":"Voz y SMS TD infinitos, 7 GB, WA+Mail+FB P3","mode":"I"}</v>
      </c>
      <c r="G1112" t="str">
        <f>ToJsonArray(supplementary_offering_legacyid[[#This Row],[Semilla04]],supplementary_offering_legacyid[[#This Row],[Json]])</f>
        <v>{"358124952173":{"offeringid":"990000531","name":"Voz y SMS TD infinitos, 7 GB, WA+Mail+FB P3","mode":"I"}}</v>
      </c>
    </row>
    <row r="1113" spans="1:7" x14ac:dyDescent="0.25">
      <c r="A1113" s="60" t="s">
        <v>5331</v>
      </c>
      <c r="B1113" t="str">
        <f>findKey(supplementary_offering_legacyid[[#This Row],[Produccion]])</f>
        <v>358124953517</v>
      </c>
      <c r="C1113" s="61" t="s">
        <v>5332</v>
      </c>
      <c r="D1113" t="s">
        <v>2017</v>
      </c>
      <c r="E1113" t="s">
        <v>2189</v>
      </c>
      <c r="F1113" t="str">
        <f>ToJsonArray(supplementary_offering_legacyid[[#Headers],[offeringid]:[mode]],supplementary_offering_legacyid[[#This Row],[offeringid]:[mode]])</f>
        <v>{"offeringid":"990000532","name":"Voz y SMS TD infinitos, 7 GB, WA+Mail+FB CUG P1","mode":"I"}</v>
      </c>
      <c r="G1113" t="str">
        <f>ToJsonArray(supplementary_offering_legacyid[[#This Row],[Semilla04]],supplementary_offering_legacyid[[#This Row],[Json]])</f>
        <v>{"358124953517":{"offeringid":"990000532","name":"Voz y SMS TD infinitos, 7 GB, WA+Mail+FB CUG P1","mode":"I"}}</v>
      </c>
    </row>
    <row r="1114" spans="1:7" x14ac:dyDescent="0.25">
      <c r="A1114" s="60" t="s">
        <v>5333</v>
      </c>
      <c r="B1114" t="str">
        <f>findKey(supplementary_offering_legacyid[[#This Row],[Produccion]])</f>
        <v>168771485888</v>
      </c>
      <c r="C1114" s="61" t="s">
        <v>5334</v>
      </c>
      <c r="D1114" t="s">
        <v>216</v>
      </c>
      <c r="E1114" t="s">
        <v>2189</v>
      </c>
      <c r="F1114" t="str">
        <f>ToJsonArray(supplementary_offering_legacyid[[#Headers],[offeringid]:[mode]],supplementary_offering_legacyid[[#This Row],[offeringid]:[mode]])</f>
        <v>{"offeringid":"990000533","name":"Voz y SMS TD infinitos, 8 GB WA + Mail + FB P2","mode":"I"}</v>
      </c>
      <c r="G1114" t="str">
        <f>ToJsonArray(supplementary_offering_legacyid[[#This Row],[Semilla04]],supplementary_offering_legacyid[[#This Row],[Json]])</f>
        <v>{"168771485888":{"offeringid":"990000533","name":"Voz y SMS TD infinitos, 8 GB WA + Mail + FB P2","mode":"I"}}</v>
      </c>
    </row>
    <row r="1115" spans="1:7" x14ac:dyDescent="0.25">
      <c r="A1115" s="60" t="s">
        <v>5335</v>
      </c>
      <c r="B1115" t="str">
        <f>findKey(supplementary_offering_legacyid[[#This Row],[Produccion]])</f>
        <v>168771488576</v>
      </c>
      <c r="C1115" s="61" t="s">
        <v>5336</v>
      </c>
      <c r="D1115" t="s">
        <v>214</v>
      </c>
      <c r="E1115" t="s">
        <v>2189</v>
      </c>
      <c r="F1115" t="str">
        <f>ToJsonArray(supplementary_offering_legacyid[[#Headers],[offeringid]:[mode]],supplementary_offering_legacyid[[#This Row],[offeringid]:[mode]])</f>
        <v>{"offeringid":"990000534","name":"Voz y SMS TD infinitos, 8 GB WA + Mail + FB P1","mode":"I"}</v>
      </c>
      <c r="G1115" t="str">
        <f>ToJsonArray(supplementary_offering_legacyid[[#This Row],[Semilla04]],supplementary_offering_legacyid[[#This Row],[Json]])</f>
        <v>{"168771488576":{"offeringid":"990000534","name":"Voz y SMS TD infinitos, 8 GB WA + Mail + FB P1","mode":"I"}}</v>
      </c>
    </row>
    <row r="1116" spans="1:7" x14ac:dyDescent="0.25">
      <c r="A1116" s="60" t="s">
        <v>5337</v>
      </c>
      <c r="B1116" t="str">
        <f>findKey(supplementary_offering_legacyid[[#This Row],[Produccion]])</f>
        <v>168771488960</v>
      </c>
      <c r="C1116" s="61" t="s">
        <v>5338</v>
      </c>
      <c r="D1116" t="s">
        <v>215</v>
      </c>
      <c r="E1116" t="s">
        <v>2189</v>
      </c>
      <c r="F1116" t="str">
        <f>ToJsonArray(supplementary_offering_legacyid[[#Headers],[offeringid]:[mode]],supplementary_offering_legacyid[[#This Row],[offeringid]:[mode]])</f>
        <v>{"offeringid":"990000535","name":"Voz y SMS TD infinitos, 8 GB WA + Mail + FB P3","mode":"I"}</v>
      </c>
      <c r="G1116" t="str">
        <f>ToJsonArray(supplementary_offering_legacyid[[#This Row],[Semilla04]],supplementary_offering_legacyid[[#This Row],[Json]])</f>
        <v>{"168771488960":{"offeringid":"990000535","name":"Voz y SMS TD infinitos, 8 GB WA + Mail + FB P3","mode":"I"}}</v>
      </c>
    </row>
    <row r="1117" spans="1:7" x14ac:dyDescent="0.25">
      <c r="A1117" s="60" t="s">
        <v>5339</v>
      </c>
      <c r="B1117" t="str">
        <f>findKey(supplementary_offering_legacyid[[#This Row],[Produccion]])</f>
        <v>17083665387</v>
      </c>
      <c r="C1117" s="61" t="s">
        <v>5340</v>
      </c>
      <c r="D1117" t="s">
        <v>707</v>
      </c>
      <c r="E1117" t="s">
        <v>2189</v>
      </c>
      <c r="F1117" t="str">
        <f>ToJsonArray(supplementary_offering_legacyid[[#Headers],[offeringid]:[mode]],supplementary_offering_legacyid[[#This Row],[offeringid]:[mode]])</f>
        <v>{"offeringid":"990000536","name":"WHATSAPP + Mail","mode":"I"}</v>
      </c>
      <c r="G1117" t="str">
        <f>ToJsonArray(supplementary_offering_legacyid[[#This Row],[Semilla04]],supplementary_offering_legacyid[[#This Row],[Json]])</f>
        <v>{"17083665387":{"offeringid":"990000536","name":"WHATSAPP + Mail","mode":"I"}}</v>
      </c>
    </row>
    <row r="1118" spans="1:7" x14ac:dyDescent="0.25">
      <c r="A1118" s="60" t="s">
        <v>5341</v>
      </c>
      <c r="B1118" t="str">
        <f>findKey(supplementary_offering_legacyid[[#This Row],[Produccion]])</f>
        <v>17083663851</v>
      </c>
      <c r="C1118" s="61" t="s">
        <v>5342</v>
      </c>
      <c r="D1118" t="s">
        <v>706</v>
      </c>
      <c r="E1118" t="s">
        <v>2189</v>
      </c>
      <c r="F1118" t="str">
        <f>ToJsonArray(supplementary_offering_legacyid[[#Headers],[offeringid]:[mode]],supplementary_offering_legacyid[[#This Row],[offeringid]:[mode]])</f>
        <v>{"offeringid":"990000537","name":"WHATSAPP","mode":"I"}</v>
      </c>
      <c r="G1118" t="str">
        <f>ToJsonArray(supplementary_offering_legacyid[[#This Row],[Semilla04]],supplementary_offering_legacyid[[#This Row],[Json]])</f>
        <v>{"17083663851":{"offeringid":"990000537","name":"WHATSAPP","mode":"I"}}</v>
      </c>
    </row>
    <row r="1119" spans="1:7" x14ac:dyDescent="0.25">
      <c r="A1119" s="60" t="s">
        <v>5343</v>
      </c>
      <c r="B1119" t="str">
        <f>findKey(supplementary_offering_legacyid[[#This Row],[Produccion]])</f>
        <v>17083118079</v>
      </c>
      <c r="C1119" s="61" t="s">
        <v>5344</v>
      </c>
      <c r="D1119" t="s">
        <v>1139</v>
      </c>
      <c r="E1119" t="s">
        <v>2189</v>
      </c>
      <c r="F1119" t="str">
        <f>ToJsonArray(supplementary_offering_legacyid[[#Headers],[offeringid]:[mode]],supplementary_offering_legacyid[[#This Row],[offeringid]:[mode]])</f>
        <v>{"offeringid":"990000538","name":"PQT Reventa TodoDestino 1200MIN","mode":"I"}</v>
      </c>
      <c r="G1119" t="str">
        <f>ToJsonArray(supplementary_offering_legacyid[[#This Row],[Semilla04]],supplementary_offering_legacyid[[#This Row],[Json]])</f>
        <v>{"17083118079":{"offeringid":"990000538","name":"PQT Reventa TodoDestino 1200MIN","mode":"I"}}</v>
      </c>
    </row>
    <row r="1120" spans="1:7" x14ac:dyDescent="0.25">
      <c r="A1120" s="60" t="s">
        <v>5345</v>
      </c>
      <c r="B1120" t="str">
        <f>findKey(supplementary_offering_legacyid[[#This Row],[Produccion]])</f>
        <v>67111490377</v>
      </c>
      <c r="C1120" s="61" t="s">
        <v>5346</v>
      </c>
      <c r="D1120" t="s">
        <v>2164</v>
      </c>
      <c r="E1120" t="s">
        <v>2189</v>
      </c>
      <c r="F1120" t="str">
        <f>ToJsonArray(supplementary_offering_legacyid[[#Headers],[offeringid]:[mode]],supplementary_offering_legacyid[[#This Row],[offeringid]:[mode]])</f>
        <v>{"offeringid":"990000539","name":"Combo 1000MIN TD y  Voz a Tigo infinito","mode":"I"}</v>
      </c>
      <c r="G1120" t="str">
        <f>ToJsonArray(supplementary_offering_legacyid[[#This Row],[Semilla04]],supplementary_offering_legacyid[[#This Row],[Json]])</f>
        <v>{"67111490377":{"offeringid":"990000539","name":"Combo 1000MIN TD y  Voz a Tigo infinito","mode":"I"}}</v>
      </c>
    </row>
    <row r="1121" spans="1:7" x14ac:dyDescent="0.25">
      <c r="A1121" s="60" t="s">
        <v>5347</v>
      </c>
      <c r="B1121" t="str">
        <f>findKey(supplementary_offering_legacyid[[#This Row],[Produccion]])</f>
        <v>17083125140</v>
      </c>
      <c r="C1121" s="61" t="s">
        <v>5348</v>
      </c>
      <c r="D1121" t="s">
        <v>991</v>
      </c>
      <c r="E1121" t="s">
        <v>2189</v>
      </c>
      <c r="F1121" t="str">
        <f>ToJsonArray(supplementary_offering_legacyid[[#Headers],[offeringid]:[mode]],supplementary_offering_legacyid[[#This Row],[offeringid]:[mode]])</f>
        <v>{"offeringid":"990000540","name":"Combo SMS TD infinitos","mode":"I"}</v>
      </c>
      <c r="G1121" t="str">
        <f>ToJsonArray(supplementary_offering_legacyid[[#This Row],[Semilla04]],supplementary_offering_legacyid[[#This Row],[Json]])</f>
        <v>{"17083125140":{"offeringid":"990000540","name":"Combo SMS TD infinitos","mode":"I"}}</v>
      </c>
    </row>
    <row r="1122" spans="1:7" x14ac:dyDescent="0.25">
      <c r="A1122" s="60" t="s">
        <v>5349</v>
      </c>
      <c r="B1122" t="str">
        <f>findKey(supplementary_offering_legacyid[[#This Row],[Produccion]])</f>
        <v>17083658875</v>
      </c>
      <c r="C1122" s="61" t="s">
        <v>5350</v>
      </c>
      <c r="D1122" t="s">
        <v>1029</v>
      </c>
      <c r="E1122" t="s">
        <v>2189</v>
      </c>
      <c r="F1122" t="str">
        <f>ToJsonArray(supplementary_offering_legacyid[[#Headers],[offeringid]:[mode]],supplementary_offering_legacyid[[#This Row],[offeringid]:[mode]])</f>
        <v>{"offeringid":"990000541","name":"Combo datos 3GB WA + Mail   2","mode":"I"}</v>
      </c>
      <c r="G1122" t="str">
        <f>ToJsonArray(supplementary_offering_legacyid[[#This Row],[Semilla04]],supplementary_offering_legacyid[[#This Row],[Json]])</f>
        <v>{"17083658875":{"offeringid":"990000541","name":"Combo datos 3GB WA + Mail   2","mode":"I"}}</v>
      </c>
    </row>
    <row r="1123" spans="1:7" x14ac:dyDescent="0.25">
      <c r="A1123" s="60" t="s">
        <v>5351</v>
      </c>
      <c r="B1123" t="str">
        <f>findKey(supplementary_offering_legacyid[[#This Row],[Produccion]])</f>
        <v>20112863810</v>
      </c>
      <c r="C1123" s="61" t="s">
        <v>5352</v>
      </c>
      <c r="D1123" t="s">
        <v>2166</v>
      </c>
      <c r="E1123" t="s">
        <v>2189</v>
      </c>
      <c r="F1123" t="str">
        <f>ToJsonArray(supplementary_offering_legacyid[[#Headers],[offeringid]:[mode]],supplementary_offering_legacyid[[#This Row],[offeringid]:[mode]])</f>
        <v>{"offeringid":"990000542","name":"Combo datos 1,2GB WA + Mail 1","mode":"I"}</v>
      </c>
      <c r="G1123" t="str">
        <f>ToJsonArray(supplementary_offering_legacyid[[#This Row],[Semilla04]],supplementary_offering_legacyid[[#This Row],[Json]])</f>
        <v>{"20112863810":{"offeringid":"990000542","name":"Combo datos 1,2GB WA + Mail 1","mode":"I"}}</v>
      </c>
    </row>
    <row r="1124" spans="1:7" x14ac:dyDescent="0.25">
      <c r="A1124" s="60" t="s">
        <v>5353</v>
      </c>
      <c r="B1124" t="str">
        <f>findKey(supplementary_offering_legacyid[[#This Row],[Produccion]])</f>
        <v>17083122376</v>
      </c>
      <c r="C1124" s="61" t="s">
        <v>5354</v>
      </c>
      <c r="D1124" t="s">
        <v>993</v>
      </c>
      <c r="E1124" t="s">
        <v>2189</v>
      </c>
      <c r="F1124" t="str">
        <f>ToJsonArray(supplementary_offering_legacyid[[#Headers],[offeringid]:[mode]],supplementary_offering_legacyid[[#This Row],[offeringid]:[mode]])</f>
        <v>{"offeringid":"990000543","name":"Combo 100MIN TD  y Voz a Tigo infinito","mode":"I"}</v>
      </c>
      <c r="G1124" t="str">
        <f>ToJsonArray(supplementary_offering_legacyid[[#This Row],[Semilla04]],supplementary_offering_legacyid[[#This Row],[Json]])</f>
        <v>{"17083122376":{"offeringid":"990000543","name":"Combo 100MIN TD  y Voz a Tigo infinito","mode":"I"}}</v>
      </c>
    </row>
    <row r="1125" spans="1:7" x14ac:dyDescent="0.25">
      <c r="A1125" s="60" t="s">
        <v>5355</v>
      </c>
      <c r="B1125" t="str">
        <f>findKey(supplementary_offering_legacyid[[#This Row],[Produccion]])</f>
        <v>17085862090</v>
      </c>
      <c r="C1125" s="61" t="s">
        <v>5356</v>
      </c>
      <c r="D1125" t="s">
        <v>1188</v>
      </c>
      <c r="E1125" t="s">
        <v>2189</v>
      </c>
      <c r="F1125" t="str">
        <f>ToJsonArray(supplementary_offering_legacyid[[#Headers],[offeringid]:[mode]],supplementary_offering_legacyid[[#This Row],[offeringid]:[mode]])</f>
        <v>{"offeringid":"990000544","name":"Combo 500 Min TD; Min Tigo Infinitos; Min CUG Infinitos P1","mode":"I"}</v>
      </c>
      <c r="G1125" t="str">
        <f>ToJsonArray(supplementary_offering_legacyid[[#This Row],[Semilla04]],supplementary_offering_legacyid[[#This Row],[Json]])</f>
        <v>{"17085862090":{"offeringid":"990000544","name":"Combo 500 Min TD; Min Tigo Infinitos; Min CUG Infinitos P1","mode":"I"}}</v>
      </c>
    </row>
    <row r="1126" spans="1:7" x14ac:dyDescent="0.25">
      <c r="A1126" s="60" t="s">
        <v>5357</v>
      </c>
      <c r="B1126" t="str">
        <f>findKey(supplementary_offering_legacyid[[#This Row],[Produccion]])</f>
        <v>17085865162</v>
      </c>
      <c r="C1126" s="61" t="s">
        <v>5358</v>
      </c>
      <c r="D1126" t="s">
        <v>1189</v>
      </c>
      <c r="E1126" t="s">
        <v>2189</v>
      </c>
      <c r="F1126" t="str">
        <f>ToJsonArray(supplementary_offering_legacyid[[#Headers],[offeringid]:[mode]],supplementary_offering_legacyid[[#This Row],[offeringid]:[mode]])</f>
        <v>{"offeringid":"990000545","name":"Combo 2.5 GB;WA, Mail y facebook Infinito P2","mode":"I"}</v>
      </c>
      <c r="G1126" t="str">
        <f>ToJsonArray(supplementary_offering_legacyid[[#This Row],[Semilla04]],supplementary_offering_legacyid[[#This Row],[Json]])</f>
        <v>{"17085865162":{"offeringid":"990000545","name":"Combo 2.5 GB;WA, Mail y facebook Infinito P2","mode":"I"}}</v>
      </c>
    </row>
    <row r="1127" spans="1:7" x14ac:dyDescent="0.25">
      <c r="A1127" s="60" t="s">
        <v>5359</v>
      </c>
      <c r="B1127" t="str">
        <f>findKey(supplementary_offering_legacyid[[#This Row],[Produccion]])</f>
        <v>17083125122</v>
      </c>
      <c r="C1127" s="61" t="s">
        <v>5360</v>
      </c>
      <c r="D1127" t="s">
        <v>413</v>
      </c>
      <c r="E1127" t="s">
        <v>2189</v>
      </c>
      <c r="F1127" t="str">
        <f>ToJsonArray(supplementary_offering_legacyid[[#Headers],[offeringid]:[mode]],supplementary_offering_legacyid[[#This Row],[offeringid]:[mode]])</f>
        <v>{"offeringid":"990000546","name":"PQT Corp SMS Todo Destino 1000","mode":"I"}</v>
      </c>
      <c r="G1127" t="str">
        <f>ToJsonArray(supplementary_offering_legacyid[[#This Row],[Semilla04]],supplementary_offering_legacyid[[#This Row],[Json]])</f>
        <v>{"17083125122":{"offeringid":"990000546","name":"PQT Corp SMS Todo Destino 1000","mode":"I"}}</v>
      </c>
    </row>
    <row r="1128" spans="1:7" x14ac:dyDescent="0.25">
      <c r="A1128" s="60" t="s">
        <v>5361</v>
      </c>
      <c r="B1128" t="str">
        <f>findKey(supplementary_offering_legacyid[[#This Row],[Produccion]])</f>
        <v>17083665963</v>
      </c>
      <c r="C1128" s="61" t="s">
        <v>5362</v>
      </c>
      <c r="D1128" t="s">
        <v>674</v>
      </c>
      <c r="E1128" t="s">
        <v>2189</v>
      </c>
      <c r="F1128" t="str">
        <f>ToJsonArray(supplementary_offering_legacyid[[#Headers],[offeringid]:[mode]],supplementary_offering_legacyid[[#This Row],[offeringid]:[mode]])</f>
        <v>{"offeringid":"990000547","name":"PQT Corp Navegacion 2,5 GB WA + Mail","mode":"I"}</v>
      </c>
      <c r="G1128" t="str">
        <f>ToJsonArray(supplementary_offering_legacyid[[#This Row],[Semilla04]],supplementary_offering_legacyid[[#This Row],[Json]])</f>
        <v>{"17083665963":{"offeringid":"990000547","name":"PQT Corp Navegacion 2,5 GB WA + Mail","mode":"I"}}</v>
      </c>
    </row>
    <row r="1129" spans="1:7" x14ac:dyDescent="0.25">
      <c r="A1129" s="60" t="s">
        <v>5363</v>
      </c>
      <c r="B1129" t="str">
        <f>findKey(supplementary_offering_legacyid[[#This Row],[Produccion]])</f>
        <v>17083663659</v>
      </c>
      <c r="C1129" s="61" t="s">
        <v>5364</v>
      </c>
      <c r="D1129" t="s">
        <v>676</v>
      </c>
      <c r="E1129" t="s">
        <v>2189</v>
      </c>
      <c r="F1129" t="str">
        <f>ToJsonArray(supplementary_offering_legacyid[[#Headers],[offeringid]:[mode]],supplementary_offering_legacyid[[#This Row],[offeringid]:[mode]])</f>
        <v>{"offeringid":"990000548","name":"PQT Corp Navegacion 2GB WA + Mail","mode":"I"}</v>
      </c>
      <c r="G1129" t="str">
        <f>ToJsonArray(supplementary_offering_legacyid[[#This Row],[Semilla04]],supplementary_offering_legacyid[[#This Row],[Json]])</f>
        <v>{"17083663659":{"offeringid":"990000548","name":"PQT Corp Navegacion 2GB WA + Mail","mode":"I"}}</v>
      </c>
    </row>
    <row r="1130" spans="1:7" x14ac:dyDescent="0.25">
      <c r="A1130" s="60" t="s">
        <v>5365</v>
      </c>
      <c r="B1130" t="str">
        <f>findKey(supplementary_offering_legacyid[[#This Row],[Produccion]])</f>
        <v>17083662363</v>
      </c>
      <c r="C1130" s="61" t="s">
        <v>5366</v>
      </c>
      <c r="D1130" t="s">
        <v>226</v>
      </c>
      <c r="E1130" t="s">
        <v>2189</v>
      </c>
      <c r="F1130" t="str">
        <f>ToJsonArray(supplementary_offering_legacyid[[#Headers],[offeringid]:[mode]],supplementary_offering_legacyid[[#This Row],[offeringid]:[mode]])</f>
        <v>{"offeringid":"990000549","name":"PQT Corp Navegacion 1 Smart -1","mode":"I"}</v>
      </c>
      <c r="G1130" t="str">
        <f>ToJsonArray(supplementary_offering_legacyid[[#This Row],[Semilla04]],supplementary_offering_legacyid[[#This Row],[Json]])</f>
        <v>{"17083662363":{"offeringid":"990000549","name":"PQT Corp Navegacion 1 Smart -1","mode":"I"}}</v>
      </c>
    </row>
    <row r="1131" spans="1:7" x14ac:dyDescent="0.25">
      <c r="A1131" s="60" t="s">
        <v>5367</v>
      </c>
      <c r="B1131" t="str">
        <f>findKey(supplementary_offering_legacyid[[#This Row],[Produccion]])</f>
        <v>17083092934</v>
      </c>
      <c r="C1131" s="61" t="s">
        <v>5368</v>
      </c>
      <c r="D1131" t="s">
        <v>416</v>
      </c>
      <c r="E1131" t="s">
        <v>2189</v>
      </c>
      <c r="F1131" t="str">
        <f>ToJsonArray(supplementary_offering_legacyid[[#Headers],[offeringid]:[mode]],supplementary_offering_legacyid[[#This Row],[offeringid]:[mode]])</f>
        <v>{"offeringid":"990000550","name":"PQT Corp SMS Tigo 10000","mode":"I"}</v>
      </c>
      <c r="G1131" t="str">
        <f>ToJsonArray(supplementary_offering_legacyid[[#This Row],[Semilla04]],supplementary_offering_legacyid[[#This Row],[Json]])</f>
        <v>{"17083092934":{"offeringid":"990000550","name":"PQT Corp SMS Tigo 10000","mode":"I"}}</v>
      </c>
    </row>
    <row r="1132" spans="1:7" x14ac:dyDescent="0.25">
      <c r="A1132" s="60" t="s">
        <v>5369</v>
      </c>
      <c r="B1132" t="str">
        <f>findKey(supplementary_offering_legacyid[[#This Row],[Produccion]])</f>
        <v>17083122448</v>
      </c>
      <c r="C1132" s="61" t="s">
        <v>5370</v>
      </c>
      <c r="D1132" t="s">
        <v>637</v>
      </c>
      <c r="E1132" t="s">
        <v>2189</v>
      </c>
      <c r="F1132" t="str">
        <f>ToJsonArray(supplementary_offering_legacyid[[#Headers],[offeringid]:[mode]],supplementary_offering_legacyid[[#This Row],[offeringid]:[mode]])</f>
        <v>{"offeringid":"990000551","name":"PQT Corp TodoDestino 100MIN F2","mode":"I"}</v>
      </c>
      <c r="G1132" t="str">
        <f>ToJsonArray(supplementary_offering_legacyid[[#This Row],[Semilla04]],supplementary_offering_legacyid[[#This Row],[Json]])</f>
        <v>{"17083122448":{"offeringid":"990000551","name":"PQT Corp TodoDestino 100MIN F2","mode":"I"}}</v>
      </c>
    </row>
    <row r="1133" spans="1:7" x14ac:dyDescent="0.25">
      <c r="A1133" s="60" t="s">
        <v>5371</v>
      </c>
      <c r="B1133" t="str">
        <f>findKey(supplementary_offering_legacyid[[#This Row],[Produccion]])</f>
        <v>17083125624</v>
      </c>
      <c r="C1133" s="61" t="s">
        <v>5372</v>
      </c>
      <c r="D1133" t="s">
        <v>635</v>
      </c>
      <c r="E1133" t="s">
        <v>2189</v>
      </c>
      <c r="F1133" t="str">
        <f>ToJsonArray(supplementary_offering_legacyid[[#Headers],[offeringid]:[mode]],supplementary_offering_legacyid[[#This Row],[offeringid]:[mode]])</f>
        <v>{"offeringid":"990000552","name":"PQT Corp TodoDestino 10SMS F2","mode":"I"}</v>
      </c>
      <c r="G1133" t="str">
        <f>ToJsonArray(supplementary_offering_legacyid[[#This Row],[Semilla04]],supplementary_offering_legacyid[[#This Row],[Json]])</f>
        <v>{"17083125624":{"offeringid":"990000552","name":"PQT Corp TodoDestino 10SMS F2","mode":"I"}}</v>
      </c>
    </row>
    <row r="1134" spans="1:7" x14ac:dyDescent="0.25">
      <c r="A1134" s="60" t="s">
        <v>5373</v>
      </c>
      <c r="B1134" t="str">
        <f>findKey(supplementary_offering_legacyid[[#This Row],[Produccion]])</f>
        <v>17083123144</v>
      </c>
      <c r="C1134" s="61" t="s">
        <v>5374</v>
      </c>
      <c r="D1134" t="s">
        <v>551</v>
      </c>
      <c r="E1134" t="s">
        <v>2189</v>
      </c>
      <c r="F1134" t="str">
        <f>ToJsonArray(supplementary_offering_legacyid[[#Headers],[offeringid]:[mode]],supplementary_offering_legacyid[[#This Row],[offeringid]:[mode]])</f>
        <v>{"offeringid":"990000553","name":"PQT Corp Todo destino 1300","mode":"I"}</v>
      </c>
      <c r="G1134" t="str">
        <f>ToJsonArray(supplementary_offering_legacyid[[#This Row],[Semilla04]],supplementary_offering_legacyid[[#This Row],[Json]])</f>
        <v>{"17083123144":{"offeringid":"990000553","name":"PQT Corp Todo destino 1300","mode":"I"}}</v>
      </c>
    </row>
    <row r="1135" spans="1:7" x14ac:dyDescent="0.25">
      <c r="A1135" s="60" t="s">
        <v>5375</v>
      </c>
      <c r="B1135" t="str">
        <f>findKey(supplementary_offering_legacyid[[#This Row],[Produccion]])</f>
        <v>17083122068</v>
      </c>
      <c r="C1135" s="61" t="s">
        <v>5376</v>
      </c>
      <c r="D1135" t="s">
        <v>552</v>
      </c>
      <c r="E1135" t="s">
        <v>2189</v>
      </c>
      <c r="F1135" t="str">
        <f>ToJsonArray(supplementary_offering_legacyid[[#Headers],[offeringid]:[mode]],supplementary_offering_legacyid[[#This Row],[offeringid]:[mode]])</f>
        <v>{"offeringid":"990000554","name":"PQT Corp Todo destino 1300 SMS","mode":"I"}</v>
      </c>
      <c r="G1135" t="str">
        <f>ToJsonArray(supplementary_offering_legacyid[[#This Row],[Semilla04]],supplementary_offering_legacyid[[#This Row],[Json]])</f>
        <v>{"17083122068":{"offeringid":"990000554","name":"PQT Corp Todo destino 1300 SMS","mode":"I"}}</v>
      </c>
    </row>
    <row r="1136" spans="1:7" x14ac:dyDescent="0.25">
      <c r="A1136" s="60" t="s">
        <v>5377</v>
      </c>
      <c r="B1136" t="str">
        <f>findKey(supplementary_offering_legacyid[[#This Row],[Produccion]])</f>
        <v>17083657863</v>
      </c>
      <c r="C1136" s="61" t="s">
        <v>5378</v>
      </c>
      <c r="D1136" t="s">
        <v>657</v>
      </c>
      <c r="E1136" t="s">
        <v>2189</v>
      </c>
      <c r="F1136" t="str">
        <f>ToJsonArray(supplementary_offering_legacyid[[#Headers],[offeringid]:[mode]],supplementary_offering_legacyid[[#This Row],[offeringid]:[mode]])</f>
        <v>{"offeringid":"990000555","name":"PQT Corp TodoDestino 1500MIN y Voz a Tigo Infinito F2","mode":"I"}</v>
      </c>
      <c r="G1136" t="str">
        <f>ToJsonArray(supplementary_offering_legacyid[[#This Row],[Semilla04]],supplementary_offering_legacyid[[#This Row],[Json]])</f>
        <v>{"17083657863":{"offeringid":"990000555","name":"PQT Corp TodoDestino 1500MIN y Voz a Tigo Infinito F2","mode":"I"}}</v>
      </c>
    </row>
    <row r="1137" spans="1:7" x14ac:dyDescent="0.25">
      <c r="A1137" s="60" t="s">
        <v>5379</v>
      </c>
      <c r="B1137" t="str">
        <f>findKey(supplementary_offering_legacyid[[#This Row],[Produccion]])</f>
        <v>17083657095</v>
      </c>
      <c r="C1137" s="61" t="s">
        <v>5380</v>
      </c>
      <c r="D1137" t="s">
        <v>661</v>
      </c>
      <c r="E1137" t="s">
        <v>2189</v>
      </c>
      <c r="F1137" t="str">
        <f>ToJsonArray(supplementary_offering_legacyid[[#Headers],[offeringid]:[mode]],supplementary_offering_legacyid[[#This Row],[offeringid]:[mode]])</f>
        <v>{"offeringid":"990000556","name":"PQT Corp TodoDestino 2000MIN y Voz a Tigo Infinito F2","mode":"I"}</v>
      </c>
      <c r="G1137" t="str">
        <f>ToJsonArray(supplementary_offering_legacyid[[#This Row],[Semilla04]],supplementary_offering_legacyid[[#This Row],[Json]])</f>
        <v>{"17083657095":{"offeringid":"990000556","name":"PQT Corp TodoDestino 2000MIN y Voz a Tigo Infinito F2","mode":"I"}}</v>
      </c>
    </row>
    <row r="1138" spans="1:7" x14ac:dyDescent="0.25">
      <c r="A1138" s="60" t="s">
        <v>5381</v>
      </c>
      <c r="B1138" t="str">
        <f>findKey(supplementary_offering_legacyid[[#This Row],[Produccion]])</f>
        <v>17083655943</v>
      </c>
      <c r="C1138" s="61" t="s">
        <v>5382</v>
      </c>
      <c r="D1138" t="s">
        <v>651</v>
      </c>
      <c r="E1138" t="s">
        <v>2189</v>
      </c>
      <c r="F1138" t="str">
        <f>ToJsonArray(supplementary_offering_legacyid[[#Headers],[offeringid]:[mode]],supplementary_offering_legacyid[[#This Row],[offeringid]:[mode]])</f>
        <v>{"offeringid":"990000557","name":"PQT Corp TodoDestino 800MIN y Voz a NIT Infinito F2","mode":"I"}</v>
      </c>
      <c r="G1138" t="str">
        <f>ToJsonArray(supplementary_offering_legacyid[[#This Row],[Semilla04]],supplementary_offering_legacyid[[#This Row],[Json]])</f>
        <v>{"17083655943":{"offeringid":"990000557","name":"PQT Corp TodoDestino 800MIN y Voz a NIT Infinito F2","mode":"I"}}</v>
      </c>
    </row>
    <row r="1139" spans="1:7" x14ac:dyDescent="0.25">
      <c r="A1139" s="60" t="s">
        <v>5383</v>
      </c>
      <c r="B1139" t="str">
        <f>findKey(supplementary_offering_legacyid[[#This Row],[Produccion]])</f>
        <v>67111492841</v>
      </c>
      <c r="C1139" s="61" t="s">
        <v>5384</v>
      </c>
      <c r="D1139" t="s">
        <v>2168</v>
      </c>
      <c r="E1139" t="s">
        <v>2189</v>
      </c>
      <c r="F1139" t="str">
        <f>ToJsonArray(supplementary_offering_legacyid[[#Headers],[offeringid]:[mode]],supplementary_offering_legacyid[[#This Row],[offeringid]:[mode]])</f>
        <v>{"offeringid":"990000558","name":"Combo datos 10GB WA + Mail 1","mode":"I"}</v>
      </c>
      <c r="G1139" t="str">
        <f>ToJsonArray(supplementary_offering_legacyid[[#This Row],[Semilla04]],supplementary_offering_legacyid[[#This Row],[Json]])</f>
        <v>{"67111492841":{"offeringid":"990000558","name":"Combo datos 10GB WA + Mail 1","mode":"I"}}</v>
      </c>
    </row>
    <row r="1140" spans="1:7" x14ac:dyDescent="0.25">
      <c r="A1140" s="60" t="s">
        <v>5385</v>
      </c>
      <c r="B1140" t="str">
        <f>findKey(supplementary_offering_legacyid[[#This Row],[Produccion]])</f>
        <v>17083662299</v>
      </c>
      <c r="C1140" s="61" t="s">
        <v>5386</v>
      </c>
      <c r="D1140" t="s">
        <v>1011</v>
      </c>
      <c r="E1140" t="s">
        <v>2189</v>
      </c>
      <c r="F1140" t="str">
        <f>ToJsonArray(supplementary_offering_legacyid[[#Headers],[offeringid]:[mode]],supplementary_offering_legacyid[[#This Row],[offeringid]:[mode]])</f>
        <v>{"offeringid":"990000559","name":"Combo Voz Todo Destino infinito 3","mode":"I"}</v>
      </c>
      <c r="G1140" t="str">
        <f>ToJsonArray(supplementary_offering_legacyid[[#This Row],[Semilla04]],supplementary_offering_legacyid[[#This Row],[Json]])</f>
        <v>{"17083662299":{"offeringid":"990000559","name":"Combo Voz Todo Destino infinito 3","mode":"I"}}</v>
      </c>
    </row>
    <row r="1141" spans="1:7" x14ac:dyDescent="0.25">
      <c r="A1141" s="60" t="s">
        <v>5387</v>
      </c>
      <c r="B1141" t="str">
        <f>findKey(supplementary_offering_legacyid[[#This Row],[Produccion]])</f>
        <v>17083660859</v>
      </c>
      <c r="C1141" s="61" t="s">
        <v>5388</v>
      </c>
      <c r="D1141" t="s">
        <v>1015</v>
      </c>
      <c r="E1141" t="s">
        <v>2189</v>
      </c>
      <c r="F1141" t="str">
        <f>ToJsonArray(supplementary_offering_legacyid[[#Headers],[offeringid]:[mode]],supplementary_offering_legacyid[[#This Row],[offeringid]:[mode]])</f>
        <v>{"offeringid":"990000560","name":"Combo Voz Todo Destino infinito 5","mode":"I"}</v>
      </c>
      <c r="G1141" t="str">
        <f>ToJsonArray(supplementary_offering_legacyid[[#This Row],[Semilla04]],supplementary_offering_legacyid[[#This Row],[Json]])</f>
        <v>{"17083660859":{"offeringid":"990000560","name":"Combo Voz Todo Destino infinito 5","mode":"I"}}</v>
      </c>
    </row>
    <row r="1142" spans="1:7" x14ac:dyDescent="0.25">
      <c r="A1142" s="60" t="s">
        <v>5389</v>
      </c>
      <c r="B1142" t="str">
        <f>findKey(supplementary_offering_legacyid[[#This Row],[Produccion]])</f>
        <v>17083660795</v>
      </c>
      <c r="C1142" s="61" t="s">
        <v>5390</v>
      </c>
      <c r="D1142" t="s">
        <v>1037</v>
      </c>
      <c r="E1142" t="s">
        <v>2189</v>
      </c>
      <c r="F1142" t="str">
        <f>ToJsonArray(supplementary_offering_legacyid[[#Headers],[offeringid]:[mode]],supplementary_offering_legacyid[[#This Row],[offeringid]:[mode]])</f>
        <v>{"offeringid":"990000561","name":"Combo datos 11GB WA + Mail","mode":"I"}</v>
      </c>
      <c r="G1142" t="str">
        <f>ToJsonArray(supplementary_offering_legacyid[[#This Row],[Semilla04]],supplementary_offering_legacyid[[#This Row],[Json]])</f>
        <v>{"17083660795":{"offeringid":"990000561","name":"Combo datos 11GB WA + Mail","mode":"I"}}</v>
      </c>
    </row>
    <row r="1143" spans="1:7" x14ac:dyDescent="0.25">
      <c r="A1143" s="60" t="s">
        <v>5391</v>
      </c>
      <c r="B1143" t="str">
        <f>findKey(supplementary_offering_legacyid[[#This Row],[Produccion]])</f>
        <v>17083658503</v>
      </c>
      <c r="C1143" s="61" t="s">
        <v>5392</v>
      </c>
      <c r="D1143" t="s">
        <v>221</v>
      </c>
      <c r="E1143" t="s">
        <v>2189</v>
      </c>
      <c r="F1143" t="str">
        <f>ToJsonArray(supplementary_offering_legacyid[[#Headers],[offeringid]:[mode]],supplementary_offering_legacyid[[#This Row],[offeringid]:[mode]])</f>
        <v>{"offeringid":"990000562","name":"Combo  Smart P1","mode":"I"}</v>
      </c>
      <c r="G1143" t="str">
        <f>ToJsonArray(supplementary_offering_legacyid[[#This Row],[Semilla04]],supplementary_offering_legacyid[[#This Row],[Json]])</f>
        <v>{"17083658503":{"offeringid":"990000562","name":"Combo  Smart P1","mode":"I"}}</v>
      </c>
    </row>
    <row r="1144" spans="1:7" x14ac:dyDescent="0.25">
      <c r="A1144" s="60" t="s">
        <v>5393</v>
      </c>
      <c r="B1144" t="str">
        <f>findKey(supplementary_offering_legacyid[[#This Row],[Produccion]])</f>
        <v>17083659259</v>
      </c>
      <c r="C1144" s="61" t="s">
        <v>5394</v>
      </c>
      <c r="D1144" t="s">
        <v>1039</v>
      </c>
      <c r="E1144" t="s">
        <v>2189</v>
      </c>
      <c r="F1144" t="str">
        <f>ToJsonArray(supplementary_offering_legacyid[[#Headers],[offeringid]:[mode]],supplementary_offering_legacyid[[#This Row],[offeringid]:[mode]])</f>
        <v>{"offeringid":"990000563","name":"Combo datos 12GB WA + Mail","mode":"I"}</v>
      </c>
      <c r="G1144" t="str">
        <f>ToJsonArray(supplementary_offering_legacyid[[#This Row],[Semilla04]],supplementary_offering_legacyid[[#This Row],[Json]])</f>
        <v>{"17083659259":{"offeringid":"990000563","name":"Combo datos 12GB WA + Mail","mode":"I"}}</v>
      </c>
    </row>
    <row r="1145" spans="1:7" x14ac:dyDescent="0.25">
      <c r="A1145" s="60" t="s">
        <v>5395</v>
      </c>
      <c r="B1145" t="str">
        <f>findKey(supplementary_offering_legacyid[[#This Row],[Produccion]])</f>
        <v>17083658555</v>
      </c>
      <c r="C1145" s="61" t="s">
        <v>5396</v>
      </c>
      <c r="D1145" t="s">
        <v>1017</v>
      </c>
      <c r="E1145" t="s">
        <v>2189</v>
      </c>
      <c r="F1145" t="str">
        <f>ToJsonArray(supplementary_offering_legacyid[[#Headers],[offeringid]:[mode]],supplementary_offering_legacyid[[#This Row],[offeringid]:[mode]])</f>
        <v>{"offeringid":"990000564","name":"Combo Voz Todo Destino infinito 6","mode":"I"}</v>
      </c>
      <c r="G1145" t="str">
        <f>ToJsonArray(supplementary_offering_legacyid[[#This Row],[Semilla04]],supplementary_offering_legacyid[[#This Row],[Json]])</f>
        <v>{"17083658555":{"offeringid":"990000564","name":"Combo Voz Todo Destino infinito 6","mode":"I"}}</v>
      </c>
    </row>
    <row r="1146" spans="1:7" x14ac:dyDescent="0.25">
      <c r="A1146" s="60" t="s">
        <v>5397</v>
      </c>
      <c r="B1146" t="str">
        <f>findKey(supplementary_offering_legacyid[[#This Row],[Produccion]])</f>
        <v>17083659227</v>
      </c>
      <c r="C1146" s="61" t="s">
        <v>5398</v>
      </c>
      <c r="D1146" t="s">
        <v>1009</v>
      </c>
      <c r="E1146" t="s">
        <v>2189</v>
      </c>
      <c r="F1146" t="str">
        <f>ToJsonArray(supplementary_offering_legacyid[[#Headers],[offeringid]:[mode]],supplementary_offering_legacyid[[#This Row],[offeringid]:[mode]])</f>
        <v>{"offeringid":"990000565","name":"Combo Voz Todo Destino infinito 2","mode":"I"}</v>
      </c>
      <c r="G1146" t="str">
        <f>ToJsonArray(supplementary_offering_legacyid[[#This Row],[Semilla04]],supplementary_offering_legacyid[[#This Row],[Json]])</f>
        <v>{"17083659227":{"offeringid":"990000565","name":"Combo Voz Todo Destino infinito 2","mode":"I"}}</v>
      </c>
    </row>
    <row r="1147" spans="1:7" x14ac:dyDescent="0.25">
      <c r="A1147" s="60" t="s">
        <v>5399</v>
      </c>
      <c r="B1147" t="str">
        <f>findKey(supplementary_offering_legacyid[[#This Row],[Produccion]])</f>
        <v>17083658491</v>
      </c>
      <c r="C1147" s="61" t="s">
        <v>5400</v>
      </c>
      <c r="D1147" t="s">
        <v>1035</v>
      </c>
      <c r="E1147" t="s">
        <v>2189</v>
      </c>
      <c r="F1147" t="str">
        <f>ToJsonArray(supplementary_offering_legacyid[[#Headers],[offeringid]:[mode]],supplementary_offering_legacyid[[#This Row],[offeringid]:[mode]])</f>
        <v>{"offeringid":"990000566","name":"Combo datos 8GB WA + Mail","mode":"I"}</v>
      </c>
      <c r="G1147" t="str">
        <f>ToJsonArray(supplementary_offering_legacyid[[#This Row],[Semilla04]],supplementary_offering_legacyid[[#This Row],[Json]])</f>
        <v>{"17083658491":{"offeringid":"990000566","name":"Combo datos 8GB WA + Mail","mode":"I"}}</v>
      </c>
    </row>
    <row r="1148" spans="1:7" x14ac:dyDescent="0.25">
      <c r="A1148" s="60" t="s">
        <v>5401</v>
      </c>
      <c r="B1148" t="str">
        <f>findKey(supplementary_offering_legacyid[[#This Row],[Produccion]])</f>
        <v>17083089378</v>
      </c>
      <c r="C1148" s="61" t="s">
        <v>5402</v>
      </c>
      <c r="D1148" t="s">
        <v>415</v>
      </c>
      <c r="E1148" t="s">
        <v>2189</v>
      </c>
      <c r="F1148" t="str">
        <f>ToJsonArray(supplementary_offering_legacyid[[#Headers],[offeringid]:[mode]],supplementary_offering_legacyid[[#This Row],[offeringid]:[mode]])</f>
        <v>{"offeringid":"990000567","name":"PQT Corp SMS Tigo 150","mode":"I"}</v>
      </c>
      <c r="G1148" t="str">
        <f>ToJsonArray(supplementary_offering_legacyid[[#This Row],[Semilla04]],supplementary_offering_legacyid[[#This Row],[Json]])</f>
        <v>{"17083089378":{"offeringid":"990000567","name":"PQT Corp SMS Tigo 150","mode":"I"}}</v>
      </c>
    </row>
    <row r="1149" spans="1:7" x14ac:dyDescent="0.25">
      <c r="A1149" s="60" t="s">
        <v>5403</v>
      </c>
      <c r="B1149" t="str">
        <f>findKey(supplementary_offering_legacyid[[#This Row],[Produccion]])</f>
        <v>17100981942</v>
      </c>
      <c r="C1149" s="61" t="s">
        <v>5404</v>
      </c>
      <c r="D1149" t="s">
        <v>772</v>
      </c>
      <c r="E1149" t="s">
        <v>2189</v>
      </c>
      <c r="F1149" t="str">
        <f>ToJsonArray(supplementary_offering_legacyid[[#Headers],[offeringid]:[mode]],supplementary_offering_legacyid[[#This Row],[offeringid]:[mode]])</f>
        <v>{"offeringid":"990000569","name":"Paquete Tigo Bolsa Datos 8GB Control","mode":"I"}</v>
      </c>
      <c r="G1149" t="str">
        <f>ToJsonArray(supplementary_offering_legacyid[[#This Row],[Semilla04]],supplementary_offering_legacyid[[#This Row],[Json]])</f>
        <v>{"17100981942":{"offeringid":"990000569","name":"Paquete Tigo Bolsa Datos 8GB Control","mode":"I"}}</v>
      </c>
    </row>
    <row r="1150" spans="1:7" x14ac:dyDescent="0.25">
      <c r="A1150" s="60" t="s">
        <v>5405</v>
      </c>
      <c r="B1150" t="str">
        <f>findKey(supplementary_offering_legacyid[[#This Row],[Produccion]])</f>
        <v>17084994143</v>
      </c>
      <c r="C1150" s="61" t="s">
        <v>5406</v>
      </c>
      <c r="D1150" t="s">
        <v>770</v>
      </c>
      <c r="E1150" t="s">
        <v>2189</v>
      </c>
      <c r="F1150" t="str">
        <f>ToJsonArray(supplementary_offering_legacyid[[#Headers],[offeringid]:[mode]],supplementary_offering_legacyid[[#This Row],[offeringid]:[mode]])</f>
        <v>{"offeringid":"990000571","name":"Paquete Tigo Bolsa Datos 30GB Control","mode":"I"}</v>
      </c>
      <c r="G1150" t="str">
        <f>ToJsonArray(supplementary_offering_legacyid[[#This Row],[Semilla04]],supplementary_offering_legacyid[[#This Row],[Json]])</f>
        <v>{"17084994143":{"offeringid":"990000571","name":"Paquete Tigo Bolsa Datos 30GB Control","mode":"I"}}</v>
      </c>
    </row>
    <row r="1151" spans="1:7" x14ac:dyDescent="0.25">
      <c r="A1151" s="60" t="s">
        <v>5407</v>
      </c>
      <c r="B1151" t="str">
        <f>findKey(supplementary_offering_legacyid[[#This Row],[Produccion]])</f>
        <v>17085302254</v>
      </c>
      <c r="C1151" s="61" t="s">
        <v>5408</v>
      </c>
      <c r="D1151" t="s">
        <v>888</v>
      </c>
      <c r="E1151" t="s">
        <v>2189</v>
      </c>
      <c r="F1151" t="str">
        <f>ToJsonArray(supplementary_offering_legacyid[[#Headers],[offeringid]:[mode]],supplementary_offering_legacyid[[#This Row],[offeringid]:[mode]])</f>
        <v>{"offeringid":"990000572","name":"Plan 6.000 Minutos TD","mode":"I"}</v>
      </c>
      <c r="G1151" t="str">
        <f>ToJsonArray(supplementary_offering_legacyid[[#This Row],[Semilla04]],supplementary_offering_legacyid[[#This Row],[Json]])</f>
        <v>{"17085302254":{"offeringid":"990000572","name":"Plan 6.000 Minutos TD","mode":"I"}}</v>
      </c>
    </row>
    <row r="1152" spans="1:7" x14ac:dyDescent="0.25">
      <c r="A1152" s="60" t="s">
        <v>5409</v>
      </c>
      <c r="B1152" t="str">
        <f>findKey(supplementary_offering_legacyid[[#This Row],[Produccion]])</f>
        <v>17085303598</v>
      </c>
      <c r="C1152" s="61" t="s">
        <v>5410</v>
      </c>
      <c r="D1152" t="s">
        <v>890</v>
      </c>
      <c r="E1152" t="s">
        <v>2189</v>
      </c>
      <c r="F1152" t="str">
        <f>ToJsonArray(supplementary_offering_legacyid[[#Headers],[offeringid]:[mode]],supplementary_offering_legacyid[[#This Row],[offeringid]:[mode]])</f>
        <v>{"offeringid":"990000573","name":"Plan 10.000 Minutos TD","mode":"I"}</v>
      </c>
      <c r="G1152" t="str">
        <f>ToJsonArray(supplementary_offering_legacyid[[#This Row],[Semilla04]],supplementary_offering_legacyid[[#This Row],[Json]])</f>
        <v>{"17085303598":{"offeringid":"990000573","name":"Plan 10.000 Minutos TD","mode":"I"}}</v>
      </c>
    </row>
    <row r="1153" spans="1:7" x14ac:dyDescent="0.25">
      <c r="A1153" s="60" t="s">
        <v>5411</v>
      </c>
      <c r="B1153" t="str">
        <f>findKey(supplementary_offering_legacyid[[#This Row],[Produccion]])</f>
        <v>17085301678</v>
      </c>
      <c r="C1153" s="61" t="s">
        <v>5412</v>
      </c>
      <c r="D1153" t="s">
        <v>896</v>
      </c>
      <c r="E1153" t="s">
        <v>2189</v>
      </c>
      <c r="F1153" t="str">
        <f>ToJsonArray(supplementary_offering_legacyid[[#Headers],[offeringid]:[mode]],supplementary_offering_legacyid[[#This Row],[offeringid]:[mode]])</f>
        <v>{"offeringid":"990000574","name":"Plan 20.000 Minutos TD","mode":"I"}</v>
      </c>
      <c r="G1153" t="str">
        <f>ToJsonArray(supplementary_offering_legacyid[[#This Row],[Semilla04]],supplementary_offering_legacyid[[#This Row],[Json]])</f>
        <v>{"17085301678":{"offeringid":"990000574","name":"Plan 20.000 Minutos TD","mode":"I"}}</v>
      </c>
    </row>
    <row r="1154" spans="1:7" x14ac:dyDescent="0.25">
      <c r="A1154" s="60" t="s">
        <v>5413</v>
      </c>
      <c r="B1154" t="str">
        <f>findKey(supplementary_offering_legacyid[[#This Row],[Produccion]])</f>
        <v>17085302382</v>
      </c>
      <c r="C1154" s="61" t="s">
        <v>5414</v>
      </c>
      <c r="D1154" t="s">
        <v>904</v>
      </c>
      <c r="E1154" t="s">
        <v>2189</v>
      </c>
      <c r="F1154" t="str">
        <f>ToJsonArray(supplementary_offering_legacyid[[#Headers],[offeringid]:[mode]],supplementary_offering_legacyid[[#This Row],[offeringid]:[mode]])</f>
        <v>{"offeringid":"990000575","name":"Plan 30.000 Minutos TD","mode":"I"}</v>
      </c>
      <c r="G1154" t="str">
        <f>ToJsonArray(supplementary_offering_legacyid[[#This Row],[Semilla04]],supplementary_offering_legacyid[[#This Row],[Json]])</f>
        <v>{"17085302382":{"offeringid":"990000575","name":"Plan 30.000 Minutos TD","mode":"I"}}</v>
      </c>
    </row>
    <row r="1155" spans="1:7" x14ac:dyDescent="0.25">
      <c r="A1155" s="60" t="s">
        <v>5415</v>
      </c>
      <c r="B1155" t="str">
        <f>findKey(supplementary_offering_legacyid[[#This Row],[Produccion]])</f>
        <v>17085303534</v>
      </c>
      <c r="C1155" s="61" t="s">
        <v>5416</v>
      </c>
      <c r="D1155" t="s">
        <v>906</v>
      </c>
      <c r="E1155" t="s">
        <v>2189</v>
      </c>
      <c r="F1155" t="str">
        <f>ToJsonArray(supplementary_offering_legacyid[[#Headers],[offeringid]:[mode]],supplementary_offering_legacyid[[#This Row],[offeringid]:[mode]])</f>
        <v>{"offeringid":"990000576","name":"Plan 50.000 Minutos TD","mode":"I"}</v>
      </c>
      <c r="G1155" t="str">
        <f>ToJsonArray(supplementary_offering_legacyid[[#This Row],[Semilla04]],supplementary_offering_legacyid[[#This Row],[Json]])</f>
        <v>{"17085303534":{"offeringid":"990000576","name":"Plan 50.000 Minutos TD","mode":"I"}}</v>
      </c>
    </row>
    <row r="1156" spans="1:7" x14ac:dyDescent="0.25">
      <c r="A1156" s="60" t="s">
        <v>5417</v>
      </c>
      <c r="B1156" t="str">
        <f>findKey(supplementary_offering_legacyid[[#This Row],[Produccion]])</f>
        <v>17085304814</v>
      </c>
      <c r="C1156" s="61" t="s">
        <v>5418</v>
      </c>
      <c r="D1156" t="s">
        <v>908</v>
      </c>
      <c r="E1156" t="s">
        <v>2189</v>
      </c>
      <c r="F1156" t="str">
        <f>ToJsonArray(supplementary_offering_legacyid[[#Headers],[offeringid]:[mode]],supplementary_offering_legacyid[[#This Row],[offeringid]:[mode]])</f>
        <v>{"offeringid":"990000577","name":"Plan 80.000 Minutos TD","mode":"I"}</v>
      </c>
      <c r="G1156" t="str">
        <f>ToJsonArray(supplementary_offering_legacyid[[#This Row],[Semilla04]],supplementary_offering_legacyid[[#This Row],[Json]])</f>
        <v>{"17085304814":{"offeringid":"990000577","name":"Plan 80.000 Minutos TD","mode":"I"}}</v>
      </c>
    </row>
    <row r="1157" spans="1:7" x14ac:dyDescent="0.25">
      <c r="A1157" s="60" t="s">
        <v>5419</v>
      </c>
      <c r="B1157" t="str">
        <f>findKey(supplementary_offering_legacyid[[#This Row],[Produccion]])</f>
        <v>17085301934</v>
      </c>
      <c r="C1157" s="61" t="s">
        <v>5420</v>
      </c>
      <c r="D1157" t="s">
        <v>892</v>
      </c>
      <c r="E1157" t="s">
        <v>2189</v>
      </c>
      <c r="F1157" t="str">
        <f>ToJsonArray(supplementary_offering_legacyid[[#Headers],[offeringid]:[mode]],supplementary_offering_legacyid[[#This Row],[offeringid]:[mode]])</f>
        <v>{"offeringid":"990000578","name":"Plan 100.000 Minutos TD","mode":"I"}</v>
      </c>
      <c r="G1157" t="str">
        <f>ToJsonArray(supplementary_offering_legacyid[[#This Row],[Semilla04]],supplementary_offering_legacyid[[#This Row],[Json]])</f>
        <v>{"17085301934":{"offeringid":"990000578","name":"Plan 100.000 Minutos TD","mode":"I"}}</v>
      </c>
    </row>
    <row r="1158" spans="1:7" x14ac:dyDescent="0.25">
      <c r="A1158" s="60" t="s">
        <v>5421</v>
      </c>
      <c r="B1158" t="str">
        <f>findKey(supplementary_offering_legacyid[[#This Row],[Produccion]])</f>
        <v>17085304494</v>
      </c>
      <c r="C1158" s="61" t="s">
        <v>5422</v>
      </c>
      <c r="D1158" t="s">
        <v>894</v>
      </c>
      <c r="E1158" t="s">
        <v>2189</v>
      </c>
      <c r="F1158" t="str">
        <f>ToJsonArray(supplementary_offering_legacyid[[#Headers],[offeringid]:[mode]],supplementary_offering_legacyid[[#This Row],[offeringid]:[mode]])</f>
        <v>{"offeringid":"990000579","name":"Plan 150.000 Minutos TD","mode":"I"}</v>
      </c>
      <c r="G1158" t="str">
        <f>ToJsonArray(supplementary_offering_legacyid[[#This Row],[Semilla04]],supplementary_offering_legacyid[[#This Row],[Json]])</f>
        <v>{"17085304494":{"offeringid":"990000579","name":"Plan 150.000 Minutos TD","mode":"I"}}</v>
      </c>
    </row>
    <row r="1159" spans="1:7" x14ac:dyDescent="0.25">
      <c r="A1159" s="60" t="s">
        <v>5423</v>
      </c>
      <c r="B1159" t="str">
        <f>findKey(supplementary_offering_legacyid[[#This Row],[Produccion]])</f>
        <v>17085302894</v>
      </c>
      <c r="C1159" s="61" t="s">
        <v>5424</v>
      </c>
      <c r="D1159" t="s">
        <v>898</v>
      </c>
      <c r="E1159" t="s">
        <v>2189</v>
      </c>
      <c r="F1159" t="str">
        <f>ToJsonArray(supplementary_offering_legacyid[[#Headers],[offeringid]:[mode]],supplementary_offering_legacyid[[#This Row],[offeringid]:[mode]])</f>
        <v>{"offeringid":"990000580","name":"Plan 200.000 Minutos TD","mode":"I"}</v>
      </c>
      <c r="G1159" t="str">
        <f>ToJsonArray(supplementary_offering_legacyid[[#This Row],[Semilla04]],supplementary_offering_legacyid[[#This Row],[Json]])</f>
        <v>{"17085302894":{"offeringid":"990000580","name":"Plan 200.000 Minutos TD","mode":"I"}}</v>
      </c>
    </row>
    <row r="1160" spans="1:7" x14ac:dyDescent="0.25">
      <c r="A1160" s="60" t="s">
        <v>5425</v>
      </c>
      <c r="B1160" t="str">
        <f>findKey(supplementary_offering_legacyid[[#This Row],[Produccion]])</f>
        <v>17085304174</v>
      </c>
      <c r="C1160" s="61" t="s">
        <v>5426</v>
      </c>
      <c r="D1160" t="s">
        <v>902</v>
      </c>
      <c r="E1160" t="s">
        <v>2189</v>
      </c>
      <c r="F1160" t="str">
        <f>ToJsonArray(supplementary_offering_legacyid[[#Headers],[offeringid]:[mode]],supplementary_offering_legacyid[[#This Row],[offeringid]:[mode]])</f>
        <v>{"offeringid":"990000581","name":"Plan 300.000 Minutos TD","mode":"I"}</v>
      </c>
      <c r="G1160" t="str">
        <f>ToJsonArray(supplementary_offering_legacyid[[#This Row],[Semilla04]],supplementary_offering_legacyid[[#This Row],[Json]])</f>
        <v>{"17085304174":{"offeringid":"990000581","name":"Plan 300.000 Minutos TD","mode":"I"}}</v>
      </c>
    </row>
    <row r="1161" spans="1:7" x14ac:dyDescent="0.25">
      <c r="A1161" s="60" t="s">
        <v>5427</v>
      </c>
      <c r="B1161" t="str">
        <f>findKey(supplementary_offering_legacyid[[#This Row],[Produccion]])</f>
        <v>17085300974</v>
      </c>
      <c r="C1161" s="61" t="s">
        <v>5428</v>
      </c>
      <c r="D1161" t="s">
        <v>900</v>
      </c>
      <c r="E1161" t="s">
        <v>2189</v>
      </c>
      <c r="F1161" t="str">
        <f>ToJsonArray(supplementary_offering_legacyid[[#Headers],[offeringid]:[mode]],supplementary_offering_legacyid[[#This Row],[offeringid]:[mode]])</f>
        <v>{"offeringid":"990000582","name":"Plan 400.000 Minutos TD","mode":"I"}</v>
      </c>
      <c r="G1161" t="str">
        <f>ToJsonArray(supplementary_offering_legacyid[[#This Row],[Semilla04]],supplementary_offering_legacyid[[#This Row],[Json]])</f>
        <v>{"17085300974":{"offeringid":"990000582","name":"Plan 400.000 Minutos TD","mode":"I"}}</v>
      </c>
    </row>
    <row r="1162" spans="1:7" x14ac:dyDescent="0.25">
      <c r="A1162" s="60" t="s">
        <v>5429</v>
      </c>
      <c r="B1162" t="str">
        <f>findKey(supplementary_offering_legacyid[[#This Row],[Produccion]])</f>
        <v>17085301038</v>
      </c>
      <c r="C1162" s="61" t="s">
        <v>5430</v>
      </c>
      <c r="D1162" t="s">
        <v>886</v>
      </c>
      <c r="E1162" t="s">
        <v>2189</v>
      </c>
      <c r="F1162" t="str">
        <f>ToJsonArray(supplementary_offering_legacyid[[#Headers],[offeringid]:[mode]],supplementary_offering_legacyid[[#This Row],[offeringid]:[mode]])</f>
        <v>{"offeringid":"990000583","name":"Plan 500.000 Minutos TD","mode":"I"}</v>
      </c>
      <c r="G1162" t="str">
        <f>ToJsonArray(supplementary_offering_legacyid[[#This Row],[Semilla04]],supplementary_offering_legacyid[[#This Row],[Json]])</f>
        <v>{"17085301038":{"offeringid":"990000583","name":"Plan 500.000 Minutos TD","mode":"I"}}</v>
      </c>
    </row>
    <row r="1163" spans="1:7" x14ac:dyDescent="0.25">
      <c r="A1163" s="60" t="s">
        <v>5431</v>
      </c>
      <c r="B1163" t="str">
        <f>findKey(supplementary_offering_legacyid[[#This Row],[Produccion]])</f>
        <v>17085303246</v>
      </c>
      <c r="C1163" s="61" t="s">
        <v>5432</v>
      </c>
      <c r="D1163" t="s">
        <v>880</v>
      </c>
      <c r="E1163" t="s">
        <v>2189</v>
      </c>
      <c r="F1163" t="str">
        <f>ToJsonArray(supplementary_offering_legacyid[[#Headers],[offeringid]:[mode]],supplementary_offering_legacyid[[#This Row],[offeringid]:[mode]])</f>
        <v>{"offeringid":"990000584","name":"Plan 1.000.000 Minutos TD","mode":"I"}</v>
      </c>
      <c r="G1163" t="str">
        <f>ToJsonArray(supplementary_offering_legacyid[[#This Row],[Semilla04]],supplementary_offering_legacyid[[#This Row],[Json]])</f>
        <v>{"17085303246":{"offeringid":"990000584","name":"Plan 1.000.000 Minutos TD","mode":"I"}}</v>
      </c>
    </row>
    <row r="1164" spans="1:7" x14ac:dyDescent="0.25">
      <c r="A1164" s="60" t="s">
        <v>5433</v>
      </c>
      <c r="B1164" t="str">
        <f>findKey(supplementary_offering_legacyid[[#This Row],[Produccion]])</f>
        <v>17085302734</v>
      </c>
      <c r="C1164" s="61" t="s">
        <v>5434</v>
      </c>
      <c r="D1164" t="s">
        <v>882</v>
      </c>
      <c r="E1164" t="s">
        <v>2189</v>
      </c>
      <c r="F1164" t="str">
        <f>ToJsonArray(supplementary_offering_legacyid[[#Headers],[offeringid]:[mode]],supplementary_offering_legacyid[[#This Row],[offeringid]:[mode]])</f>
        <v>{"offeringid":"990000585","name":"Plan 2,000.000 Minutos TD","mode":"I"}</v>
      </c>
      <c r="G1164" t="str">
        <f>ToJsonArray(supplementary_offering_legacyid[[#This Row],[Semilla04]],supplementary_offering_legacyid[[#This Row],[Json]])</f>
        <v>{"17085302734":{"offeringid":"990000585","name":"Plan 2,000.000 Minutos TD","mode":"I"}}</v>
      </c>
    </row>
    <row r="1165" spans="1:7" x14ac:dyDescent="0.25">
      <c r="A1165" s="60" t="s">
        <v>5435</v>
      </c>
      <c r="B1165" t="str">
        <f>findKey(supplementary_offering_legacyid[[#This Row],[Produccion]])</f>
        <v>17085303854</v>
      </c>
      <c r="C1165" s="61" t="s">
        <v>5436</v>
      </c>
      <c r="D1165" t="s">
        <v>884</v>
      </c>
      <c r="E1165" t="s">
        <v>2189</v>
      </c>
      <c r="F1165" t="str">
        <f>ToJsonArray(supplementary_offering_legacyid[[#Headers],[offeringid]:[mode]],supplementary_offering_legacyid[[#This Row],[offeringid]:[mode]])</f>
        <v>{"offeringid":"990000586","name":"Plan 3,000.000 Minutos TD","mode":"I"}</v>
      </c>
      <c r="G1165" t="str">
        <f>ToJsonArray(supplementary_offering_legacyid[[#This Row],[Semilla04]],supplementary_offering_legacyid[[#This Row],[Json]])</f>
        <v>{"17085303854":{"offeringid":"990000586","name":"Plan 3,000.000 Minutos TD","mode":"I"}}</v>
      </c>
    </row>
    <row r="1166" spans="1:7" x14ac:dyDescent="0.25">
      <c r="A1166" s="60" t="s">
        <v>5437</v>
      </c>
      <c r="B1166" t="str">
        <f>findKey(supplementary_offering_legacyid[[#This Row],[Produccion]])</f>
        <v>17085301774</v>
      </c>
      <c r="C1166" s="61" t="s">
        <v>5438</v>
      </c>
      <c r="D1166" t="s">
        <v>858</v>
      </c>
      <c r="E1166" t="s">
        <v>2189</v>
      </c>
      <c r="F1166" t="str">
        <f>ToJsonArray(supplementary_offering_legacyid[[#Headers],[offeringid]:[mode]],supplementary_offering_legacyid[[#This Row],[offeringid]:[mode]])</f>
        <v>{"offeringid":"990000587","name":"Plan 500 Minutos LDI1","mode":"I"}</v>
      </c>
      <c r="G1166" t="str">
        <f>ToJsonArray(supplementary_offering_legacyid[[#This Row],[Semilla04]],supplementary_offering_legacyid[[#This Row],[Json]])</f>
        <v>{"17085301774":{"offeringid":"990000587","name":"Plan 500 Minutos LDI1","mode":"I"}}</v>
      </c>
    </row>
    <row r="1167" spans="1:7" x14ac:dyDescent="0.25">
      <c r="A1167" s="60" t="s">
        <v>5439</v>
      </c>
      <c r="B1167" t="str">
        <f>findKey(supplementary_offering_legacyid[[#This Row],[Produccion]])</f>
        <v>17085303158</v>
      </c>
      <c r="C1167" s="61" t="s">
        <v>5440</v>
      </c>
      <c r="D1167" t="s">
        <v>848</v>
      </c>
      <c r="E1167" t="s">
        <v>2189</v>
      </c>
      <c r="F1167" t="str">
        <f>ToJsonArray(supplementary_offering_legacyid[[#Headers],[offeringid]:[mode]],supplementary_offering_legacyid[[#This Row],[offeringid]:[mode]])</f>
        <v>{"offeringid":"990000588","name":"Plan 1.000 Minutos LDI1","mode":"I"}</v>
      </c>
      <c r="G1167" t="str">
        <f>ToJsonArray(supplementary_offering_legacyid[[#This Row],[Semilla04]],supplementary_offering_legacyid[[#This Row],[Json]])</f>
        <v>{"17085303158":{"offeringid":"990000588","name":"Plan 1.000 Minutos LDI1","mode":"I"}}</v>
      </c>
    </row>
    <row r="1168" spans="1:7" x14ac:dyDescent="0.25">
      <c r="A1168" s="60" t="s">
        <v>5441</v>
      </c>
      <c r="B1168" t="str">
        <f>findKey(supplementary_offering_legacyid[[#This Row],[Produccion]])</f>
        <v>17085301238</v>
      </c>
      <c r="C1168" s="61" t="s">
        <v>5442</v>
      </c>
      <c r="D1168" t="s">
        <v>854</v>
      </c>
      <c r="E1168" t="s">
        <v>2189</v>
      </c>
      <c r="F1168" t="str">
        <f>ToJsonArray(supplementary_offering_legacyid[[#Headers],[offeringid]:[mode]],supplementary_offering_legacyid[[#This Row],[offeringid]:[mode]])</f>
        <v>{"offeringid":"990000589","name":"Plan 3.000 Minutos LDI1","mode":"I"}</v>
      </c>
      <c r="G1168" t="str">
        <f>ToJsonArray(supplementary_offering_legacyid[[#This Row],[Semilla04]],supplementary_offering_legacyid[[#This Row],[Json]])</f>
        <v>{"17085301238":{"offeringid":"990000589","name":"Plan 3.000 Minutos LDI1","mode":"I"}}</v>
      </c>
    </row>
    <row r="1169" spans="1:7" x14ac:dyDescent="0.25">
      <c r="A1169" s="60" t="s">
        <v>5443</v>
      </c>
      <c r="B1169" t="str">
        <f>findKey(supplementary_offering_legacyid[[#This Row],[Produccion]])</f>
        <v>17085301518</v>
      </c>
      <c r="C1169" s="61" t="s">
        <v>5444</v>
      </c>
      <c r="D1169" t="s">
        <v>862</v>
      </c>
      <c r="E1169" t="s">
        <v>2189</v>
      </c>
      <c r="F1169" t="str">
        <f>ToJsonArray(supplementary_offering_legacyid[[#Headers],[offeringid]:[mode]],supplementary_offering_legacyid[[#This Row],[offeringid]:[mode]])</f>
        <v>{"offeringid":"990000590","name":"Plan 6.000 Minutos LDI1","mode":"I"}</v>
      </c>
      <c r="G1169" t="str">
        <f>ToJsonArray(supplementary_offering_legacyid[[#This Row],[Semilla04]],supplementary_offering_legacyid[[#This Row],[Json]])</f>
        <v>{"17085301518":{"offeringid":"990000590","name":"Plan 6.000 Minutos LDI1","mode":"I"}}</v>
      </c>
    </row>
    <row r="1170" spans="1:7" x14ac:dyDescent="0.25">
      <c r="A1170" s="60" t="s">
        <v>5445</v>
      </c>
      <c r="B1170" t="str">
        <f>findKey(supplementary_offering_legacyid[[#This Row],[Produccion]])</f>
        <v>17085302646</v>
      </c>
      <c r="C1170" s="61" t="s">
        <v>5446</v>
      </c>
      <c r="D1170" t="s">
        <v>850</v>
      </c>
      <c r="E1170" t="s">
        <v>2189</v>
      </c>
      <c r="F1170" t="str">
        <f>ToJsonArray(supplementary_offering_legacyid[[#Headers],[offeringid]:[mode]],supplementary_offering_legacyid[[#This Row],[offeringid]:[mode]])</f>
        <v>{"offeringid":"990000591","name":"Plan 10.000 Minutos LDI1","mode":"I"}</v>
      </c>
      <c r="G1170" t="str">
        <f>ToJsonArray(supplementary_offering_legacyid[[#This Row],[Semilla04]],supplementary_offering_legacyid[[#This Row],[Json]])</f>
        <v>{"17085302646":{"offeringid":"990000591","name":"Plan 10.000 Minutos LDI1","mode":"I"}}</v>
      </c>
    </row>
    <row r="1171" spans="1:7" x14ac:dyDescent="0.25">
      <c r="A1171" s="60" t="s">
        <v>5447</v>
      </c>
      <c r="B1171" t="str">
        <f>findKey(supplementary_offering_legacyid[[#This Row],[Produccion]])</f>
        <v>17085304054</v>
      </c>
      <c r="C1171" s="61" t="s">
        <v>5448</v>
      </c>
      <c r="D1171" t="s">
        <v>852</v>
      </c>
      <c r="E1171" t="s">
        <v>2189</v>
      </c>
      <c r="F1171" t="str">
        <f>ToJsonArray(supplementary_offering_legacyid[[#Headers],[offeringid]:[mode]],supplementary_offering_legacyid[[#This Row],[offeringid]:[mode]])</f>
        <v>{"offeringid":"990000592","name":"Plan 20.000 Minutos LDI1","mode":"I"}</v>
      </c>
      <c r="G1171" t="str">
        <f>ToJsonArray(supplementary_offering_legacyid[[#This Row],[Semilla04]],supplementary_offering_legacyid[[#This Row],[Json]])</f>
        <v>{"17085304054":{"offeringid":"990000592","name":"Plan 20.000 Minutos LDI1","mode":"I"}}</v>
      </c>
    </row>
    <row r="1172" spans="1:7" x14ac:dyDescent="0.25">
      <c r="A1172" s="60" t="s">
        <v>5449</v>
      </c>
      <c r="B1172" t="str">
        <f>findKey(supplementary_offering_legacyid[[#This Row],[Produccion]])</f>
        <v>17085303798</v>
      </c>
      <c r="C1172" s="61" t="s">
        <v>5450</v>
      </c>
      <c r="D1172" t="s">
        <v>856</v>
      </c>
      <c r="E1172" t="s">
        <v>2189</v>
      </c>
      <c r="F1172" t="str">
        <f>ToJsonArray(supplementary_offering_legacyid[[#Headers],[offeringid]:[mode]],supplementary_offering_legacyid[[#This Row],[offeringid]:[mode]])</f>
        <v>{"offeringid":"990000593","name":"Plan 30.000 Minutos LDI1","mode":"I"}</v>
      </c>
      <c r="G1172" t="str">
        <f>ToJsonArray(supplementary_offering_legacyid[[#This Row],[Semilla04]],supplementary_offering_legacyid[[#This Row],[Json]])</f>
        <v>{"17085303798":{"offeringid":"990000593","name":"Plan 30.000 Minutos LDI1","mode":"I"}}</v>
      </c>
    </row>
    <row r="1173" spans="1:7" x14ac:dyDescent="0.25">
      <c r="A1173" s="60" t="s">
        <v>5451</v>
      </c>
      <c r="B1173" t="str">
        <f>findKey(supplementary_offering_legacyid[[#This Row],[Produccion]])</f>
        <v>17085304334</v>
      </c>
      <c r="C1173" s="61" t="s">
        <v>5452</v>
      </c>
      <c r="D1173" t="s">
        <v>860</v>
      </c>
      <c r="E1173" t="s">
        <v>2189</v>
      </c>
      <c r="F1173" t="str">
        <f>ToJsonArray(supplementary_offering_legacyid[[#Headers],[offeringid]:[mode]],supplementary_offering_legacyid[[#This Row],[offeringid]:[mode]])</f>
        <v>{"offeringid":"990000594","name":"Plan 50.000 Minutos LDI1","mode":"I"}</v>
      </c>
      <c r="G1173" t="str">
        <f>ToJsonArray(supplementary_offering_legacyid[[#This Row],[Semilla04]],supplementary_offering_legacyid[[#This Row],[Json]])</f>
        <v>{"17085304334":{"offeringid":"990000594","name":"Plan 50.000 Minutos LDI1","mode":"I"}}</v>
      </c>
    </row>
    <row r="1174" spans="1:7" x14ac:dyDescent="0.25">
      <c r="A1174" s="60" t="s">
        <v>5453</v>
      </c>
      <c r="B1174" t="str">
        <f>findKey(supplementary_offering_legacyid[[#This Row],[Produccion]])</f>
        <v>17085302094</v>
      </c>
      <c r="C1174" s="61" t="s">
        <v>5454</v>
      </c>
      <c r="D1174" t="s">
        <v>876</v>
      </c>
      <c r="E1174" t="s">
        <v>2189</v>
      </c>
      <c r="F1174" t="str">
        <f>ToJsonArray(supplementary_offering_legacyid[[#Headers],[offeringid]:[mode]],supplementary_offering_legacyid[[#This Row],[offeringid]:[mode]])</f>
        <v>{"offeringid":"990000595","name":"Plan 500 Minutos LDI1 y 2","mode":"I"}</v>
      </c>
      <c r="G1174" t="str">
        <f>ToJsonArray(supplementary_offering_legacyid[[#This Row],[Semilla04]],supplementary_offering_legacyid[[#This Row],[Json]])</f>
        <v>{"17085302094":{"offeringid":"990000595","name":"Plan 500 Minutos LDI1 y 2","mode":"I"}}</v>
      </c>
    </row>
    <row r="1175" spans="1:7" x14ac:dyDescent="0.25">
      <c r="A1175" s="60" t="s">
        <v>5455</v>
      </c>
      <c r="B1175" t="str">
        <f>findKey(supplementary_offering_legacyid[[#This Row],[Produccion]])</f>
        <v>17085302926</v>
      </c>
      <c r="C1175" s="61" t="s">
        <v>5456</v>
      </c>
      <c r="D1175" t="s">
        <v>864</v>
      </c>
      <c r="E1175" t="s">
        <v>2189</v>
      </c>
      <c r="F1175" t="str">
        <f>ToJsonArray(supplementary_offering_legacyid[[#Headers],[offeringid]:[mode]],supplementary_offering_legacyid[[#This Row],[offeringid]:[mode]])</f>
        <v>{"offeringid":"990000596","name":"Plan 1.000 Minutos LDI1 y 2","mode":"I"}</v>
      </c>
      <c r="G1175" t="str">
        <f>ToJsonArray(supplementary_offering_legacyid[[#This Row],[Semilla04]],supplementary_offering_legacyid[[#This Row],[Json]])</f>
        <v>{"17085302926":{"offeringid":"990000596","name":"Plan 1.000 Minutos LDI1 y 2","mode":"I"}}</v>
      </c>
    </row>
    <row r="1176" spans="1:7" x14ac:dyDescent="0.25">
      <c r="A1176" s="60" t="s">
        <v>5457</v>
      </c>
      <c r="B1176" t="str">
        <f>findKey(supplementary_offering_legacyid[[#This Row],[Produccion]])</f>
        <v>17085300814</v>
      </c>
      <c r="C1176" s="61" t="s">
        <v>5458</v>
      </c>
      <c r="D1176" t="s">
        <v>870</v>
      </c>
      <c r="E1176" t="s">
        <v>2189</v>
      </c>
      <c r="F1176" t="str">
        <f>ToJsonArray(supplementary_offering_legacyid[[#Headers],[offeringid]:[mode]],supplementary_offering_legacyid[[#This Row],[offeringid]:[mode]])</f>
        <v>{"offeringid":"990000597","name":"Plan 3.000 Minutos LDI1 y 2","mode":"I"}</v>
      </c>
      <c r="G1176" t="str">
        <f>ToJsonArray(supplementary_offering_legacyid[[#This Row],[Semilla04]],supplementary_offering_legacyid[[#This Row],[Json]])</f>
        <v>{"17085300814":{"offeringid":"990000597","name":"Plan 3.000 Minutos LDI1 y 2","mode":"I"}}</v>
      </c>
    </row>
    <row r="1177" spans="1:7" x14ac:dyDescent="0.25">
      <c r="A1177" s="60" t="s">
        <v>5459</v>
      </c>
      <c r="B1177" t="str">
        <f>findKey(supplementary_offering_legacyid[[#This Row],[Produccion]])</f>
        <v>17085301454</v>
      </c>
      <c r="C1177" s="61" t="s">
        <v>5460</v>
      </c>
      <c r="D1177" t="s">
        <v>878</v>
      </c>
      <c r="E1177" t="s">
        <v>2189</v>
      </c>
      <c r="F1177" t="str">
        <f>ToJsonArray(supplementary_offering_legacyid[[#Headers],[offeringid]:[mode]],supplementary_offering_legacyid[[#This Row],[offeringid]:[mode]])</f>
        <v>{"offeringid":"990000598","name":"Plan 6.000 Minutos LDI1 y 2","mode":"I"}</v>
      </c>
      <c r="G1177" t="str">
        <f>ToJsonArray(supplementary_offering_legacyid[[#This Row],[Semilla04]],supplementary_offering_legacyid[[#This Row],[Json]])</f>
        <v>{"17085301454":{"offeringid":"990000598","name":"Plan 6.000 Minutos LDI1 y 2","mode":"I"}}</v>
      </c>
    </row>
    <row r="1178" spans="1:7" x14ac:dyDescent="0.25">
      <c r="A1178" s="60" t="s">
        <v>5461</v>
      </c>
      <c r="B1178" t="str">
        <f>findKey(supplementary_offering_legacyid[[#This Row],[Produccion]])</f>
        <v>17085302414</v>
      </c>
      <c r="C1178" s="61" t="s">
        <v>5462</v>
      </c>
      <c r="D1178" t="s">
        <v>866</v>
      </c>
      <c r="E1178" t="s">
        <v>2189</v>
      </c>
      <c r="F1178" t="str">
        <f>ToJsonArray(supplementary_offering_legacyid[[#Headers],[offeringid]:[mode]],supplementary_offering_legacyid[[#This Row],[offeringid]:[mode]])</f>
        <v>{"offeringid":"990000599","name":"Plan 10.000 Minutos LDI1 y 2","mode":"I"}</v>
      </c>
      <c r="G1178" t="str">
        <f>ToJsonArray(supplementary_offering_legacyid[[#This Row],[Semilla04]],supplementary_offering_legacyid[[#This Row],[Json]])</f>
        <v>{"17085302414":{"offeringid":"990000599","name":"Plan 10.000 Minutos LDI1 y 2","mode":"I"}}</v>
      </c>
    </row>
    <row r="1179" spans="1:7" x14ac:dyDescent="0.25">
      <c r="A1179" s="60" t="s">
        <v>5463</v>
      </c>
      <c r="B1179" t="str">
        <f>findKey(supplementary_offering_legacyid[[#This Row],[Produccion]])</f>
        <v>17085304206</v>
      </c>
      <c r="C1179" s="61" t="s">
        <v>5464</v>
      </c>
      <c r="D1179" t="s">
        <v>868</v>
      </c>
      <c r="E1179" t="s">
        <v>2189</v>
      </c>
      <c r="F1179" t="str">
        <f>ToJsonArray(supplementary_offering_legacyid[[#Headers],[offeringid]:[mode]],supplementary_offering_legacyid[[#This Row],[offeringid]:[mode]])</f>
        <v>{"offeringid":"990000600","name":"Plan 20.000 Minutos LDI1 y 2","mode":"I"}</v>
      </c>
      <c r="G1179" t="str">
        <f>ToJsonArray(supplementary_offering_legacyid[[#This Row],[Semilla04]],supplementary_offering_legacyid[[#This Row],[Json]])</f>
        <v>{"17085304206":{"offeringid":"990000600","name":"Plan 20.000 Minutos LDI1 y 2","mode":"I"}}</v>
      </c>
    </row>
    <row r="1180" spans="1:7" x14ac:dyDescent="0.25">
      <c r="A1180" s="60" t="s">
        <v>5465</v>
      </c>
      <c r="B1180" t="str">
        <f>findKey(supplementary_offering_legacyid[[#This Row],[Produccion]])</f>
        <v>17085303374</v>
      </c>
      <c r="C1180" s="61" t="s">
        <v>5466</v>
      </c>
      <c r="D1180" t="s">
        <v>872</v>
      </c>
      <c r="E1180" t="s">
        <v>2189</v>
      </c>
      <c r="F1180" t="str">
        <f>ToJsonArray(supplementary_offering_legacyid[[#Headers],[offeringid]:[mode]],supplementary_offering_legacyid[[#This Row],[offeringid]:[mode]])</f>
        <v>{"offeringid":"990000601","name":"Plan 30.000 Minutos LDI1 y 2","mode":"I"}</v>
      </c>
      <c r="G1180" t="str">
        <f>ToJsonArray(supplementary_offering_legacyid[[#This Row],[Semilla04]],supplementary_offering_legacyid[[#This Row],[Json]])</f>
        <v>{"17085303374":{"offeringid":"990000601","name":"Plan 30.000 Minutos LDI1 y 2","mode":"I"}}</v>
      </c>
    </row>
    <row r="1181" spans="1:7" x14ac:dyDescent="0.25">
      <c r="A1181" s="60" t="s">
        <v>5467</v>
      </c>
      <c r="B1181" t="str">
        <f>findKey(supplementary_offering_legacyid[[#This Row],[Produccion]])</f>
        <v>17085304654</v>
      </c>
      <c r="C1181" s="61" t="s">
        <v>5468</v>
      </c>
      <c r="D1181" t="s">
        <v>874</v>
      </c>
      <c r="E1181" t="s">
        <v>2189</v>
      </c>
      <c r="F1181" t="str">
        <f>ToJsonArray(supplementary_offering_legacyid[[#Headers],[offeringid]:[mode]],supplementary_offering_legacyid[[#This Row],[offeringid]:[mode]])</f>
        <v>{"offeringid":"990000602","name":"Plan 50.000 Minutos LDI1 y 2","mode":"I"}</v>
      </c>
      <c r="G1181" t="str">
        <f>ToJsonArray(supplementary_offering_legacyid[[#This Row],[Semilla04]],supplementary_offering_legacyid[[#This Row],[Json]])</f>
        <v>{"17085304654":{"offeringid":"990000602","name":"Plan 50.000 Minutos LDI1 y 2","mode":"I"}}</v>
      </c>
    </row>
    <row r="1182" spans="1:7" x14ac:dyDescent="0.25">
      <c r="A1182" s="60" t="s">
        <v>5469</v>
      </c>
      <c r="B1182" t="str">
        <f>findKey(supplementary_offering_legacyid[[#This Row],[Produccion]])</f>
        <v>17085301278</v>
      </c>
      <c r="C1182" s="61" t="s">
        <v>5470</v>
      </c>
      <c r="D1182" t="s">
        <v>910</v>
      </c>
      <c r="E1182" t="s">
        <v>2189</v>
      </c>
      <c r="F1182" t="str">
        <f>ToJsonArray(supplementary_offering_legacyid[[#Headers],[offeringid]:[mode]],supplementary_offering_legacyid[[#This Row],[offeringid]:[mode]])</f>
        <v>{"offeringid":"990000603","name":"Plan 10.000 Minutos CUG","mode":"I"}</v>
      </c>
      <c r="G1182" t="str">
        <f>ToJsonArray(supplementary_offering_legacyid[[#This Row],[Semilla04]],supplementary_offering_legacyid[[#This Row],[Json]])</f>
        <v>{"17085301278":{"offeringid":"990000603","name":"Plan 10.000 Minutos CUG","mode":"I"}}</v>
      </c>
    </row>
    <row r="1183" spans="1:7" x14ac:dyDescent="0.25">
      <c r="A1183" s="60" t="s">
        <v>5471</v>
      </c>
      <c r="B1183" t="str">
        <f>findKey(supplementary_offering_legacyid[[#This Row],[Produccion]])</f>
        <v>17085303070</v>
      </c>
      <c r="C1183" s="61" t="s">
        <v>5472</v>
      </c>
      <c r="D1183" t="s">
        <v>912</v>
      </c>
      <c r="E1183" t="s">
        <v>2189</v>
      </c>
      <c r="F1183" t="str">
        <f>ToJsonArray(supplementary_offering_legacyid[[#Headers],[offeringid]:[mode]],supplementary_offering_legacyid[[#This Row],[offeringid]:[mode]])</f>
        <v>{"offeringid":"990000605","name":"Plan 100.000 Minutos CUG","mode":"I"}</v>
      </c>
      <c r="G1183" t="str">
        <f>ToJsonArray(supplementary_offering_legacyid[[#This Row],[Semilla04]],supplementary_offering_legacyid[[#This Row],[Json]])</f>
        <v>{"17085303070":{"offeringid":"990000605","name":"Plan 100.000 Minutos CUG","mode":"I"}}</v>
      </c>
    </row>
    <row r="1184" spans="1:7" x14ac:dyDescent="0.25">
      <c r="A1184" s="60" t="s">
        <v>5473</v>
      </c>
      <c r="B1184" t="str">
        <f>findKey(supplementary_offering_legacyid[[#This Row],[Produccion]])</f>
        <v>17085304734</v>
      </c>
      <c r="C1184" s="61" t="s">
        <v>5474</v>
      </c>
      <c r="D1184" t="s">
        <v>916</v>
      </c>
      <c r="E1184" t="s">
        <v>2189</v>
      </c>
      <c r="F1184" t="str">
        <f>ToJsonArray(supplementary_offering_legacyid[[#Headers],[offeringid]:[mode]],supplementary_offering_legacyid[[#This Row],[offeringid]:[mode]])</f>
        <v>{"offeringid":"990000606","name":"Numeracion Movil Adicional","mode":"I"}</v>
      </c>
      <c r="G1184" t="str">
        <f>ToJsonArray(supplementary_offering_legacyid[[#This Row],[Semilla04]],supplementary_offering_legacyid[[#This Row],[Json]])</f>
        <v>{"17085304734":{"offeringid":"990000606","name":"Numeracion Movil Adicional","mode":"I"}}</v>
      </c>
    </row>
    <row r="1185" spans="1:7" x14ac:dyDescent="0.25">
      <c r="A1185" s="60" t="s">
        <v>5475</v>
      </c>
      <c r="B1185" t="str">
        <f>findKey(supplementary_offering_legacyid[[#This Row],[Produccion]])</f>
        <v>17085383980</v>
      </c>
      <c r="C1185" s="61" t="s">
        <v>5476</v>
      </c>
      <c r="D1185" t="s">
        <v>915</v>
      </c>
      <c r="E1185" t="s">
        <v>2189</v>
      </c>
      <c r="F1185" t="str">
        <f>ToJsonArray(supplementary_offering_legacyid[[#Headers],[offeringid]:[mode]],supplementary_offering_legacyid[[#This Row],[offeringid]:[mode]])</f>
        <v>{"offeringid":"990000607","name":"Acceso adicional - simultaneidad","mode":"I"}</v>
      </c>
      <c r="G1185" t="str">
        <f>ToJsonArray(supplementary_offering_legacyid[[#This Row],[Semilla04]],supplementary_offering_legacyid[[#This Row],[Json]])</f>
        <v>{"17085383980":{"offeringid":"990000607","name":"Acceso adicional - simultaneidad","mode":"I"}}</v>
      </c>
    </row>
    <row r="1186" spans="1:7" x14ac:dyDescent="0.25">
      <c r="A1186" s="60" t="s">
        <v>5477</v>
      </c>
      <c r="B1186" t="str">
        <f>findKey(supplementary_offering_legacyid[[#This Row],[Produccion]])</f>
        <v>17085302390</v>
      </c>
      <c r="C1186" s="61" t="s">
        <v>5478</v>
      </c>
      <c r="D1186" t="s">
        <v>846</v>
      </c>
      <c r="E1186" t="s">
        <v>2189</v>
      </c>
      <c r="F1186" t="str">
        <f>ToJsonArray(supplementary_offering_legacyid[[#Headers],[offeringid]:[mode]],supplementary_offering_legacyid[[#This Row],[offeringid]:[mode]])</f>
        <v>{"offeringid":"990000608","name":"Arriendo Equipo SBC","mode":"I"}</v>
      </c>
      <c r="G1186" t="str">
        <f>ToJsonArray(supplementary_offering_legacyid[[#This Row],[Semilla04]],supplementary_offering_legacyid[[#This Row],[Json]])</f>
        <v>{"17085302390":{"offeringid":"990000608","name":"Arriendo Equipo SBC","mode":"I"}}</v>
      </c>
    </row>
    <row r="1187" spans="1:7" x14ac:dyDescent="0.25">
      <c r="A1187" s="60" t="s">
        <v>5479</v>
      </c>
      <c r="B1187" t="str">
        <f>findKey(supplementary_offering_legacyid[[#This Row],[Produccion]])</f>
        <v>17085301854</v>
      </c>
      <c r="C1187" s="61" t="s">
        <v>5480</v>
      </c>
      <c r="D1187" t="s">
        <v>917</v>
      </c>
      <c r="E1187" t="s">
        <v>2189</v>
      </c>
      <c r="F1187" t="str">
        <f>ToJsonArray(supplementary_offering_legacyid[[#Headers],[offeringid]:[mode]],supplementary_offering_legacyid[[#This Row],[offeringid]:[mode]])</f>
        <v>{"offeringid":"990000609","name":"Numero Movil Incluido","mode":"I"}</v>
      </c>
      <c r="G1187" t="str">
        <f>ToJsonArray(supplementary_offering_legacyid[[#This Row],[Semilla04]],supplementary_offering_legacyid[[#This Row],[Json]])</f>
        <v>{"17085301854":{"offeringid":"990000609","name":"Numero Movil Incluido","mode":"I"}}</v>
      </c>
    </row>
    <row r="1188" spans="1:7" x14ac:dyDescent="0.25">
      <c r="A1188" s="60" t="s">
        <v>5481</v>
      </c>
      <c r="B1188" t="str">
        <f>findKey(supplementary_offering_legacyid[[#This Row],[Produccion]])</f>
        <v>17085303926</v>
      </c>
      <c r="C1188" s="61" t="s">
        <v>5482</v>
      </c>
      <c r="D1188" t="s">
        <v>218</v>
      </c>
      <c r="E1188" t="s">
        <v>2189</v>
      </c>
      <c r="F1188" t="str">
        <f>ToJsonArray(supplementary_offering_legacyid[[#Headers],[offeringid]:[mode]],supplementary_offering_legacyid[[#This Row],[offeringid]:[mode]])</f>
        <v>{"offeringid":"990000611","name":"3 Accesos Incluidos - simultaneidad","mode":"I"}</v>
      </c>
      <c r="G1188" t="str">
        <f>ToJsonArray(supplementary_offering_legacyid[[#This Row],[Semilla04]],supplementary_offering_legacyid[[#This Row],[Json]])</f>
        <v>{"17085303926":{"offeringid":"990000611","name":"3 Accesos Incluidos - simultaneidad","mode":"I"}}</v>
      </c>
    </row>
    <row r="1189" spans="1:7" x14ac:dyDescent="0.25">
      <c r="A1189" s="60" t="s">
        <v>5483</v>
      </c>
      <c r="B1189" t="str">
        <f>findKey(supplementary_offering_legacyid[[#This Row],[Produccion]])</f>
        <v>17083122771</v>
      </c>
      <c r="C1189" s="61" t="s">
        <v>5484</v>
      </c>
      <c r="D1189" t="s">
        <v>767</v>
      </c>
      <c r="E1189" t="s">
        <v>2189</v>
      </c>
      <c r="F1189" t="str">
        <f>ToJsonArray(supplementary_offering_legacyid[[#Headers],[offeringid]:[mode]],supplementary_offering_legacyid[[#This Row],[offeringid]:[mode]])</f>
        <v>{"offeringid":"990000620","name":"Plan Datos Control 500 MB Corporativo vol 500","mode":"I"}</v>
      </c>
      <c r="G1189" t="str">
        <f>ToJsonArray(supplementary_offering_legacyid[[#This Row],[Semilla04]],supplementary_offering_legacyid[[#This Row],[Json]])</f>
        <v>{"17083122771":{"offeringid":"990000620","name":"Plan Datos Control 500 MB Corporativo vol 500","mode":"I"}}</v>
      </c>
    </row>
    <row r="1190" spans="1:7" x14ac:dyDescent="0.25">
      <c r="A1190" s="60" t="s">
        <v>5485</v>
      </c>
      <c r="B1190" t="str">
        <f>findKey(supplementary_offering_legacyid[[#This Row],[Produccion]])</f>
        <v>19372908103</v>
      </c>
      <c r="C1190" s="61" t="s">
        <v>5486</v>
      </c>
      <c r="D1190" t="s">
        <v>319</v>
      </c>
      <c r="E1190" t="s">
        <v>2189</v>
      </c>
      <c r="F1190" t="str">
        <f>ToJsonArray(supplementary_offering_legacyid[[#Headers],[offeringid]:[mode]],supplementary_offering_legacyid[[#This Row],[offeringid]:[mode]])</f>
        <v>{"offeringid":"990000621","name":"Paquete Control Ilimitado Corporativo 3GB","mode":"I"}</v>
      </c>
      <c r="G1190" t="str">
        <f>ToJsonArray(supplementary_offering_legacyid[[#This Row],[Semilla04]],supplementary_offering_legacyid[[#This Row],[Json]])</f>
        <v>{"19372908103":{"offeringid":"990000621","name":"Paquete Control Ilimitado Corporativo 3GB","mode":"I"}}</v>
      </c>
    </row>
    <row r="1191" spans="1:7" x14ac:dyDescent="0.25">
      <c r="A1191" s="60" t="s">
        <v>5487</v>
      </c>
      <c r="B1191" t="str">
        <f>findKey(supplementary_offering_legacyid[[#This Row],[Produccion]])</f>
        <v>19372905799</v>
      </c>
      <c r="C1191" s="61" t="s">
        <v>5488</v>
      </c>
      <c r="D1191" t="s">
        <v>318</v>
      </c>
      <c r="E1191" t="s">
        <v>2189</v>
      </c>
      <c r="F1191" t="str">
        <f>ToJsonArray(supplementary_offering_legacyid[[#Headers],[offeringid]:[mode]],supplementary_offering_legacyid[[#This Row],[offeringid]:[mode]])</f>
        <v>{"offeringid":"990000622","name":"Paquete Control Ilimitado Corporativo 500MB","mode":"I"}</v>
      </c>
      <c r="G1191" t="str">
        <f>ToJsonArray(supplementary_offering_legacyid[[#This Row],[Semilla04]],supplementary_offering_legacyid[[#This Row],[Json]])</f>
        <v>{"19372905799":{"offeringid":"990000622","name":"Paquete Control Ilimitado Corporativo 500MB","mode":"I"}}</v>
      </c>
    </row>
    <row r="1192" spans="1:7" x14ac:dyDescent="0.25">
      <c r="A1192" s="60" t="s">
        <v>5489</v>
      </c>
      <c r="B1192" t="str">
        <f>findKey(supplementary_offering_legacyid[[#This Row],[Produccion]])</f>
        <v>17083125333</v>
      </c>
      <c r="C1192" s="61" t="s">
        <v>5490</v>
      </c>
      <c r="D1192" t="s">
        <v>1757</v>
      </c>
      <c r="E1192" t="s">
        <v>2189</v>
      </c>
      <c r="F1192" t="str">
        <f>ToJsonArray(supplementary_offering_legacyid[[#Headers],[offeringid]:[mode]],supplementary_offering_legacyid[[#This Row],[offeringid]:[mode]])</f>
        <v>{"offeringid":"990000631","name":"Plan Datos Internet Movil Tigo ilimitado Total Control","mode":"I"}</v>
      </c>
      <c r="G1192" t="str">
        <f>ToJsonArray(supplementary_offering_legacyid[[#This Row],[Semilla04]],supplementary_offering_legacyid[[#This Row],[Json]])</f>
        <v>{"17083125333":{"offeringid":"990000631","name":"Plan Datos Internet Movil Tigo ilimitado Total Control","mode":"I"}}</v>
      </c>
    </row>
    <row r="1193" spans="1:7" x14ac:dyDescent="0.25">
      <c r="A1193" s="60" t="s">
        <v>5491</v>
      </c>
      <c r="B1193" t="str">
        <f>findKey(supplementary_offering_legacyid[[#This Row],[Produccion]])</f>
        <v>17101189636</v>
      </c>
      <c r="C1193" s="61" t="s">
        <v>5492</v>
      </c>
      <c r="D1193" t="s">
        <v>1999</v>
      </c>
      <c r="E1193" t="s">
        <v>2189</v>
      </c>
      <c r="F1193" t="str">
        <f>ToJsonArray(supplementary_offering_legacyid[[#Headers],[offeringid]:[mode]],supplementary_offering_legacyid[[#This Row],[offeringid]:[mode]])</f>
        <v>{"offeringid":"990000633","name":"Paquete de datos Internet Total limitado control Mes 10GB","mode":"I"}</v>
      </c>
      <c r="G1193" t="str">
        <f>ToJsonArray(supplementary_offering_legacyid[[#This Row],[Semilla04]],supplementary_offering_legacyid[[#This Row],[Json]])</f>
        <v>{"17101189636":{"offeringid":"990000633","name":"Paquete de datos Internet Total limitado control Mes 10GB","mode":"I"}}</v>
      </c>
    </row>
    <row r="1194" spans="1:7" x14ac:dyDescent="0.25">
      <c r="A1194" s="60" t="s">
        <v>5493</v>
      </c>
      <c r="B1194" t="str">
        <f>findKey(supplementary_offering_legacyid[[#This Row],[Produccion]])</f>
        <v>17101190404</v>
      </c>
      <c r="C1194" s="61" t="s">
        <v>5494</v>
      </c>
      <c r="D1194" t="s">
        <v>2001</v>
      </c>
      <c r="E1194" t="s">
        <v>2189</v>
      </c>
      <c r="F1194" t="str">
        <f>ToJsonArray(supplementary_offering_legacyid[[#Headers],[offeringid]:[mode]],supplementary_offering_legacyid[[#This Row],[offeringid]:[mode]])</f>
        <v>{"offeringid":"990000634","name":"Paquete de datos Internet Total limitado control Mes 20GB","mode":"I"}</v>
      </c>
      <c r="G1194" t="str">
        <f>ToJsonArray(supplementary_offering_legacyid[[#This Row],[Semilla04]],supplementary_offering_legacyid[[#This Row],[Json]])</f>
        <v>{"17101190404":{"offeringid":"990000634","name":"Paquete de datos Internet Total limitado control Mes 20GB","mode":"I"}}</v>
      </c>
    </row>
    <row r="1195" spans="1:7" x14ac:dyDescent="0.25">
      <c r="A1195" s="60" t="s">
        <v>5495</v>
      </c>
      <c r="B1195" t="str">
        <f>findKey(supplementary_offering_legacyid[[#This Row],[Produccion]])</f>
        <v>17101192708</v>
      </c>
      <c r="C1195" s="61" t="s">
        <v>5496</v>
      </c>
      <c r="D1195" t="s">
        <v>2000</v>
      </c>
      <c r="E1195" t="s">
        <v>2189</v>
      </c>
      <c r="F1195" t="str">
        <f>ToJsonArray(supplementary_offering_legacyid[[#Headers],[offeringid]:[mode]],supplementary_offering_legacyid[[#This Row],[offeringid]:[mode]])</f>
        <v>{"offeringid":"990000635","name":"Paquete de datos Internet Total limitado control Mes 15GB","mode":"I"}</v>
      </c>
      <c r="G1195" t="str">
        <f>ToJsonArray(supplementary_offering_legacyid[[#This Row],[Semilla04]],supplementary_offering_legacyid[[#This Row],[Json]])</f>
        <v>{"17101192708":{"offeringid":"990000635","name":"Paquete de datos Internet Total limitado control Mes 15GB","mode":"I"}}</v>
      </c>
    </row>
    <row r="1196" spans="1:7" x14ac:dyDescent="0.25">
      <c r="A1196" s="60" t="s">
        <v>5497</v>
      </c>
      <c r="B1196" t="str">
        <f>findKey(supplementary_offering_legacyid[[#This Row],[Produccion]])</f>
        <v>17084589532</v>
      </c>
      <c r="C1196" s="61" t="s">
        <v>5498</v>
      </c>
      <c r="D1196" t="s">
        <v>608</v>
      </c>
      <c r="E1196" t="s">
        <v>2189</v>
      </c>
      <c r="F1196" t="str">
        <f>ToJsonArray(supplementary_offering_legacyid[[#Headers],[offeringid]:[mode]],supplementary_offering_legacyid[[#This Row],[offeringid]:[mode]])</f>
        <v>{"offeringid":"990000636","name":"Paquete Internet limitado control Mes Vencido 20GB","mode":"I"}</v>
      </c>
      <c r="G1196" t="str">
        <f>ToJsonArray(supplementary_offering_legacyid[[#This Row],[Semilla04]],supplementary_offering_legacyid[[#This Row],[Json]])</f>
        <v>{"17084589532":{"offeringid":"990000636","name":"Paquete Internet limitado control Mes Vencido 20GB","mode":"I"}}</v>
      </c>
    </row>
    <row r="1197" spans="1:7" x14ac:dyDescent="0.25">
      <c r="A1197" s="60" t="s">
        <v>5499</v>
      </c>
      <c r="B1197" t="str">
        <f>findKey(supplementary_offering_legacyid[[#This Row],[Produccion]])</f>
        <v>17084589548</v>
      </c>
      <c r="C1197" s="61" t="s">
        <v>5500</v>
      </c>
      <c r="D1197" t="s">
        <v>488</v>
      </c>
      <c r="E1197" t="s">
        <v>2189</v>
      </c>
      <c r="F1197" t="str">
        <f>ToJsonArray(supplementary_offering_legacyid[[#Headers],[offeringid]:[mode]],supplementary_offering_legacyid[[#This Row],[offeringid]:[mode]])</f>
        <v>{"offeringid":"990000637","name":"Paquete Datos Mes Corriente 500 MB con Corte Control","mode":"I"}</v>
      </c>
      <c r="G1197" t="str">
        <f>ToJsonArray(supplementary_offering_legacyid[[#This Row],[Semilla04]],supplementary_offering_legacyid[[#This Row],[Json]])</f>
        <v>{"17084589548":{"offeringid":"990000637","name":"Paquete Datos Mes Corriente 500 MB con Corte Control","mode":"I"}}</v>
      </c>
    </row>
    <row r="1198" spans="1:7" x14ac:dyDescent="0.25">
      <c r="A1198" s="60" t="s">
        <v>5501</v>
      </c>
      <c r="B1198" t="str">
        <f>findKey(supplementary_offering_legacyid[[#This Row],[Produccion]])</f>
        <v>17084589084</v>
      </c>
      <c r="C1198" s="61" t="s">
        <v>5502</v>
      </c>
      <c r="D1198" t="s">
        <v>602</v>
      </c>
      <c r="E1198" t="s">
        <v>2189</v>
      </c>
      <c r="F1198" t="str">
        <f>ToJsonArray(supplementary_offering_legacyid[[#Headers],[offeringid]:[mode]],supplementary_offering_legacyid[[#This Row],[offeringid]:[mode]])</f>
        <v>{"offeringid":"990000638","name":"Paquete Datos Mes Vencido 2 GB con Corte Control","mode":"I"}</v>
      </c>
      <c r="G1198" t="str">
        <f>ToJsonArray(supplementary_offering_legacyid[[#This Row],[Semilla04]],supplementary_offering_legacyid[[#This Row],[Json]])</f>
        <v>{"17084589084":{"offeringid":"990000638","name":"Paquete Datos Mes Vencido 2 GB con Corte Control","mode":"I"}}</v>
      </c>
    </row>
    <row r="1199" spans="1:7" x14ac:dyDescent="0.25">
      <c r="A1199" s="60" t="s">
        <v>5503</v>
      </c>
      <c r="B1199" t="str">
        <f>findKey(supplementary_offering_legacyid[[#This Row],[Produccion]])</f>
        <v>17084589122</v>
      </c>
      <c r="C1199" s="61" t="s">
        <v>5504</v>
      </c>
      <c r="D1199" t="s">
        <v>495</v>
      </c>
      <c r="E1199" t="s">
        <v>2189</v>
      </c>
      <c r="F1199" t="str">
        <f>ToJsonArray(supplementary_offering_legacyid[[#Headers],[offeringid]:[mode]],supplementary_offering_legacyid[[#This Row],[offeringid]:[mode]])</f>
        <v>{"offeringid":"990000639","name":"Paquete Internet limitado control Mes Corriente 15GB","mode":"I"}</v>
      </c>
      <c r="G1199" t="str">
        <f>ToJsonArray(supplementary_offering_legacyid[[#This Row],[Semilla04]],supplementary_offering_legacyid[[#This Row],[Json]])</f>
        <v>{"17084589122":{"offeringid":"990000639","name":"Paquete Internet limitado control Mes Corriente 15GB","mode":"I"}}</v>
      </c>
    </row>
    <row r="1200" spans="1:7" x14ac:dyDescent="0.25">
      <c r="A1200" s="60" t="s">
        <v>5505</v>
      </c>
      <c r="B1200" t="str">
        <f>findKey(supplementary_offering_legacyid[[#This Row],[Produccion]])</f>
        <v>17084589740</v>
      </c>
      <c r="C1200" s="61" t="s">
        <v>5506</v>
      </c>
      <c r="D1200" t="s">
        <v>479</v>
      </c>
      <c r="E1200" t="s">
        <v>2189</v>
      </c>
      <c r="F1200" t="str">
        <f>ToJsonArray(supplementary_offering_legacyid[[#Headers],[offeringid]:[mode]],supplementary_offering_legacyid[[#This Row],[offeringid]:[mode]])</f>
        <v>{"offeringid":"990000640","name":"Paquete Datos Mes  Anticipado 3 GB con Corte Control","mode":"I"}</v>
      </c>
      <c r="G1200" t="str">
        <f>ToJsonArray(supplementary_offering_legacyid[[#This Row],[Semilla04]],supplementary_offering_legacyid[[#This Row],[Json]])</f>
        <v>{"17084589740":{"offeringid":"990000640","name":"Paquete Datos Mes  Anticipado 3 GB con Corte Control","mode":"I"}}</v>
      </c>
    </row>
    <row r="1201" spans="1:7" x14ac:dyDescent="0.25">
      <c r="A1201" s="60" t="s">
        <v>5507</v>
      </c>
      <c r="B1201" t="str">
        <f>findKey(supplementary_offering_legacyid[[#This Row],[Produccion]])</f>
        <v>17084589698</v>
      </c>
      <c r="C1201" s="61" t="s">
        <v>5508</v>
      </c>
      <c r="D1201" t="s">
        <v>482</v>
      </c>
      <c r="E1201" t="s">
        <v>2189</v>
      </c>
      <c r="F1201" t="str">
        <f>ToJsonArray(supplementary_offering_legacyid[[#Headers],[offeringid]:[mode]],supplementary_offering_legacyid[[#This Row],[offeringid]:[mode]])</f>
        <v>{"offeringid":"990000641","name":"Paquete Internet limitado control Mes Anticipado 10GB","mode":"I"}</v>
      </c>
      <c r="G1201" t="str">
        <f>ToJsonArray(supplementary_offering_legacyid[[#This Row],[Semilla04]],supplementary_offering_legacyid[[#This Row],[Json]])</f>
        <v>{"17084589698":{"offeringid":"990000641","name":"Paquete Internet limitado control Mes Anticipado 10GB","mode":"I"}}</v>
      </c>
    </row>
    <row r="1202" spans="1:7" x14ac:dyDescent="0.25">
      <c r="A1202" s="60" t="s">
        <v>5509</v>
      </c>
      <c r="B1202" t="str">
        <f>findKey(supplementary_offering_legacyid[[#This Row],[Produccion]])</f>
        <v>17084588972</v>
      </c>
      <c r="C1202" s="61" t="s">
        <v>5510</v>
      </c>
      <c r="D1202" t="s">
        <v>477</v>
      </c>
      <c r="E1202" t="s">
        <v>2189</v>
      </c>
      <c r="F1202" t="str">
        <f>ToJsonArray(supplementary_offering_legacyid[[#Headers],[offeringid]:[mode]],supplementary_offering_legacyid[[#This Row],[offeringid]:[mode]])</f>
        <v>{"offeringid":"990000642","name":"Paquete Datos Mes  Anticipado 1 GB con Corte Control","mode":"I"}</v>
      </c>
      <c r="G1202" t="str">
        <f>ToJsonArray(supplementary_offering_legacyid[[#This Row],[Semilla04]],supplementary_offering_legacyid[[#This Row],[Json]])</f>
        <v>{"17084588972":{"offeringid":"990000642","name":"Paquete Datos Mes  Anticipado 1 GB con Corte Control","mode":"I"}}</v>
      </c>
    </row>
    <row r="1203" spans="1:7" x14ac:dyDescent="0.25">
      <c r="A1203" s="60" t="s">
        <v>5511</v>
      </c>
      <c r="B1203" t="str">
        <f>findKey(supplementary_offering_legacyid[[#This Row],[Produccion]])</f>
        <v>17084588930</v>
      </c>
      <c r="C1203" s="61" t="s">
        <v>5512</v>
      </c>
      <c r="D1203" t="s">
        <v>484</v>
      </c>
      <c r="E1203" t="s">
        <v>2189</v>
      </c>
      <c r="F1203" t="str">
        <f>ToJsonArray(supplementary_offering_legacyid[[#Headers],[offeringid]:[mode]],supplementary_offering_legacyid[[#This Row],[offeringid]:[mode]])</f>
        <v>{"offeringid":"990000643","name":"Paquete Internet limitado control Mes Anticipado 20GB","mode":"I"}</v>
      </c>
      <c r="G1203" t="str">
        <f>ToJsonArray(supplementary_offering_legacyid[[#This Row],[Semilla04]],supplementary_offering_legacyid[[#This Row],[Json]])</f>
        <v>{"17084588930":{"offeringid":"990000643","name":"Paquete Internet limitado control Mes Anticipado 20GB","mode":"I"}}</v>
      </c>
    </row>
    <row r="1204" spans="1:7" x14ac:dyDescent="0.25">
      <c r="A1204" s="60" t="s">
        <v>5513</v>
      </c>
      <c r="B1204" t="str">
        <f>findKey(supplementary_offering_legacyid[[#This Row],[Produccion]])</f>
        <v>17084588780</v>
      </c>
      <c r="C1204" s="61" t="s">
        <v>5514</v>
      </c>
      <c r="D1204" t="s">
        <v>492</v>
      </c>
      <c r="E1204" t="s">
        <v>2189</v>
      </c>
      <c r="F1204" t="str">
        <f>ToJsonArray(supplementary_offering_legacyid[[#Headers],[offeringid]:[mode]],supplementary_offering_legacyid[[#This Row],[offeringid]:[mode]])</f>
        <v>{"offeringid":"990000644","name":"Paquete Datos Mes Corriente 5 GB con Corte Control","mode":"I"}</v>
      </c>
      <c r="G1204" t="str">
        <f>ToJsonArray(supplementary_offering_legacyid[[#This Row],[Semilla04]],supplementary_offering_legacyid[[#This Row],[Json]])</f>
        <v>{"17084588780":{"offeringid":"990000644","name":"Paquete Datos Mes Corriente 5 GB con Corte Control","mode":"I"}}</v>
      </c>
    </row>
    <row r="1205" spans="1:7" x14ac:dyDescent="0.25">
      <c r="A1205" s="60" t="s">
        <v>5515</v>
      </c>
      <c r="B1205" t="str">
        <f>findKey(supplementary_offering_legacyid[[#This Row],[Produccion]])</f>
        <v>17084588124</v>
      </c>
      <c r="C1205" s="61" t="s">
        <v>5516</v>
      </c>
      <c r="D1205" t="s">
        <v>603</v>
      </c>
      <c r="E1205" t="s">
        <v>2189</v>
      </c>
      <c r="F1205" t="str">
        <f>ToJsonArray(supplementary_offering_legacyid[[#Headers],[offeringid]:[mode]],supplementary_offering_legacyid[[#This Row],[offeringid]:[mode]])</f>
        <v>{"offeringid":"990000645","name":"Paquete Datos Mes  Vencido 3 GB con Corte Control","mode":"I"}</v>
      </c>
      <c r="G1205" t="str">
        <f>ToJsonArray(supplementary_offering_legacyid[[#This Row],[Semilla04]],supplementary_offering_legacyid[[#This Row],[Json]])</f>
        <v>{"17084588124":{"offeringid":"990000645","name":"Paquete Datos Mes  Vencido 3 GB con Corte Control","mode":"I"}}</v>
      </c>
    </row>
    <row r="1206" spans="1:7" x14ac:dyDescent="0.25">
      <c r="A1206" s="60" t="s">
        <v>5517</v>
      </c>
      <c r="B1206" t="str">
        <f>findKey(supplementary_offering_legacyid[[#This Row],[Produccion]])</f>
        <v>17084588252</v>
      </c>
      <c r="C1206" s="61" t="s">
        <v>5518</v>
      </c>
      <c r="D1206" t="s">
        <v>606</v>
      </c>
      <c r="E1206" t="s">
        <v>2189</v>
      </c>
      <c r="F1206" t="str">
        <f>ToJsonArray(supplementary_offering_legacyid[[#Headers],[offeringid]:[mode]],supplementary_offering_legacyid[[#This Row],[offeringid]:[mode]])</f>
        <v>{"offeringid":"990000646","name":"Paquete Internet limitado control Mes Vencido 10GB","mode":"I"}</v>
      </c>
      <c r="G1206" t="str">
        <f>ToJsonArray(supplementary_offering_legacyid[[#This Row],[Semilla04]],supplementary_offering_legacyid[[#This Row],[Json]])</f>
        <v>{"17084588252":{"offeringid":"990000646","name":"Paquete Internet limitado control Mes Vencido 10GB","mode":"I"}}</v>
      </c>
    </row>
    <row r="1207" spans="1:7" x14ac:dyDescent="0.25">
      <c r="A1207" s="60" t="s">
        <v>5519</v>
      </c>
      <c r="B1207" t="str">
        <f>findKey(supplementary_offering_legacyid[[#This Row],[Produccion]])</f>
        <v>17084588380</v>
      </c>
      <c r="C1207" s="61" t="s">
        <v>5520</v>
      </c>
      <c r="D1207" t="s">
        <v>493</v>
      </c>
      <c r="E1207" t="s">
        <v>2189</v>
      </c>
      <c r="F1207" t="str">
        <f>ToJsonArray(supplementary_offering_legacyid[[#Headers],[offeringid]:[mode]],supplementary_offering_legacyid[[#This Row],[offeringid]:[mode]])</f>
        <v>{"offeringid":"990000647","name":"Paquete Datos  Mes Corriente Tigo Ilimitado","mode":"I"}</v>
      </c>
      <c r="G1207" t="str">
        <f>ToJsonArray(supplementary_offering_legacyid[[#This Row],[Semilla04]],supplementary_offering_legacyid[[#This Row],[Json]])</f>
        <v>{"17084588380":{"offeringid":"990000647","name":"Paquete Datos  Mes Corriente Tigo Ilimitado","mode":"I"}}</v>
      </c>
    </row>
    <row r="1208" spans="1:7" x14ac:dyDescent="0.25">
      <c r="A1208" s="60" t="s">
        <v>5521</v>
      </c>
      <c r="B1208" t="str">
        <f>findKey(supplementary_offering_legacyid[[#This Row],[Produccion]])</f>
        <v>17084591516</v>
      </c>
      <c r="C1208" s="61" t="s">
        <v>5522</v>
      </c>
      <c r="D1208" t="s">
        <v>601</v>
      </c>
      <c r="E1208" t="s">
        <v>2189</v>
      </c>
      <c r="F1208" t="str">
        <f>ToJsonArray(supplementary_offering_legacyid[[#Headers],[offeringid]:[mode]],supplementary_offering_legacyid[[#This Row],[offeringid]:[mode]])</f>
        <v>{"offeringid":"990000648","name":"Paquete Datos Mes  Vencido 1 GB con Corte Control","mode":"I"}</v>
      </c>
      <c r="G1208" t="str">
        <f>ToJsonArray(supplementary_offering_legacyid[[#This Row],[Semilla04]],supplementary_offering_legacyid[[#This Row],[Json]])</f>
        <v>{"17084591516":{"offeringid":"990000648","name":"Paquete Datos Mes  Vencido 1 GB con Corte Control","mode":"I"}}</v>
      </c>
    </row>
    <row r="1209" spans="1:7" x14ac:dyDescent="0.25">
      <c r="A1209" s="60" t="s">
        <v>5523</v>
      </c>
      <c r="B1209" t="str">
        <f>findKey(supplementary_offering_legacyid[[#This Row],[Produccion]])</f>
        <v>17084591468</v>
      </c>
      <c r="C1209" s="61" t="s">
        <v>5524</v>
      </c>
      <c r="D1209" t="s">
        <v>490</v>
      </c>
      <c r="E1209" t="s">
        <v>2189</v>
      </c>
      <c r="F1209" t="str">
        <f>ToJsonArray(supplementary_offering_legacyid[[#Headers],[offeringid]:[mode]],supplementary_offering_legacyid[[#This Row],[offeringid]:[mode]])</f>
        <v>{"offeringid":"990000649","name":"Paquete Datos Mes Corriente 2 GB con Corte Control","mode":"I"}</v>
      </c>
      <c r="G1209" t="str">
        <f>ToJsonArray(supplementary_offering_legacyid[[#This Row],[Semilla04]],supplementary_offering_legacyid[[#This Row],[Json]])</f>
        <v>{"17084591468":{"offeringid":"990000649","name":"Paquete Datos Mes Corriente 2 GB con Corte Control","mode":"I"}}</v>
      </c>
    </row>
    <row r="1210" spans="1:7" x14ac:dyDescent="0.25">
      <c r="A1210" s="60" t="s">
        <v>5525</v>
      </c>
      <c r="B1210" t="str">
        <f>findKey(supplementary_offering_legacyid[[#This Row],[Produccion]])</f>
        <v>17084591452</v>
      </c>
      <c r="C1210" s="61" t="s">
        <v>5526</v>
      </c>
      <c r="D1210" t="s">
        <v>605</v>
      </c>
      <c r="E1210" t="s">
        <v>2189</v>
      </c>
      <c r="F1210" t="str">
        <f>ToJsonArray(supplementary_offering_legacyid[[#Headers],[offeringid]:[mode]],supplementary_offering_legacyid[[#This Row],[offeringid]:[mode]])</f>
        <v>{"offeringid":"990000650","name":"Paquete Datos  Mes Vencido Tigo Ilimitado","mode":"I"}</v>
      </c>
      <c r="G1210" t="str">
        <f>ToJsonArray(supplementary_offering_legacyid[[#This Row],[Semilla04]],supplementary_offering_legacyid[[#This Row],[Json]])</f>
        <v>{"17084591452":{"offeringid":"990000650","name":"Paquete Datos  Mes Vencido Tigo Ilimitado","mode":"I"}}</v>
      </c>
    </row>
    <row r="1211" spans="1:7" x14ac:dyDescent="0.25">
      <c r="A1211" s="60" t="s">
        <v>5527</v>
      </c>
      <c r="B1211" t="str">
        <f>findKey(supplementary_offering_legacyid[[#This Row],[Produccion]])</f>
        <v>17084591276</v>
      </c>
      <c r="C1211" s="61" t="s">
        <v>5528</v>
      </c>
      <c r="D1211" t="s">
        <v>480</v>
      </c>
      <c r="E1211" t="s">
        <v>2189</v>
      </c>
      <c r="F1211" t="str">
        <f>ToJsonArray(supplementary_offering_legacyid[[#Headers],[offeringid]:[mode]],supplementary_offering_legacyid[[#This Row],[offeringid]:[mode]])</f>
        <v>{"offeringid":"990000651","name":"Paquete Datos Mes Anticipado 5 GB con Corte Control","mode":"I"}</v>
      </c>
      <c r="G1211" t="str">
        <f>ToJsonArray(supplementary_offering_legacyid[[#This Row],[Semilla04]],supplementary_offering_legacyid[[#This Row],[Json]])</f>
        <v>{"17084591276":{"offeringid":"990000651","name":"Paquete Datos Mes Anticipado 5 GB con Corte Control","mode":"I"}}</v>
      </c>
    </row>
    <row r="1212" spans="1:7" x14ac:dyDescent="0.25">
      <c r="A1212" s="60" t="s">
        <v>5529</v>
      </c>
      <c r="B1212" t="str">
        <f>findKey(supplementary_offering_legacyid[[#This Row],[Produccion]])</f>
        <v>17084592044</v>
      </c>
      <c r="C1212" s="61" t="s">
        <v>5530</v>
      </c>
      <c r="D1212" t="s">
        <v>478</v>
      </c>
      <c r="E1212" t="s">
        <v>2189</v>
      </c>
      <c r="F1212" t="str">
        <f>ToJsonArray(supplementary_offering_legacyid[[#Headers],[offeringid]:[mode]],supplementary_offering_legacyid[[#This Row],[offeringid]:[mode]])</f>
        <v>{"offeringid":"990000652","name":"Paquete Datos Mes Anticipado 2 GB con Corte Control","mode":"I"}</v>
      </c>
      <c r="G1212" t="str">
        <f>ToJsonArray(supplementary_offering_legacyid[[#This Row],[Semilla04]],supplementary_offering_legacyid[[#This Row],[Json]])</f>
        <v>{"17084592044":{"offeringid":"990000652","name":"Paquete Datos Mes Anticipado 2 GB con Corte Control","mode":"I"}}</v>
      </c>
    </row>
    <row r="1213" spans="1:7" x14ac:dyDescent="0.25">
      <c r="A1213" s="60" t="s">
        <v>5531</v>
      </c>
      <c r="B1213" t="str">
        <f>findKey(supplementary_offering_legacyid[[#This Row],[Produccion]])</f>
        <v>17084592002</v>
      </c>
      <c r="C1213" s="61" t="s">
        <v>5532</v>
      </c>
      <c r="D1213" t="s">
        <v>494</v>
      </c>
      <c r="E1213" t="s">
        <v>2189</v>
      </c>
      <c r="F1213" t="str">
        <f>ToJsonArray(supplementary_offering_legacyid[[#Headers],[offeringid]:[mode]],supplementary_offering_legacyid[[#This Row],[offeringid]:[mode]])</f>
        <v>{"offeringid":"990000653","name":"Paquete Internet limitado control Mes Corriente 10GB","mode":"I"}</v>
      </c>
      <c r="G1213" t="str">
        <f>ToJsonArray(supplementary_offering_legacyid[[#This Row],[Semilla04]],supplementary_offering_legacyid[[#This Row],[Json]])</f>
        <v>{"17084592002":{"offeringid":"990000653","name":"Paquete Internet limitado control Mes Corriente 10GB","mode":"I"}}</v>
      </c>
    </row>
    <row r="1214" spans="1:7" x14ac:dyDescent="0.25">
      <c r="A1214" s="60" t="s">
        <v>5533</v>
      </c>
      <c r="B1214" t="str">
        <f>findKey(supplementary_offering_legacyid[[#This Row],[Produccion]])</f>
        <v>17084591644</v>
      </c>
      <c r="C1214" s="61" t="s">
        <v>5534</v>
      </c>
      <c r="D1214" t="s">
        <v>604</v>
      </c>
      <c r="E1214" t="s">
        <v>2189</v>
      </c>
      <c r="F1214" t="str">
        <f>ToJsonArray(supplementary_offering_legacyid[[#Headers],[offeringid]:[mode]],supplementary_offering_legacyid[[#This Row],[offeringid]:[mode]])</f>
        <v>{"offeringid":"990000654","name":"Paquete Datos Mes Vencido 5 GB con Corte Control","mode":"I"}</v>
      </c>
      <c r="G1214" t="str">
        <f>ToJsonArray(supplementary_offering_legacyid[[#This Row],[Semilla04]],supplementary_offering_legacyid[[#This Row],[Json]])</f>
        <v>{"17084591644":{"offeringid":"990000654","name":"Paquete Datos Mes Vencido 5 GB con Corte Control","mode":"I"}}</v>
      </c>
    </row>
    <row r="1215" spans="1:7" x14ac:dyDescent="0.25">
      <c r="A1215" s="60" t="s">
        <v>5535</v>
      </c>
      <c r="B1215" t="str">
        <f>findKey(supplementary_offering_legacyid[[#This Row],[Produccion]])</f>
        <v>17084590700</v>
      </c>
      <c r="C1215" s="61" t="s">
        <v>5536</v>
      </c>
      <c r="D1215" t="s">
        <v>489</v>
      </c>
      <c r="E1215" t="s">
        <v>2189</v>
      </c>
      <c r="F1215" t="str">
        <f>ToJsonArray(supplementary_offering_legacyid[[#Headers],[offeringid]:[mode]],supplementary_offering_legacyid[[#This Row],[offeringid]:[mode]])</f>
        <v>{"offeringid":"990000655","name":"Paquete Datos Mes  Corriente 1 GB con Corte Control","mode":"I"}</v>
      </c>
      <c r="G1215" t="str">
        <f>ToJsonArray(supplementary_offering_legacyid[[#This Row],[Semilla04]],supplementary_offering_legacyid[[#This Row],[Json]])</f>
        <v>{"17084590700":{"offeringid":"990000655","name":"Paquete Datos Mes  Corriente 1 GB con Corte Control","mode":"I"}}</v>
      </c>
    </row>
    <row r="1216" spans="1:7" x14ac:dyDescent="0.25">
      <c r="A1216" s="60" t="s">
        <v>5537</v>
      </c>
      <c r="B1216" t="str">
        <f>findKey(supplementary_offering_legacyid[[#This Row],[Produccion]])</f>
        <v>17084590684</v>
      </c>
      <c r="C1216" s="61" t="s">
        <v>5538</v>
      </c>
      <c r="D1216" t="s">
        <v>481</v>
      </c>
      <c r="E1216" t="s">
        <v>2189</v>
      </c>
      <c r="F1216" t="str">
        <f>ToJsonArray(supplementary_offering_legacyid[[#Headers],[offeringid]:[mode]],supplementary_offering_legacyid[[#This Row],[offeringid]:[mode]])</f>
        <v>{"offeringid":"990000656","name":"Paquete Datos  Mes Anticipado Tigo Ilimitado","mode":"I"}</v>
      </c>
      <c r="G1216" t="str">
        <f>ToJsonArray(supplementary_offering_legacyid[[#This Row],[Semilla04]],supplementary_offering_legacyid[[#This Row],[Json]])</f>
        <v>{"17084590684":{"offeringid":"990000656","name":"Paquete Datos  Mes Anticipado Tigo Ilimitado","mode":"I"}}</v>
      </c>
    </row>
    <row r="1217" spans="1:7" x14ac:dyDescent="0.25">
      <c r="A1217" s="60" t="s">
        <v>5539</v>
      </c>
      <c r="B1217" t="str">
        <f>findKey(supplementary_offering_legacyid[[#This Row],[Produccion]])</f>
        <v>17084590658</v>
      </c>
      <c r="C1217" s="61" t="s">
        <v>5540</v>
      </c>
      <c r="D1217" t="s">
        <v>496</v>
      </c>
      <c r="E1217" t="s">
        <v>2189</v>
      </c>
      <c r="F1217" t="str">
        <f>ToJsonArray(supplementary_offering_legacyid[[#Headers],[offeringid]:[mode]],supplementary_offering_legacyid[[#This Row],[offeringid]:[mode]])</f>
        <v>{"offeringid":"990000657","name":"Paquete Internet limitado control Mes Corriente 20GB","mode":"I"}</v>
      </c>
      <c r="G1217" t="str">
        <f>ToJsonArray(supplementary_offering_legacyid[[#This Row],[Semilla04]],supplementary_offering_legacyid[[#This Row],[Json]])</f>
        <v>{"17084590658":{"offeringid":"990000657","name":"Paquete Internet limitado control Mes Corriente 20GB","mode":"I"}}</v>
      </c>
    </row>
    <row r="1218" spans="1:7" x14ac:dyDescent="0.25">
      <c r="A1218" s="60" t="s">
        <v>5541</v>
      </c>
      <c r="B1218" t="str">
        <f>findKey(supplementary_offering_legacyid[[#This Row],[Produccion]])</f>
        <v>17084590812</v>
      </c>
      <c r="C1218" s="61" t="s">
        <v>5542</v>
      </c>
      <c r="D1218" t="s">
        <v>607</v>
      </c>
      <c r="E1218" t="s">
        <v>2189</v>
      </c>
      <c r="F1218" t="str">
        <f>ToJsonArray(supplementary_offering_legacyid[[#Headers],[offeringid]:[mode]],supplementary_offering_legacyid[[#This Row],[offeringid]:[mode]])</f>
        <v>{"offeringid":"990000658","name":"Paquete Internet limitado control Mes Vencido 15GB","mode":"I"}</v>
      </c>
      <c r="G1218" t="str">
        <f>ToJsonArray(supplementary_offering_legacyid[[#This Row],[Semilla04]],supplementary_offering_legacyid[[#This Row],[Json]])</f>
        <v>{"17084590812":{"offeringid":"990000658","name":"Paquete Internet limitado control Mes Vencido 15GB","mode":"I"}}</v>
      </c>
    </row>
    <row r="1219" spans="1:7" x14ac:dyDescent="0.25">
      <c r="A1219" s="60" t="s">
        <v>5543</v>
      </c>
      <c r="B1219" t="str">
        <f>findKey(supplementary_offering_legacyid[[#This Row],[Produccion]])</f>
        <v>17084590236</v>
      </c>
      <c r="C1219" s="61" t="s">
        <v>5544</v>
      </c>
      <c r="D1219" t="s">
        <v>500</v>
      </c>
      <c r="E1219" t="s">
        <v>2189</v>
      </c>
      <c r="F1219" t="str">
        <f>ToJsonArray(supplementary_offering_legacyid[[#Headers],[offeringid]:[mode]],supplementary_offering_legacyid[[#This Row],[offeringid]:[mode]])</f>
        <v>{"offeringid":"990000659","name":"Paquete Datos Mes Vencido 500 MB con Corte Control","mode":"I"}</v>
      </c>
      <c r="G1219" t="str">
        <f>ToJsonArray(supplementary_offering_legacyid[[#This Row],[Semilla04]],supplementary_offering_legacyid[[#This Row],[Json]])</f>
        <v>{"17084590236":{"offeringid":"990000659","name":"Paquete Datos Mes Vencido 500 MB con Corte Control","mode":"I"}}</v>
      </c>
    </row>
    <row r="1220" spans="1:7" x14ac:dyDescent="0.25">
      <c r="A1220" s="60" t="s">
        <v>5545</v>
      </c>
      <c r="B1220" t="str">
        <f>findKey(supplementary_offering_legacyid[[#This Row],[Produccion]])</f>
        <v>17084590316</v>
      </c>
      <c r="C1220" s="61" t="s">
        <v>5546</v>
      </c>
      <c r="D1220" t="s">
        <v>491</v>
      </c>
      <c r="E1220" t="s">
        <v>2189</v>
      </c>
      <c r="F1220" t="str">
        <f>ToJsonArray(supplementary_offering_legacyid[[#Headers],[offeringid]:[mode]],supplementary_offering_legacyid[[#This Row],[offeringid]:[mode]])</f>
        <v>{"offeringid":"990000660","name":"Paquete Datos Mes  Corriente 3 GB con Corte Control","mode":"I"}</v>
      </c>
      <c r="G1220" t="str">
        <f>ToJsonArray(supplementary_offering_legacyid[[#This Row],[Semilla04]],supplementary_offering_legacyid[[#This Row],[Json]])</f>
        <v>{"17084590316":{"offeringid":"990000660","name":"Paquete Datos Mes  Corriente 3 GB con Corte Control","mode":"I"}}</v>
      </c>
    </row>
    <row r="1221" spans="1:7" x14ac:dyDescent="0.25">
      <c r="A1221" s="60" t="s">
        <v>5547</v>
      </c>
      <c r="B1221" t="str">
        <f>findKey(supplementary_offering_legacyid[[#This Row],[Produccion]])</f>
        <v>17084590466</v>
      </c>
      <c r="C1221" s="61" t="s">
        <v>5548</v>
      </c>
      <c r="D1221" t="s">
        <v>483</v>
      </c>
      <c r="E1221" t="s">
        <v>2189</v>
      </c>
      <c r="F1221" t="str">
        <f>ToJsonArray(supplementary_offering_legacyid[[#Headers],[offeringid]:[mode]],supplementary_offering_legacyid[[#This Row],[offeringid]:[mode]])</f>
        <v>{"offeringid":"990000661","name":"Paquete Internet limitado control Mes Anticipado 15GB","mode":"I"}</v>
      </c>
      <c r="G1221" t="str">
        <f>ToJsonArray(supplementary_offering_legacyid[[#This Row],[Semilla04]],supplementary_offering_legacyid[[#This Row],[Json]])</f>
        <v>{"17084590466":{"offeringid":"990000661","name":"Paquete Internet limitado control Mes Anticipado 15GB","mode":"I"}}</v>
      </c>
    </row>
    <row r="1222" spans="1:7" x14ac:dyDescent="0.25">
      <c r="A1222" s="60" t="s">
        <v>5549</v>
      </c>
      <c r="B1222" t="str">
        <f>findKey(supplementary_offering_legacyid[[#This Row],[Produccion]])</f>
        <v>990000208</v>
      </c>
      <c r="C1222" s="61" t="s">
        <v>5549</v>
      </c>
      <c r="D1222" t="s">
        <v>5550</v>
      </c>
      <c r="E1222" t="s">
        <v>2189</v>
      </c>
      <c r="F1222" t="str">
        <f>ToJsonArray(supplementary_offering_legacyid[[#Headers],[offeringid]:[mode]],supplementary_offering_legacyid[[#This Row],[offeringid]:[mode]])</f>
        <v>{"offeringid":"990000208","name":"Equipo Movil","mode":"I"}</v>
      </c>
      <c r="G1222" t="str">
        <f>ToJsonArray(supplementary_offering_legacyid[[#This Row],[Semilla04]],supplementary_offering_legacyid[[#This Row],[Json]])</f>
        <v>{"990000208":{"offeringid":"990000208","name":"Equipo Movil","mode":"I"}}</v>
      </c>
    </row>
    <row r="1223" spans="1:7" x14ac:dyDescent="0.25">
      <c r="A1223" s="60" t="s">
        <v>5551</v>
      </c>
      <c r="B1223" t="str">
        <f>findKey(supplementary_offering_legacyid[[#This Row],[Produccion]])</f>
        <v>990000218</v>
      </c>
      <c r="C1223" s="61" t="s">
        <v>5551</v>
      </c>
      <c r="D1223" t="s">
        <v>5552</v>
      </c>
      <c r="E1223" t="s">
        <v>2189</v>
      </c>
      <c r="F1223" t="str">
        <f>ToJsonArray(supplementary_offering_legacyid[[#Headers],[offeringid]:[mode]],supplementary_offering_legacyid[[#This Row],[offeringid]:[mode]])</f>
        <v>{"offeringid":"990000218","name":"Addon Seguro ProtecciÃ³n de Pantalla","mode":"I"}</v>
      </c>
      <c r="G1223" t="str">
        <f>ToJsonArray(supplementary_offering_legacyid[[#This Row],[Semilla04]],supplementary_offering_legacyid[[#This Row],[Json]])</f>
        <v>{"990000218":{"offeringid":"990000218","name":"Addon Seguro ProtecciÃ³n de Pantalla","mode":"I"}}</v>
      </c>
    </row>
    <row r="1224" spans="1:7" x14ac:dyDescent="0.25">
      <c r="A1224" s="60" t="s">
        <v>5553</v>
      </c>
      <c r="B1224" t="str">
        <f>findKey(supplementary_offering_legacyid[[#This Row],[Produccion]])</f>
        <v>990000219</v>
      </c>
      <c r="C1224" s="61" t="s">
        <v>5553</v>
      </c>
      <c r="D1224" t="s">
        <v>5554</v>
      </c>
      <c r="E1224" t="s">
        <v>2189</v>
      </c>
      <c r="F1224" t="str">
        <f>ToJsonArray(supplementary_offering_legacyid[[#Headers],[offeringid]:[mode]],supplementary_offering_legacyid[[#This Row],[offeringid]:[mode]])</f>
        <v>{"offeringid":"990000219","name":"Addon Seguro ProtecciÃ³n de Pantalla (Incluido)","mode":"I"}</v>
      </c>
      <c r="G1224" t="str">
        <f>ToJsonArray(supplementary_offering_legacyid[[#This Row],[Semilla04]],supplementary_offering_legacyid[[#This Row],[Json]])</f>
        <v>{"990000219":{"offeringid":"990000219","name":"Addon Seguro ProtecciÃ³n de Pantalla (Incluido)","mode":"I"}}</v>
      </c>
    </row>
    <row r="1225" spans="1:7" x14ac:dyDescent="0.25">
      <c r="A1225" s="60" t="s">
        <v>5555</v>
      </c>
      <c r="B1225" t="str">
        <f>findKey(supplementary_offering_legacyid[[#This Row],[Produccion]])</f>
        <v>990000220</v>
      </c>
      <c r="C1225" s="61" t="s">
        <v>5555</v>
      </c>
      <c r="D1225" t="s">
        <v>5556</v>
      </c>
      <c r="E1225" t="s">
        <v>2189</v>
      </c>
      <c r="F1225" t="str">
        <f>ToJsonArray(supplementary_offering_legacyid[[#Headers],[offeringid]:[mode]],supplementary_offering_legacyid[[#This Row],[offeringid]:[mode]])</f>
        <v>{"offeringid":"990000220","name":"Addon Seguro ProtecciÃ³n MÃ³vil (Todo Riesgo + Pantalla)","mode":"I"}</v>
      </c>
      <c r="G1225" t="str">
        <f>ToJsonArray(supplementary_offering_legacyid[[#This Row],[Semilla04]],supplementary_offering_legacyid[[#This Row],[Json]])</f>
        <v>{"990000220":{"offeringid":"990000220","name":"Addon Seguro ProtecciÃ³n MÃ³vil (Todo Riesgo + Pantalla)","mode":"I"}}</v>
      </c>
    </row>
    <row r="1226" spans="1:7" x14ac:dyDescent="0.25">
      <c r="A1226" s="60" t="s">
        <v>5557</v>
      </c>
      <c r="B1226" t="str">
        <f>findKey(supplementary_offering_legacyid[[#This Row],[Produccion]])</f>
        <v>990000221</v>
      </c>
      <c r="C1226" s="61" t="s">
        <v>5557</v>
      </c>
      <c r="D1226" t="s">
        <v>5558</v>
      </c>
      <c r="E1226" t="s">
        <v>2189</v>
      </c>
      <c r="F1226" t="str">
        <f>ToJsonArray(supplementary_offering_legacyid[[#Headers],[offeringid]:[mode]],supplementary_offering_legacyid[[#This Row],[offeringid]:[mode]])</f>
        <v>{"offeringid":"990000221","name":"Addon Seguro ProtecciÃ³n MÃ³vil (Todo Riesgo + Pantalla) (Incluido)","mode":"I"}</v>
      </c>
      <c r="G1226" t="str">
        <f>ToJsonArray(supplementary_offering_legacyid[[#This Row],[Semilla04]],supplementary_offering_legacyid[[#This Row],[Json]])</f>
        <v>{"990000221":{"offeringid":"990000221","name":"Addon Seguro ProtecciÃ³n MÃ³vil (Todo Riesgo + Pantalla) (Incluido)","mode":"I"}}</v>
      </c>
    </row>
    <row r="1227" spans="1:7" x14ac:dyDescent="0.25">
      <c r="A1227" s="60" t="s">
        <v>5559</v>
      </c>
      <c r="B1227" t="str">
        <f>findKey(supplementary_offering_legacyid[[#This Row],[Produccion]])</f>
        <v>990000229</v>
      </c>
      <c r="C1227" s="61" t="s">
        <v>5559</v>
      </c>
      <c r="D1227" t="s">
        <v>5560</v>
      </c>
      <c r="E1227" t="s">
        <v>2189</v>
      </c>
      <c r="F1227" t="str">
        <f>ToJsonArray(supplementary_offering_legacyid[[#Headers],[offeringid]:[mode]],supplementary_offering_legacyid[[#This Row],[offeringid]:[mode]])</f>
        <v>{"offeringid":"990000229","name":"Paquete LDI 5min","mode":"I"}</v>
      </c>
      <c r="G1227" t="str">
        <f>ToJsonArray(supplementary_offering_legacyid[[#This Row],[Semilla04]],supplementary_offering_legacyid[[#This Row],[Json]])</f>
        <v>{"990000229":{"offeringid":"990000229","name":"Paquete LDI 5min","mode":"I"}}</v>
      </c>
    </row>
    <row r="1228" spans="1:7" x14ac:dyDescent="0.25">
      <c r="A1228" s="60" t="s">
        <v>5561</v>
      </c>
      <c r="B1228" t="str">
        <f>findKey(supplementary_offering_legacyid[[#This Row],[Produccion]])</f>
        <v>990000230</v>
      </c>
      <c r="C1228" s="61" t="s">
        <v>5561</v>
      </c>
      <c r="D1228" t="s">
        <v>5562</v>
      </c>
      <c r="E1228" t="s">
        <v>2189</v>
      </c>
      <c r="F1228" t="str">
        <f>ToJsonArray(supplementary_offering_legacyid[[#Headers],[offeringid]:[mode]],supplementary_offering_legacyid[[#This Row],[offeringid]:[mode]])</f>
        <v>{"offeringid":"990000230","name":"Paquete LDI 10 min","mode":"I"}</v>
      </c>
      <c r="G1228" t="str">
        <f>ToJsonArray(supplementary_offering_legacyid[[#This Row],[Semilla04]],supplementary_offering_legacyid[[#This Row],[Json]])</f>
        <v>{"990000230":{"offeringid":"990000230","name":"Paquete LDI 10 min","mode":"I"}}</v>
      </c>
    </row>
    <row r="1229" spans="1:7" x14ac:dyDescent="0.25">
      <c r="A1229" s="60" t="s">
        <v>5563</v>
      </c>
      <c r="B1229" t="str">
        <f>findKey(supplementary_offering_legacyid[[#This Row],[Produccion]])</f>
        <v>990000231</v>
      </c>
      <c r="C1229" s="61" t="s">
        <v>5563</v>
      </c>
      <c r="D1229" t="s">
        <v>5564</v>
      </c>
      <c r="E1229" t="s">
        <v>2189</v>
      </c>
      <c r="F1229" t="str">
        <f>ToJsonArray(supplementary_offering_legacyid[[#Headers],[offeringid]:[mode]],supplementary_offering_legacyid[[#This Row],[offeringid]:[mode]])</f>
        <v>{"offeringid":"990000231","name":"Paquete LDI 30 min","mode":"I"}</v>
      </c>
      <c r="G1229" t="str">
        <f>ToJsonArray(supplementary_offering_legacyid[[#This Row],[Semilla04]],supplementary_offering_legacyid[[#This Row],[Json]])</f>
        <v>{"990000231":{"offeringid":"990000231","name":"Paquete LDI 30 min","mode":"I"}}</v>
      </c>
    </row>
    <row r="1230" spans="1:7" x14ac:dyDescent="0.25">
      <c r="A1230" s="60" t="s">
        <v>5565</v>
      </c>
      <c r="B1230" t="str">
        <f>findKey(supplementary_offering_legacyid[[#This Row],[Produccion]])</f>
        <v>990000232</v>
      </c>
      <c r="C1230" s="61" t="s">
        <v>5565</v>
      </c>
      <c r="D1230" t="s">
        <v>5566</v>
      </c>
      <c r="E1230" t="s">
        <v>2189</v>
      </c>
      <c r="F1230" t="str">
        <f>ToJsonArray(supplementary_offering_legacyid[[#Headers],[offeringid]:[mode]],supplementary_offering_legacyid[[#This Row],[offeringid]:[mode]])</f>
        <v>{"offeringid":"990000232","name":"Paquete Datos 40 MB","mode":"I"}</v>
      </c>
      <c r="G1230" t="str">
        <f>ToJsonArray(supplementary_offering_legacyid[[#This Row],[Semilla04]],supplementary_offering_legacyid[[#This Row],[Json]])</f>
        <v>{"990000232":{"offeringid":"990000232","name":"Paquete Datos 40 MB","mode":"I"}}</v>
      </c>
    </row>
    <row r="1231" spans="1:7" x14ac:dyDescent="0.25">
      <c r="A1231" s="60" t="s">
        <v>5567</v>
      </c>
      <c r="B1231" t="str">
        <f>findKey(supplementary_offering_legacyid[[#This Row],[Produccion]])</f>
        <v>990000233</v>
      </c>
      <c r="C1231" s="61" t="s">
        <v>5567</v>
      </c>
      <c r="D1231" t="s">
        <v>5568</v>
      </c>
      <c r="E1231" t="s">
        <v>2189</v>
      </c>
      <c r="F1231" t="str">
        <f>ToJsonArray(supplementary_offering_legacyid[[#Headers],[offeringid]:[mode]],supplementary_offering_legacyid[[#This Row],[offeringid]:[mode]])</f>
        <v>{"offeringid":"990000233","name":"Paquete Datos 150 MB","mode":"I"}</v>
      </c>
      <c r="G1231" t="str">
        <f>ToJsonArray(supplementary_offering_legacyid[[#This Row],[Semilla04]],supplementary_offering_legacyid[[#This Row],[Json]])</f>
        <v>{"990000233":{"offeringid":"990000233","name":"Paquete Datos 150 MB","mode":"I"}}</v>
      </c>
    </row>
    <row r="1232" spans="1:7" x14ac:dyDescent="0.25">
      <c r="A1232" s="60" t="s">
        <v>5569</v>
      </c>
      <c r="B1232" t="str">
        <f>findKey(supplementary_offering_legacyid[[#This Row],[Produccion]])</f>
        <v>990000234</v>
      </c>
      <c r="C1232" s="61" t="s">
        <v>5569</v>
      </c>
      <c r="D1232" t="s">
        <v>5570</v>
      </c>
      <c r="E1232" t="s">
        <v>2189</v>
      </c>
      <c r="F1232" t="str">
        <f>ToJsonArray(supplementary_offering_legacyid[[#Headers],[offeringid]:[mode]],supplementary_offering_legacyid[[#This Row],[offeringid]:[mode]])</f>
        <v>{"offeringid":"990000234","name":"Paquete Datos 100 MB + 20 Min + 5 SMS","mode":"I"}</v>
      </c>
      <c r="G1232" t="str">
        <f>ToJsonArray(supplementary_offering_legacyid[[#This Row],[Semilla04]],supplementary_offering_legacyid[[#This Row],[Json]])</f>
        <v>{"990000234":{"offeringid":"990000234","name":"Paquete Datos 100 MB + 20 Min + 5 SMS","mode":"I"}}</v>
      </c>
    </row>
    <row r="1233" spans="1:7" x14ac:dyDescent="0.25">
      <c r="A1233" s="60" t="s">
        <v>5571</v>
      </c>
      <c r="B1233" t="str">
        <f>findKey(supplementary_offering_legacyid[[#This Row],[Produccion]])</f>
        <v>990000235</v>
      </c>
      <c r="C1233" s="61" t="s">
        <v>5571</v>
      </c>
      <c r="D1233" t="s">
        <v>5572</v>
      </c>
      <c r="E1233" t="s">
        <v>2189</v>
      </c>
      <c r="F1233" t="str">
        <f>ToJsonArray(supplementary_offering_legacyid[[#Headers],[offeringid]:[mode]],supplementary_offering_legacyid[[#This Row],[offeringid]:[mode]])</f>
        <v>{"offeringid":"990000235","name":"Paquete Datos 200 MB + 50 Min + 10 SMS","mode":"I"}</v>
      </c>
      <c r="G1233" t="str">
        <f>ToJsonArray(supplementary_offering_legacyid[[#This Row],[Semilla04]],supplementary_offering_legacyid[[#This Row],[Json]])</f>
        <v>{"990000235":{"offeringid":"990000235","name":"Paquete Datos 200 MB + 50 Min + 10 SMS","mode":"I"}}</v>
      </c>
    </row>
    <row r="1234" spans="1:7" x14ac:dyDescent="0.25">
      <c r="A1234" s="60" t="s">
        <v>5573</v>
      </c>
      <c r="B1234" t="str">
        <f>findKey(supplementary_offering_legacyid[[#This Row],[Produccion]])</f>
        <v>990000236</v>
      </c>
      <c r="C1234" s="61" t="s">
        <v>5573</v>
      </c>
      <c r="D1234" t="s">
        <v>5574</v>
      </c>
      <c r="E1234" t="s">
        <v>2189</v>
      </c>
      <c r="F1234" t="str">
        <f>ToJsonArray(supplementary_offering_legacyid[[#Headers],[offeringid]:[mode]],supplementary_offering_legacyid[[#This Row],[offeringid]:[mode]])</f>
        <v>{"offeringid":"990000236","name":"Paquete Datos 500 MB + Unlimited Minutes + SMS","mode":"I"}</v>
      </c>
      <c r="G1234" t="str">
        <f>ToJsonArray(supplementary_offering_legacyid[[#This Row],[Semilla04]],supplementary_offering_legacyid[[#This Row],[Json]])</f>
        <v>{"990000236":{"offeringid":"990000236","name":"Paquete Datos 500 MB + Unlimited Minutes + SMS","mode":"I"}}</v>
      </c>
    </row>
    <row r="1235" spans="1:7" x14ac:dyDescent="0.25">
      <c r="A1235" s="60" t="s">
        <v>5575</v>
      </c>
      <c r="B1235" t="str">
        <f>findKey(supplementary_offering_legacyid[[#This Row],[Produccion]])</f>
        <v>990000237</v>
      </c>
      <c r="C1235" s="61" t="s">
        <v>5575</v>
      </c>
      <c r="D1235" t="s">
        <v>5576</v>
      </c>
      <c r="E1235" t="s">
        <v>2189</v>
      </c>
      <c r="F1235" t="str">
        <f>ToJsonArray(supplementary_offering_legacyid[[#Headers],[offeringid]:[mode]],supplementary_offering_legacyid[[#This Row],[offeringid]:[mode]])</f>
        <v>{"offeringid":"990000237","name":"Paquete Datos 1 GB + Unlimited Minutes + SMS","mode":"I"}</v>
      </c>
      <c r="G1235" t="str">
        <f>ToJsonArray(supplementary_offering_legacyid[[#This Row],[Semilla04]],supplementary_offering_legacyid[[#This Row],[Json]])</f>
        <v>{"990000237":{"offeringid":"990000237","name":"Paquete Datos 1 GB + Unlimited Minutes + SMS","mode":"I"}}</v>
      </c>
    </row>
    <row r="1236" spans="1:7" x14ac:dyDescent="0.25">
      <c r="A1236" s="60" t="s">
        <v>5577</v>
      </c>
      <c r="B1236" t="str">
        <f>findKey(supplementary_offering_legacyid[[#This Row],[Produccion]])</f>
        <v>990000238</v>
      </c>
      <c r="C1236" s="61" t="s">
        <v>5577</v>
      </c>
      <c r="D1236" t="s">
        <v>5578</v>
      </c>
      <c r="E1236" t="s">
        <v>2189</v>
      </c>
      <c r="F1236" t="str">
        <f>ToJsonArray(supplementary_offering_legacyid[[#Headers],[offeringid]:[mode]],supplementary_offering_legacyid[[#This Row],[offeringid]:[mode]])</f>
        <v>{"offeringid":"990000238","name":"Paquete Datos 2 GB + Unlimited Minutes + SMS","mode":"I"}</v>
      </c>
      <c r="G1236" t="str">
        <f>ToJsonArray(supplementary_offering_legacyid[[#This Row],[Semilla04]],supplementary_offering_legacyid[[#This Row],[Json]])</f>
        <v>{"990000238":{"offeringid":"990000238","name":"Paquete Datos 2 GB + Unlimited Minutes + SMS","mode":"I"}}</v>
      </c>
    </row>
    <row r="1237" spans="1:7" x14ac:dyDescent="0.25">
      <c r="A1237" s="60" t="s">
        <v>5579</v>
      </c>
      <c r="B1237" t="str">
        <f>findKey(supplementary_offering_legacyid[[#This Row],[Produccion]])</f>
        <v>990000241</v>
      </c>
      <c r="C1237" s="61" t="s">
        <v>5579</v>
      </c>
      <c r="D1237" t="s">
        <v>5580</v>
      </c>
      <c r="E1237" t="s">
        <v>2189</v>
      </c>
      <c r="F1237" t="str">
        <f>ToJsonArray(supplementary_offering_legacyid[[#Headers],[offeringid]:[mode]],supplementary_offering_legacyid[[#This Row],[offeringid]:[mode]])</f>
        <v>{"offeringid":"990000241","name":"Paquete LDI 25 min","mode":"I"}</v>
      </c>
      <c r="G1237" t="str">
        <f>ToJsonArray(supplementary_offering_legacyid[[#This Row],[Semilla04]],supplementary_offering_legacyid[[#This Row],[Json]])</f>
        <v>{"990000241":{"offeringid":"990000241","name":"Paquete LDI 25 min","mode":"I"}}</v>
      </c>
    </row>
    <row r="1238" spans="1:7" x14ac:dyDescent="0.25">
      <c r="A1238" s="60" t="s">
        <v>5581</v>
      </c>
      <c r="B1238" t="str">
        <f>findKey(supplementary_offering_legacyid[[#This Row],[Produccion]])</f>
        <v>990000242</v>
      </c>
      <c r="C1238" s="61" t="s">
        <v>5581</v>
      </c>
      <c r="D1238" t="s">
        <v>5582</v>
      </c>
      <c r="E1238" t="s">
        <v>2189</v>
      </c>
      <c r="F1238" t="str">
        <f>ToJsonArray(supplementary_offering_legacyid[[#Headers],[offeringid]:[mode]],supplementary_offering_legacyid[[#This Row],[offeringid]:[mode]])</f>
        <v>{"offeringid":"990000242","name":"Paquete LDI 50 min","mode":"I"}</v>
      </c>
      <c r="G1238" t="str">
        <f>ToJsonArray(supplementary_offering_legacyid[[#This Row],[Semilla04]],supplementary_offering_legacyid[[#This Row],[Json]])</f>
        <v>{"990000242":{"offeringid":"990000242","name":"Paquete LDI 50 min","mode":"I"}}</v>
      </c>
    </row>
    <row r="1239" spans="1:7" x14ac:dyDescent="0.25">
      <c r="A1239" s="60" t="s">
        <v>5583</v>
      </c>
      <c r="B1239" t="str">
        <f>findKey(supplementary_offering_legacyid[[#This Row],[Produccion]])</f>
        <v>990000243</v>
      </c>
      <c r="C1239" s="61" t="s">
        <v>5583</v>
      </c>
      <c r="D1239" t="s">
        <v>5584</v>
      </c>
      <c r="E1239" t="s">
        <v>2189</v>
      </c>
      <c r="F1239" t="str">
        <f>ToJsonArray(supplementary_offering_legacyid[[#Headers],[offeringid]:[mode]],supplementary_offering_legacyid[[#This Row],[offeringid]:[mode]])</f>
        <v>{"offeringid":"990000243","name":"Paquete LDI 100 min","mode":"I"}</v>
      </c>
      <c r="G1239" t="str">
        <f>ToJsonArray(supplementary_offering_legacyid[[#This Row],[Semilla04]],supplementary_offering_legacyid[[#This Row],[Json]])</f>
        <v>{"990000243":{"offeringid":"990000243","name":"Paquete LDI 100 min","mode":"I"}}</v>
      </c>
    </row>
    <row r="1240" spans="1:7" x14ac:dyDescent="0.25">
      <c r="A1240" s="60" t="s">
        <v>5585</v>
      </c>
      <c r="B1240" t="str">
        <f>findKey(supplementary_offering_legacyid[[#This Row],[Produccion]])</f>
        <v>17088901078</v>
      </c>
      <c r="C1240" s="61" t="s">
        <v>5586</v>
      </c>
      <c r="D1240" t="s">
        <v>232</v>
      </c>
      <c r="E1240" t="s">
        <v>2189</v>
      </c>
      <c r="F1240" t="str">
        <f>ToJsonArray(supplementary_offering_legacyid[[#Headers],[offeringid]:[mode]],supplementary_offering_legacyid[[#This Row],[offeringid]:[mode]])</f>
        <v>{"offeringid":"990000210","name":"Paquete SMS 5.1","mode":"I"}</v>
      </c>
      <c r="G1240" t="str">
        <f>ToJsonArray(supplementary_offering_legacyid[[#This Row],[Semilla04]],supplementary_offering_legacyid[[#This Row],[Json]])</f>
        <v>{"17088901078":{"offeringid":"990000210","name":"Paquete SMS 5.1","mode":"I"}}</v>
      </c>
    </row>
    <row r="1241" spans="1:7" x14ac:dyDescent="0.25">
      <c r="A1241" s="60" t="s">
        <v>5587</v>
      </c>
      <c r="B1241" t="str">
        <f>findKey(supplementary_offering_legacyid[[#This Row],[Produccion]])</f>
        <v>17088898774</v>
      </c>
      <c r="C1241" s="61" t="s">
        <v>5588</v>
      </c>
      <c r="D1241" t="s">
        <v>235</v>
      </c>
      <c r="E1241" t="s">
        <v>2189</v>
      </c>
      <c r="F1241" t="str">
        <f>ToJsonArray(supplementary_offering_legacyid[[#Headers],[offeringid]:[mode]],supplementary_offering_legacyid[[#This Row],[offeringid]:[mode]])</f>
        <v>{"offeringid":"990000211","name":"Paquete Datos 5.1","mode":"I"}</v>
      </c>
      <c r="G1241" t="str">
        <f>ToJsonArray(supplementary_offering_legacyid[[#This Row],[Semilla04]],supplementary_offering_legacyid[[#This Row],[Json]])</f>
        <v>{"17088898774":{"offeringid":"990000211","name":"Paquete Datos 5.1","mode":"I"}}</v>
      </c>
    </row>
    <row r="1242" spans="1:7" x14ac:dyDescent="0.25">
      <c r="A1242" s="60" t="s">
        <v>5589</v>
      </c>
      <c r="B1242" t="str">
        <f>findKey(supplementary_offering_legacyid[[#This Row],[Produccion]])</f>
        <v>17088898102</v>
      </c>
      <c r="C1242" s="61" t="s">
        <v>5590</v>
      </c>
      <c r="D1242" t="s">
        <v>233</v>
      </c>
      <c r="E1242" t="s">
        <v>2189</v>
      </c>
      <c r="F1242" t="str">
        <f>ToJsonArray(supplementary_offering_legacyid[[#Headers],[offeringid]:[mode]],supplementary_offering_legacyid[[#This Row],[offeringid]:[mode]])</f>
        <v>{"offeringid":"990000213","name":"Paquete SMS 5.2","mode":"I"}</v>
      </c>
      <c r="G1242" t="str">
        <f>ToJsonArray(supplementary_offering_legacyid[[#This Row],[Semilla04]],supplementary_offering_legacyid[[#This Row],[Json]])</f>
        <v>{"17088898102":{"offeringid":"990000213","name":"Paquete SMS 5.2","mode":"I"}}</v>
      </c>
    </row>
    <row r="1243" spans="1:7" x14ac:dyDescent="0.25">
      <c r="A1243" s="60" t="s">
        <v>5591</v>
      </c>
      <c r="B1243" t="str">
        <f>findKey(supplementary_offering_legacyid[[#This Row],[Produccion]])</f>
        <v>17088899542</v>
      </c>
      <c r="C1243" s="61" t="s">
        <v>5592</v>
      </c>
      <c r="D1243" t="s">
        <v>236</v>
      </c>
      <c r="E1243" t="s">
        <v>2189</v>
      </c>
      <c r="F1243" t="str">
        <f>ToJsonArray(supplementary_offering_legacyid[[#Headers],[offeringid]:[mode]],supplementary_offering_legacyid[[#This Row],[offeringid]:[mode]])</f>
        <v>{"offeringid":"990000214","name":"Paquete Datos 5.2","mode":"I"}</v>
      </c>
      <c r="G1243" t="str">
        <f>ToJsonArray(supplementary_offering_legacyid[[#This Row],[Semilla04]],supplementary_offering_legacyid[[#This Row],[Json]])</f>
        <v>{"17088899542":{"offeringid":"990000214","name":"Paquete Datos 5.2","mode":"I"}}</v>
      </c>
    </row>
    <row r="1244" spans="1:7" x14ac:dyDescent="0.25">
      <c r="A1244" s="60" t="s">
        <v>5593</v>
      </c>
      <c r="B1244" t="str">
        <f>findKey(supplementary_offering_legacyid[[#This Row],[Produccion]])</f>
        <v>17098470386</v>
      </c>
      <c r="C1244" s="61" t="s">
        <v>5594</v>
      </c>
      <c r="D1244" t="s">
        <v>1506</v>
      </c>
      <c r="E1244" t="s">
        <v>2189</v>
      </c>
      <c r="F1244" t="str">
        <f>ToJsonArray(supplementary_offering_legacyid[[#Headers],[offeringid]:[mode]],supplementary_offering_legacyid[[#This Row],[offeringid]:[mode]])</f>
        <v>{"offeringid":"990000683","name":"Paquete SMS 5.1 Empresarial","mode":"I"}</v>
      </c>
      <c r="G1244" t="str">
        <f>ToJsonArray(supplementary_offering_legacyid[[#This Row],[Semilla04]],supplementary_offering_legacyid[[#This Row],[Json]])</f>
        <v>{"17098470386":{"offeringid":"990000683","name":"Paquete SMS 5.1 Empresarial","mode":"I"}}</v>
      </c>
    </row>
    <row r="1245" spans="1:7" x14ac:dyDescent="0.25">
      <c r="A1245" s="60" t="s">
        <v>5595</v>
      </c>
      <c r="B1245" t="str">
        <f>findKey(supplementary_offering_legacyid[[#This Row],[Produccion]])</f>
        <v>17098472690</v>
      </c>
      <c r="C1245" s="61" t="s">
        <v>5596</v>
      </c>
      <c r="D1245" t="s">
        <v>1500</v>
      </c>
      <c r="E1245" t="s">
        <v>2189</v>
      </c>
      <c r="F1245" t="str">
        <f>ToJsonArray(supplementary_offering_legacyid[[#Headers],[offeringid]:[mode]],supplementary_offering_legacyid[[#This Row],[offeringid]:[mode]])</f>
        <v>{"offeringid":"990000684","name":"Paquete Datos 5.1 Empresarial","mode":"I"}</v>
      </c>
      <c r="G1245" t="str">
        <f>ToJsonArray(supplementary_offering_legacyid[[#This Row],[Semilla04]],supplementary_offering_legacyid[[#This Row],[Json]])</f>
        <v>{"17098472690":{"offeringid":"990000684","name":"Paquete Datos 5.1 Empresarial","mode":"I"}}</v>
      </c>
    </row>
    <row r="1246" spans="1:7" x14ac:dyDescent="0.25">
      <c r="A1246" s="60" t="s">
        <v>5597</v>
      </c>
      <c r="B1246" t="str">
        <f>findKey(supplementary_offering_legacyid[[#This Row],[Produccion]])</f>
        <v>17098473458</v>
      </c>
      <c r="C1246" s="61" t="s">
        <v>5598</v>
      </c>
      <c r="D1246" t="s">
        <v>1508</v>
      </c>
      <c r="E1246" t="s">
        <v>2189</v>
      </c>
      <c r="F1246" t="str">
        <f>ToJsonArray(supplementary_offering_legacyid[[#Headers],[offeringid]:[mode]],supplementary_offering_legacyid[[#This Row],[offeringid]:[mode]])</f>
        <v>{"offeringid":"990000685","name":"Paquete SMS 5.2 Empresarial","mode":"I"}</v>
      </c>
      <c r="G1246" t="str">
        <f>ToJsonArray(supplementary_offering_legacyid[[#This Row],[Semilla04]],supplementary_offering_legacyid[[#This Row],[Json]])</f>
        <v>{"17098473458":{"offeringid":"990000685","name":"Paquete SMS 5.2 Empresarial","mode":"I"}}</v>
      </c>
    </row>
    <row r="1247" spans="1:7" x14ac:dyDescent="0.25">
      <c r="A1247" s="60" t="s">
        <v>5599</v>
      </c>
      <c r="B1247" t="str">
        <f>findKey(supplementary_offering_legacyid[[#This Row],[Produccion]])</f>
        <v>17098471154</v>
      </c>
      <c r="C1247" s="61" t="s">
        <v>5600</v>
      </c>
      <c r="D1247" t="s">
        <v>1502</v>
      </c>
      <c r="E1247" t="s">
        <v>2189</v>
      </c>
      <c r="F1247" t="str">
        <f>ToJsonArray(supplementary_offering_legacyid[[#Headers],[offeringid]:[mode]],supplementary_offering_legacyid[[#This Row],[offeringid]:[mode]])</f>
        <v>{"offeringid":"990000686","name":"Paquete Datos 5.2 Empresarial","mode":"I"}</v>
      </c>
      <c r="G1247" t="str">
        <f>ToJsonArray(supplementary_offering_legacyid[[#This Row],[Semilla04]],supplementary_offering_legacyid[[#This Row],[Json]])</f>
        <v>{"17098471154":{"offeringid":"990000686","name":"Paquete Datos 5.2 Empresarial","mode":"I"}}</v>
      </c>
    </row>
    <row r="1248" spans="1:7" x14ac:dyDescent="0.25">
      <c r="A1248" s="60" t="s">
        <v>5601</v>
      </c>
      <c r="B1248" t="str">
        <f>findKey(supplementary_offering_legacyid[[#This Row],[Produccion]])</f>
        <v>17098470410</v>
      </c>
      <c r="C1248" s="61" t="s">
        <v>5602</v>
      </c>
      <c r="D1248" t="s">
        <v>1510</v>
      </c>
      <c r="E1248" t="s">
        <v>2189</v>
      </c>
      <c r="F1248" t="str">
        <f>ToJsonArray(supplementary_offering_legacyid[[#Headers],[offeringid]:[mode]],supplementary_offering_legacyid[[#This Row],[offeringid]:[mode]])</f>
        <v>{"offeringid":"990000687","name":"Paquete SMS 5.3 Empresarial","mode":"I"}</v>
      </c>
      <c r="G1248" t="str">
        <f>ToJsonArray(supplementary_offering_legacyid[[#This Row],[Semilla04]],supplementary_offering_legacyid[[#This Row],[Json]])</f>
        <v>{"17098470410":{"offeringid":"990000687","name":"Paquete SMS 5.3 Empresarial","mode":"I"}}</v>
      </c>
    </row>
    <row r="1249" spans="1:7" x14ac:dyDescent="0.25">
      <c r="A1249" s="60" t="s">
        <v>5603</v>
      </c>
      <c r="B1249" t="str">
        <f>findKey(supplementary_offering_legacyid[[#This Row],[Produccion]])</f>
        <v>17098471922</v>
      </c>
      <c r="C1249" s="61" t="s">
        <v>5604</v>
      </c>
      <c r="D1249" t="s">
        <v>1504</v>
      </c>
      <c r="E1249" t="s">
        <v>2189</v>
      </c>
      <c r="F1249" t="str">
        <f>ToJsonArray(supplementary_offering_legacyid[[#Headers],[offeringid]:[mode]],supplementary_offering_legacyid[[#This Row],[offeringid]:[mode]])</f>
        <v>{"offeringid":"990000688","name":"Paquete Datos 5.3 Empresarial","mode":"I"}</v>
      </c>
      <c r="G1249" t="str">
        <f>ToJsonArray(supplementary_offering_legacyid[[#This Row],[Semilla04]],supplementary_offering_legacyid[[#This Row],[Json]])</f>
        <v>{"17098471922":{"offeringid":"990000688","name":"Paquete Datos 5.3 Empresarial","mode":"I"}}</v>
      </c>
    </row>
    <row r="1250" spans="1:7" x14ac:dyDescent="0.25">
      <c r="A1250" s="60" t="s">
        <v>5605</v>
      </c>
      <c r="B1250" t="str">
        <f>findKey(supplementary_offering_legacyid[[#This Row],[Produccion]])</f>
        <v>17083123965</v>
      </c>
      <c r="C1250" s="61" t="s">
        <v>5606</v>
      </c>
      <c r="D1250" t="s">
        <v>1157</v>
      </c>
      <c r="E1250" t="s">
        <v>2189</v>
      </c>
      <c r="F1250" t="str">
        <f>ToJsonArray(supplementary_offering_legacyid[[#Headers],[offeringid]:[mode]],supplementary_offering_legacyid[[#This Row],[offeringid]:[mode]])</f>
        <v>{"offeringid":"990000689","name":"Paquete SMS M2M","mode":"I"}</v>
      </c>
      <c r="G1250" t="str">
        <f>ToJsonArray(supplementary_offering_legacyid[[#This Row],[Semilla04]],supplementary_offering_legacyid[[#This Row],[Json]])</f>
        <v>{"17083123965":{"offeringid":"990000689","name":"Paquete SMS M2M","mode":"I"}}</v>
      </c>
    </row>
    <row r="1251" spans="1:7" x14ac:dyDescent="0.25">
      <c r="A1251" s="60" t="s">
        <v>5607</v>
      </c>
      <c r="B1251" t="str">
        <f>findKey(supplementary_offering_legacyid[[#This Row],[Produccion]])</f>
        <v>17083124723</v>
      </c>
      <c r="C1251" s="61" t="s">
        <v>5608</v>
      </c>
      <c r="D1251" t="s">
        <v>1158</v>
      </c>
      <c r="E1251" t="s">
        <v>2189</v>
      </c>
      <c r="F1251" t="str">
        <f>ToJsonArray(supplementary_offering_legacyid[[#Headers],[offeringid]:[mode]],supplementary_offering_legacyid[[#This Row],[offeringid]:[mode]])</f>
        <v>{"offeringid":"990000690","name":"Paquete Datos M2M","mode":"I"}</v>
      </c>
      <c r="G1251" t="str">
        <f>ToJsonArray(supplementary_offering_legacyid[[#This Row],[Semilla04]],supplementary_offering_legacyid[[#This Row],[Json]])</f>
        <v>{"17083124723":{"offeringid":"990000690","name":"Paquete Datos M2M","mode":"I"}}</v>
      </c>
    </row>
    <row r="1252" spans="1:7" x14ac:dyDescent="0.25">
      <c r="A1252" s="60" t="s">
        <v>5609</v>
      </c>
      <c r="B1252" t="str">
        <f>findKey(supplementary_offering_legacyid[[#This Row],[Produccion]])</f>
        <v>990000691</v>
      </c>
      <c r="C1252" s="61" t="s">
        <v>5609</v>
      </c>
      <c r="D1252" t="s">
        <v>5610</v>
      </c>
      <c r="E1252" t="s">
        <v>2189</v>
      </c>
      <c r="F1252" t="str">
        <f>ToJsonArray(supplementary_offering_legacyid[[#Headers],[offeringid]:[mode]],supplementary_offering_legacyid[[#This Row],[offeringid]:[mode]])</f>
        <v>{"offeringid":"990000691","name":"Billing  Discount","mode":"I"}</v>
      </c>
      <c r="G1252" t="str">
        <f>ToJsonArray(supplementary_offering_legacyid[[#This Row],[Semilla04]],supplementary_offering_legacyid[[#This Row],[Json]])</f>
        <v>{"990000691":{"offeringid":"990000691","name":"Billing  Discount","mode":"I"}}</v>
      </c>
    </row>
    <row r="1253" spans="1:7" x14ac:dyDescent="0.25">
      <c r="A1253" s="60" t="s">
        <v>5611</v>
      </c>
      <c r="B1253" t="str">
        <f>findKey(supplementary_offering_legacyid[[#This Row],[Produccion]])</f>
        <v>990000692</v>
      </c>
      <c r="C1253" s="61" t="s">
        <v>5611</v>
      </c>
      <c r="D1253" t="s">
        <v>5610</v>
      </c>
      <c r="E1253" t="s">
        <v>2189</v>
      </c>
      <c r="F1253" t="str">
        <f>ToJsonArray(supplementary_offering_legacyid[[#Headers],[offeringid]:[mode]],supplementary_offering_legacyid[[#This Row],[offeringid]:[mode]])</f>
        <v>{"offeringid":"990000692","name":"Billing  Discount","mode":"I"}</v>
      </c>
      <c r="G1253" t="str">
        <f>ToJsonArray(supplementary_offering_legacyid[[#This Row],[Semilla04]],supplementary_offering_legacyid[[#This Row],[Json]])</f>
        <v>{"990000692":{"offeringid":"990000692","name":"Billing  Discount","mode":"I"}}</v>
      </c>
    </row>
    <row r="1254" spans="1:7" x14ac:dyDescent="0.25">
      <c r="A1254" s="60" t="s">
        <v>5612</v>
      </c>
      <c r="B1254" t="str">
        <f>findKey(supplementary_offering_legacyid[[#This Row],[Produccion]])</f>
        <v>990000693</v>
      </c>
      <c r="C1254" s="61" t="s">
        <v>5612</v>
      </c>
      <c r="D1254" t="s">
        <v>5610</v>
      </c>
      <c r="E1254" t="s">
        <v>2189</v>
      </c>
      <c r="F1254" t="str">
        <f>ToJsonArray(supplementary_offering_legacyid[[#Headers],[offeringid]:[mode]],supplementary_offering_legacyid[[#This Row],[offeringid]:[mode]])</f>
        <v>{"offeringid":"990000693","name":"Billing  Discount","mode":"I"}</v>
      </c>
      <c r="G1254" t="str">
        <f>ToJsonArray(supplementary_offering_legacyid[[#This Row],[Semilla04]],supplementary_offering_legacyid[[#This Row],[Json]])</f>
        <v>{"990000693":{"offeringid":"990000693","name":"Billing  Discount","mode":"I"}}</v>
      </c>
    </row>
    <row r="1255" spans="1:7" x14ac:dyDescent="0.25">
      <c r="A1255" s="60" t="s">
        <v>5613</v>
      </c>
      <c r="B1255" t="str">
        <f>findKey(supplementary_offering_legacyid[[#This Row],[Produccion]])</f>
        <v>990000694</v>
      </c>
      <c r="C1255" s="61" t="s">
        <v>5613</v>
      </c>
      <c r="D1255" t="s">
        <v>5610</v>
      </c>
      <c r="E1255" t="s">
        <v>2189</v>
      </c>
      <c r="F1255" t="str">
        <f>ToJsonArray(supplementary_offering_legacyid[[#Headers],[offeringid]:[mode]],supplementary_offering_legacyid[[#This Row],[offeringid]:[mode]])</f>
        <v>{"offeringid":"990000694","name":"Billing  Discount","mode":"I"}</v>
      </c>
      <c r="G1255" t="str">
        <f>ToJsonArray(supplementary_offering_legacyid[[#This Row],[Semilla04]],supplementary_offering_legacyid[[#This Row],[Json]])</f>
        <v>{"990000694":{"offeringid":"990000694","name":"Billing  Discount","mode":"I"}}</v>
      </c>
    </row>
    <row r="1256" spans="1:7" x14ac:dyDescent="0.25">
      <c r="A1256" s="60" t="s">
        <v>5614</v>
      </c>
      <c r="B1256" t="str">
        <f>findKey(supplementary_offering_legacyid[[#This Row],[Produccion]])</f>
        <v>990000695</v>
      </c>
      <c r="C1256" s="61" t="s">
        <v>5614</v>
      </c>
      <c r="D1256" t="s">
        <v>5610</v>
      </c>
      <c r="E1256" t="s">
        <v>2189</v>
      </c>
      <c r="F1256" t="str">
        <f>ToJsonArray(supplementary_offering_legacyid[[#Headers],[offeringid]:[mode]],supplementary_offering_legacyid[[#This Row],[offeringid]:[mode]])</f>
        <v>{"offeringid":"990000695","name":"Billing  Discount","mode":"I"}</v>
      </c>
      <c r="G1256" t="str">
        <f>ToJsonArray(supplementary_offering_legacyid[[#This Row],[Semilla04]],supplementary_offering_legacyid[[#This Row],[Json]])</f>
        <v>{"990000695":{"offeringid":"990000695","name":"Billing  Discount","mode":"I"}}</v>
      </c>
    </row>
    <row r="1257" spans="1:7" x14ac:dyDescent="0.25">
      <c r="A1257" s="60" t="s">
        <v>5615</v>
      </c>
      <c r="B1257" t="str">
        <f>findKey(supplementary_offering_legacyid[[#This Row],[Produccion]])</f>
        <v>990000696</v>
      </c>
      <c r="C1257" s="61" t="s">
        <v>5615</v>
      </c>
      <c r="D1257" t="s">
        <v>5610</v>
      </c>
      <c r="E1257" t="s">
        <v>2189</v>
      </c>
      <c r="F1257" t="str">
        <f>ToJsonArray(supplementary_offering_legacyid[[#Headers],[offeringid]:[mode]],supplementary_offering_legacyid[[#This Row],[offeringid]:[mode]])</f>
        <v>{"offeringid":"990000696","name":"Billing  Discount","mode":"I"}</v>
      </c>
      <c r="G1257" t="str">
        <f>ToJsonArray(supplementary_offering_legacyid[[#This Row],[Semilla04]],supplementary_offering_legacyid[[#This Row],[Json]])</f>
        <v>{"990000696":{"offeringid":"990000696","name":"Billing  Discount","mode":"I"}}</v>
      </c>
    </row>
    <row r="1258" spans="1:7" x14ac:dyDescent="0.25">
      <c r="A1258" s="60" t="s">
        <v>5616</v>
      </c>
      <c r="B1258" t="str">
        <f>findKey(supplementary_offering_legacyid[[#This Row],[Produccion]])</f>
        <v>990000697</v>
      </c>
      <c r="C1258" s="61" t="s">
        <v>5616</v>
      </c>
      <c r="D1258" t="s">
        <v>5610</v>
      </c>
      <c r="E1258" t="s">
        <v>2189</v>
      </c>
      <c r="F1258" t="str">
        <f>ToJsonArray(supplementary_offering_legacyid[[#Headers],[offeringid]:[mode]],supplementary_offering_legacyid[[#This Row],[offeringid]:[mode]])</f>
        <v>{"offeringid":"990000697","name":"Billing  Discount","mode":"I"}</v>
      </c>
      <c r="G1258" t="str">
        <f>ToJsonArray(supplementary_offering_legacyid[[#This Row],[Semilla04]],supplementary_offering_legacyid[[#This Row],[Json]])</f>
        <v>{"990000697":{"offeringid":"990000697","name":"Billing  Discount","mode":"I"}}</v>
      </c>
    </row>
    <row r="1259" spans="1:7" x14ac:dyDescent="0.25">
      <c r="A1259" s="60" t="s">
        <v>5617</v>
      </c>
      <c r="B1259" t="str">
        <f>findKey(supplementary_offering_legacyid[[#This Row],[Produccion]])</f>
        <v>990000698</v>
      </c>
      <c r="C1259" s="61" t="s">
        <v>5617</v>
      </c>
      <c r="D1259" t="s">
        <v>5610</v>
      </c>
      <c r="E1259" t="s">
        <v>2189</v>
      </c>
      <c r="F1259" t="str">
        <f>ToJsonArray(supplementary_offering_legacyid[[#Headers],[offeringid]:[mode]],supplementary_offering_legacyid[[#This Row],[offeringid]:[mode]])</f>
        <v>{"offeringid":"990000698","name":"Billing  Discount","mode":"I"}</v>
      </c>
      <c r="G1259" t="str">
        <f>ToJsonArray(supplementary_offering_legacyid[[#This Row],[Semilla04]],supplementary_offering_legacyid[[#This Row],[Json]])</f>
        <v>{"990000698":{"offeringid":"990000698","name":"Billing  Discount","mode":"I"}}</v>
      </c>
    </row>
    <row r="1260" spans="1:7" x14ac:dyDescent="0.25">
      <c r="A1260" s="60" t="s">
        <v>5618</v>
      </c>
      <c r="B1260" t="str">
        <f>findKey(supplementary_offering_legacyid[[#This Row],[Produccion]])</f>
        <v>990000699</v>
      </c>
      <c r="C1260" s="61" t="s">
        <v>5618</v>
      </c>
      <c r="D1260" t="s">
        <v>5610</v>
      </c>
      <c r="E1260" t="s">
        <v>2189</v>
      </c>
      <c r="F1260" t="str">
        <f>ToJsonArray(supplementary_offering_legacyid[[#Headers],[offeringid]:[mode]],supplementary_offering_legacyid[[#This Row],[offeringid]:[mode]])</f>
        <v>{"offeringid":"990000699","name":"Billing  Discount","mode":"I"}</v>
      </c>
      <c r="G1260" t="str">
        <f>ToJsonArray(supplementary_offering_legacyid[[#This Row],[Semilla04]],supplementary_offering_legacyid[[#This Row],[Json]])</f>
        <v>{"990000699":{"offeringid":"990000699","name":"Billing  Discount","mode":"I"}}</v>
      </c>
    </row>
    <row r="1261" spans="1:7" x14ac:dyDescent="0.25">
      <c r="A1261" s="60" t="s">
        <v>5619</v>
      </c>
      <c r="B1261" t="str">
        <f>findKey(supplementary_offering_legacyid[[#This Row],[Produccion]])</f>
        <v>990000700</v>
      </c>
      <c r="C1261" s="61" t="s">
        <v>5619</v>
      </c>
      <c r="D1261" t="s">
        <v>5610</v>
      </c>
      <c r="E1261" t="s">
        <v>2189</v>
      </c>
      <c r="F1261" t="str">
        <f>ToJsonArray(supplementary_offering_legacyid[[#Headers],[offeringid]:[mode]],supplementary_offering_legacyid[[#This Row],[offeringid]:[mode]])</f>
        <v>{"offeringid":"990000700","name":"Billing  Discount","mode":"I"}</v>
      </c>
      <c r="G1261" t="str">
        <f>ToJsonArray(supplementary_offering_legacyid[[#This Row],[Semilla04]],supplementary_offering_legacyid[[#This Row],[Json]])</f>
        <v>{"990000700":{"offeringid":"990000700","name":"Billing  Discount","mode":"I"}}</v>
      </c>
    </row>
    <row r="1262" spans="1:7" x14ac:dyDescent="0.25">
      <c r="A1262" s="60" t="s">
        <v>5620</v>
      </c>
      <c r="B1262" t="str">
        <f>findKey(supplementary_offering_legacyid[[#This Row],[Produccion]])</f>
        <v>990000701</v>
      </c>
      <c r="C1262" s="61" t="s">
        <v>5620</v>
      </c>
      <c r="D1262" t="s">
        <v>5610</v>
      </c>
      <c r="E1262" t="s">
        <v>2189</v>
      </c>
      <c r="F1262" t="str">
        <f>ToJsonArray(supplementary_offering_legacyid[[#Headers],[offeringid]:[mode]],supplementary_offering_legacyid[[#This Row],[offeringid]:[mode]])</f>
        <v>{"offeringid":"990000701","name":"Billing  Discount","mode":"I"}</v>
      </c>
      <c r="G1262" t="str">
        <f>ToJsonArray(supplementary_offering_legacyid[[#This Row],[Semilla04]],supplementary_offering_legacyid[[#This Row],[Json]])</f>
        <v>{"990000701":{"offeringid":"990000701","name":"Billing  Discount","mode":"I"}}</v>
      </c>
    </row>
    <row r="1263" spans="1:7" x14ac:dyDescent="0.25">
      <c r="A1263" s="60" t="s">
        <v>5621</v>
      </c>
      <c r="B1263" t="str">
        <f>findKey(supplementary_offering_legacyid[[#This Row],[Produccion]])</f>
        <v>990000702</v>
      </c>
      <c r="C1263" s="61" t="s">
        <v>5621</v>
      </c>
      <c r="D1263" t="s">
        <v>5610</v>
      </c>
      <c r="E1263" t="s">
        <v>2189</v>
      </c>
      <c r="F1263" t="str">
        <f>ToJsonArray(supplementary_offering_legacyid[[#Headers],[offeringid]:[mode]],supplementary_offering_legacyid[[#This Row],[offeringid]:[mode]])</f>
        <v>{"offeringid":"990000702","name":"Billing  Discount","mode":"I"}</v>
      </c>
      <c r="G1263" t="str">
        <f>ToJsonArray(supplementary_offering_legacyid[[#This Row],[Semilla04]],supplementary_offering_legacyid[[#This Row],[Json]])</f>
        <v>{"990000702":{"offeringid":"990000702","name":"Billing  Discount","mode":"I"}}</v>
      </c>
    </row>
    <row r="1264" spans="1:7" x14ac:dyDescent="0.25">
      <c r="A1264" s="60" t="s">
        <v>5622</v>
      </c>
      <c r="B1264" t="str">
        <f>findKey(supplementary_offering_legacyid[[#This Row],[Produccion]])</f>
        <v>990000703</v>
      </c>
      <c r="C1264" s="61" t="s">
        <v>5622</v>
      </c>
      <c r="D1264" t="s">
        <v>5610</v>
      </c>
      <c r="E1264" t="s">
        <v>2189</v>
      </c>
      <c r="F1264" t="str">
        <f>ToJsonArray(supplementary_offering_legacyid[[#Headers],[offeringid]:[mode]],supplementary_offering_legacyid[[#This Row],[offeringid]:[mode]])</f>
        <v>{"offeringid":"990000703","name":"Billing  Discount","mode":"I"}</v>
      </c>
      <c r="G1264" t="str">
        <f>ToJsonArray(supplementary_offering_legacyid[[#This Row],[Semilla04]],supplementary_offering_legacyid[[#This Row],[Json]])</f>
        <v>{"990000703":{"offeringid":"990000703","name":"Billing  Discount","mode":"I"}}</v>
      </c>
    </row>
    <row r="1265" spans="1:7" x14ac:dyDescent="0.25">
      <c r="A1265" s="60" t="s">
        <v>5623</v>
      </c>
      <c r="B1265" t="str">
        <f>findKey(supplementary_offering_legacyid[[#This Row],[Produccion]])</f>
        <v>990000704</v>
      </c>
      <c r="C1265" s="61" t="s">
        <v>5623</v>
      </c>
      <c r="D1265" t="s">
        <v>5610</v>
      </c>
      <c r="E1265" t="s">
        <v>2189</v>
      </c>
      <c r="F1265" t="str">
        <f>ToJsonArray(supplementary_offering_legacyid[[#Headers],[offeringid]:[mode]],supplementary_offering_legacyid[[#This Row],[offeringid]:[mode]])</f>
        <v>{"offeringid":"990000704","name":"Billing  Discount","mode":"I"}</v>
      </c>
      <c r="G1265" t="str">
        <f>ToJsonArray(supplementary_offering_legacyid[[#This Row],[Semilla04]],supplementary_offering_legacyid[[#This Row],[Json]])</f>
        <v>{"990000704":{"offeringid":"990000704","name":"Billing  Discount","mode":"I"}}</v>
      </c>
    </row>
    <row r="1266" spans="1:7" x14ac:dyDescent="0.25">
      <c r="A1266" s="60" t="s">
        <v>5624</v>
      </c>
      <c r="B1266" t="str">
        <f>findKey(supplementary_offering_legacyid[[#This Row],[Produccion]])</f>
        <v>990000705</v>
      </c>
      <c r="C1266" s="61" t="s">
        <v>5624</v>
      </c>
      <c r="D1266" t="s">
        <v>5610</v>
      </c>
      <c r="E1266" t="s">
        <v>2189</v>
      </c>
      <c r="F1266" t="str">
        <f>ToJsonArray(supplementary_offering_legacyid[[#Headers],[offeringid]:[mode]],supplementary_offering_legacyid[[#This Row],[offeringid]:[mode]])</f>
        <v>{"offeringid":"990000705","name":"Billing  Discount","mode":"I"}</v>
      </c>
      <c r="G1266" t="str">
        <f>ToJsonArray(supplementary_offering_legacyid[[#This Row],[Semilla04]],supplementary_offering_legacyid[[#This Row],[Json]])</f>
        <v>{"990000705":{"offeringid":"990000705","name":"Billing  Discount","mode":"I"}}</v>
      </c>
    </row>
    <row r="1267" spans="1:7" x14ac:dyDescent="0.25">
      <c r="A1267" s="60" t="s">
        <v>5625</v>
      </c>
      <c r="B1267" t="str">
        <f>findKey(supplementary_offering_legacyid[[#This Row],[Produccion]])</f>
        <v>990000706</v>
      </c>
      <c r="C1267" s="61" t="s">
        <v>5625</v>
      </c>
      <c r="D1267" t="s">
        <v>5610</v>
      </c>
      <c r="E1267" t="s">
        <v>2189</v>
      </c>
      <c r="F1267" t="str">
        <f>ToJsonArray(supplementary_offering_legacyid[[#Headers],[offeringid]:[mode]],supplementary_offering_legacyid[[#This Row],[offeringid]:[mode]])</f>
        <v>{"offeringid":"990000706","name":"Billing  Discount","mode":"I"}</v>
      </c>
      <c r="G1267" t="str">
        <f>ToJsonArray(supplementary_offering_legacyid[[#This Row],[Semilla04]],supplementary_offering_legacyid[[#This Row],[Json]])</f>
        <v>{"990000706":{"offeringid":"990000706","name":"Billing  Discount","mode":"I"}}</v>
      </c>
    </row>
    <row r="1268" spans="1:7" x14ac:dyDescent="0.25">
      <c r="A1268" s="60">
        <v>990000707</v>
      </c>
      <c r="B1268" t="str">
        <f>findKey(supplementary_offering_legacyid[[#This Row],[Produccion]])</f>
        <v>990000707</v>
      </c>
      <c r="C1268" s="61" t="s">
        <v>5626</v>
      </c>
      <c r="D1268" t="s">
        <v>5610</v>
      </c>
      <c r="E1268" t="s">
        <v>2189</v>
      </c>
      <c r="F1268" t="str">
        <f>ToJsonArray(supplementary_offering_legacyid[[#Headers],[offeringid]:[mode]],supplementary_offering_legacyid[[#This Row],[offeringid]:[mode]])</f>
        <v>{"offeringid":"990000707","name":"Billing  Discount","mode":"I"}</v>
      </c>
      <c r="G1268" t="str">
        <f>ToJsonArray(supplementary_offering_legacyid[[#This Row],[Semilla04]],supplementary_offering_legacyid[[#This Row],[Json]])</f>
        <v>{"990000707":{"offeringid":"990000707","name":"Billing  Discount","mode":"I"}}</v>
      </c>
    </row>
    <row r="1269" spans="1:7" x14ac:dyDescent="0.25">
      <c r="A1269" s="60" t="s">
        <v>5627</v>
      </c>
      <c r="B1269" t="str">
        <f>findKey(supplementary_offering_legacyid[[#This Row],[Produccion]])</f>
        <v>990000708</v>
      </c>
      <c r="C1269" s="61" t="s">
        <v>5627</v>
      </c>
      <c r="D1269" t="s">
        <v>5610</v>
      </c>
      <c r="E1269" t="s">
        <v>2189</v>
      </c>
      <c r="F1269" t="str">
        <f>ToJsonArray(supplementary_offering_legacyid[[#Headers],[offeringid]:[mode]],supplementary_offering_legacyid[[#This Row],[offeringid]:[mode]])</f>
        <v>{"offeringid":"990000708","name":"Billing  Discount","mode":"I"}</v>
      </c>
      <c r="G1269" t="str">
        <f>ToJsonArray(supplementary_offering_legacyid[[#This Row],[Semilla04]],supplementary_offering_legacyid[[#This Row],[Json]])</f>
        <v>{"990000708":{"offeringid":"990000708","name":"Billing  Discount","mode":"I"}}</v>
      </c>
    </row>
    <row r="1270" spans="1:7" x14ac:dyDescent="0.25">
      <c r="A1270" s="60" t="s">
        <v>5628</v>
      </c>
      <c r="B1270" t="str">
        <f>findKey(supplementary_offering_legacyid[[#This Row],[Produccion]])</f>
        <v>990000709</v>
      </c>
      <c r="C1270" s="61" t="s">
        <v>5628</v>
      </c>
      <c r="D1270" t="s">
        <v>5610</v>
      </c>
      <c r="E1270" t="s">
        <v>2189</v>
      </c>
      <c r="F1270" t="str">
        <f>ToJsonArray(supplementary_offering_legacyid[[#Headers],[offeringid]:[mode]],supplementary_offering_legacyid[[#This Row],[offeringid]:[mode]])</f>
        <v>{"offeringid":"990000709","name":"Billing  Discount","mode":"I"}</v>
      </c>
      <c r="G1270" t="str">
        <f>ToJsonArray(supplementary_offering_legacyid[[#This Row],[Semilla04]],supplementary_offering_legacyid[[#This Row],[Json]])</f>
        <v>{"990000709":{"offeringid":"990000709","name":"Billing  Discount","mode":"I"}}</v>
      </c>
    </row>
    <row r="1271" spans="1:7" x14ac:dyDescent="0.25">
      <c r="A1271" s="60" t="s">
        <v>5629</v>
      </c>
      <c r="B1271" t="str">
        <f>findKey(supplementary_offering_legacyid[[#This Row],[Produccion]])</f>
        <v>17085739477</v>
      </c>
      <c r="C1271" s="61" t="s">
        <v>5630</v>
      </c>
      <c r="D1271" t="s">
        <v>1183</v>
      </c>
      <c r="E1271" t="s">
        <v>2189</v>
      </c>
      <c r="F1271" t="str">
        <f>ToJsonArray(supplementary_offering_legacyid[[#Headers],[offeringid]:[mode]],supplementary_offering_legacyid[[#This Row],[offeringid]:[mode]])</f>
        <v>{"offeringid":"990000266","name":"Paquete 3GB 6 meses","mode":"I"}</v>
      </c>
      <c r="G1271" t="str">
        <f>ToJsonArray(supplementary_offering_legacyid[[#This Row],[Semilla04]],supplementary_offering_legacyid[[#This Row],[Json]])</f>
        <v>{"17085739477":{"offeringid":"990000266","name":"Paquete 3GB 6 meses","mode":"I"}}</v>
      </c>
    </row>
    <row r="1272" spans="1:7" x14ac:dyDescent="0.25">
      <c r="A1272" s="60" t="s">
        <v>5631</v>
      </c>
      <c r="B1272" t="str">
        <f>findKey(supplementary_offering_legacyid[[#This Row],[Produccion]])</f>
        <v>17083126936</v>
      </c>
      <c r="C1272" s="61" t="s">
        <v>5632</v>
      </c>
      <c r="D1272" t="s">
        <v>1691</v>
      </c>
      <c r="E1272" t="s">
        <v>2189</v>
      </c>
      <c r="F1272" t="str">
        <f>ToJsonArray(supplementary_offering_legacyid[[#Headers],[offeringid]:[mode]],supplementary_offering_legacyid[[#This Row],[offeringid]:[mode]])</f>
        <v>{"offeringid":"990000264","name":"SEGURO RANGO ALTO pospago","mode":"I"}</v>
      </c>
      <c r="G1272" t="str">
        <f>ToJsonArray(supplementary_offering_legacyid[[#This Row],[Semilla04]],supplementary_offering_legacyid[[#This Row],[Json]])</f>
        <v>{"17083126936":{"offeringid":"990000264","name":"SEGURO RANGO ALTO pospago","mode":"I"}}</v>
      </c>
    </row>
    <row r="1273" spans="1:7" x14ac:dyDescent="0.25">
      <c r="A1273" s="60" t="s">
        <v>5633</v>
      </c>
      <c r="B1273" t="str">
        <f>findKey(supplementary_offering_legacyid[[#This Row],[Produccion]])</f>
        <v>17083129624</v>
      </c>
      <c r="C1273" s="61" t="s">
        <v>5634</v>
      </c>
      <c r="D1273" t="s">
        <v>1697</v>
      </c>
      <c r="E1273" t="s">
        <v>2189</v>
      </c>
      <c r="F1273" t="str">
        <f>ToJsonArray(supplementary_offering_legacyid[[#Headers],[offeringid]:[mode]],supplementary_offering_legacyid[[#This Row],[offeringid]:[mode]])</f>
        <v>{"offeringid":"990000262","name":"SEGURO RANGO BAJO pospago","mode":"I"}</v>
      </c>
      <c r="G1273" t="str">
        <f>ToJsonArray(supplementary_offering_legacyid[[#This Row],[Semilla04]],supplementary_offering_legacyid[[#This Row],[Json]])</f>
        <v>{"17083129624":{"offeringid":"990000262","name":"SEGURO RANGO BAJO pospago","mode":"I"}}</v>
      </c>
    </row>
    <row r="1274" spans="1:7" x14ac:dyDescent="0.25">
      <c r="A1274" s="60" t="s">
        <v>5635</v>
      </c>
      <c r="B1274" t="str">
        <f>findKey(supplementary_offering_legacyid[[#This Row],[Produccion]])</f>
        <v>17083125860</v>
      </c>
      <c r="C1274" s="61" t="s">
        <v>5636</v>
      </c>
      <c r="D1274" t="s">
        <v>1707</v>
      </c>
      <c r="E1274" t="s">
        <v>2189</v>
      </c>
      <c r="F1274" t="str">
        <f>ToJsonArray(supplementary_offering_legacyid[[#Headers],[offeringid]:[mode]],supplementary_offering_legacyid[[#This Row],[offeringid]:[mode]])</f>
        <v>{"offeringid":"990000263","name":"SEGURO RANGO MEDIO pospago","mode":"I"}</v>
      </c>
      <c r="G1274" t="str">
        <f>ToJsonArray(supplementary_offering_legacyid[[#This Row],[Semilla04]],supplementary_offering_legacyid[[#This Row],[Json]])</f>
        <v>{"17083125860":{"offeringid":"990000263","name":"SEGURO RANGO MEDIO pospago","mode":"I"}}</v>
      </c>
    </row>
    <row r="1275" spans="1:7" x14ac:dyDescent="0.25">
      <c r="A1275" s="60" t="s">
        <v>5637</v>
      </c>
      <c r="B1275" t="str">
        <f>findKey(supplementary_offering_legacyid[[#This Row],[Produccion]])</f>
        <v>17083090268</v>
      </c>
      <c r="C1275" s="61" t="s">
        <v>5638</v>
      </c>
      <c r="D1275" t="s">
        <v>1959</v>
      </c>
      <c r="E1275" t="s">
        <v>2189</v>
      </c>
      <c r="F1275" t="str">
        <f>ToJsonArray(supplementary_offering_legacyid[[#Headers],[offeringid]:[mode]],supplementary_offering_legacyid[[#This Row],[offeringid]:[mode]])</f>
        <v>{"offeringid":"990000265","name":"SEGURO RANGO DE LUJO pospago","mode":"I"}</v>
      </c>
      <c r="G1275" t="str">
        <f>ToJsonArray(supplementary_offering_legacyid[[#This Row],[Semilla04]],supplementary_offering_legacyid[[#This Row],[Json]])</f>
        <v>{"17083090268":{"offeringid":"990000265","name":"SEGURO RANGO DE LUJO pospago","mode":"I"}}</v>
      </c>
    </row>
    <row r="1276" spans="1:7" x14ac:dyDescent="0.25">
      <c r="A1276" s="60" t="s">
        <v>5639</v>
      </c>
      <c r="B1276" t="str">
        <f>findKey(supplementary_offering_legacyid[[#This Row],[Produccion]])</f>
        <v>17101201623</v>
      </c>
      <c r="C1276" s="61" t="s">
        <v>5640</v>
      </c>
      <c r="D1276" t="s">
        <v>188</v>
      </c>
      <c r="E1276" t="s">
        <v>2189</v>
      </c>
      <c r="F1276" t="str">
        <f>ToJsonArray(supplementary_offering_legacyid[[#Headers],[offeringid]:[mode]],supplementary_offering_legacyid[[#This Row],[offeringid]:[mode]])</f>
        <v>{"offeringid":"990001057","name":"Prom 550MIN TD,SMS TD y Voz a Tigo infinito,2 GB WA+Mail+FB P1","mode":"I"}</v>
      </c>
      <c r="G1276" t="str">
        <f>ToJsonArray(supplementary_offering_legacyid[[#This Row],[Semilla04]],supplementary_offering_legacyid[[#This Row],[Json]])</f>
        <v>{"17101201623":{"offeringid":"990001057","name":"Prom 550MIN TD,SMS TD y Voz a Tigo infinito,2 GB WA+Mail+FB P1","mode":"I"}}</v>
      </c>
    </row>
    <row r="1277" spans="1:7" x14ac:dyDescent="0.25">
      <c r="A1277" s="60" t="s">
        <v>5641</v>
      </c>
      <c r="B1277" t="str">
        <f>findKey(supplementary_offering_legacyid[[#This Row],[Produccion]])</f>
        <v>17101204695</v>
      </c>
      <c r="C1277" s="61" t="s">
        <v>5642</v>
      </c>
      <c r="D1277" t="s">
        <v>190</v>
      </c>
      <c r="E1277" t="s">
        <v>2189</v>
      </c>
      <c r="F1277" t="str">
        <f>ToJsonArray(supplementary_offering_legacyid[[#Headers],[offeringid]:[mode]],supplementary_offering_legacyid[[#This Row],[offeringid]:[mode]])</f>
        <v>{"offeringid":"990001059","name":"Prom 550MIN TD,SMS TD y Voz a Tigo infinito,2 GB WA+Mail+FB P2","mode":"I"}</v>
      </c>
      <c r="G1277" t="str">
        <f>ToJsonArray(supplementary_offering_legacyid[[#This Row],[Semilla04]],supplementary_offering_legacyid[[#This Row],[Json]])</f>
        <v>{"17101204695":{"offeringid":"990001059","name":"Prom 550MIN TD,SMS TD y Voz a Tigo infinito,2 GB WA+Mail+FB P2","mode":"I"}}</v>
      </c>
    </row>
    <row r="1278" spans="1:7" x14ac:dyDescent="0.25">
      <c r="A1278" s="60" t="s">
        <v>5643</v>
      </c>
      <c r="B1278" t="str">
        <f>findKey(supplementary_offering_legacyid[[#This Row],[Produccion]])</f>
        <v>17101203159</v>
      </c>
      <c r="C1278" s="61" t="s">
        <v>5644</v>
      </c>
      <c r="D1278" t="s">
        <v>191</v>
      </c>
      <c r="E1278" t="s">
        <v>2189</v>
      </c>
      <c r="F1278" t="str">
        <f>ToJsonArray(supplementary_offering_legacyid[[#Headers],[offeringid]:[mode]],supplementary_offering_legacyid[[#This Row],[offeringid]:[mode]])</f>
        <v>{"offeringid":"990001058","name":"Prom 550MIN TD,SMS TD y Voz a Tigo infinito,2 GB WA+Mail+FB P3","mode":"I"}</v>
      </c>
      <c r="G1278" t="str">
        <f>ToJsonArray(supplementary_offering_legacyid[[#This Row],[Semilla04]],supplementary_offering_legacyid[[#This Row],[Json]])</f>
        <v>{"17101203159":{"offeringid":"990001058","name":"Prom 550MIN TD,SMS TD y Voz a Tigo infinito,2 GB WA+Mail+FB P3","mode":"I"}}</v>
      </c>
    </row>
    <row r="1279" spans="1:7" x14ac:dyDescent="0.25">
      <c r="A1279" s="60" t="s">
        <v>5645</v>
      </c>
      <c r="B1279" t="str">
        <f>findKey(supplementary_offering_legacyid[[#This Row],[Produccion]])</f>
        <v>17083124756</v>
      </c>
      <c r="C1279" s="61" t="s">
        <v>5646</v>
      </c>
      <c r="D1279" t="s">
        <v>329</v>
      </c>
      <c r="E1279" t="s">
        <v>2189</v>
      </c>
      <c r="F1279" t="str">
        <f>ToJsonArray(supplementary_offering_legacyid[[#Headers],[offeringid]:[mode]],supplementary_offering_legacyid[[#This Row],[offeringid]:[mode]])</f>
        <v>{"offeringid":"990000993","name":"PQT Corp SMS Todo Destino 30","mode":"I"}</v>
      </c>
      <c r="G1279" t="str">
        <f>ToJsonArray(supplementary_offering_legacyid[[#This Row],[Semilla04]],supplementary_offering_legacyid[[#This Row],[Json]])</f>
        <v>{"17083124756":{"offeringid":"990000993","name":"PQT Corp SMS Todo Destino 30","mode":"I"}}</v>
      </c>
    </row>
    <row r="1280" spans="1:7" x14ac:dyDescent="0.25">
      <c r="A1280" s="60" t="s">
        <v>5647</v>
      </c>
      <c r="B1280" t="str">
        <f>findKey(supplementary_offering_legacyid[[#This Row],[Produccion]])</f>
        <v>17083123308</v>
      </c>
      <c r="C1280" s="61" t="s">
        <v>5648</v>
      </c>
      <c r="D1280" t="s">
        <v>330</v>
      </c>
      <c r="E1280" t="s">
        <v>2189</v>
      </c>
      <c r="F1280" t="str">
        <f>ToJsonArray(supplementary_offering_legacyid[[#Headers],[offeringid]:[mode]],supplementary_offering_legacyid[[#This Row],[offeringid]:[mode]])</f>
        <v>{"offeringid":"990000992","name":"PQT Corp SMS Todo Destino 100","mode":"I"}</v>
      </c>
      <c r="G1280" t="str">
        <f>ToJsonArray(supplementary_offering_legacyid[[#This Row],[Semilla04]],supplementary_offering_legacyid[[#This Row],[Json]])</f>
        <v>{"17083123308":{"offeringid":"990000992","name":"PQT Corp SMS Todo Destino 100","mode":"I"}}</v>
      </c>
    </row>
    <row r="1281" spans="1:7" x14ac:dyDescent="0.25">
      <c r="A1281" s="60" t="s">
        <v>5649</v>
      </c>
      <c r="B1281" t="str">
        <f>findKey(supplementary_offering_legacyid[[#This Row],[Produccion]])</f>
        <v>17083092972</v>
      </c>
      <c r="C1281" s="61" t="s">
        <v>5650</v>
      </c>
      <c r="D1281" t="s">
        <v>414</v>
      </c>
      <c r="E1281" t="s">
        <v>2189</v>
      </c>
      <c r="F1281" t="str">
        <f>ToJsonArray(supplementary_offering_legacyid[[#Headers],[offeringid]:[mode]],supplementary_offering_legacyid[[#This Row],[offeringid]:[mode]])</f>
        <v>{"offeringid":"990000991","name":"PQT Corp SMS Tigo 50","mode":"I"}</v>
      </c>
      <c r="G1281" t="str">
        <f>ToJsonArray(supplementary_offering_legacyid[[#This Row],[Semilla04]],supplementary_offering_legacyid[[#This Row],[Json]])</f>
        <v>{"17083092972":{"offeringid":"990000991","name":"PQT Corp SMS Tigo 50","mode":"I"}}</v>
      </c>
    </row>
    <row r="1282" spans="1:7" x14ac:dyDescent="0.25">
      <c r="A1282" s="60" t="s">
        <v>5651</v>
      </c>
      <c r="B1282" t="str">
        <f>findKey(supplementary_offering_legacyid[[#This Row],[Produccion]])</f>
        <v>17083126712</v>
      </c>
      <c r="C1282" s="61" t="s">
        <v>5652</v>
      </c>
      <c r="D1282" t="s">
        <v>436</v>
      </c>
      <c r="E1282" t="s">
        <v>2189</v>
      </c>
      <c r="F1282" t="str">
        <f>ToJsonArray(supplementary_offering_legacyid[[#Headers],[offeringid]:[mode]],supplementary_offering_legacyid[[#This Row],[offeringid]:[mode]])</f>
        <v>{"offeringid":"990001009","name":"PQT Corp Tigo 1100","mode":"I"}</v>
      </c>
      <c r="G1282" t="str">
        <f>ToJsonArray(supplementary_offering_legacyid[[#This Row],[Semilla04]],supplementary_offering_legacyid[[#This Row],[Json]])</f>
        <v>{"17083126712":{"offeringid":"990001009","name":"PQT Corp Tigo 1100","mode":"I"}}</v>
      </c>
    </row>
    <row r="1283" spans="1:7" x14ac:dyDescent="0.25">
      <c r="A1283" s="60" t="s">
        <v>5653</v>
      </c>
      <c r="B1283" t="str">
        <f>findKey(supplementary_offering_legacyid[[#This Row],[Produccion]])</f>
        <v>17083128248</v>
      </c>
      <c r="C1283" s="61" t="s">
        <v>5654</v>
      </c>
      <c r="D1283" t="s">
        <v>437</v>
      </c>
      <c r="E1283" t="s">
        <v>2189</v>
      </c>
      <c r="F1283" t="str">
        <f>ToJsonArray(supplementary_offering_legacyid[[#Headers],[offeringid]:[mode]],supplementary_offering_legacyid[[#This Row],[offeringid]:[mode]])</f>
        <v>{"offeringid":"990001017","name":"PQT Corp Tigo 1300","mode":"I"}</v>
      </c>
      <c r="G1283" t="str">
        <f>ToJsonArray(supplementary_offering_legacyid[[#This Row],[Semilla04]],supplementary_offering_legacyid[[#This Row],[Json]])</f>
        <v>{"17083128248":{"offeringid":"990001017","name":"PQT Corp Tigo 1300","mode":"I"}}</v>
      </c>
    </row>
    <row r="1284" spans="1:7" x14ac:dyDescent="0.25">
      <c r="A1284" s="60" t="s">
        <v>5655</v>
      </c>
      <c r="B1284" t="str">
        <f>findKey(supplementary_offering_legacyid[[#This Row],[Produccion]])</f>
        <v>17083127480</v>
      </c>
      <c r="C1284" s="61" t="s">
        <v>5656</v>
      </c>
      <c r="D1284" t="s">
        <v>438</v>
      </c>
      <c r="E1284" t="s">
        <v>2189</v>
      </c>
      <c r="F1284" t="str">
        <f>ToJsonArray(supplementary_offering_legacyid[[#Headers],[offeringid]:[mode]],supplementary_offering_legacyid[[#This Row],[offeringid]:[mode]])</f>
        <v>{"offeringid":"990001007","name":"PQT Corp Tigo 1500","mode":"I"}</v>
      </c>
      <c r="G1284" t="str">
        <f>ToJsonArray(supplementary_offering_legacyid[[#This Row],[Semilla04]],supplementary_offering_legacyid[[#This Row],[Json]])</f>
        <v>{"17083127480":{"offeringid":"990001007","name":"PQT Corp Tigo 1500","mode":"I"}}</v>
      </c>
    </row>
    <row r="1285" spans="1:7" x14ac:dyDescent="0.25">
      <c r="A1285" s="60" t="s">
        <v>5657</v>
      </c>
      <c r="B1285" t="str">
        <f>findKey(supplementary_offering_legacyid[[#This Row],[Produccion]])</f>
        <v>17083129016</v>
      </c>
      <c r="C1285" s="61" t="s">
        <v>5658</v>
      </c>
      <c r="D1285" t="s">
        <v>439</v>
      </c>
      <c r="E1285" t="s">
        <v>2189</v>
      </c>
      <c r="F1285" t="str">
        <f>ToJsonArray(supplementary_offering_legacyid[[#Headers],[offeringid]:[mode]],supplementary_offering_legacyid[[#This Row],[offeringid]:[mode]])</f>
        <v>{"offeringid":"990001020","name":"PQT Corp Tigo 1700","mode":"I"}</v>
      </c>
      <c r="G1285" t="str">
        <f>ToJsonArray(supplementary_offering_legacyid[[#This Row],[Semilla04]],supplementary_offering_legacyid[[#This Row],[Json]])</f>
        <v>{"17083129016":{"offeringid":"990001020","name":"PQT Corp Tigo 1700","mode":"I"}}</v>
      </c>
    </row>
    <row r="1286" spans="1:7" x14ac:dyDescent="0.25">
      <c r="A1286" s="60" t="s">
        <v>5659</v>
      </c>
      <c r="B1286" t="str">
        <f>findKey(supplementary_offering_legacyid[[#This Row],[Produccion]])</f>
        <v>17083125944</v>
      </c>
      <c r="C1286" s="61" t="s">
        <v>5660</v>
      </c>
      <c r="D1286" t="s">
        <v>440</v>
      </c>
      <c r="E1286" t="s">
        <v>2189</v>
      </c>
      <c r="F1286" t="str">
        <f>ToJsonArray(supplementary_offering_legacyid[[#Headers],[offeringid]:[mode]],supplementary_offering_legacyid[[#This Row],[offeringid]:[mode]])</f>
        <v>{"offeringid":"990001014","name":"PQT Corp Tigo 2000","mode":"I"}</v>
      </c>
      <c r="G1286" t="str">
        <f>ToJsonArray(supplementary_offering_legacyid[[#This Row],[Semilla04]],supplementary_offering_legacyid[[#This Row],[Json]])</f>
        <v>{"17083125944":{"offeringid":"990001014","name":"PQT Corp Tigo 2000","mode":"I"}}</v>
      </c>
    </row>
    <row r="1287" spans="1:7" x14ac:dyDescent="0.25">
      <c r="A1287" s="60" t="s">
        <v>5661</v>
      </c>
      <c r="B1287" t="str">
        <f>findKey(supplementary_offering_legacyid[[#This Row],[Produccion]])</f>
        <v>17083128632</v>
      </c>
      <c r="C1287" s="61" t="s">
        <v>5662</v>
      </c>
      <c r="D1287" t="s">
        <v>441</v>
      </c>
      <c r="E1287" t="s">
        <v>2189</v>
      </c>
      <c r="F1287" t="str">
        <f>ToJsonArray(supplementary_offering_legacyid[[#Headers],[offeringid]:[mode]],supplementary_offering_legacyid[[#This Row],[offeringid]:[mode]])</f>
        <v>{"offeringid":"990001015","name":"PQT Corp Tigo 2200","mode":"I"}</v>
      </c>
      <c r="G1287" t="str">
        <f>ToJsonArray(supplementary_offering_legacyid[[#This Row],[Semilla04]],supplementary_offering_legacyid[[#This Row],[Json]])</f>
        <v>{"17083128632":{"offeringid":"990001015","name":"PQT Corp Tigo 2200","mode":"I"}}</v>
      </c>
    </row>
    <row r="1288" spans="1:7" x14ac:dyDescent="0.25">
      <c r="A1288" s="60" t="s">
        <v>5663</v>
      </c>
      <c r="B1288" t="str">
        <f>findKey(supplementary_offering_legacyid[[#This Row],[Produccion]])</f>
        <v>17083127096</v>
      </c>
      <c r="C1288" s="61" t="s">
        <v>5664</v>
      </c>
      <c r="D1288" t="s">
        <v>442</v>
      </c>
      <c r="E1288" t="s">
        <v>2189</v>
      </c>
      <c r="F1288" t="str">
        <f>ToJsonArray(supplementary_offering_legacyid[[#Headers],[offeringid]:[mode]],supplementary_offering_legacyid[[#This Row],[offeringid]:[mode]])</f>
        <v>{"offeringid":"990001008","name":"PQT Corp Tigo 2450","mode":"I"}</v>
      </c>
      <c r="G1288" t="str">
        <f>ToJsonArray(supplementary_offering_legacyid[[#This Row],[Semilla04]],supplementary_offering_legacyid[[#This Row],[Json]])</f>
        <v>{"17083127096":{"offeringid":"990001008","name":"PQT Corp Tigo 2450","mode":"I"}}</v>
      </c>
    </row>
    <row r="1289" spans="1:7" x14ac:dyDescent="0.25">
      <c r="A1289" s="60" t="s">
        <v>5665</v>
      </c>
      <c r="B1289" t="str">
        <f>findKey(supplementary_offering_legacyid[[#This Row],[Produccion]])</f>
        <v>17083129400</v>
      </c>
      <c r="C1289" s="61" t="s">
        <v>5666</v>
      </c>
      <c r="D1289" t="s">
        <v>443</v>
      </c>
      <c r="E1289" t="s">
        <v>2189</v>
      </c>
      <c r="F1289" t="str">
        <f>ToJsonArray(supplementary_offering_legacyid[[#Headers],[offeringid]:[mode]],supplementary_offering_legacyid[[#This Row],[offeringid]:[mode]])</f>
        <v>{"offeringid":"990001021","name":"PQT Corp Tigo 2650","mode":"I"}</v>
      </c>
      <c r="G1289" t="str">
        <f>ToJsonArray(supplementary_offering_legacyid[[#This Row],[Semilla04]],supplementary_offering_legacyid[[#This Row],[Json]])</f>
        <v>{"17083129400":{"offeringid":"990001021","name":"PQT Corp Tigo 2650","mode":"I"}}</v>
      </c>
    </row>
    <row r="1290" spans="1:7" x14ac:dyDescent="0.25">
      <c r="A1290" s="60" t="s">
        <v>5667</v>
      </c>
      <c r="B1290" t="str">
        <f>findKey(supplementary_offering_legacyid[[#This Row],[Produccion]])</f>
        <v>17083126328</v>
      </c>
      <c r="C1290" s="61" t="s">
        <v>5668</v>
      </c>
      <c r="D1290" t="s">
        <v>444</v>
      </c>
      <c r="E1290" t="s">
        <v>2189</v>
      </c>
      <c r="F1290" t="str">
        <f>ToJsonArray(supplementary_offering_legacyid[[#Headers],[offeringid]:[mode]],supplementary_offering_legacyid[[#This Row],[offeringid]:[mode]])</f>
        <v>{"offeringid":"990001011","name":"PQT Corp Tigo 2850","mode":"I"}</v>
      </c>
      <c r="G1290" t="str">
        <f>ToJsonArray(supplementary_offering_legacyid[[#This Row],[Semilla04]],supplementary_offering_legacyid[[#This Row],[Json]])</f>
        <v>{"17083126328":{"offeringid":"990001011","name":"PQT Corp Tigo 2850","mode":"I"}}</v>
      </c>
    </row>
    <row r="1291" spans="1:7" x14ac:dyDescent="0.25">
      <c r="A1291" s="60" t="s">
        <v>5669</v>
      </c>
      <c r="B1291" t="str">
        <f>findKey(supplementary_offering_legacyid[[#This Row],[Produccion]])</f>
        <v>17083127864</v>
      </c>
      <c r="C1291" s="61" t="s">
        <v>5670</v>
      </c>
      <c r="D1291" t="s">
        <v>445</v>
      </c>
      <c r="E1291" t="s">
        <v>2189</v>
      </c>
      <c r="F1291" t="str">
        <f>ToJsonArray(supplementary_offering_legacyid[[#Headers],[offeringid]:[mode]],supplementary_offering_legacyid[[#This Row],[offeringid]:[mode]])</f>
        <v>{"offeringid":"990001018","name":"PQT Corp Tigo 3050","mode":"I"}</v>
      </c>
      <c r="G1291" t="str">
        <f>ToJsonArray(supplementary_offering_legacyid[[#This Row],[Semilla04]],supplementary_offering_legacyid[[#This Row],[Json]])</f>
        <v>{"17083127864":{"offeringid":"990001018","name":"PQT Corp Tigo 3050","mode":"I"}}</v>
      </c>
    </row>
    <row r="1292" spans="1:7" x14ac:dyDescent="0.25">
      <c r="A1292" s="60" t="s">
        <v>5671</v>
      </c>
      <c r="B1292" t="str">
        <f>findKey(supplementary_offering_legacyid[[#This Row],[Produccion]])</f>
        <v>17083127768</v>
      </c>
      <c r="C1292" s="61" t="s">
        <v>5672</v>
      </c>
      <c r="D1292" t="s">
        <v>446</v>
      </c>
      <c r="E1292" t="s">
        <v>2189</v>
      </c>
      <c r="F1292" t="str">
        <f>ToJsonArray(supplementary_offering_legacyid[[#Headers],[offeringid]:[mode]],supplementary_offering_legacyid[[#This Row],[offeringid]:[mode]])</f>
        <v>{"offeringid":"990001006","name":"PQT Corp Tigo 3300","mode":"I"}</v>
      </c>
      <c r="G1292" t="str">
        <f>ToJsonArray(supplementary_offering_legacyid[[#This Row],[Semilla04]],supplementary_offering_legacyid[[#This Row],[Json]])</f>
        <v>{"17083127768":{"offeringid":"990001006","name":"PQT Corp Tigo 3300","mode":"I"}}</v>
      </c>
    </row>
    <row r="1293" spans="1:7" x14ac:dyDescent="0.25">
      <c r="A1293" s="60" t="s">
        <v>5673</v>
      </c>
      <c r="B1293" t="str">
        <f>findKey(supplementary_offering_legacyid[[#This Row],[Produccion]])</f>
        <v>17083129304</v>
      </c>
      <c r="C1293" s="61" t="s">
        <v>5674</v>
      </c>
      <c r="D1293" t="s">
        <v>447</v>
      </c>
      <c r="E1293" t="s">
        <v>2189</v>
      </c>
      <c r="F1293" t="str">
        <f>ToJsonArray(supplementary_offering_legacyid[[#Headers],[offeringid]:[mode]],supplementary_offering_legacyid[[#This Row],[offeringid]:[mode]])</f>
        <v>{"offeringid":"990001019","name":"PQT Corp Tigo 3600","mode":"I"}</v>
      </c>
      <c r="G1293" t="str">
        <f>ToJsonArray(supplementary_offering_legacyid[[#This Row],[Semilla04]],supplementary_offering_legacyid[[#This Row],[Json]])</f>
        <v>{"17083129304":{"offeringid":"990001019","name":"PQT Corp Tigo 3600","mode":"I"}}</v>
      </c>
    </row>
    <row r="1294" spans="1:7" x14ac:dyDescent="0.25">
      <c r="A1294" s="60" t="s">
        <v>5675</v>
      </c>
      <c r="B1294" t="str">
        <f>findKey(supplementary_offering_legacyid[[#This Row],[Produccion]])</f>
        <v>17083126232</v>
      </c>
      <c r="C1294" s="61" t="s">
        <v>5676</v>
      </c>
      <c r="D1294" t="s">
        <v>448</v>
      </c>
      <c r="E1294" t="s">
        <v>2189</v>
      </c>
      <c r="F1294" t="str">
        <f>ToJsonArray(supplementary_offering_legacyid[[#Headers],[offeringid]:[mode]],supplementary_offering_legacyid[[#This Row],[offeringid]:[mode]])</f>
        <v>{"offeringid":"990001012","name":"PQT Corp Tigo 3800","mode":"I"}</v>
      </c>
      <c r="G1294" t="str">
        <f>ToJsonArray(supplementary_offering_legacyid[[#This Row],[Semilla04]],supplementary_offering_legacyid[[#This Row],[Json]])</f>
        <v>{"17083126232":{"offeringid":"990001012","name":"PQT Corp Tigo 3800","mode":"I"}}</v>
      </c>
    </row>
    <row r="1295" spans="1:7" x14ac:dyDescent="0.25">
      <c r="A1295" s="60" t="s">
        <v>5677</v>
      </c>
      <c r="B1295" t="str">
        <f>findKey(supplementary_offering_legacyid[[#This Row],[Produccion]])</f>
        <v>17083128536</v>
      </c>
      <c r="C1295" s="61" t="s">
        <v>5678</v>
      </c>
      <c r="D1295" t="s">
        <v>449</v>
      </c>
      <c r="E1295" t="s">
        <v>2189</v>
      </c>
      <c r="F1295" t="str">
        <f>ToJsonArray(supplementary_offering_legacyid[[#Headers],[offeringid]:[mode]],supplementary_offering_legacyid[[#This Row],[offeringid]:[mode]])</f>
        <v>{"offeringid":"990001016","name":"PQT Corp Tigo 4100","mode":"I"}</v>
      </c>
      <c r="G1295" t="str">
        <f>ToJsonArray(supplementary_offering_legacyid[[#This Row],[Semilla04]],supplementary_offering_legacyid[[#This Row],[Json]])</f>
        <v>{"17083128536":{"offeringid":"990001016","name":"PQT Corp Tigo 4100","mode":"I"}}</v>
      </c>
    </row>
    <row r="1296" spans="1:7" x14ac:dyDescent="0.25">
      <c r="A1296" s="60" t="s">
        <v>5679</v>
      </c>
      <c r="B1296" t="str">
        <f>findKey(supplementary_offering_legacyid[[#This Row],[Produccion]])</f>
        <v>17083129784</v>
      </c>
      <c r="C1296" s="61" t="s">
        <v>5680</v>
      </c>
      <c r="D1296" t="s">
        <v>454</v>
      </c>
      <c r="E1296" t="s">
        <v>2189</v>
      </c>
      <c r="F1296" t="str">
        <f>ToJsonArray(supplementary_offering_legacyid[[#Headers],[offeringid]:[mode]],supplementary_offering_legacyid[[#This Row],[offeringid]:[mode]])</f>
        <v>{"offeringid":"990001010","name":"PQT Corp CUG 20000","mode":"I"}</v>
      </c>
      <c r="G1296" t="str">
        <f>ToJsonArray(supplementary_offering_legacyid[[#This Row],[Semilla04]],supplementary_offering_legacyid[[#This Row],[Json]])</f>
        <v>{"17083129784":{"offeringid":"990001010","name":"PQT Corp CUG 20000","mode":"I"}}</v>
      </c>
    </row>
    <row r="1297" spans="1:7" x14ac:dyDescent="0.25">
      <c r="A1297" s="60" t="s">
        <v>5681</v>
      </c>
      <c r="B1297" t="str">
        <f>findKey(supplementary_offering_legacyid[[#This Row],[Produccion]])</f>
        <v>17083128328</v>
      </c>
      <c r="C1297" s="61" t="s">
        <v>5682</v>
      </c>
      <c r="D1297" t="s">
        <v>456</v>
      </c>
      <c r="E1297" t="s">
        <v>2189</v>
      </c>
      <c r="F1297" t="str">
        <f>ToJsonArray(supplementary_offering_legacyid[[#Headers],[offeringid]:[mode]],supplementary_offering_legacyid[[#This Row],[offeringid]:[mode]])</f>
        <v>{"offeringid":"990001013","name":"PQT Corp Tigo 320","mode":"I"}</v>
      </c>
      <c r="G1297" t="str">
        <f>ToJsonArray(supplementary_offering_legacyid[[#This Row],[Semilla04]],supplementary_offering_legacyid[[#This Row],[Json]])</f>
        <v>{"17083128328":{"offeringid":"990001013","name":"PQT Corp Tigo 320","mode":"I"}}</v>
      </c>
    </row>
    <row r="1298" spans="1:7" x14ac:dyDescent="0.25">
      <c r="A1298" s="60" t="s">
        <v>5683</v>
      </c>
      <c r="B1298" t="str">
        <f>findKey(supplementary_offering_legacyid[[#This Row],[Produccion]])</f>
        <v>17083654407</v>
      </c>
      <c r="C1298" s="61" t="s">
        <v>5684</v>
      </c>
      <c r="D1298" t="s">
        <v>647</v>
      </c>
      <c r="E1298" t="s">
        <v>2189</v>
      </c>
      <c r="F1298" t="str">
        <f>ToJsonArray(supplementary_offering_legacyid[[#Headers],[offeringid]:[mode]],supplementary_offering_legacyid[[#This Row],[offeringid]:[mode]])</f>
        <v>{"offeringid":"990001026","name":"PQT Corp TodoDestino 400MIN y Voz a NIT Infinito F2","mode":"I"}</v>
      </c>
      <c r="G1298" t="str">
        <f>ToJsonArray(supplementary_offering_legacyid[[#This Row],[Semilla04]],supplementary_offering_legacyid[[#This Row],[Json]])</f>
        <v>{"17083654407":{"offeringid":"990001026","name":"PQT Corp TodoDestino 400MIN y Voz a NIT Infinito F2","mode":"I"}}</v>
      </c>
    </row>
    <row r="1299" spans="1:7" x14ac:dyDescent="0.25">
      <c r="A1299" s="60" t="s">
        <v>5685</v>
      </c>
      <c r="B1299" t="str">
        <f>findKey(supplementary_offering_legacyid[[#This Row],[Produccion]])</f>
        <v>17083654791</v>
      </c>
      <c r="C1299" s="61" t="s">
        <v>5686</v>
      </c>
      <c r="D1299" t="s">
        <v>655</v>
      </c>
      <c r="E1299" t="s">
        <v>2189</v>
      </c>
      <c r="F1299" t="str">
        <f>ToJsonArray(supplementary_offering_legacyid[[#Headers],[offeringid]:[mode]],supplementary_offering_legacyid[[#This Row],[offeringid]:[mode]])</f>
        <v>{"offeringid":"990001025","name":"PQT Corp TodoDestino 1200MIN y Voz a NIT Infinito F2","mode":"I"}</v>
      </c>
      <c r="G1299" t="str">
        <f>ToJsonArray(supplementary_offering_legacyid[[#This Row],[Semilla04]],supplementary_offering_legacyid[[#This Row],[Json]])</f>
        <v>{"17083654791":{"offeringid":"990001025","name":"PQT Corp TodoDestino 1200MIN y Voz a NIT Infinito F2","mode":"I"}}</v>
      </c>
    </row>
    <row r="1300" spans="1:7" x14ac:dyDescent="0.25">
      <c r="A1300" s="60" t="s">
        <v>5687</v>
      </c>
      <c r="B1300" t="str">
        <f>findKey(supplementary_offering_legacyid[[#This Row],[Produccion]])</f>
        <v>17083655559</v>
      </c>
      <c r="C1300" s="61" t="s">
        <v>5688</v>
      </c>
      <c r="D1300" t="s">
        <v>659</v>
      </c>
      <c r="E1300" t="s">
        <v>2189</v>
      </c>
      <c r="F1300" t="str">
        <f>ToJsonArray(supplementary_offering_legacyid[[#Headers],[offeringid]:[mode]],supplementary_offering_legacyid[[#This Row],[offeringid]:[mode]])</f>
        <v>{"offeringid":"990001028","name":"PQT Corp TodoDestino 1800MIN y Voz a Tigo Infinito F2","mode":"I"}</v>
      </c>
      <c r="G1300" t="str">
        <f>ToJsonArray(supplementary_offering_legacyid[[#This Row],[Semilla04]],supplementary_offering_legacyid[[#This Row],[Json]])</f>
        <v>{"17083655559":{"offeringid":"990001028","name":"PQT Corp TodoDestino 1800MIN y Voz a Tigo Infinito F2","mode":"I"}}</v>
      </c>
    </row>
    <row r="1301" spans="1:7" x14ac:dyDescent="0.25">
      <c r="A1301" s="60" t="s">
        <v>5689</v>
      </c>
      <c r="B1301" t="str">
        <f>findKey(supplementary_offering_legacyid[[#This Row],[Produccion]])</f>
        <v>17083654215</v>
      </c>
      <c r="C1301" s="61" t="s">
        <v>5690</v>
      </c>
      <c r="D1301" t="s">
        <v>663</v>
      </c>
      <c r="E1301" t="s">
        <v>2189</v>
      </c>
      <c r="F1301" t="str">
        <f>ToJsonArray(supplementary_offering_legacyid[[#Headers],[offeringid]:[mode]],supplementary_offering_legacyid[[#This Row],[offeringid]:[mode]])</f>
        <v>{"offeringid":"990001027","name":"PQT Corp TodoDestino 2500MIN y Voz a Tigo Infinito F2","mode":"I"}</v>
      </c>
      <c r="G1301" t="str">
        <f>ToJsonArray(supplementary_offering_legacyid[[#This Row],[Semilla04]],supplementary_offering_legacyid[[#This Row],[Json]])</f>
        <v>{"17083654215":{"offeringid":"990001027","name":"PQT Corp TodoDestino 2500MIN y Voz a Tigo Infinito F2","mode":"I"}}</v>
      </c>
    </row>
    <row r="1302" spans="1:7" x14ac:dyDescent="0.25">
      <c r="A1302" s="60" t="s">
        <v>5691</v>
      </c>
      <c r="B1302" t="str">
        <f>findKey(supplementary_offering_legacyid[[#This Row],[Produccion]])</f>
        <v>17083662507</v>
      </c>
      <c r="C1302" s="61" t="s">
        <v>5692</v>
      </c>
      <c r="D1302" t="s">
        <v>680</v>
      </c>
      <c r="E1302" t="s">
        <v>2189</v>
      </c>
      <c r="F1302" t="str">
        <f>ToJsonArray(supplementary_offering_legacyid[[#Headers],[offeringid]:[mode]],supplementary_offering_legacyid[[#This Row],[offeringid]:[mode]])</f>
        <v>{"offeringid":"990001034","name":"PQT Corp Navegacion 3GB WA + Mail","mode":"I"}</v>
      </c>
      <c r="G1302" t="str">
        <f>ToJsonArray(supplementary_offering_legacyid[[#This Row],[Semilla04]],supplementary_offering_legacyid[[#This Row],[Json]])</f>
        <v>{"17083662507":{"offeringid":"990001034","name":"PQT Corp Navegacion 3GB WA + Mail","mode":"I"}}</v>
      </c>
    </row>
    <row r="1303" spans="1:7" x14ac:dyDescent="0.25">
      <c r="A1303" s="60" t="s">
        <v>5693</v>
      </c>
      <c r="B1303" t="str">
        <f>findKey(supplementary_offering_legacyid[[#This Row],[Produccion]])</f>
        <v>17083664043</v>
      </c>
      <c r="C1303" s="61" t="s">
        <v>5694</v>
      </c>
      <c r="D1303" t="s">
        <v>684</v>
      </c>
      <c r="E1303" t="s">
        <v>2189</v>
      </c>
      <c r="F1303" t="str">
        <f>ToJsonArray(supplementary_offering_legacyid[[#Headers],[offeringid]:[mode]],supplementary_offering_legacyid[[#This Row],[offeringid]:[mode]])</f>
        <v>{"offeringid":"990001030","name":"PQT Corp Navegacion 4,5GB WA + Mail","mode":"I"}</v>
      </c>
      <c r="G1303" t="str">
        <f>ToJsonArray(supplementary_offering_legacyid[[#This Row],[Semilla04]],supplementary_offering_legacyid[[#This Row],[Json]])</f>
        <v>{"17083664043":{"offeringid":"990001030","name":"PQT Corp Navegacion 4,5GB WA + Mail","mode":"I"}}</v>
      </c>
    </row>
    <row r="1304" spans="1:7" x14ac:dyDescent="0.25">
      <c r="A1304" s="60" t="s">
        <v>5695</v>
      </c>
      <c r="B1304" t="str">
        <f>findKey(supplementary_offering_legacyid[[#This Row],[Produccion]])</f>
        <v>17083663275</v>
      </c>
      <c r="C1304" s="61" t="s">
        <v>5696</v>
      </c>
      <c r="D1304" t="s">
        <v>688</v>
      </c>
      <c r="E1304" t="s">
        <v>2189</v>
      </c>
      <c r="F1304" t="str">
        <f>ToJsonArray(supplementary_offering_legacyid[[#Headers],[offeringid]:[mode]],supplementary_offering_legacyid[[#This Row],[offeringid]:[mode]])</f>
        <v>{"offeringid":"990001032","name":"PQT Corp Navegacion 6,5GB WA + Mail","mode":"I"}</v>
      </c>
      <c r="G1304" t="str">
        <f>ToJsonArray(supplementary_offering_legacyid[[#This Row],[Semilla04]],supplementary_offering_legacyid[[#This Row],[Json]])</f>
        <v>{"17083663275":{"offeringid":"990001032","name":"PQT Corp Navegacion 6,5GB WA + Mail","mode":"I"}}</v>
      </c>
    </row>
    <row r="1305" spans="1:7" x14ac:dyDescent="0.25">
      <c r="A1305" s="60" t="s">
        <v>5697</v>
      </c>
      <c r="B1305" t="str">
        <f>findKey(supplementary_offering_legacyid[[#This Row],[Produccion]])</f>
        <v>17083663467</v>
      </c>
      <c r="C1305" s="61" t="s">
        <v>5698</v>
      </c>
      <c r="D1305" t="s">
        <v>692</v>
      </c>
      <c r="E1305" t="s">
        <v>2189</v>
      </c>
      <c r="F1305" t="str">
        <f>ToJsonArray(supplementary_offering_legacyid[[#Headers],[offeringid]:[mode]],supplementary_offering_legacyid[[#This Row],[offeringid]:[mode]])</f>
        <v>{"offeringid":"990001029","name":"PQT Corp Navegacion 8,5GB WA + Mail","mode":"I"}</v>
      </c>
      <c r="G1305" t="str">
        <f>ToJsonArray(supplementary_offering_legacyid[[#This Row],[Semilla04]],supplementary_offering_legacyid[[#This Row],[Json]])</f>
        <v>{"17083663467":{"offeringid":"990001029","name":"PQT Corp Navegacion 8,5GB WA + Mail","mode":"I"}}</v>
      </c>
    </row>
    <row r="1306" spans="1:7" x14ac:dyDescent="0.25">
      <c r="A1306" s="60" t="s">
        <v>5699</v>
      </c>
      <c r="B1306" t="str">
        <f>findKey(supplementary_offering_legacyid[[#This Row],[Produccion]])</f>
        <v>17083662699</v>
      </c>
      <c r="C1306" s="61" t="s">
        <v>5700</v>
      </c>
      <c r="D1306" t="s">
        <v>696</v>
      </c>
      <c r="E1306" t="s">
        <v>2189</v>
      </c>
      <c r="F1306" t="str">
        <f>ToJsonArray(supplementary_offering_legacyid[[#Headers],[offeringid]:[mode]],supplementary_offering_legacyid[[#This Row],[offeringid]:[mode]])</f>
        <v>{"offeringid":"990001033","name":"PQT Corp Navegacion 10,5GB WA + Mail","mode":"I"}</v>
      </c>
      <c r="G1306" t="str">
        <f>ToJsonArray(supplementary_offering_legacyid[[#This Row],[Semilla04]],supplementary_offering_legacyid[[#This Row],[Json]])</f>
        <v>{"17083662699":{"offeringid":"990001033","name":"PQT Corp Navegacion 10,5GB WA + Mail","mode":"I"}}</v>
      </c>
    </row>
    <row r="1307" spans="1:7" x14ac:dyDescent="0.25">
      <c r="A1307" s="60" t="s">
        <v>5701</v>
      </c>
      <c r="B1307" t="str">
        <f>findKey(supplementary_offering_legacyid[[#This Row],[Produccion]])</f>
        <v>17083664235</v>
      </c>
      <c r="C1307" s="61" t="s">
        <v>5702</v>
      </c>
      <c r="D1307" t="s">
        <v>700</v>
      </c>
      <c r="E1307" t="s">
        <v>2189</v>
      </c>
      <c r="F1307" t="str">
        <f>ToJsonArray(supplementary_offering_legacyid[[#Headers],[offeringid]:[mode]],supplementary_offering_legacyid[[#This Row],[offeringid]:[mode]])</f>
        <v>{"offeringid":"990001031","name":"PQT Corp Navegacion 12,5GB WA + Mail","mode":"I"}</v>
      </c>
      <c r="G1307" t="str">
        <f>ToJsonArray(supplementary_offering_legacyid[[#This Row],[Semilla04]],supplementary_offering_legacyid[[#This Row],[Json]])</f>
        <v>{"17083664235":{"offeringid":"990001031","name":"PQT Corp Navegacion 12,5GB WA + Mail","mode":"I"}}</v>
      </c>
    </row>
    <row r="1308" spans="1:7" x14ac:dyDescent="0.25">
      <c r="A1308" s="60" t="s">
        <v>5703</v>
      </c>
      <c r="B1308" t="str">
        <f>findKey(supplementary_offering_legacyid[[#This Row],[Produccion]])</f>
        <v>17083122540</v>
      </c>
      <c r="C1308" s="61" t="s">
        <v>5704</v>
      </c>
      <c r="D1308" t="s">
        <v>815</v>
      </c>
      <c r="E1308" t="s">
        <v>2189</v>
      </c>
      <c r="F1308" t="str">
        <f>ToJsonArray(supplementary_offering_legacyid[[#Headers],[offeringid]:[mode]],supplementary_offering_legacyid[[#This Row],[offeringid]:[mode]])</f>
        <v>{"offeringid":"990001114","name":"PQT Corp Localizacion Movil LBS","mode":"I"}</v>
      </c>
      <c r="G1308" t="str">
        <f>ToJsonArray(supplementary_offering_legacyid[[#This Row],[Semilla04]],supplementary_offering_legacyid[[#This Row],[Json]])</f>
        <v>{"17083122540":{"offeringid":"990001114","name":"PQT Corp Localizacion Movil LBS","mode":"I"}}</v>
      </c>
    </row>
    <row r="1309" spans="1:7" x14ac:dyDescent="0.25">
      <c r="A1309" s="60" t="s">
        <v>5705</v>
      </c>
      <c r="B1309" t="str">
        <f>findKey(supplementary_offering_legacyid[[#This Row],[Produccion]])</f>
        <v>17083117823</v>
      </c>
      <c r="C1309" s="61" t="s">
        <v>5706</v>
      </c>
      <c r="D1309" t="s">
        <v>822</v>
      </c>
      <c r="E1309" t="s">
        <v>2189</v>
      </c>
      <c r="F1309" t="str">
        <f>ToJsonArray(supplementary_offering_legacyid[[#Headers],[offeringid]:[mode]],supplementary_offering_legacyid[[#This Row],[offeringid]:[mode]])</f>
        <v>{"offeringid":"990001111","name":"PBX Virtual Desde 6 Extensiones","mode":"I"}</v>
      </c>
      <c r="G1309" t="str">
        <f>ToJsonArray(supplementary_offering_legacyid[[#This Row],[Semilla04]],supplementary_offering_legacyid[[#This Row],[Json]])</f>
        <v>{"17083117823":{"offeringid":"990001111","name":"PBX Virtual Desde 6 Extensiones","mode":"I"}}</v>
      </c>
    </row>
    <row r="1310" spans="1:7" x14ac:dyDescent="0.25">
      <c r="A1310" s="60" t="s">
        <v>5707</v>
      </c>
      <c r="B1310" t="str">
        <f>findKey(supplementary_offering_legacyid[[#This Row],[Produccion]])</f>
        <v>17083123168</v>
      </c>
      <c r="C1310" s="61" t="s">
        <v>5708</v>
      </c>
      <c r="D1310" t="s">
        <v>823</v>
      </c>
      <c r="E1310" t="s">
        <v>2189</v>
      </c>
      <c r="F1310" t="str">
        <f>ToJsonArray(supplementary_offering_legacyid[[#Headers],[offeringid]:[mode]],supplementary_offering_legacyid[[#This Row],[offeringid]:[mode]])</f>
        <v>{"offeringid":"990001110","name":"PBX Virtual Desde 11 Extensiones","mode":"I"}</v>
      </c>
      <c r="G1310" t="str">
        <f>ToJsonArray(supplementary_offering_legacyid[[#This Row],[Semilla04]],supplementary_offering_legacyid[[#This Row],[Json]])</f>
        <v>{"17083123168":{"offeringid":"990001110","name":"PBX Virtual Desde 11 Extensiones","mode":"I"}}</v>
      </c>
    </row>
    <row r="1311" spans="1:7" x14ac:dyDescent="0.25">
      <c r="A1311" s="60" t="s">
        <v>5709</v>
      </c>
      <c r="B1311" t="str">
        <f>findKey(supplementary_offering_legacyid[[#This Row],[Produccion]])</f>
        <v>17083658331</v>
      </c>
      <c r="C1311" s="61" t="s">
        <v>5710</v>
      </c>
      <c r="D1311" t="s">
        <v>995</v>
      </c>
      <c r="E1311" t="s">
        <v>2189</v>
      </c>
      <c r="F1311" t="str">
        <f>ToJsonArray(supplementary_offering_legacyid[[#Headers],[offeringid]:[mode]],supplementary_offering_legacyid[[#This Row],[offeringid]:[mode]])</f>
        <v>{"offeringid":"990001035","name":"Combo 250MIN TD  y Voz a Tigo infinito","mode":"I"}</v>
      </c>
      <c r="G1311" t="str">
        <f>ToJsonArray(supplementary_offering_legacyid[[#This Row],[Semilla04]],supplementary_offering_legacyid[[#This Row],[Json]])</f>
        <v>{"17083658331":{"offeringid":"990001035","name":"Combo 250MIN TD  y Voz a Tigo infinito","mode":"I"}}</v>
      </c>
    </row>
    <row r="1312" spans="1:7" x14ac:dyDescent="0.25">
      <c r="A1312" s="60" t="s">
        <v>5711</v>
      </c>
      <c r="B1312" t="str">
        <f>findKey(supplementary_offering_legacyid[[#This Row],[Produccion]])</f>
        <v>17083661403</v>
      </c>
      <c r="C1312" s="61" t="s">
        <v>5712</v>
      </c>
      <c r="D1312" t="s">
        <v>997</v>
      </c>
      <c r="E1312" t="s">
        <v>2189</v>
      </c>
      <c r="F1312" t="str">
        <f>ToJsonArray(supplementary_offering_legacyid[[#Headers],[offeringid]:[mode]],supplementary_offering_legacyid[[#This Row],[offeringid]:[mode]])</f>
        <v>{"offeringid":"990001051","name":"Combo 480MIN TD  y Voz a Tigo infinito","mode":"I"}</v>
      </c>
      <c r="G1312" t="str">
        <f>ToJsonArray(supplementary_offering_legacyid[[#This Row],[Semilla04]],supplementary_offering_legacyid[[#This Row],[Json]])</f>
        <v>{"17083661403":{"offeringid":"990001051","name":"Combo 480MIN TD  y Voz a Tigo infinito","mode":"I"}}</v>
      </c>
    </row>
    <row r="1313" spans="1:7" x14ac:dyDescent="0.25">
      <c r="A1313" s="60" t="s">
        <v>5713</v>
      </c>
      <c r="B1313" t="str">
        <f>findKey(supplementary_offering_legacyid[[#This Row],[Produccion]])</f>
        <v>17083659867</v>
      </c>
      <c r="C1313" s="61" t="s">
        <v>5714</v>
      </c>
      <c r="D1313" t="s">
        <v>999</v>
      </c>
      <c r="E1313" t="s">
        <v>2189</v>
      </c>
      <c r="F1313" t="str">
        <f>ToJsonArray(supplementary_offering_legacyid[[#Headers],[offeringid]:[mode]],supplementary_offering_legacyid[[#This Row],[offeringid]:[mode]])</f>
        <v>{"offeringid":"990001041","name":"Combo 600MIN TD  y Voz a Tigo infinito","mode":"I"}</v>
      </c>
      <c r="G1313" t="str">
        <f>ToJsonArray(supplementary_offering_legacyid[[#This Row],[Semilla04]],supplementary_offering_legacyid[[#This Row],[Json]])</f>
        <v>{"17083659867":{"offeringid":"990001041","name":"Combo 600MIN TD  y Voz a Tigo infinito","mode":"I"}}</v>
      </c>
    </row>
    <row r="1314" spans="1:7" x14ac:dyDescent="0.25">
      <c r="A1314" s="60" t="s">
        <v>5715</v>
      </c>
      <c r="B1314" t="str">
        <f>findKey(supplementary_offering_legacyid[[#This Row],[Produccion]])</f>
        <v>17083660635</v>
      </c>
      <c r="C1314" s="61" t="s">
        <v>5716</v>
      </c>
      <c r="D1314" t="s">
        <v>1001</v>
      </c>
      <c r="E1314" t="s">
        <v>2189</v>
      </c>
      <c r="F1314" t="str">
        <f>ToJsonArray(supplementary_offering_legacyid[[#Headers],[offeringid]:[mode]],supplementary_offering_legacyid[[#This Row],[offeringid]:[mode]])</f>
        <v>{"offeringid":"990001047","name":"Combo 700MIN TD  y Voz a Tigo infinito","mode":"I"}</v>
      </c>
      <c r="G1314" t="str">
        <f>ToJsonArray(supplementary_offering_legacyid[[#This Row],[Semilla04]],supplementary_offering_legacyid[[#This Row],[Json]])</f>
        <v>{"17083660635":{"offeringid":"990001047","name":"Combo 700MIN TD  y Voz a Tigo infinito","mode":"I"}}</v>
      </c>
    </row>
    <row r="1315" spans="1:7" x14ac:dyDescent="0.25">
      <c r="A1315" s="60" t="s">
        <v>5717</v>
      </c>
      <c r="B1315" t="str">
        <f>findKey(supplementary_offering_legacyid[[#This Row],[Produccion]])</f>
        <v>17083662171</v>
      </c>
      <c r="C1315" s="61" t="s">
        <v>5718</v>
      </c>
      <c r="D1315" t="s">
        <v>1003</v>
      </c>
      <c r="E1315" t="s">
        <v>2189</v>
      </c>
      <c r="F1315" t="str">
        <f>ToJsonArray(supplementary_offering_legacyid[[#Headers],[offeringid]:[mode]],supplementary_offering_legacyid[[#This Row],[offeringid]:[mode]])</f>
        <v>{"offeringid":"990001055","name":"Combo 1200MIN TD  y Voz a Tigo infinito","mode":"I"}</v>
      </c>
      <c r="G1315" t="str">
        <f>ToJsonArray(supplementary_offering_legacyid[[#This Row],[Semilla04]],supplementary_offering_legacyid[[#This Row],[Json]])</f>
        <v>{"17083662171":{"offeringid":"990001055","name":"Combo 1200MIN TD  y Voz a Tigo infinito","mode":"I"}}</v>
      </c>
    </row>
    <row r="1316" spans="1:7" x14ac:dyDescent="0.25">
      <c r="A1316" s="60" t="s">
        <v>5719</v>
      </c>
      <c r="B1316" t="str">
        <f>findKey(supplementary_offering_legacyid[[#This Row],[Produccion]])</f>
        <v>17083659483</v>
      </c>
      <c r="C1316" s="61" t="s">
        <v>5720</v>
      </c>
      <c r="D1316" t="s">
        <v>1005</v>
      </c>
      <c r="E1316" t="s">
        <v>2189</v>
      </c>
      <c r="F1316" t="str">
        <f>ToJsonArray(supplementary_offering_legacyid[[#Headers],[offeringid]:[mode]],supplementary_offering_legacyid[[#This Row],[offeringid]:[mode]])</f>
        <v>{"offeringid":"990001039","name":"Combo 1400MIN TD  y Voz a Tigo infinito","mode":"I"}</v>
      </c>
      <c r="G1316" t="str">
        <f>ToJsonArray(supplementary_offering_legacyid[[#This Row],[Semilla04]],supplementary_offering_legacyid[[#This Row],[Json]])</f>
        <v>{"17083659483":{"offeringid":"990001039","name":"Combo 1400MIN TD  y Voz a Tigo infinito","mode":"I"}}</v>
      </c>
    </row>
    <row r="1317" spans="1:7" x14ac:dyDescent="0.25">
      <c r="A1317" s="60" t="s">
        <v>5721</v>
      </c>
      <c r="B1317" t="str">
        <f>findKey(supplementary_offering_legacyid[[#This Row],[Produccion]])</f>
        <v>17083660763</v>
      </c>
      <c r="C1317" s="61" t="s">
        <v>5722</v>
      </c>
      <c r="D1317" t="s">
        <v>1007</v>
      </c>
      <c r="E1317" t="s">
        <v>2189</v>
      </c>
      <c r="F1317" t="str">
        <f>ToJsonArray(supplementary_offering_legacyid[[#Headers],[offeringid]:[mode]],supplementary_offering_legacyid[[#This Row],[offeringid]:[mode]])</f>
        <v>{"offeringid":"990001048","name":"Combo Voz Todo Destino infinito 1","mode":"I"}</v>
      </c>
      <c r="G1317" t="str">
        <f>ToJsonArray(supplementary_offering_legacyid[[#This Row],[Semilla04]],supplementary_offering_legacyid[[#This Row],[Json]])</f>
        <v>{"17083660763":{"offeringid":"990001048","name":"Combo Voz Todo Destino infinito 1","mode":"I"}}</v>
      </c>
    </row>
    <row r="1318" spans="1:7" x14ac:dyDescent="0.25">
      <c r="A1318" s="60" t="s">
        <v>5723</v>
      </c>
      <c r="B1318" t="str">
        <f>findKey(supplementary_offering_legacyid[[#This Row],[Produccion]])</f>
        <v>17083659323</v>
      </c>
      <c r="C1318" s="61" t="s">
        <v>5724</v>
      </c>
      <c r="D1318" t="s">
        <v>1013</v>
      </c>
      <c r="E1318" t="s">
        <v>2189</v>
      </c>
      <c r="F1318" t="str">
        <f>ToJsonArray(supplementary_offering_legacyid[[#Headers],[offeringid]:[mode]],supplementary_offering_legacyid[[#This Row],[offeringid]:[mode]])</f>
        <v>{"offeringid":"990001038","name":"Combo Voz Todo Destino infinito 4","mode":"I"}</v>
      </c>
      <c r="G1318" t="str">
        <f>ToJsonArray(supplementary_offering_legacyid[[#This Row],[Semilla04]],supplementary_offering_legacyid[[#This Row],[Json]])</f>
        <v>{"17083659323":{"offeringid":"990001038","name":"Combo Voz Todo Destino infinito 4","mode":"I"}}</v>
      </c>
    </row>
    <row r="1319" spans="1:7" x14ac:dyDescent="0.25">
      <c r="A1319" s="60" t="s">
        <v>5725</v>
      </c>
      <c r="B1319" t="str">
        <f>findKey(supplementary_offering_legacyid[[#This Row],[Produccion]])</f>
        <v>17083661627</v>
      </c>
      <c r="C1319" s="61" t="s">
        <v>5726</v>
      </c>
      <c r="D1319" t="s">
        <v>1019</v>
      </c>
      <c r="E1319" t="s">
        <v>2189</v>
      </c>
      <c r="F1319" t="str">
        <f>ToJsonArray(supplementary_offering_legacyid[[#Headers],[offeringid]:[mode]],supplementary_offering_legacyid[[#This Row],[offeringid]:[mode]])</f>
        <v>{"offeringid":"990001052","name":"Combo Voz Todo Destino infinito 7","mode":"I"}</v>
      </c>
      <c r="G1319" t="str">
        <f>ToJsonArray(supplementary_offering_legacyid[[#This Row],[Semilla04]],supplementary_offering_legacyid[[#This Row],[Json]])</f>
        <v>{"17083661627":{"offeringid":"990001052","name":"Combo Voz Todo Destino infinito 7","mode":"I"}}</v>
      </c>
    </row>
    <row r="1320" spans="1:7" x14ac:dyDescent="0.25">
      <c r="A1320" s="60" t="s">
        <v>5727</v>
      </c>
      <c r="B1320" t="str">
        <f>findKey(supplementary_offering_legacyid[[#This Row],[Produccion]])</f>
        <v>17083660091</v>
      </c>
      <c r="C1320" s="61" t="s">
        <v>5728</v>
      </c>
      <c r="D1320" t="s">
        <v>1021</v>
      </c>
      <c r="E1320" t="s">
        <v>2189</v>
      </c>
      <c r="F1320" t="str">
        <f>ToJsonArray(supplementary_offering_legacyid[[#Headers],[offeringid]:[mode]],supplementary_offering_legacyid[[#This Row],[offeringid]:[mode]])</f>
        <v>{"offeringid":"990001043","name":"Combo Voz Todo Destino infinito 8","mode":"I"}</v>
      </c>
      <c r="G1320" t="str">
        <f>ToJsonArray(supplementary_offering_legacyid[[#This Row],[Semilla04]],supplementary_offering_legacyid[[#This Row],[Json]])</f>
        <v>{"17083660091":{"offeringid":"990001043","name":"Combo Voz Todo Destino infinito 8","mode":"I"}}</v>
      </c>
    </row>
    <row r="1321" spans="1:7" x14ac:dyDescent="0.25">
      <c r="A1321" s="60" t="s">
        <v>5729</v>
      </c>
      <c r="B1321" t="str">
        <f>findKey(supplementary_offering_legacyid[[#This Row],[Produccion]])</f>
        <v>17083660475</v>
      </c>
      <c r="C1321" s="61" t="s">
        <v>5730</v>
      </c>
      <c r="D1321" t="s">
        <v>1023</v>
      </c>
      <c r="E1321" t="s">
        <v>2189</v>
      </c>
      <c r="F1321" t="str">
        <f>ToJsonArray(supplementary_offering_legacyid[[#Headers],[offeringid]:[mode]],supplementary_offering_legacyid[[#This Row],[offeringid]:[mode]])</f>
        <v>{"offeringid":"990001046","name":"Combo Voz Todo Destino infinito 9","mode":"I"}</v>
      </c>
      <c r="G1321" t="str">
        <f>ToJsonArray(supplementary_offering_legacyid[[#This Row],[Semilla04]],supplementary_offering_legacyid[[#This Row],[Json]])</f>
        <v>{"17083660475":{"offeringid":"990001046","name":"Combo Voz Todo Destino infinito 9","mode":"I"}}</v>
      </c>
    </row>
    <row r="1322" spans="1:7" x14ac:dyDescent="0.25">
      <c r="A1322" s="60" t="s">
        <v>5731</v>
      </c>
      <c r="B1322" t="str">
        <f>findKey(supplementary_offering_legacyid[[#This Row],[Produccion]])</f>
        <v>17083660219</v>
      </c>
      <c r="C1322" s="61" t="s">
        <v>5732</v>
      </c>
      <c r="D1322" t="s">
        <v>1025</v>
      </c>
      <c r="E1322" t="s">
        <v>2189</v>
      </c>
      <c r="F1322" t="str">
        <f>ToJsonArray(supplementary_offering_legacyid[[#Headers],[offeringid]:[mode]],supplementary_offering_legacyid[[#This Row],[offeringid]:[mode]])</f>
        <v>{"offeringid":"990001044","name":"Combo datos 2,5GB WA + Mail","mode":"I"}</v>
      </c>
      <c r="G1322" t="str">
        <f>ToJsonArray(supplementary_offering_legacyid[[#This Row],[Semilla04]],supplementary_offering_legacyid[[#This Row],[Json]])</f>
        <v>{"17083660219":{"offeringid":"990001044","name":"Combo datos 2,5GB WA + Mail","mode":"I"}}</v>
      </c>
    </row>
    <row r="1323" spans="1:7" x14ac:dyDescent="0.25">
      <c r="A1323" s="60" t="s">
        <v>5733</v>
      </c>
      <c r="B1323" t="str">
        <f>findKey(supplementary_offering_legacyid[[#This Row],[Produccion]])</f>
        <v>17083660411</v>
      </c>
      <c r="C1323" s="61" t="s">
        <v>5734</v>
      </c>
      <c r="D1323" t="s">
        <v>1027</v>
      </c>
      <c r="E1323" t="s">
        <v>2189</v>
      </c>
      <c r="F1323" t="str">
        <f>ToJsonArray(supplementary_offering_legacyid[[#Headers],[offeringid]:[mode]],supplementary_offering_legacyid[[#This Row],[offeringid]:[mode]])</f>
        <v>{"offeringid":"990001045","name":"Combo datos 3GB WA + Mail   1","mode":"I"}</v>
      </c>
      <c r="G1323" t="str">
        <f>ToJsonArray(supplementary_offering_legacyid[[#This Row],[Semilla04]],supplementary_offering_legacyid[[#This Row],[Json]])</f>
        <v>{"17083660411":{"offeringid":"990001045","name":"Combo datos 3GB WA + Mail   1","mode":"I"}}</v>
      </c>
    </row>
    <row r="1324" spans="1:7" x14ac:dyDescent="0.25">
      <c r="A1324" s="60" t="s">
        <v>5735</v>
      </c>
      <c r="B1324" t="str">
        <f>findKey(supplementary_offering_legacyid[[#This Row],[Produccion]])</f>
        <v>17083661947</v>
      </c>
      <c r="C1324" s="61" t="s">
        <v>5736</v>
      </c>
      <c r="D1324" t="s">
        <v>1031</v>
      </c>
      <c r="E1324" t="s">
        <v>2189</v>
      </c>
      <c r="F1324" t="str">
        <f>ToJsonArray(supplementary_offering_legacyid[[#Headers],[offeringid]:[mode]],supplementary_offering_legacyid[[#This Row],[offeringid]:[mode]])</f>
        <v>{"offeringid":"990001054","name":"Combo datos 4GB WA + Mail   1","mode":"I"}</v>
      </c>
      <c r="G1324" t="str">
        <f>ToJsonArray(supplementary_offering_legacyid[[#This Row],[Semilla04]],supplementary_offering_legacyid[[#This Row],[Json]])</f>
        <v>{"17083661947":{"offeringid":"990001054","name":"Combo datos 4GB WA + Mail   1","mode":"I"}}</v>
      </c>
    </row>
    <row r="1325" spans="1:7" x14ac:dyDescent="0.25">
      <c r="A1325" s="60" t="s">
        <v>5737</v>
      </c>
      <c r="B1325" t="str">
        <f>findKey(supplementary_offering_legacyid[[#This Row],[Produccion]])</f>
        <v>17083659643</v>
      </c>
      <c r="C1325" s="61" t="s">
        <v>5738</v>
      </c>
      <c r="D1325" t="s">
        <v>1033</v>
      </c>
      <c r="E1325" t="s">
        <v>2189</v>
      </c>
      <c r="F1325" t="str">
        <f>ToJsonArray(supplementary_offering_legacyid[[#Headers],[offeringid]:[mode]],supplementary_offering_legacyid[[#This Row],[offeringid]:[mode]])</f>
        <v>{"offeringid":"990001040","name":"Combo datos 4GB WA + Mail   2","mode":"I"}</v>
      </c>
      <c r="G1325" t="str">
        <f>ToJsonArray(supplementary_offering_legacyid[[#This Row],[Semilla04]],supplementary_offering_legacyid[[#This Row],[Json]])</f>
        <v>{"17083659643":{"offeringid":"990001040","name":"Combo datos 4GB WA + Mail   2","mode":"I"}}</v>
      </c>
    </row>
    <row r="1326" spans="1:7" x14ac:dyDescent="0.25">
      <c r="A1326" s="60" t="s">
        <v>5739</v>
      </c>
      <c r="B1326" t="str">
        <f>findKey(supplementary_offering_legacyid[[#This Row],[Produccion]])</f>
        <v>17083662331</v>
      </c>
      <c r="C1326" s="61" t="s">
        <v>5740</v>
      </c>
      <c r="D1326" t="s">
        <v>1041</v>
      </c>
      <c r="E1326" t="s">
        <v>2189</v>
      </c>
      <c r="F1326" t="str">
        <f>ToJsonArray(supplementary_offering_legacyid[[#Headers],[offeringid]:[mode]],supplementary_offering_legacyid[[#This Row],[offeringid]:[mode]])</f>
        <v>{"offeringid":"990001056","name":"Combo datos 13GB WA + Mail","mode":"I"}</v>
      </c>
      <c r="G1326" t="str">
        <f>ToJsonArray(supplementary_offering_legacyid[[#This Row],[Semilla04]],supplementary_offering_legacyid[[#This Row],[Json]])</f>
        <v>{"17083662331":{"offeringid":"990001056","name":"Combo datos 13GB WA + Mail","mode":"I"}}</v>
      </c>
    </row>
    <row r="1327" spans="1:7" x14ac:dyDescent="0.25">
      <c r="A1327" s="60" t="s">
        <v>5741</v>
      </c>
      <c r="B1327" t="str">
        <f>findKey(supplementary_offering_legacyid[[#This Row],[Produccion]])</f>
        <v>17083659271</v>
      </c>
      <c r="C1327" s="61" t="s">
        <v>5742</v>
      </c>
      <c r="D1327" t="s">
        <v>1043</v>
      </c>
      <c r="E1327" t="s">
        <v>2189</v>
      </c>
      <c r="F1327" t="str">
        <f>ToJsonArray(supplementary_offering_legacyid[[#Headers],[offeringid]:[mode]],supplementary_offering_legacyid[[#This Row],[offeringid]:[mode]])</f>
        <v>{"offeringid":"990001037","name":"Combo datos 15GB WA + Mail","mode":"I"}</v>
      </c>
      <c r="G1327" t="str">
        <f>ToJsonArray(supplementary_offering_legacyid[[#This Row],[Semilla04]],supplementary_offering_legacyid[[#This Row],[Json]])</f>
        <v>{"17083659271":{"offeringid":"990001037","name":"Combo datos 15GB WA + Mail","mode":"I"}}</v>
      </c>
    </row>
    <row r="1328" spans="1:7" x14ac:dyDescent="0.25">
      <c r="A1328" s="60" t="s">
        <v>5743</v>
      </c>
      <c r="B1328" t="str">
        <f>findKey(supplementary_offering_legacyid[[#This Row],[Produccion]])</f>
        <v>17083660807</v>
      </c>
      <c r="C1328" s="61" t="s">
        <v>5744</v>
      </c>
      <c r="D1328" t="s">
        <v>1045</v>
      </c>
      <c r="E1328" t="s">
        <v>2189</v>
      </c>
      <c r="F1328" t="str">
        <f>ToJsonArray(supplementary_offering_legacyid[[#Headers],[offeringid]:[mode]],supplementary_offering_legacyid[[#This Row],[offeringid]:[mode]])</f>
        <v>{"offeringid":"990001049","name":"Combo datos 20GB WA + Mail","mode":"I"}</v>
      </c>
      <c r="G1328" t="str">
        <f>ToJsonArray(supplementary_offering_legacyid[[#This Row],[Semilla04]],supplementary_offering_legacyid[[#This Row],[Json]])</f>
        <v>{"17083660807":{"offeringid":"990001049","name":"Combo datos 20GB WA + Mail","mode":"I"}}</v>
      </c>
    </row>
    <row r="1329" spans="1:7" x14ac:dyDescent="0.25">
      <c r="A1329" s="60" t="s">
        <v>5745</v>
      </c>
      <c r="B1329" t="str">
        <f>findKey(supplementary_offering_legacyid[[#This Row],[Produccion]])</f>
        <v>17083091782</v>
      </c>
      <c r="C1329" s="61" t="s">
        <v>5746</v>
      </c>
      <c r="D1329" t="s">
        <v>1137</v>
      </c>
      <c r="E1329" t="s">
        <v>2189</v>
      </c>
      <c r="F1329" t="str">
        <f>ToJsonArray(supplementary_offering_legacyid[[#Headers],[offeringid]:[mode]],supplementary_offering_legacyid[[#This Row],[offeringid]:[mode]])</f>
        <v>{"offeringid":"990001023","name":"PQT Reventa TodoDestino 900MIN","mode":"I"}</v>
      </c>
      <c r="G1329" t="str">
        <f>ToJsonArray(supplementary_offering_legacyid[[#This Row],[Semilla04]],supplementary_offering_legacyid[[#This Row],[Json]])</f>
        <v>{"17083091782":{"offeringid":"990001023","name":"PQT Reventa TodoDestino 900MIN","mode":"I"}}</v>
      </c>
    </row>
    <row r="1330" spans="1:7" x14ac:dyDescent="0.25">
      <c r="A1330" s="60" t="s">
        <v>5747</v>
      </c>
      <c r="B1330" t="str">
        <f>findKey(supplementary_offering_legacyid[[#This Row],[Produccion]])</f>
        <v>17083121151</v>
      </c>
      <c r="C1330" s="61" t="s">
        <v>5748</v>
      </c>
      <c r="D1330" t="s">
        <v>1138</v>
      </c>
      <c r="E1330" t="s">
        <v>2189</v>
      </c>
      <c r="F1330" t="str">
        <f>ToJsonArray(supplementary_offering_legacyid[[#Headers],[offeringid]:[mode]],supplementary_offering_legacyid[[#This Row],[offeringid]:[mode]])</f>
        <v>{"offeringid":"990001024","name":"PQT Reventa TodoDestino 1000MIN","mode":"I"}</v>
      </c>
      <c r="G1330" t="str">
        <f>ToJsonArray(supplementary_offering_legacyid[[#This Row],[Semilla04]],supplementary_offering_legacyid[[#This Row],[Json]])</f>
        <v>{"17083121151":{"offeringid":"990001024","name":"PQT Reventa TodoDestino 1000MIN","mode":"I"}}</v>
      </c>
    </row>
    <row r="1331" spans="1:7" x14ac:dyDescent="0.25">
      <c r="A1331" s="60" t="s">
        <v>5749</v>
      </c>
      <c r="B1331" t="str">
        <f>findKey(supplementary_offering_legacyid[[#This Row],[Produccion]])</f>
        <v>17101192520</v>
      </c>
      <c r="C1331" s="61" t="s">
        <v>5750</v>
      </c>
      <c r="D1331" t="s">
        <v>1320</v>
      </c>
      <c r="E1331" t="s">
        <v>2189</v>
      </c>
      <c r="F1331" t="str">
        <f>ToJsonArray(supplementary_offering_legacyid[[#Headers],[offeringid]:[mode]],supplementary_offering_legacyid[[#This Row],[offeringid]:[mode]])</f>
        <v>{"offeringid":"990001061","name":"Combo B2B ilimitado 12 GB P1","mode":"I"}</v>
      </c>
      <c r="G1331" t="str">
        <f>ToJsonArray(supplementary_offering_legacyid[[#This Row],[Semilla04]],supplementary_offering_legacyid[[#This Row],[Json]])</f>
        <v>{"17101192520":{"offeringid":"990001061","name":"Combo B2B ilimitado 12 GB P1","mode":"I"}}</v>
      </c>
    </row>
    <row r="1332" spans="1:7" x14ac:dyDescent="0.25">
      <c r="A1332" s="60" t="s">
        <v>5751</v>
      </c>
      <c r="B1332" t="str">
        <f>findKey(supplementary_offering_legacyid[[#This Row],[Produccion]])</f>
        <v>17101190984</v>
      </c>
      <c r="C1332" s="61" t="s">
        <v>5752</v>
      </c>
      <c r="D1332" t="s">
        <v>1321</v>
      </c>
      <c r="E1332" t="s">
        <v>2189</v>
      </c>
      <c r="F1332" t="str">
        <f>ToJsonArray(supplementary_offering_legacyid[[#Headers],[offeringid]:[mode]],supplementary_offering_legacyid[[#This Row],[offeringid]:[mode]])</f>
        <v>{"offeringid":"990001060","name":"Combo B2B ilimitado 12 GB P2","mode":"I"}</v>
      </c>
      <c r="G1332" t="str">
        <f>ToJsonArray(supplementary_offering_legacyid[[#This Row],[Semilla04]],supplementary_offering_legacyid[[#This Row],[Json]])</f>
        <v>{"17101190984":{"offeringid":"990001060","name":"Combo B2B ilimitado 12 GB P2","mode":"I"}}</v>
      </c>
    </row>
    <row r="1333" spans="1:7" x14ac:dyDescent="0.25">
      <c r="A1333" s="60" t="s">
        <v>5753</v>
      </c>
      <c r="B1333" t="str">
        <f>findKey(supplementary_offering_legacyid[[#This Row],[Produccion]])</f>
        <v>17101191368</v>
      </c>
      <c r="C1333" s="61" t="s">
        <v>5754</v>
      </c>
      <c r="D1333" t="s">
        <v>1322</v>
      </c>
      <c r="E1333" t="s">
        <v>2189</v>
      </c>
      <c r="F1333" t="str">
        <f>ToJsonArray(supplementary_offering_legacyid[[#Headers],[offeringid]:[mode]],supplementary_offering_legacyid[[#This Row],[offeringid]:[mode]])</f>
        <v>{"offeringid":"990001062","name":"Combo B2B ilimitado 12 GB P3","mode":"I"}</v>
      </c>
      <c r="G1333" t="str">
        <f>ToJsonArray(supplementary_offering_legacyid[[#This Row],[Semilla04]],supplementary_offering_legacyid[[#This Row],[Json]])</f>
        <v>{"17101191368":{"offeringid":"990001062","name":"Combo B2B ilimitado 12 GB P3","mode":"I"}}</v>
      </c>
    </row>
  </sheetData>
  <phoneticPr fontId="8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C67F7-4863-4D3C-B6B0-53647984C6B3}">
  <sheetPr codeName="Hoja8"/>
  <dimension ref="A1:K1336"/>
  <sheetViews>
    <sheetView tabSelected="1" workbookViewId="0">
      <selection activeCell="AE1336" sqref="AE1336"/>
    </sheetView>
  </sheetViews>
  <sheetFormatPr baseColWidth="10" defaultRowHeight="15" x14ac:dyDescent="0.25"/>
  <cols>
    <col min="1" max="1" width="18.140625" customWidth="1"/>
    <col min="2" max="2" width="21.28515625" bestFit="1" customWidth="1"/>
    <col min="3" max="3" width="24.7109375" customWidth="1"/>
    <col min="4" max="4" width="25.140625" customWidth="1"/>
    <col min="5" max="5" width="14.140625" bestFit="1" customWidth="1"/>
    <col min="6" max="6" width="15.85546875" bestFit="1" customWidth="1"/>
    <col min="7" max="7" width="17.5703125" bestFit="1" customWidth="1"/>
    <col min="8" max="8" width="17.5703125" customWidth="1"/>
    <col min="9" max="9" width="17.140625" bestFit="1" customWidth="1"/>
    <col min="10" max="10" width="15" customWidth="1"/>
    <col min="11" max="11" width="47.140625" customWidth="1"/>
  </cols>
  <sheetData>
    <row r="1" spans="1:11" x14ac:dyDescent="0.25">
      <c r="A1" t="s">
        <v>6311</v>
      </c>
      <c r="B1" t="s">
        <v>5768</v>
      </c>
      <c r="C1" t="s">
        <v>6310</v>
      </c>
      <c r="D1" t="s">
        <v>5759</v>
      </c>
      <c r="E1" t="s">
        <v>5760</v>
      </c>
      <c r="F1" t="s">
        <v>6312</v>
      </c>
      <c r="G1" t="s">
        <v>6313</v>
      </c>
      <c r="H1" t="s">
        <v>6390</v>
      </c>
      <c r="I1" t="s">
        <v>6314</v>
      </c>
      <c r="J1" t="s">
        <v>5763</v>
      </c>
      <c r="K1" t="s">
        <v>5761</v>
      </c>
    </row>
    <row r="2" spans="1:11" x14ac:dyDescent="0.25">
      <c r="A2" s="61" t="s">
        <v>2187</v>
      </c>
      <c r="B2" t="s">
        <v>2187</v>
      </c>
      <c r="C2" t="str">
        <f>findKey(supplementary_offering_offeringid__4[[#This Row],[Value.legacyid]])</f>
        <v>1229815168</v>
      </c>
      <c r="D2" t="s">
        <v>2188</v>
      </c>
      <c r="E2" t="s">
        <v>2189</v>
      </c>
      <c r="H2" s="61"/>
      <c r="J2" t="str">
        <f>ToJsonArray(supplementary_offering_offeringid__4[[#Headers],[legacyid]:[activityId]],supplementary_offering_offeringid__4[[#This Row],[legacyid]:[activityId]])</f>
        <v>{"legacyid":"1229815168","name":"Oferta generacion deuda","mode":"I"}</v>
      </c>
      <c r="K2" t="str">
        <f>ToJsonArray(supplementary_offering_offeringid__4[[#This Row],[produccion]],supplementary_offering_offeringid__4[[#This Row],[json]])</f>
        <v>{"1229815168":{"legacyid":"1229815168","name":"Oferta generacion deuda","mode":"I"}}</v>
      </c>
    </row>
    <row r="3" spans="1:11" x14ac:dyDescent="0.25">
      <c r="A3" s="61" t="s">
        <v>2190</v>
      </c>
      <c r="B3" t="s">
        <v>2190</v>
      </c>
      <c r="C3" t="str">
        <f>findKey(supplementary_offering_offeringid__4[[#This Row],[Value.legacyid]])</f>
        <v>926943980</v>
      </c>
      <c r="D3" t="s">
        <v>2191</v>
      </c>
      <c r="E3" t="s">
        <v>2189</v>
      </c>
      <c r="H3" s="61"/>
      <c r="J3" t="str">
        <f>ToJsonArray(supplementary_offering_offeringid__4[[#Headers],[legacyid]:[activityId]],supplementary_offering_offeringid__4[[#This Row],[legacyid]:[activityId]])</f>
        <v>{"legacyid":"926943980","name":"FUP Pospago 30GB","mode":"I"}</v>
      </c>
      <c r="K3" t="str">
        <f>ToJsonArray(supplementary_offering_offeringid__4[[#This Row],[produccion]],supplementary_offering_offeringid__4[[#This Row],[json]])</f>
        <v>{"926943980":{"legacyid":"926943980","name":"FUP Pospago 30GB","mode":"I"}}</v>
      </c>
    </row>
    <row r="4" spans="1:11" x14ac:dyDescent="0.25">
      <c r="A4" s="61" t="s">
        <v>2192</v>
      </c>
      <c r="B4" t="s">
        <v>2192</v>
      </c>
      <c r="C4" t="str">
        <f>findKey(supplementary_offering_offeringid__4[[#This Row],[Value.legacyid]])</f>
        <v>1626943775</v>
      </c>
      <c r="D4" t="s">
        <v>2193</v>
      </c>
      <c r="E4" t="s">
        <v>2189</v>
      </c>
      <c r="H4" s="61"/>
      <c r="J4" t="str">
        <f>ToJsonArray(supplementary_offering_offeringid__4[[#Headers],[legacyid]:[activityId]],supplementary_offering_offeringid__4[[#This Row],[legacyid]:[activityId]])</f>
        <v>{"legacyid":"1626943775","name":"FUP Pospago 15GB","mode":"I"}</v>
      </c>
      <c r="K4" t="str">
        <f>ToJsonArray(supplementary_offering_offeringid__4[[#This Row],[produccion]],supplementary_offering_offeringid__4[[#This Row],[json]])</f>
        <v>{"1626943775":{"legacyid":"1626943775","name":"FUP Pospago 15GB","mode":"I"}}</v>
      </c>
    </row>
    <row r="5" spans="1:11" x14ac:dyDescent="0.25">
      <c r="A5" s="61" t="s">
        <v>2194</v>
      </c>
      <c r="B5" t="s">
        <v>2194</v>
      </c>
      <c r="C5" t="str">
        <f>findKey(supplementary_offering_offeringid__4[[#This Row],[Value.legacyid]])</f>
        <v>326923016</v>
      </c>
      <c r="D5" t="s">
        <v>2195</v>
      </c>
      <c r="E5" t="s">
        <v>2189</v>
      </c>
      <c r="H5" s="61"/>
      <c r="J5" t="str">
        <f>ToJsonArray(supplementary_offering_offeringid__4[[#Headers],[legacyid]:[activityId]],supplementary_offering_offeringid__4[[#This Row],[legacyid]:[activityId]])</f>
        <v>{"legacyid":"326923016","name":"FUP RG301 Control","mode":"I"}</v>
      </c>
      <c r="K5" t="str">
        <f>ToJsonArray(supplementary_offering_offeringid__4[[#This Row],[produccion]],supplementary_offering_offeringid__4[[#This Row],[json]])</f>
        <v>{"326923016":{"legacyid":"326923016","name":"FUP RG301 Control","mode":"I"}}</v>
      </c>
    </row>
    <row r="6" spans="1:11" x14ac:dyDescent="0.25">
      <c r="A6" s="61" t="s">
        <v>2197</v>
      </c>
      <c r="B6" t="s">
        <v>2196</v>
      </c>
      <c r="C6" t="str">
        <f>findKey(supplementary_offering_offeringid__4[[#This Row],[Value.legacyid]])</f>
        <v>17083091250</v>
      </c>
      <c r="D6" t="s">
        <v>2198</v>
      </c>
      <c r="E6" t="s">
        <v>2189</v>
      </c>
      <c r="H6" s="61"/>
      <c r="J6" t="str">
        <f>ToJsonArray(supplementary_offering_offeringid__4[[#Headers],[legacyid]:[activityId]],supplementary_offering_offeringid__4[[#This Row],[legacyid]:[activityId]])</f>
        <v>{"legacyid":"17083091250","name":"OLA Beeper BÃ¡sico Control Masivo","mode":"I"}</v>
      </c>
      <c r="K6" t="str">
        <f>ToJsonArray(supplementary_offering_offeringid__4[[#This Row],[produccion]],supplementary_offering_offeringid__4[[#This Row],[json]])</f>
        <v>{"990000719":{"legacyid":"17083091250","name":"OLA Beeper BÃ¡sico Control Masivo","mode":"I"}}</v>
      </c>
    </row>
    <row r="7" spans="1:11" x14ac:dyDescent="0.25">
      <c r="A7" s="61" t="s">
        <v>2200</v>
      </c>
      <c r="B7" t="s">
        <v>2199</v>
      </c>
      <c r="C7" t="str">
        <f>findKey(supplementary_offering_offeringid__4[[#This Row],[Value.legacyid]])</f>
        <v>17083089490</v>
      </c>
      <c r="D7" t="s">
        <v>2201</v>
      </c>
      <c r="E7" t="s">
        <v>2189</v>
      </c>
      <c r="H7" s="61"/>
      <c r="J7" t="str">
        <f>ToJsonArray(supplementary_offering_offeringid__4[[#Headers],[legacyid]:[activityId]],supplementary_offering_offeringid__4[[#This Row],[legacyid]:[activityId]])</f>
        <v>{"legacyid":"17083089490","name":"OLA Imagen BÃ¡sico Control Masivo","mode":"I"}</v>
      </c>
      <c r="K7" t="str">
        <f>ToJsonArray(supplementary_offering_offeringid__4[[#This Row],[produccion]],supplementary_offering_offeringid__4[[#This Row],[json]])</f>
        <v>{"990000718":{"legacyid":"17083089490","name":"OLA Imagen BÃ¡sico Control Masivo","mode":"I"}}</v>
      </c>
    </row>
    <row r="8" spans="1:11" x14ac:dyDescent="0.25">
      <c r="A8" s="61" t="s">
        <v>2203</v>
      </c>
      <c r="B8" t="s">
        <v>2202</v>
      </c>
      <c r="C8" t="str">
        <f>findKey(supplementary_offering_offeringid__4[[#This Row],[Value.legacyid]])</f>
        <v>17083123043</v>
      </c>
      <c r="D8" t="s">
        <v>2025</v>
      </c>
      <c r="E8" t="s">
        <v>2189</v>
      </c>
      <c r="H8" s="61"/>
      <c r="J8" t="str">
        <f>ToJsonArray(supplementary_offering_offeringid__4[[#Headers],[legacyid]:[activityId]],supplementary_offering_offeringid__4[[#This Row],[legacyid]:[activityId]])</f>
        <v>{"legacyid":"17083123043","name":"Plan Datos Control 20 MB Corporativo vol 500","mode":"I"}</v>
      </c>
      <c r="K8" t="str">
        <f>ToJsonArray(supplementary_offering_offeringid__4[[#This Row],[produccion]],supplementary_offering_offeringid__4[[#This Row],[json]])</f>
        <v>{"990000720":{"legacyid":"17083123043","name":"Plan Datos Control 20 MB Corporativo vol 500","mode":"I"}}</v>
      </c>
    </row>
    <row r="9" spans="1:11" x14ac:dyDescent="0.25">
      <c r="A9" s="61" t="s">
        <v>4315</v>
      </c>
      <c r="B9" t="s">
        <v>4314</v>
      </c>
      <c r="C9" t="str">
        <f>findKey(supplementary_offering_offeringid__4[[#This Row],[Value.legacyid]])</f>
        <v>100001-00</v>
      </c>
      <c r="D9" t="s">
        <v>5769</v>
      </c>
      <c r="E9" t="s">
        <v>2329</v>
      </c>
      <c r="H9" s="61"/>
      <c r="J9" t="str">
        <f>ToJsonArray(supplementary_offering_offeringid__4[[#Headers],[legacyid]:[activityId]],supplementary_offering_offeringid__4[[#This Row],[legacyid]:[activityId]])</f>
        <v>{"legacyid":"100001-00","name":"Voz - OnNet - Bajo 0","mode":"N"}</v>
      </c>
      <c r="K9" t="str">
        <f>ToJsonArray(supplementary_offering_offeringid__4[[#This Row],[produccion]],supplementary_offering_offeringid__4[[#This Row],[json]])</f>
        <v>{"910000100":{"legacyid":"100001-00","name":"Voz - OnNet - Bajo 0","mode":"N"}}</v>
      </c>
    </row>
    <row r="10" spans="1:11" x14ac:dyDescent="0.25">
      <c r="A10" s="61" t="s">
        <v>2327</v>
      </c>
      <c r="B10" t="s">
        <v>2326</v>
      </c>
      <c r="C10" t="str">
        <f>findKey(supplementary_offering_offeringid__4[[#This Row],[Value.legacyid]])</f>
        <v>100001-01</v>
      </c>
      <c r="D10" t="s">
        <v>5770</v>
      </c>
      <c r="E10" t="s">
        <v>2329</v>
      </c>
      <c r="H10" s="61"/>
      <c r="J10" t="str">
        <f>ToJsonArray(supplementary_offering_offeringid__4[[#Headers],[legacyid]:[activityId]],supplementary_offering_offeringid__4[[#This Row],[legacyid]:[activityId]])</f>
        <v>{"legacyid":"100001-01","name":"Voz - OnNet - Bajo 1","mode":"N"}</v>
      </c>
      <c r="K10" t="str">
        <f>ToJsonArray(supplementary_offering_offeringid__4[[#This Row],[produccion]],supplementary_offering_offeringid__4[[#This Row],[json]])</f>
        <v>{"910000101":{"legacyid":"100001-01","name":"Voz - OnNet - Bajo 1","mode":"N"}}</v>
      </c>
    </row>
    <row r="11" spans="1:11" x14ac:dyDescent="0.25">
      <c r="A11" s="61" t="s">
        <v>4318</v>
      </c>
      <c r="B11" t="s">
        <v>4317</v>
      </c>
      <c r="C11" t="str">
        <f>findKey(supplementary_offering_offeringid__4[[#This Row],[Value.legacyid]])</f>
        <v>100001-03</v>
      </c>
      <c r="D11" t="s">
        <v>5771</v>
      </c>
      <c r="E11" t="s">
        <v>2329</v>
      </c>
      <c r="H11" s="61"/>
      <c r="J11" t="str">
        <f>ToJsonArray(supplementary_offering_offeringid__4[[#Headers],[legacyid]:[activityId]],supplementary_offering_offeringid__4[[#This Row],[legacyid]:[activityId]])</f>
        <v>{"legacyid":"100001-03","name":"Voz - OnNet - Medio 2","mode":"N"}</v>
      </c>
      <c r="K11" t="str">
        <f>ToJsonArray(supplementary_offering_offeringid__4[[#This Row],[produccion]],supplementary_offering_offeringid__4[[#This Row],[json]])</f>
        <v>{"910000103":{"legacyid":"100001-03","name":"Voz - OnNet - Medio 2","mode":"N"}}</v>
      </c>
    </row>
    <row r="12" spans="1:11" x14ac:dyDescent="0.25">
      <c r="A12" s="61" t="s">
        <v>4321</v>
      </c>
      <c r="B12" t="s">
        <v>4320</v>
      </c>
      <c r="C12" t="str">
        <f>findKey(supplementary_offering_offeringid__4[[#This Row],[Value.legacyid]])</f>
        <v>100001-04</v>
      </c>
      <c r="D12" t="s">
        <v>5771</v>
      </c>
      <c r="E12" t="s">
        <v>2329</v>
      </c>
      <c r="H12" s="61"/>
      <c r="J12" t="str">
        <f>ToJsonArray(supplementary_offering_offeringid__4[[#Headers],[legacyid]:[activityId]],supplementary_offering_offeringid__4[[#This Row],[legacyid]:[activityId]])</f>
        <v>{"legacyid":"100001-04","name":"Voz - OnNet - Medio 2","mode":"N"}</v>
      </c>
      <c r="K12" t="str">
        <f>ToJsonArray(supplementary_offering_offeringid__4[[#This Row],[produccion]],supplementary_offering_offeringid__4[[#This Row],[json]])</f>
        <v>{"910000104":{"legacyid":"100001-04","name":"Voz - OnNet - Medio 2","mode":"N"}}</v>
      </c>
    </row>
    <row r="13" spans="1:11" x14ac:dyDescent="0.25">
      <c r="A13" s="61" t="s">
        <v>4324</v>
      </c>
      <c r="B13" t="s">
        <v>4323</v>
      </c>
      <c r="C13" t="str">
        <f>findKey(supplementary_offering_offeringid__4[[#This Row],[Value.legacyid]])</f>
        <v>100001-07</v>
      </c>
      <c r="D13" t="s">
        <v>5772</v>
      </c>
      <c r="E13" t="s">
        <v>2329</v>
      </c>
      <c r="H13" s="61"/>
      <c r="J13" t="str">
        <f>ToJsonArray(supplementary_offering_offeringid__4[[#Headers],[legacyid]:[activityId]],supplementary_offering_offeringid__4[[#This Row],[legacyid]:[activityId]])</f>
        <v>{"legacyid":"100001-07","name":"Voz - OnNet - Alto 2","mode":"N"}</v>
      </c>
      <c r="K13" t="str">
        <f>ToJsonArray(supplementary_offering_offeringid__4[[#This Row],[produccion]],supplementary_offering_offeringid__4[[#This Row],[json]])</f>
        <v>{"910000107":{"legacyid":"100001-07","name":"Voz - OnNet - Alto 2","mode":"N"}}</v>
      </c>
    </row>
    <row r="14" spans="1:11" x14ac:dyDescent="0.25">
      <c r="A14" s="61" t="s">
        <v>4327</v>
      </c>
      <c r="B14" t="s">
        <v>4326</v>
      </c>
      <c r="C14" t="str">
        <f>findKey(supplementary_offering_offeringid__4[[#This Row],[Value.legacyid]])</f>
        <v>100001-10</v>
      </c>
      <c r="D14" t="s">
        <v>5773</v>
      </c>
      <c r="E14" t="s">
        <v>2329</v>
      </c>
      <c r="H14" s="61"/>
      <c r="J14" t="str">
        <f>ToJsonArray(supplementary_offering_offeringid__4[[#Headers],[legacyid]:[activityId]],supplementary_offering_offeringid__4[[#This Row],[legacyid]:[activityId]])</f>
        <v>{"legacyid":"100001-10","name":"Voz-OnNet-170m","mode":"N"}</v>
      </c>
      <c r="K14" t="str">
        <f>ToJsonArray(supplementary_offering_offeringid__4[[#This Row],[produccion]],supplementary_offering_offeringid__4[[#This Row],[json]])</f>
        <v>{"910000110":{"legacyid":"100001-10","name":"Voz-OnNet-170m","mode":"N"}}</v>
      </c>
    </row>
    <row r="15" spans="1:11" x14ac:dyDescent="0.25">
      <c r="A15" s="61" t="s">
        <v>4330</v>
      </c>
      <c r="B15" t="s">
        <v>4329</v>
      </c>
      <c r="C15" t="str">
        <f>findKey(supplementary_offering_offeringid__4[[#This Row],[Value.legacyid]])</f>
        <v>100001-11</v>
      </c>
      <c r="D15" t="s">
        <v>5774</v>
      </c>
      <c r="E15" t="s">
        <v>2329</v>
      </c>
      <c r="H15" s="61"/>
      <c r="J15" t="str">
        <f>ToJsonArray(supplementary_offering_offeringid__4[[#Headers],[legacyid]:[activityId]],supplementary_offering_offeringid__4[[#This Row],[legacyid]:[activityId]])</f>
        <v>{"legacyid":"100001-11","name":"Voz-OnNet-250m","mode":"N"}</v>
      </c>
      <c r="K15" t="str">
        <f>ToJsonArray(supplementary_offering_offeringid__4[[#This Row],[produccion]],supplementary_offering_offeringid__4[[#This Row],[json]])</f>
        <v>{"910000111":{"legacyid":"100001-11","name":"Voz-OnNet-250m","mode":"N"}}</v>
      </c>
    </row>
    <row r="16" spans="1:11" x14ac:dyDescent="0.25">
      <c r="A16" s="61" t="s">
        <v>4333</v>
      </c>
      <c r="B16" t="s">
        <v>4332</v>
      </c>
      <c r="C16" t="str">
        <f>findKey(supplementary_offering_offeringid__4[[#This Row],[Value.legacyid]])</f>
        <v>100001-12</v>
      </c>
      <c r="D16" t="s">
        <v>5775</v>
      </c>
      <c r="E16" t="s">
        <v>2329</v>
      </c>
      <c r="H16" s="61"/>
      <c r="J16" t="str">
        <f>ToJsonArray(supplementary_offering_offeringid__4[[#Headers],[legacyid]:[activityId]],supplementary_offering_offeringid__4[[#This Row],[legacyid]:[activityId]])</f>
        <v>{"legacyid":"100001-12","name":"Voz-OnNet-350m","mode":"N"}</v>
      </c>
      <c r="K16" t="str">
        <f>ToJsonArray(supplementary_offering_offeringid__4[[#This Row],[produccion]],supplementary_offering_offeringid__4[[#This Row],[json]])</f>
        <v>{"910000112":{"legacyid":"100001-12","name":"Voz-OnNet-350m","mode":"N"}}</v>
      </c>
    </row>
    <row r="17" spans="1:11" x14ac:dyDescent="0.25">
      <c r="A17" s="61" t="s">
        <v>4336</v>
      </c>
      <c r="B17" t="s">
        <v>4335</v>
      </c>
      <c r="C17" t="str">
        <f>findKey(supplementary_offering_offeringid__4[[#This Row],[Value.legacyid]])</f>
        <v>100001-13</v>
      </c>
      <c r="D17" t="s">
        <v>5776</v>
      </c>
      <c r="E17" t="s">
        <v>2329</v>
      </c>
      <c r="H17" s="61"/>
      <c r="J17" t="str">
        <f>ToJsonArray(supplementary_offering_offeringid__4[[#Headers],[legacyid]:[activityId]],supplementary_offering_offeringid__4[[#This Row],[legacyid]:[activityId]])</f>
        <v>{"legacyid":"100001-13","name":"Voz-OnNet-550m","mode":"N"}</v>
      </c>
      <c r="K17" t="str">
        <f>ToJsonArray(supplementary_offering_offeringid__4[[#This Row],[produccion]],supplementary_offering_offeringid__4[[#This Row],[json]])</f>
        <v>{"910000113":{"legacyid":"100001-13","name":"Voz-OnNet-550m","mode":"N"}}</v>
      </c>
    </row>
    <row r="18" spans="1:11" x14ac:dyDescent="0.25">
      <c r="A18" s="61" t="s">
        <v>2331</v>
      </c>
      <c r="B18" t="s">
        <v>2330</v>
      </c>
      <c r="C18" t="str">
        <f>findKey(supplementary_offering_offeringid__4[[#This Row],[Value.legacyid]])</f>
        <v>100001-26</v>
      </c>
      <c r="D18" t="s">
        <v>5777</v>
      </c>
      <c r="E18" t="s">
        <v>2329</v>
      </c>
      <c r="H18" s="61"/>
      <c r="J18" t="str">
        <f>ToJsonArray(supplementary_offering_offeringid__4[[#Headers],[legacyid]:[activityId]],supplementary_offering_offeringid__4[[#This Row],[legacyid]:[activityId]])</f>
        <v>{"legacyid":"100001-26","name":"Voz-OnNet-Ilimitado","mode":"N"}</v>
      </c>
      <c r="K18" t="str">
        <f>ToJsonArray(supplementary_offering_offeringid__4[[#This Row],[produccion]],supplementary_offering_offeringid__4[[#This Row],[json]])</f>
        <v>{"910000126":{"legacyid":"100001-26","name":"Voz-OnNet-Ilimitado","mode":"N"}}</v>
      </c>
    </row>
    <row r="19" spans="1:11" x14ac:dyDescent="0.25">
      <c r="A19" s="61" t="s">
        <v>2334</v>
      </c>
      <c r="B19" t="s">
        <v>2333</v>
      </c>
      <c r="C19" t="str">
        <f>findKey(supplementary_offering_offeringid__4[[#This Row],[Value.legacyid]])</f>
        <v>100001-28</v>
      </c>
      <c r="D19" t="s">
        <v>5778</v>
      </c>
      <c r="E19" t="s">
        <v>2329</v>
      </c>
      <c r="H19" s="61"/>
      <c r="J19" t="str">
        <f>ToJsonArray(supplementary_offering_offeringid__4[[#Headers],[legacyid]:[activityId]],supplementary_offering_offeringid__4[[#This Row],[legacyid]:[activityId]])</f>
        <v>{"legacyid":"100001-28","name":"Voz-OnNet-10800s","mode":"N"}</v>
      </c>
      <c r="K19" t="str">
        <f>ToJsonArray(supplementary_offering_offeringid__4[[#This Row],[produccion]],supplementary_offering_offeringid__4[[#This Row],[json]])</f>
        <v>{"910000128":{"legacyid":"100001-28","name":"Voz-OnNet-10800s","mode":"N"}}</v>
      </c>
    </row>
    <row r="20" spans="1:11" x14ac:dyDescent="0.25">
      <c r="A20" s="61" t="s">
        <v>2337</v>
      </c>
      <c r="B20" t="s">
        <v>2336</v>
      </c>
      <c r="C20" t="str">
        <f>findKey(supplementary_offering_offeringid__4[[#This Row],[Value.legacyid]])</f>
        <v>100001-29</v>
      </c>
      <c r="D20" t="s">
        <v>5779</v>
      </c>
      <c r="E20" t="s">
        <v>2329</v>
      </c>
      <c r="H20" s="61"/>
      <c r="J20" t="str">
        <f>ToJsonArray(supplementary_offering_offeringid__4[[#Headers],[legacyid]:[activityId]],supplementary_offering_offeringid__4[[#This Row],[legacyid]:[activityId]])</f>
        <v>{"legacyid":"100001-29","name":"Voz-OnNet-18000s","mode":"N"}</v>
      </c>
      <c r="K20" t="str">
        <f>ToJsonArray(supplementary_offering_offeringid__4[[#This Row],[produccion]],supplementary_offering_offeringid__4[[#This Row],[json]])</f>
        <v>{"910000129":{"legacyid":"100001-29","name":"Voz-OnNet-18000s","mode":"N"}}</v>
      </c>
    </row>
    <row r="21" spans="1:11" x14ac:dyDescent="0.25">
      <c r="A21" s="61" t="s">
        <v>4339</v>
      </c>
      <c r="B21" t="s">
        <v>4338</v>
      </c>
      <c r="C21" t="str">
        <f>findKey(supplementary_offering_offeringid__4[[#This Row],[Value.legacyid]])</f>
        <v>100001-35</v>
      </c>
      <c r="D21" t="s">
        <v>5777</v>
      </c>
      <c r="E21" t="s">
        <v>2329</v>
      </c>
      <c r="H21" s="61"/>
      <c r="J21" t="str">
        <f>ToJsonArray(supplementary_offering_offeringid__4[[#Headers],[legacyid]:[activityId]],supplementary_offering_offeringid__4[[#This Row],[legacyid]:[activityId]])</f>
        <v>{"legacyid":"100001-35","name":"Voz-OnNet-Ilimitado","mode":"N"}</v>
      </c>
      <c r="K21" t="str">
        <f>ToJsonArray(supplementary_offering_offeringid__4[[#This Row],[produccion]],supplementary_offering_offeringid__4[[#This Row],[json]])</f>
        <v>{"910000135":{"legacyid":"100001-35","name":"Voz-OnNet-Ilimitado","mode":"N"}}</v>
      </c>
    </row>
    <row r="22" spans="1:11" x14ac:dyDescent="0.25">
      <c r="A22" s="61" t="s">
        <v>2340</v>
      </c>
      <c r="B22" t="s">
        <v>2339</v>
      </c>
      <c r="C22" t="str">
        <f>findKey(supplementary_offering_offeringid__4[[#This Row],[Value.legacyid]])</f>
        <v>100001-37</v>
      </c>
      <c r="D22" t="s">
        <v>5780</v>
      </c>
      <c r="E22" t="s">
        <v>2329</v>
      </c>
      <c r="H22" s="61"/>
      <c r="J22" t="str">
        <f>ToJsonArray(supplementary_offering_offeringid__4[[#Headers],[legacyid]:[activityId]],supplementary_offering_offeringid__4[[#This Row],[legacyid]:[activityId]])</f>
        <v>{"legacyid":"100001-37","name":"Voz-OnNet-2678400s","mode":"N"}</v>
      </c>
      <c r="K22" t="str">
        <f>ToJsonArray(supplementary_offering_offeringid__4[[#This Row],[produccion]],supplementary_offering_offeringid__4[[#This Row],[json]])</f>
        <v>{"910000137":{"legacyid":"100001-37","name":"Voz-OnNet-2678400s","mode":"N"}}</v>
      </c>
    </row>
    <row r="23" spans="1:11" x14ac:dyDescent="0.25">
      <c r="A23" s="61" t="s">
        <v>2343</v>
      </c>
      <c r="B23" t="s">
        <v>2342</v>
      </c>
      <c r="C23" t="str">
        <f>findKey(supplementary_offering_offeringid__4[[#This Row],[Value.legacyid]])</f>
        <v>100001-38</v>
      </c>
      <c r="D23" t="s">
        <v>5780</v>
      </c>
      <c r="E23" t="s">
        <v>2329</v>
      </c>
      <c r="H23" s="61"/>
      <c r="J23" t="str">
        <f>ToJsonArray(supplementary_offering_offeringid__4[[#Headers],[legacyid]:[activityId]],supplementary_offering_offeringid__4[[#This Row],[legacyid]:[activityId]])</f>
        <v>{"legacyid":"100001-38","name":"Voz-OnNet-2678400s","mode":"N"}</v>
      </c>
      <c r="K23" t="str">
        <f>ToJsonArray(supplementary_offering_offeringid__4[[#This Row],[produccion]],supplementary_offering_offeringid__4[[#This Row],[json]])</f>
        <v>{"910000138":{"legacyid":"100001-38","name":"Voz-OnNet-2678400s","mode":"N"}}</v>
      </c>
    </row>
    <row r="24" spans="1:11" x14ac:dyDescent="0.25">
      <c r="A24" s="61" t="s">
        <v>2346</v>
      </c>
      <c r="B24" t="s">
        <v>2345</v>
      </c>
      <c r="C24" t="str">
        <f>findKey(supplementary_offering_offeringid__4[[#This Row],[Value.legacyid]])</f>
        <v>100001-39</v>
      </c>
      <c r="D24" t="s">
        <v>5781</v>
      </c>
      <c r="E24" t="s">
        <v>2329</v>
      </c>
      <c r="H24" s="61"/>
      <c r="J24" t="str">
        <f>ToJsonArray(supplementary_offering_offeringid__4[[#Headers],[legacyid]:[activityId]],supplementary_offering_offeringid__4[[#This Row],[legacyid]:[activityId]])</f>
        <v>{"legacyid":"100001-39","name":"Voz-OnNet-39000s","mode":"N"}</v>
      </c>
      <c r="K24" t="str">
        <f>ToJsonArray(supplementary_offering_offeringid__4[[#This Row],[produccion]],supplementary_offering_offeringid__4[[#This Row],[json]])</f>
        <v>{"910000139":{"legacyid":"100001-39","name":"Voz-OnNet-39000s","mode":"N"}}</v>
      </c>
    </row>
    <row r="25" spans="1:11" x14ac:dyDescent="0.25">
      <c r="A25" s="61" t="s">
        <v>2349</v>
      </c>
      <c r="B25" t="s">
        <v>2348</v>
      </c>
      <c r="C25" t="str">
        <f>findKey(supplementary_offering_offeringid__4[[#This Row],[Value.legacyid]])</f>
        <v>100001-42</v>
      </c>
      <c r="D25" t="s">
        <v>5782</v>
      </c>
      <c r="E25" t="s">
        <v>2329</v>
      </c>
      <c r="H25" s="61"/>
      <c r="J25" t="str">
        <f>ToJsonArray(supplementary_offering_offeringid__4[[#Headers],[legacyid]:[activityId]],supplementary_offering_offeringid__4[[#This Row],[legacyid]:[activityId]])</f>
        <v>{"legacyid":"100001-42","name":"Voz-OnNet-72000s","mode":"N"}</v>
      </c>
      <c r="K25" t="str">
        <f>ToJsonArray(supplementary_offering_offeringid__4[[#This Row],[produccion]],supplementary_offering_offeringid__4[[#This Row],[json]])</f>
        <v>{"910000142":{"legacyid":"100001-42","name":"Voz-OnNet-72000s","mode":"N"}}</v>
      </c>
    </row>
    <row r="26" spans="1:11" x14ac:dyDescent="0.25">
      <c r="A26" s="61" t="s">
        <v>2352</v>
      </c>
      <c r="B26" t="s">
        <v>2351</v>
      </c>
      <c r="C26" t="str">
        <f>findKey(supplementary_offering_offeringid__4[[#This Row],[Value.legacyid]])</f>
        <v>100001-45</v>
      </c>
      <c r="D26" t="s">
        <v>5777</v>
      </c>
      <c r="E26" t="s">
        <v>2329</v>
      </c>
      <c r="H26" s="61"/>
      <c r="J26" t="str">
        <f>ToJsonArray(supplementary_offering_offeringid__4[[#Headers],[legacyid]:[activityId]],supplementary_offering_offeringid__4[[#This Row],[legacyid]:[activityId]])</f>
        <v>{"legacyid":"100001-45","name":"Voz-OnNet-Ilimitado","mode":"N"}</v>
      </c>
      <c r="K26" t="str">
        <f>ToJsonArray(supplementary_offering_offeringid__4[[#This Row],[produccion]],supplementary_offering_offeringid__4[[#This Row],[json]])</f>
        <v>{"910000145":{"legacyid":"100001-45","name":"Voz-OnNet-Ilimitado","mode":"N"}}</v>
      </c>
    </row>
    <row r="27" spans="1:11" x14ac:dyDescent="0.25">
      <c r="A27" s="61" t="s">
        <v>2355</v>
      </c>
      <c r="B27" t="s">
        <v>2354</v>
      </c>
      <c r="C27" t="str">
        <f>findKey(supplementary_offering_offeringid__4[[#This Row],[Value.legacyid]])</f>
        <v>100001-46</v>
      </c>
      <c r="D27" t="s">
        <v>5777</v>
      </c>
      <c r="E27" t="s">
        <v>2329</v>
      </c>
      <c r="H27" s="61"/>
      <c r="J27" t="str">
        <f>ToJsonArray(supplementary_offering_offeringid__4[[#Headers],[legacyid]:[activityId]],supplementary_offering_offeringid__4[[#This Row],[legacyid]:[activityId]])</f>
        <v>{"legacyid":"100001-46","name":"Voz-OnNet-Ilimitado","mode":"N"}</v>
      </c>
      <c r="K27" t="str">
        <f>ToJsonArray(supplementary_offering_offeringid__4[[#This Row],[produccion]],supplementary_offering_offeringid__4[[#This Row],[json]])</f>
        <v>{"910000146":{"legacyid":"100001-46","name":"Voz-OnNet-Ilimitado","mode":"N"}}</v>
      </c>
    </row>
    <row r="28" spans="1:11" x14ac:dyDescent="0.25">
      <c r="A28" s="61" t="s">
        <v>2358</v>
      </c>
      <c r="B28" t="s">
        <v>2357</v>
      </c>
      <c r="C28" t="str">
        <f>findKey(supplementary_offering_offeringid__4[[#This Row],[Value.legacyid]])</f>
        <v>100001-47</v>
      </c>
      <c r="D28" t="s">
        <v>5777</v>
      </c>
      <c r="E28" t="s">
        <v>2329</v>
      </c>
      <c r="H28" s="61"/>
      <c r="J28" t="str">
        <f>ToJsonArray(supplementary_offering_offeringid__4[[#Headers],[legacyid]:[activityId]],supplementary_offering_offeringid__4[[#This Row],[legacyid]:[activityId]])</f>
        <v>{"legacyid":"100001-47","name":"Voz-OnNet-Ilimitado","mode":"N"}</v>
      </c>
      <c r="K28" t="str">
        <f>ToJsonArray(supplementary_offering_offeringid__4[[#This Row],[produccion]],supplementary_offering_offeringid__4[[#This Row],[json]])</f>
        <v>{"910000147":{"legacyid":"100001-47","name":"Voz-OnNet-Ilimitado","mode":"N"}}</v>
      </c>
    </row>
    <row r="29" spans="1:11" x14ac:dyDescent="0.25">
      <c r="A29" s="61" t="s">
        <v>2361</v>
      </c>
      <c r="B29" t="s">
        <v>2360</v>
      </c>
      <c r="C29" t="str">
        <f>findKey(supplementary_offering_offeringid__4[[#This Row],[Value.legacyid]])</f>
        <v>100001-48</v>
      </c>
      <c r="D29" t="s">
        <v>5777</v>
      </c>
      <c r="E29" t="s">
        <v>2329</v>
      </c>
      <c r="H29" s="61"/>
      <c r="J29" t="str">
        <f>ToJsonArray(supplementary_offering_offeringid__4[[#Headers],[legacyid]:[activityId]],supplementary_offering_offeringid__4[[#This Row],[legacyid]:[activityId]])</f>
        <v>{"legacyid":"100001-48","name":"Voz-OnNet-Ilimitado","mode":"N"}</v>
      </c>
      <c r="K29" t="str">
        <f>ToJsonArray(supplementary_offering_offeringid__4[[#This Row],[produccion]],supplementary_offering_offeringid__4[[#This Row],[json]])</f>
        <v>{"910000148":{"legacyid":"100001-48","name":"Voz-OnNet-Ilimitado","mode":"N"}}</v>
      </c>
    </row>
    <row r="30" spans="1:11" x14ac:dyDescent="0.25">
      <c r="A30" s="61" t="s">
        <v>2364</v>
      </c>
      <c r="B30" t="s">
        <v>2363</v>
      </c>
      <c r="C30" t="str">
        <f>findKey(supplementary_offering_offeringid__4[[#This Row],[Value.legacyid]])</f>
        <v>100001-49</v>
      </c>
      <c r="D30" t="s">
        <v>5777</v>
      </c>
      <c r="E30" t="s">
        <v>2329</v>
      </c>
      <c r="H30" s="61"/>
      <c r="J30" t="str">
        <f>ToJsonArray(supplementary_offering_offeringid__4[[#Headers],[legacyid]:[activityId]],supplementary_offering_offeringid__4[[#This Row],[legacyid]:[activityId]])</f>
        <v>{"legacyid":"100001-49","name":"Voz-OnNet-Ilimitado","mode":"N"}</v>
      </c>
      <c r="K30" t="str">
        <f>ToJsonArray(supplementary_offering_offeringid__4[[#This Row],[produccion]],supplementary_offering_offeringid__4[[#This Row],[json]])</f>
        <v>{"910000149":{"legacyid":"100001-49","name":"Voz-OnNet-Ilimitado","mode":"N"}}</v>
      </c>
    </row>
    <row r="31" spans="1:11" x14ac:dyDescent="0.25">
      <c r="A31" s="61" t="s">
        <v>2367</v>
      </c>
      <c r="B31" t="s">
        <v>2366</v>
      </c>
      <c r="C31" t="str">
        <f>findKey(supplementary_offering_offeringid__4[[#This Row],[Value.legacyid]])</f>
        <v>100001-50</v>
      </c>
      <c r="D31" t="s">
        <v>5777</v>
      </c>
      <c r="E31" t="s">
        <v>2329</v>
      </c>
      <c r="H31" s="61"/>
      <c r="J31" t="str">
        <f>ToJsonArray(supplementary_offering_offeringid__4[[#Headers],[legacyid]:[activityId]],supplementary_offering_offeringid__4[[#This Row],[legacyid]:[activityId]])</f>
        <v>{"legacyid":"100001-50","name":"Voz-OnNet-Ilimitado","mode":"N"}</v>
      </c>
      <c r="K31" t="str">
        <f>ToJsonArray(supplementary_offering_offeringid__4[[#This Row],[produccion]],supplementary_offering_offeringid__4[[#This Row],[json]])</f>
        <v>{"910000150":{"legacyid":"100001-50","name":"Voz-OnNet-Ilimitado","mode":"N"}}</v>
      </c>
    </row>
    <row r="32" spans="1:11" x14ac:dyDescent="0.25">
      <c r="A32" s="61" t="s">
        <v>3859</v>
      </c>
      <c r="B32" t="s">
        <v>3858</v>
      </c>
      <c r="C32" t="str">
        <f>findKey(supplementary_offering_offeringid__4[[#This Row],[Value.legacyid]])</f>
        <v>100001-56</v>
      </c>
      <c r="D32" t="s">
        <v>5777</v>
      </c>
      <c r="E32" t="s">
        <v>2329</v>
      </c>
      <c r="H32" s="61"/>
      <c r="J32" t="str">
        <f>ToJsonArray(supplementary_offering_offeringid__4[[#Headers],[legacyid]:[activityId]],supplementary_offering_offeringid__4[[#This Row],[legacyid]:[activityId]])</f>
        <v>{"legacyid":"100001-56","name":"Voz-OnNet-Ilimitado","mode":"N"}</v>
      </c>
      <c r="K32" t="str">
        <f>ToJsonArray(supplementary_offering_offeringid__4[[#This Row],[produccion]],supplementary_offering_offeringid__4[[#This Row],[json]])</f>
        <v>{"910000156":{"legacyid":"100001-56","name":"Voz-OnNet-Ilimitado","mode":"N"}}</v>
      </c>
    </row>
    <row r="33" spans="1:11" x14ac:dyDescent="0.25">
      <c r="A33" s="61" t="s">
        <v>3862</v>
      </c>
      <c r="B33" t="s">
        <v>3861</v>
      </c>
      <c r="C33" t="str">
        <f>findKey(supplementary_offering_offeringid__4[[#This Row],[Value.legacyid]])</f>
        <v>100001-57</v>
      </c>
      <c r="D33" t="s">
        <v>5777</v>
      </c>
      <c r="E33" t="s">
        <v>2329</v>
      </c>
      <c r="H33" s="61"/>
      <c r="J33" t="str">
        <f>ToJsonArray(supplementary_offering_offeringid__4[[#Headers],[legacyid]:[activityId]],supplementary_offering_offeringid__4[[#This Row],[legacyid]:[activityId]])</f>
        <v>{"legacyid":"100001-57","name":"Voz-OnNet-Ilimitado","mode":"N"}</v>
      </c>
      <c r="K33" t="str">
        <f>ToJsonArray(supplementary_offering_offeringid__4[[#This Row],[produccion]],supplementary_offering_offeringid__4[[#This Row],[json]])</f>
        <v>{"910000157":{"legacyid":"100001-57","name":"Voz-OnNet-Ilimitado","mode":"N"}}</v>
      </c>
    </row>
    <row r="34" spans="1:11" x14ac:dyDescent="0.25">
      <c r="A34" s="61" t="s">
        <v>3865</v>
      </c>
      <c r="B34" t="s">
        <v>3864</v>
      </c>
      <c r="C34" t="str">
        <f>findKey(supplementary_offering_offeringid__4[[#This Row],[Value.legacyid]])</f>
        <v>100001-58</v>
      </c>
      <c r="D34" t="s">
        <v>5777</v>
      </c>
      <c r="E34" t="s">
        <v>2329</v>
      </c>
      <c r="H34" s="61"/>
      <c r="J34" t="str">
        <f>ToJsonArray(supplementary_offering_offeringid__4[[#Headers],[legacyid]:[activityId]],supplementary_offering_offeringid__4[[#This Row],[legacyid]:[activityId]])</f>
        <v>{"legacyid":"100001-58","name":"Voz-OnNet-Ilimitado","mode":"N"}</v>
      </c>
      <c r="K34" t="str">
        <f>ToJsonArray(supplementary_offering_offeringid__4[[#This Row],[produccion]],supplementary_offering_offeringid__4[[#This Row],[json]])</f>
        <v>{"910000158":{"legacyid":"100001-58","name":"Voz-OnNet-Ilimitado","mode":"N"}}</v>
      </c>
    </row>
    <row r="35" spans="1:11" x14ac:dyDescent="0.25">
      <c r="A35" s="61" t="s">
        <v>3868</v>
      </c>
      <c r="B35" t="s">
        <v>3867</v>
      </c>
      <c r="C35" t="str">
        <f>findKey(supplementary_offering_offeringid__4[[#This Row],[Value.legacyid]])</f>
        <v>100001-59</v>
      </c>
      <c r="D35" t="s">
        <v>5777</v>
      </c>
      <c r="E35" t="s">
        <v>2329</v>
      </c>
      <c r="H35" s="61"/>
      <c r="J35" t="str">
        <f>ToJsonArray(supplementary_offering_offeringid__4[[#Headers],[legacyid]:[activityId]],supplementary_offering_offeringid__4[[#This Row],[legacyid]:[activityId]])</f>
        <v>{"legacyid":"100001-59","name":"Voz-OnNet-Ilimitado","mode":"N"}</v>
      </c>
      <c r="K35" t="str">
        <f>ToJsonArray(supplementary_offering_offeringid__4[[#This Row],[produccion]],supplementary_offering_offeringid__4[[#This Row],[json]])</f>
        <v>{"910000159":{"legacyid":"100001-59","name":"Voz-OnNet-Ilimitado","mode":"N"}}</v>
      </c>
    </row>
    <row r="36" spans="1:11" x14ac:dyDescent="0.25">
      <c r="A36" s="61" t="s">
        <v>3871</v>
      </c>
      <c r="B36" t="s">
        <v>3870</v>
      </c>
      <c r="C36" t="str">
        <f>findKey(supplementary_offering_offeringid__4[[#This Row],[Value.legacyid]])</f>
        <v>100001-60</v>
      </c>
      <c r="D36" t="s">
        <v>5777</v>
      </c>
      <c r="E36" t="s">
        <v>2329</v>
      </c>
      <c r="H36" s="61"/>
      <c r="J36" t="str">
        <f>ToJsonArray(supplementary_offering_offeringid__4[[#Headers],[legacyid]:[activityId]],supplementary_offering_offeringid__4[[#This Row],[legacyid]:[activityId]])</f>
        <v>{"legacyid":"100001-60","name":"Voz-OnNet-Ilimitado","mode":"N"}</v>
      </c>
      <c r="K36" t="str">
        <f>ToJsonArray(supplementary_offering_offeringid__4[[#This Row],[produccion]],supplementary_offering_offeringid__4[[#This Row],[json]])</f>
        <v>{"910000160":{"legacyid":"100001-60","name":"Voz-OnNet-Ilimitado","mode":"N"}}</v>
      </c>
    </row>
    <row r="37" spans="1:11" x14ac:dyDescent="0.25">
      <c r="A37" s="61" t="s">
        <v>3874</v>
      </c>
      <c r="B37" t="s">
        <v>3873</v>
      </c>
      <c r="C37" t="str">
        <f>findKey(supplementary_offering_offeringid__4[[#This Row],[Value.legacyid]])</f>
        <v>100001-61</v>
      </c>
      <c r="D37" t="s">
        <v>5777</v>
      </c>
      <c r="E37" t="s">
        <v>2329</v>
      </c>
      <c r="H37" s="61"/>
      <c r="J37" t="str">
        <f>ToJsonArray(supplementary_offering_offeringid__4[[#Headers],[legacyid]:[activityId]],supplementary_offering_offeringid__4[[#This Row],[legacyid]:[activityId]])</f>
        <v>{"legacyid":"100001-61","name":"Voz-OnNet-Ilimitado","mode":"N"}</v>
      </c>
      <c r="K37" t="str">
        <f>ToJsonArray(supplementary_offering_offeringid__4[[#This Row],[produccion]],supplementary_offering_offeringid__4[[#This Row],[json]])</f>
        <v>{"910000161":{"legacyid":"100001-61","name":"Voz-OnNet-Ilimitado","mode":"N"}}</v>
      </c>
    </row>
    <row r="38" spans="1:11" x14ac:dyDescent="0.25">
      <c r="A38" s="61" t="s">
        <v>3877</v>
      </c>
      <c r="B38" t="s">
        <v>3876</v>
      </c>
      <c r="C38" t="str">
        <f>findKey(supplementary_offering_offeringid__4[[#This Row],[Value.legacyid]])</f>
        <v>100001-62</v>
      </c>
      <c r="D38" t="s">
        <v>5777</v>
      </c>
      <c r="E38" t="s">
        <v>2329</v>
      </c>
      <c r="H38" s="61"/>
      <c r="J38" t="str">
        <f>ToJsonArray(supplementary_offering_offeringid__4[[#Headers],[legacyid]:[activityId]],supplementary_offering_offeringid__4[[#This Row],[legacyid]:[activityId]])</f>
        <v>{"legacyid":"100001-62","name":"Voz-OnNet-Ilimitado","mode":"N"}</v>
      </c>
      <c r="K38" t="str">
        <f>ToJsonArray(supplementary_offering_offeringid__4[[#This Row],[produccion]],supplementary_offering_offeringid__4[[#This Row],[json]])</f>
        <v>{"910000162":{"legacyid":"100001-62","name":"Voz-OnNet-Ilimitado","mode":"N"}}</v>
      </c>
    </row>
    <row r="39" spans="1:11" x14ac:dyDescent="0.25">
      <c r="A39" s="61" t="s">
        <v>3880</v>
      </c>
      <c r="B39" t="s">
        <v>3879</v>
      </c>
      <c r="C39" t="str">
        <f>findKey(supplementary_offering_offeringid__4[[#This Row],[Value.legacyid]])</f>
        <v>100001-63</v>
      </c>
      <c r="D39" t="s">
        <v>5777</v>
      </c>
      <c r="E39" t="s">
        <v>2329</v>
      </c>
      <c r="H39" s="61"/>
      <c r="J39" t="str">
        <f>ToJsonArray(supplementary_offering_offeringid__4[[#Headers],[legacyid]:[activityId]],supplementary_offering_offeringid__4[[#This Row],[legacyid]:[activityId]])</f>
        <v>{"legacyid":"100001-63","name":"Voz-OnNet-Ilimitado","mode":"N"}</v>
      </c>
      <c r="K39" t="str">
        <f>ToJsonArray(supplementary_offering_offeringid__4[[#This Row],[produccion]],supplementary_offering_offeringid__4[[#This Row],[json]])</f>
        <v>{"910000163":{"legacyid":"100001-63","name":"Voz-OnNet-Ilimitado","mode":"N"}}</v>
      </c>
    </row>
    <row r="40" spans="1:11" x14ac:dyDescent="0.25">
      <c r="A40" s="61" t="s">
        <v>3883</v>
      </c>
      <c r="B40" t="s">
        <v>3882</v>
      </c>
      <c r="C40" t="str">
        <f>findKey(supplementary_offering_offeringid__4[[#This Row],[Value.legacyid]])</f>
        <v>100001-64</v>
      </c>
      <c r="D40" t="s">
        <v>5777</v>
      </c>
      <c r="E40" t="s">
        <v>2329</v>
      </c>
      <c r="H40" s="61"/>
      <c r="J40" t="str">
        <f>ToJsonArray(supplementary_offering_offeringid__4[[#Headers],[legacyid]:[activityId]],supplementary_offering_offeringid__4[[#This Row],[legacyid]:[activityId]])</f>
        <v>{"legacyid":"100001-64","name":"Voz-OnNet-Ilimitado","mode":"N"}</v>
      </c>
      <c r="K40" t="str">
        <f>ToJsonArray(supplementary_offering_offeringid__4[[#This Row],[produccion]],supplementary_offering_offeringid__4[[#This Row],[json]])</f>
        <v>{"910000164":{"legacyid":"100001-64","name":"Voz-OnNet-Ilimitado","mode":"N"}}</v>
      </c>
    </row>
    <row r="41" spans="1:11" x14ac:dyDescent="0.25">
      <c r="A41" s="61" t="s">
        <v>3886</v>
      </c>
      <c r="B41" t="s">
        <v>3885</v>
      </c>
      <c r="C41" t="str">
        <f>findKey(supplementary_offering_offeringid__4[[#This Row],[Value.legacyid]])</f>
        <v>100001-65</v>
      </c>
      <c r="D41" t="s">
        <v>5777</v>
      </c>
      <c r="E41" t="s">
        <v>2329</v>
      </c>
      <c r="H41" s="61"/>
      <c r="J41" t="str">
        <f>ToJsonArray(supplementary_offering_offeringid__4[[#Headers],[legacyid]:[activityId]],supplementary_offering_offeringid__4[[#This Row],[legacyid]:[activityId]])</f>
        <v>{"legacyid":"100001-65","name":"Voz-OnNet-Ilimitado","mode":"N"}</v>
      </c>
      <c r="K41" t="str">
        <f>ToJsonArray(supplementary_offering_offeringid__4[[#This Row],[produccion]],supplementary_offering_offeringid__4[[#This Row],[json]])</f>
        <v>{"910000165":{"legacyid":"100001-65","name":"Voz-OnNet-Ilimitado","mode":"N"}}</v>
      </c>
    </row>
    <row r="42" spans="1:11" x14ac:dyDescent="0.25">
      <c r="A42" s="61" t="s">
        <v>4342</v>
      </c>
      <c r="B42" t="s">
        <v>4341</v>
      </c>
      <c r="C42" t="str">
        <f>findKey(supplementary_offering_offeringid__4[[#This Row],[Value.legacyid]])</f>
        <v>100002-00</v>
      </c>
      <c r="D42" t="s">
        <v>5783</v>
      </c>
      <c r="E42" t="s">
        <v>2329</v>
      </c>
      <c r="H42" s="61"/>
      <c r="J42" t="str">
        <f>ToJsonArray(supplementary_offering_offeringid__4[[#Headers],[legacyid]:[activityId]],supplementary_offering_offeringid__4[[#This Row],[legacyid]:[activityId]])</f>
        <v>{"legacyid":"100002-00","name":"Voz - Todo destino - Bajo 0","mode":"N"}</v>
      </c>
      <c r="K42" t="str">
        <f>ToJsonArray(supplementary_offering_offeringid__4[[#This Row],[produccion]],supplementary_offering_offeringid__4[[#This Row],[json]])</f>
        <v>{"910000200":{"legacyid":"100002-00","name":"Voz - Todo destino - Bajo 0","mode":"N"}}</v>
      </c>
    </row>
    <row r="43" spans="1:11" x14ac:dyDescent="0.25">
      <c r="A43" s="61" t="s">
        <v>2370</v>
      </c>
      <c r="B43" t="s">
        <v>2369</v>
      </c>
      <c r="C43" t="str">
        <f>findKey(supplementary_offering_offeringid__4[[#This Row],[Value.legacyid]])</f>
        <v>100002-01</v>
      </c>
      <c r="D43" t="s">
        <v>5784</v>
      </c>
      <c r="E43" t="s">
        <v>2329</v>
      </c>
      <c r="H43" s="61"/>
      <c r="J43" t="str">
        <f>ToJsonArray(supplementary_offering_offeringid__4[[#Headers],[legacyid]:[activityId]],supplementary_offering_offeringid__4[[#This Row],[legacyid]:[activityId]])</f>
        <v>{"legacyid":"100002-01","name":"Voz - Todo destino - Bajo 1","mode":"N"}</v>
      </c>
      <c r="K43" t="str">
        <f>ToJsonArray(supplementary_offering_offeringid__4[[#This Row],[produccion]],supplementary_offering_offeringid__4[[#This Row],[json]])</f>
        <v>{"910000201":{"legacyid":"100002-01","name":"Voz - Todo destino - Bajo 1","mode":"N"}}</v>
      </c>
    </row>
    <row r="44" spans="1:11" x14ac:dyDescent="0.25">
      <c r="A44" s="61" t="s">
        <v>4345</v>
      </c>
      <c r="B44" t="s">
        <v>4344</v>
      </c>
      <c r="C44" t="str">
        <f>findKey(supplementary_offering_offeringid__4[[#This Row],[Value.legacyid]])</f>
        <v>100002-02</v>
      </c>
      <c r="D44" t="s">
        <v>5785</v>
      </c>
      <c r="E44" t="s">
        <v>2329</v>
      </c>
      <c r="H44" s="61"/>
      <c r="J44" t="str">
        <f>ToJsonArray(supplementary_offering_offeringid__4[[#Headers],[legacyid]:[activityId]],supplementary_offering_offeringid__4[[#This Row],[legacyid]:[activityId]])</f>
        <v>{"legacyid":"100002-02","name":"Voz - Todo destino - Bajo 2","mode":"N"}</v>
      </c>
      <c r="K44" t="str">
        <f>ToJsonArray(supplementary_offering_offeringid__4[[#This Row],[produccion]],supplementary_offering_offeringid__4[[#This Row],[json]])</f>
        <v>{"910000202":{"legacyid":"100002-02","name":"Voz - Todo destino - Bajo 2","mode":"N"}}</v>
      </c>
    </row>
    <row r="45" spans="1:11" x14ac:dyDescent="0.25">
      <c r="A45" s="61" t="s">
        <v>2373</v>
      </c>
      <c r="B45" t="s">
        <v>2372</v>
      </c>
      <c r="C45" t="str">
        <f>findKey(supplementary_offering_offeringid__4[[#This Row],[Value.legacyid]])</f>
        <v>100002-03</v>
      </c>
      <c r="D45" t="s">
        <v>5786</v>
      </c>
      <c r="E45" t="s">
        <v>2329</v>
      </c>
      <c r="H45" s="61"/>
      <c r="J45" t="str">
        <f>ToJsonArray(supplementary_offering_offeringid__4[[#Headers],[legacyid]:[activityId]],supplementary_offering_offeringid__4[[#This Row],[legacyid]:[activityId]])</f>
        <v>{"legacyid":"100002-03","name":"Voz - Todo destino - Medio 1","mode":"N"}</v>
      </c>
      <c r="K45" t="str">
        <f>ToJsonArray(supplementary_offering_offeringid__4[[#This Row],[produccion]],supplementary_offering_offeringid__4[[#This Row],[json]])</f>
        <v>{"910000203":{"legacyid":"100002-03","name":"Voz - Todo destino - Medio 1","mode":"N"}}</v>
      </c>
    </row>
    <row r="46" spans="1:11" x14ac:dyDescent="0.25">
      <c r="A46" s="61" t="s">
        <v>4348</v>
      </c>
      <c r="B46" t="s">
        <v>4347</v>
      </c>
      <c r="C46" t="str">
        <f>findKey(supplementary_offering_offeringid__4[[#This Row],[Value.legacyid]])</f>
        <v>100002-04</v>
      </c>
      <c r="D46" t="s">
        <v>5787</v>
      </c>
      <c r="E46" t="s">
        <v>2329</v>
      </c>
      <c r="H46" s="61"/>
      <c r="J46" t="str">
        <f>ToJsonArray(supplementary_offering_offeringid__4[[#Headers],[legacyid]:[activityId]],supplementary_offering_offeringid__4[[#This Row],[legacyid]:[activityId]])</f>
        <v>{"legacyid":"100002-04","name":"Voz - Todo destino - Medio 2","mode":"N"}</v>
      </c>
      <c r="K46" t="str">
        <f>ToJsonArray(supplementary_offering_offeringid__4[[#This Row],[produccion]],supplementary_offering_offeringid__4[[#This Row],[json]])</f>
        <v>{"910000204":{"legacyid":"100002-04","name":"Voz - Todo destino - Medio 2","mode":"N"}}</v>
      </c>
    </row>
    <row r="47" spans="1:11" x14ac:dyDescent="0.25">
      <c r="A47" s="61" t="s">
        <v>4351</v>
      </c>
      <c r="B47" t="s">
        <v>4350</v>
      </c>
      <c r="C47" t="str">
        <f>findKey(supplementary_offering_offeringid__4[[#This Row],[Value.legacyid]])</f>
        <v>100002-06</v>
      </c>
      <c r="D47" t="s">
        <v>5788</v>
      </c>
      <c r="E47" t="s">
        <v>2329</v>
      </c>
      <c r="H47" s="61"/>
      <c r="J47" t="str">
        <f>ToJsonArray(supplementary_offering_offeringid__4[[#Headers],[legacyid]:[activityId]],supplementary_offering_offeringid__4[[#This Row],[legacyid]:[activityId]])</f>
        <v>{"legacyid":"100002-06","name":"Voz - Todo destino - Alto 1","mode":"N"}</v>
      </c>
      <c r="K47" t="str">
        <f>ToJsonArray(supplementary_offering_offeringid__4[[#This Row],[produccion]],supplementary_offering_offeringid__4[[#This Row],[json]])</f>
        <v>{"910000206":{"legacyid":"100002-06","name":"Voz - Todo destino - Alto 1","mode":"N"}}</v>
      </c>
    </row>
    <row r="48" spans="1:11" x14ac:dyDescent="0.25">
      <c r="A48" s="61" t="s">
        <v>4354</v>
      </c>
      <c r="B48" t="s">
        <v>4353</v>
      </c>
      <c r="C48" t="str">
        <f>findKey(supplementary_offering_offeringid__4[[#This Row],[Value.legacyid]])</f>
        <v>100002-09</v>
      </c>
      <c r="D48" t="s">
        <v>5789</v>
      </c>
      <c r="E48" t="s">
        <v>2329</v>
      </c>
      <c r="H48" s="61"/>
      <c r="J48" t="str">
        <f>ToJsonArray(supplementary_offering_offeringid__4[[#Headers],[legacyid]:[activityId]],supplementary_offering_offeringid__4[[#This Row],[legacyid]:[activityId]])</f>
        <v>{"legacyid":"100002-09","name":"Voz - Todo destino - 250m","mode":"N"}</v>
      </c>
      <c r="K48" t="str">
        <f>ToJsonArray(supplementary_offering_offeringid__4[[#This Row],[produccion]],supplementary_offering_offeringid__4[[#This Row],[json]])</f>
        <v>{"910000209":{"legacyid":"100002-09","name":"Voz - Todo destino - 250m","mode":"N"}}</v>
      </c>
    </row>
    <row r="49" spans="1:11" x14ac:dyDescent="0.25">
      <c r="A49" s="61" t="s">
        <v>4357</v>
      </c>
      <c r="B49" t="s">
        <v>4356</v>
      </c>
      <c r="C49" t="str">
        <f>findKey(supplementary_offering_offeringid__4[[#This Row],[Value.legacyid]])</f>
        <v>100002-12</v>
      </c>
      <c r="D49" t="s">
        <v>5790</v>
      </c>
      <c r="E49" t="s">
        <v>2329</v>
      </c>
      <c r="H49" s="61"/>
      <c r="J49" t="str">
        <f>ToJsonArray(supplementary_offering_offeringid__4[[#Headers],[legacyid]:[activityId]],supplementary_offering_offeringid__4[[#This Row],[legacyid]:[activityId]])</f>
        <v>{"legacyid":"100002-12","name":"Voz-TD- Medio 4 - 170min","mode":"N"}</v>
      </c>
      <c r="K49" t="str">
        <f>ToJsonArray(supplementary_offering_offeringid__4[[#This Row],[produccion]],supplementary_offering_offeringid__4[[#This Row],[json]])</f>
        <v>{"910000212":{"legacyid":"100002-12","name":"Voz-TD- Medio 4 - 170min","mode":"N"}}</v>
      </c>
    </row>
    <row r="50" spans="1:11" x14ac:dyDescent="0.25">
      <c r="A50" s="61" t="s">
        <v>4360</v>
      </c>
      <c r="B50" t="s">
        <v>4359</v>
      </c>
      <c r="C50" t="str">
        <f>findKey(supplementary_offering_offeringid__4[[#This Row],[Value.legacyid]])</f>
        <v>100002-15</v>
      </c>
      <c r="D50" t="s">
        <v>5791</v>
      </c>
      <c r="E50" t="s">
        <v>2329</v>
      </c>
      <c r="H50" s="61"/>
      <c r="J50" t="str">
        <f>ToJsonArray(supplementary_offering_offeringid__4[[#Headers],[legacyid]:[activityId]],supplementary_offering_offeringid__4[[#This Row],[legacyid]:[activityId]])</f>
        <v>{"legacyid":"100002-15","name":"Voz-TD-100m","mode":"N"}</v>
      </c>
      <c r="K50" t="str">
        <f>ToJsonArray(supplementary_offering_offeringid__4[[#This Row],[produccion]],supplementary_offering_offeringid__4[[#This Row],[json]])</f>
        <v>{"910000215":{"legacyid":"100002-15","name":"Voz-TD-100m","mode":"N"}}</v>
      </c>
    </row>
    <row r="51" spans="1:11" x14ac:dyDescent="0.25">
      <c r="A51" s="61" t="s">
        <v>4363</v>
      </c>
      <c r="B51" t="s">
        <v>4362</v>
      </c>
      <c r="C51" t="str">
        <f>findKey(supplementary_offering_offeringid__4[[#This Row],[Value.legacyid]])</f>
        <v>100002-17</v>
      </c>
      <c r="D51" t="s">
        <v>5792</v>
      </c>
      <c r="E51" t="s">
        <v>2329</v>
      </c>
      <c r="H51" s="61"/>
      <c r="J51" t="str">
        <f>ToJsonArray(supplementary_offering_offeringid__4[[#Headers],[legacyid]:[activityId]],supplementary_offering_offeringid__4[[#This Row],[legacyid]:[activityId]])</f>
        <v>{"legacyid":"100002-17","name":"Voz-TD-170m","mode":"N"}</v>
      </c>
      <c r="K51" t="str">
        <f>ToJsonArray(supplementary_offering_offeringid__4[[#This Row],[produccion]],supplementary_offering_offeringid__4[[#This Row],[json]])</f>
        <v>{"910000217":{"legacyid":"100002-17","name":"Voz-TD-170m","mode":"N"}}</v>
      </c>
    </row>
    <row r="52" spans="1:11" x14ac:dyDescent="0.25">
      <c r="A52" s="61" t="s">
        <v>4366</v>
      </c>
      <c r="B52" t="s">
        <v>4365</v>
      </c>
      <c r="C52" t="str">
        <f>findKey(supplementary_offering_offeringid__4[[#This Row],[Value.legacyid]])</f>
        <v>100002-18</v>
      </c>
      <c r="D52" t="s">
        <v>5793</v>
      </c>
      <c r="E52" t="s">
        <v>2329</v>
      </c>
      <c r="H52" s="61"/>
      <c r="J52" t="str">
        <f>ToJsonArray(supplementary_offering_offeringid__4[[#Headers],[legacyid]:[activityId]],supplementary_offering_offeringid__4[[#This Row],[legacyid]:[activityId]])</f>
        <v>{"legacyid":"100002-18","name":"Voz-TD-200m_a","mode":"N"}</v>
      </c>
      <c r="K52" t="str">
        <f>ToJsonArray(supplementary_offering_offeringid__4[[#This Row],[produccion]],supplementary_offering_offeringid__4[[#This Row],[json]])</f>
        <v>{"910000218":{"legacyid":"100002-18","name":"Voz-TD-200m_a","mode":"N"}}</v>
      </c>
    </row>
    <row r="53" spans="1:11" x14ac:dyDescent="0.25">
      <c r="A53" s="61" t="s">
        <v>4369</v>
      </c>
      <c r="B53" t="s">
        <v>4368</v>
      </c>
      <c r="C53" t="str">
        <f>findKey(supplementary_offering_offeringid__4[[#This Row],[Value.legacyid]])</f>
        <v>100002-20</v>
      </c>
      <c r="D53" t="s">
        <v>5794</v>
      </c>
      <c r="E53" t="s">
        <v>2329</v>
      </c>
      <c r="H53" s="61"/>
      <c r="J53" t="str">
        <f>ToJsonArray(supplementary_offering_offeringid__4[[#Headers],[legacyid]:[activityId]],supplementary_offering_offeringid__4[[#This Row],[legacyid]:[activityId]])</f>
        <v>{"legacyid":"100002-20","name":"Voz-TD-270m","mode":"N"}</v>
      </c>
      <c r="K53" t="str">
        <f>ToJsonArray(supplementary_offering_offeringid__4[[#This Row],[produccion]],supplementary_offering_offeringid__4[[#This Row],[json]])</f>
        <v>{"910000220":{"legacyid":"100002-20","name":"Voz-TD-270m","mode":"N"}}</v>
      </c>
    </row>
    <row r="54" spans="1:11" x14ac:dyDescent="0.25">
      <c r="A54" s="61" t="s">
        <v>4372</v>
      </c>
      <c r="B54" t="s">
        <v>4371</v>
      </c>
      <c r="C54" t="str">
        <f>findKey(supplementary_offering_offeringid__4[[#This Row],[Value.legacyid]])</f>
        <v>100002-23</v>
      </c>
      <c r="D54" t="s">
        <v>5795</v>
      </c>
      <c r="E54" t="s">
        <v>2329</v>
      </c>
      <c r="H54" s="61"/>
      <c r="J54" t="str">
        <f>ToJsonArray(supplementary_offering_offeringid__4[[#Headers],[legacyid]:[activityId]],supplementary_offering_offeringid__4[[#This Row],[legacyid]:[activityId]])</f>
        <v>{"legacyid":"100002-23","name":"Voz-TD-450m","mode":"N"}</v>
      </c>
      <c r="K54" t="str">
        <f>ToJsonArray(supplementary_offering_offeringid__4[[#This Row],[produccion]],supplementary_offering_offeringid__4[[#This Row],[json]])</f>
        <v>{"910000223":{"legacyid":"100002-23","name":"Voz-TD-450m","mode":"N"}}</v>
      </c>
    </row>
    <row r="55" spans="1:11" x14ac:dyDescent="0.25">
      <c r="A55" s="61" t="s">
        <v>4375</v>
      </c>
      <c r="B55" t="s">
        <v>4374</v>
      </c>
      <c r="C55" t="str">
        <f>findKey(supplementary_offering_offeringid__4[[#This Row],[Value.legacyid]])</f>
        <v>100002-27</v>
      </c>
      <c r="D55" t="s">
        <v>5796</v>
      </c>
      <c r="E55" t="s">
        <v>2329</v>
      </c>
      <c r="H55" s="61"/>
      <c r="J55" t="str">
        <f>ToJsonArray(supplementary_offering_offeringid__4[[#Headers],[legacyid]:[activityId]],supplementary_offering_offeringid__4[[#This Row],[legacyid]:[activityId]])</f>
        <v>{"legacyid":"100002-27","name":"Voz-TD-850m","mode":"N"}</v>
      </c>
      <c r="K55" t="str">
        <f>ToJsonArray(supplementary_offering_offeringid__4[[#This Row],[produccion]],supplementary_offering_offeringid__4[[#This Row],[json]])</f>
        <v>{"910000227":{"legacyid":"100002-27","name":"Voz-TD-850m","mode":"N"}}</v>
      </c>
    </row>
    <row r="56" spans="1:11" x14ac:dyDescent="0.25">
      <c r="A56" s="61" t="s">
        <v>4378</v>
      </c>
      <c r="B56" t="s">
        <v>4377</v>
      </c>
      <c r="C56" t="str">
        <f>findKey(supplementary_offering_offeringid__4[[#This Row],[Value.legacyid]])</f>
        <v>100002-28</v>
      </c>
      <c r="D56" t="s">
        <v>5797</v>
      </c>
      <c r="E56" t="s">
        <v>2329</v>
      </c>
      <c r="H56" s="61"/>
      <c r="J56" t="str">
        <f>ToJsonArray(supplementary_offering_offeringid__4[[#Headers],[legacyid]:[activityId]],supplementary_offering_offeringid__4[[#This Row],[legacyid]:[activityId]])</f>
        <v>{"legacyid":"100002-28","name":"Voz-TD-950m","mode":"N"}</v>
      </c>
      <c r="K56" t="str">
        <f>ToJsonArray(supplementary_offering_offeringid__4[[#This Row],[produccion]],supplementary_offering_offeringid__4[[#This Row],[json]])</f>
        <v>{"910000228":{"legacyid":"100002-28","name":"Voz-TD-950m","mode":"N"}}</v>
      </c>
    </row>
    <row r="57" spans="1:11" x14ac:dyDescent="0.25">
      <c r="A57" s="61" t="s">
        <v>2376</v>
      </c>
      <c r="B57" t="s">
        <v>2375</v>
      </c>
      <c r="C57" t="str">
        <f>findKey(supplementary_offering_offeringid__4[[#This Row],[Value.legacyid]])</f>
        <v>100002-37</v>
      </c>
      <c r="D57" t="s">
        <v>5798</v>
      </c>
      <c r="E57" t="s">
        <v>2329</v>
      </c>
      <c r="H57" s="61"/>
      <c r="J57" t="str">
        <f>ToJsonArray(supplementary_offering_offeringid__4[[#Headers],[legacyid]:[activityId]],supplementary_offering_offeringid__4[[#This Row],[legacyid]:[activityId]])</f>
        <v>{"legacyid":"100002-37","name":"Voz-TD-600m_c","mode":"N"}</v>
      </c>
      <c r="K57" t="str">
        <f>ToJsonArray(supplementary_offering_offeringid__4[[#This Row],[produccion]],supplementary_offering_offeringid__4[[#This Row],[json]])</f>
        <v>{"910000237":{"legacyid":"100002-37","name":"Voz-TD-600m_c","mode":"N"}}</v>
      </c>
    </row>
    <row r="58" spans="1:11" x14ac:dyDescent="0.25">
      <c r="A58" s="61" t="s">
        <v>4381</v>
      </c>
      <c r="B58" t="s">
        <v>4380</v>
      </c>
      <c r="C58" t="str">
        <f>findKey(supplementary_offering_offeringid__4[[#This Row],[Value.legacyid]])</f>
        <v>100002-48</v>
      </c>
      <c r="D58" t="s">
        <v>5799</v>
      </c>
      <c r="E58" t="s">
        <v>2329</v>
      </c>
      <c r="H58" s="61"/>
      <c r="J58" t="str">
        <f>ToJsonArray(supplementary_offering_offeringid__4[[#Headers],[legacyid]:[activityId]],supplementary_offering_offeringid__4[[#This Row],[legacyid]:[activityId]])</f>
        <v>{"legacyid":"100002-48","name":"Voz-TD-600m","mode":"N"}</v>
      </c>
      <c r="K58" t="str">
        <f>ToJsonArray(supplementary_offering_offeringid__4[[#This Row],[produccion]],supplementary_offering_offeringid__4[[#This Row],[json]])</f>
        <v>{"910000248":{"legacyid":"100002-48","name":"Voz-TD-600m","mode":"N"}}</v>
      </c>
    </row>
    <row r="59" spans="1:11" x14ac:dyDescent="0.25">
      <c r="A59" s="61" t="s">
        <v>2379</v>
      </c>
      <c r="B59" t="s">
        <v>2378</v>
      </c>
      <c r="C59" t="str">
        <f>findKey(supplementary_offering_offeringid__4[[#This Row],[Value.legacyid]])</f>
        <v>100002-49</v>
      </c>
      <c r="D59" t="s">
        <v>5800</v>
      </c>
      <c r="E59" t="s">
        <v>2329</v>
      </c>
      <c r="H59" s="61"/>
      <c r="J59" t="str">
        <f>ToJsonArray(supplementary_offering_offeringid__4[[#Headers],[legacyid]:[activityId]],supplementary_offering_offeringid__4[[#This Row],[legacyid]:[activityId]])</f>
        <v>{"legacyid":"100002-49","name":"Voz-TD-700m","mode":"N"}</v>
      </c>
      <c r="K59" t="str">
        <f>ToJsonArray(supplementary_offering_offeringid__4[[#This Row],[produccion]],supplementary_offering_offeringid__4[[#This Row],[json]])</f>
        <v>{"910000249":{"legacyid":"100002-49","name":"Voz-TD-700m","mode":"N"}}</v>
      </c>
    </row>
    <row r="60" spans="1:11" x14ac:dyDescent="0.25">
      <c r="A60" s="61" t="s">
        <v>4384</v>
      </c>
      <c r="B60" t="s">
        <v>4383</v>
      </c>
      <c r="C60" t="str">
        <f>findKey(supplementary_offering_offeringid__4[[#This Row],[Value.legacyid]])</f>
        <v>100002-50</v>
      </c>
      <c r="D60" t="s">
        <v>5801</v>
      </c>
      <c r="E60" t="s">
        <v>2329</v>
      </c>
      <c r="H60" s="61"/>
      <c r="J60" t="str">
        <f>ToJsonArray(supplementary_offering_offeringid__4[[#Headers],[legacyid]:[activityId]],supplementary_offering_offeringid__4[[#This Row],[legacyid]:[activityId]])</f>
        <v>{"legacyid":"100002-50","name":"Voz-TD-1000m","mode":"N"}</v>
      </c>
      <c r="K60" t="str">
        <f>ToJsonArray(supplementary_offering_offeringid__4[[#This Row],[produccion]],supplementary_offering_offeringid__4[[#This Row],[json]])</f>
        <v>{"910000250":{"legacyid":"100002-50","name":"Voz-TD-1000m","mode":"N"}}</v>
      </c>
    </row>
    <row r="61" spans="1:11" x14ac:dyDescent="0.25">
      <c r="A61" s="61" t="s">
        <v>4387</v>
      </c>
      <c r="B61" t="s">
        <v>4386</v>
      </c>
      <c r="C61" t="str">
        <f>findKey(supplementary_offering_offeringid__4[[#This Row],[Value.legacyid]])</f>
        <v>100002-51</v>
      </c>
      <c r="D61" t="s">
        <v>5802</v>
      </c>
      <c r="E61" t="s">
        <v>2329</v>
      </c>
      <c r="H61" s="61"/>
      <c r="J61" t="str">
        <f>ToJsonArray(supplementary_offering_offeringid__4[[#Headers],[legacyid]:[activityId]],supplementary_offering_offeringid__4[[#This Row],[legacyid]:[activityId]])</f>
        <v>{"legacyid":"100002-51","name":"Voz-TD-1500m","mode":"N"}</v>
      </c>
      <c r="K61" t="str">
        <f>ToJsonArray(supplementary_offering_offeringid__4[[#This Row],[produccion]],supplementary_offering_offeringid__4[[#This Row],[json]])</f>
        <v>{"910000251":{"legacyid":"100002-51","name":"Voz-TD-1500m","mode":"N"}}</v>
      </c>
    </row>
    <row r="62" spans="1:11" x14ac:dyDescent="0.25">
      <c r="A62" s="61" t="s">
        <v>4390</v>
      </c>
      <c r="B62" t="s">
        <v>4389</v>
      </c>
      <c r="C62" t="str">
        <f>findKey(supplementary_offering_offeringid__4[[#This Row],[Value.legacyid]])</f>
        <v>100002-52</v>
      </c>
      <c r="D62" t="s">
        <v>5803</v>
      </c>
      <c r="E62" t="s">
        <v>2329</v>
      </c>
      <c r="H62" s="61"/>
      <c r="J62" t="str">
        <f>ToJsonArray(supplementary_offering_offeringid__4[[#Headers],[legacyid]:[activityId]],supplementary_offering_offeringid__4[[#This Row],[legacyid]:[activityId]])</f>
        <v>{"legacyid":"100002-52","name":"Voz-TD-40m","mode":"N"}</v>
      </c>
      <c r="K62" t="str">
        <f>ToJsonArray(supplementary_offering_offeringid__4[[#This Row],[produccion]],supplementary_offering_offeringid__4[[#This Row],[json]])</f>
        <v>{"910000252":{"legacyid":"100002-52","name":"Voz-TD-40m","mode":"N"}}</v>
      </c>
    </row>
    <row r="63" spans="1:11" x14ac:dyDescent="0.25">
      <c r="A63" s="61" t="s">
        <v>4393</v>
      </c>
      <c r="B63" t="s">
        <v>4392</v>
      </c>
      <c r="C63" t="str">
        <f>findKey(supplementary_offering_offeringid__4[[#This Row],[Value.legacyid]])</f>
        <v>100002-53</v>
      </c>
      <c r="D63" t="s">
        <v>5791</v>
      </c>
      <c r="E63" t="s">
        <v>2329</v>
      </c>
      <c r="H63" s="61"/>
      <c r="J63" t="str">
        <f>ToJsonArray(supplementary_offering_offeringid__4[[#Headers],[legacyid]:[activityId]],supplementary_offering_offeringid__4[[#This Row],[legacyid]:[activityId]])</f>
        <v>{"legacyid":"100002-53","name":"Voz-TD-100m","mode":"N"}</v>
      </c>
      <c r="K63" t="str">
        <f>ToJsonArray(supplementary_offering_offeringid__4[[#This Row],[produccion]],supplementary_offering_offeringid__4[[#This Row],[json]])</f>
        <v>{"910000253":{"legacyid":"100002-53","name":"Voz-TD-100m","mode":"N"}}</v>
      </c>
    </row>
    <row r="64" spans="1:11" x14ac:dyDescent="0.25">
      <c r="A64" s="61" t="s">
        <v>4396</v>
      </c>
      <c r="B64" t="s">
        <v>4395</v>
      </c>
      <c r="C64" t="str">
        <f>findKey(supplementary_offering_offeringid__4[[#This Row],[Value.legacyid]])</f>
        <v>100002-54</v>
      </c>
      <c r="D64" t="s">
        <v>5804</v>
      </c>
      <c r="E64" t="s">
        <v>2329</v>
      </c>
      <c r="H64" s="61"/>
      <c r="J64" t="str">
        <f>ToJsonArray(supplementary_offering_offeringid__4[[#Headers],[legacyid]:[activityId]],supplementary_offering_offeringid__4[[#This Row],[legacyid]:[activityId]])</f>
        <v>{"legacyid":"100002-54","name":"Voz-TD-150m","mode":"N"}</v>
      </c>
      <c r="K64" t="str">
        <f>ToJsonArray(supplementary_offering_offeringid__4[[#This Row],[produccion]],supplementary_offering_offeringid__4[[#This Row],[json]])</f>
        <v>{"910000254":{"legacyid":"100002-54","name":"Voz-TD-150m","mode":"N"}}</v>
      </c>
    </row>
    <row r="65" spans="1:11" x14ac:dyDescent="0.25">
      <c r="A65" s="61" t="s">
        <v>2382</v>
      </c>
      <c r="B65" t="s">
        <v>2381</v>
      </c>
      <c r="C65" t="str">
        <f>findKey(supplementary_offering_offeringid__4[[#This Row],[Value.legacyid]])</f>
        <v>100002-55</v>
      </c>
      <c r="D65" t="s">
        <v>5805</v>
      </c>
      <c r="E65" t="s">
        <v>2329</v>
      </c>
      <c r="H65" s="61"/>
      <c r="J65" t="str">
        <f>ToJsonArray(supplementary_offering_offeringid__4[[#Headers],[legacyid]:[activityId]],supplementary_offering_offeringid__4[[#This Row],[legacyid]:[activityId]])</f>
        <v>{"legacyid":"100002-55","name":"Voz-TD-200m","mode":"N"}</v>
      </c>
      <c r="K65" t="str">
        <f>ToJsonArray(supplementary_offering_offeringid__4[[#This Row],[produccion]],supplementary_offering_offeringid__4[[#This Row],[json]])</f>
        <v>{"910000255":{"legacyid":"100002-55","name":"Voz-TD-200m","mode":"N"}}</v>
      </c>
    </row>
    <row r="66" spans="1:11" x14ac:dyDescent="0.25">
      <c r="A66" s="61" t="s">
        <v>2385</v>
      </c>
      <c r="B66" t="s">
        <v>2384</v>
      </c>
      <c r="C66" t="str">
        <f>findKey(supplementary_offering_offeringid__4[[#This Row],[Value.legacyid]])</f>
        <v>100002-56</v>
      </c>
      <c r="D66" t="s">
        <v>5806</v>
      </c>
      <c r="E66" t="s">
        <v>2329</v>
      </c>
      <c r="H66" s="61"/>
      <c r="J66" t="str">
        <f>ToJsonArray(supplementary_offering_offeringid__4[[#Headers],[legacyid]:[activityId]],supplementary_offering_offeringid__4[[#This Row],[legacyid]:[activityId]])</f>
        <v>{"legacyid":"100002-56","name":"Voz-TD-300m","mode":"N"}</v>
      </c>
      <c r="K66" t="str">
        <f>ToJsonArray(supplementary_offering_offeringid__4[[#This Row],[produccion]],supplementary_offering_offeringid__4[[#This Row],[json]])</f>
        <v>{"910000256":{"legacyid":"100002-56","name":"Voz-TD-300m","mode":"N"}}</v>
      </c>
    </row>
    <row r="67" spans="1:11" x14ac:dyDescent="0.25">
      <c r="A67" s="61" t="s">
        <v>4399</v>
      </c>
      <c r="B67" t="s">
        <v>4398</v>
      </c>
      <c r="C67" t="str">
        <f>findKey(supplementary_offering_offeringid__4[[#This Row],[Value.legacyid]])</f>
        <v>100002-58</v>
      </c>
      <c r="D67" t="s">
        <v>5807</v>
      </c>
      <c r="E67" t="s">
        <v>2329</v>
      </c>
      <c r="H67" s="61"/>
      <c r="J67" t="str">
        <f>ToJsonArray(supplementary_offering_offeringid__4[[#Headers],[legacyid]:[activityId]],supplementary_offering_offeringid__4[[#This Row],[legacyid]:[activityId]])</f>
        <v>{"legacyid":"100002-58","name":"Voz-TD-50m","mode":"N"}</v>
      </c>
      <c r="K67" t="str">
        <f>ToJsonArray(supplementary_offering_offeringid__4[[#This Row],[produccion]],supplementary_offering_offeringid__4[[#This Row],[json]])</f>
        <v>{"910000258":{"legacyid":"100002-58","name":"Voz-TD-50m","mode":"N"}}</v>
      </c>
    </row>
    <row r="68" spans="1:11" x14ac:dyDescent="0.25">
      <c r="A68" s="61" t="s">
        <v>4402</v>
      </c>
      <c r="B68" t="s">
        <v>4401</v>
      </c>
      <c r="C68" t="str">
        <f>findKey(supplementary_offering_offeringid__4[[#This Row],[Value.legacyid]])</f>
        <v>100002-59</v>
      </c>
      <c r="D68" t="s">
        <v>5791</v>
      </c>
      <c r="E68" t="s">
        <v>2329</v>
      </c>
      <c r="H68" s="61"/>
      <c r="J68" t="str">
        <f>ToJsonArray(supplementary_offering_offeringid__4[[#Headers],[legacyid]:[activityId]],supplementary_offering_offeringid__4[[#This Row],[legacyid]:[activityId]])</f>
        <v>{"legacyid":"100002-59","name":"Voz-TD-100m","mode":"N"}</v>
      </c>
      <c r="K68" t="str">
        <f>ToJsonArray(supplementary_offering_offeringid__4[[#This Row],[produccion]],supplementary_offering_offeringid__4[[#This Row],[json]])</f>
        <v>{"910000259":{"legacyid":"100002-59","name":"Voz-TD-100m","mode":"N"}}</v>
      </c>
    </row>
    <row r="69" spans="1:11" x14ac:dyDescent="0.25">
      <c r="A69" s="61" t="s">
        <v>4405</v>
      </c>
      <c r="B69" t="s">
        <v>4404</v>
      </c>
      <c r="C69" t="str">
        <f>findKey(supplementary_offering_offeringid__4[[#This Row],[Value.legacyid]])</f>
        <v>100002-61</v>
      </c>
      <c r="D69" t="s">
        <v>5808</v>
      </c>
      <c r="E69" t="s">
        <v>2329</v>
      </c>
      <c r="H69" s="61"/>
      <c r="J69" t="str">
        <f>ToJsonArray(supplementary_offering_offeringid__4[[#Headers],[legacyid]:[activityId]],supplementary_offering_offeringid__4[[#This Row],[legacyid]:[activityId]])</f>
        <v>{"legacyid":"100002-61","name":"Voz-TD-Ilimitado","mode":"N"}</v>
      </c>
      <c r="K69" t="str">
        <f>ToJsonArray(supplementary_offering_offeringid__4[[#This Row],[produccion]],supplementary_offering_offeringid__4[[#This Row],[json]])</f>
        <v>{"910000261":{"legacyid":"100002-61","name":"Voz-TD-Ilimitado","mode":"N"}}</v>
      </c>
    </row>
    <row r="70" spans="1:11" x14ac:dyDescent="0.25">
      <c r="A70" s="61" t="s">
        <v>4408</v>
      </c>
      <c r="B70" t="s">
        <v>4407</v>
      </c>
      <c r="C70" t="str">
        <f>findKey(supplementary_offering_offeringid__4[[#This Row],[Value.legacyid]])</f>
        <v>100002-66</v>
      </c>
      <c r="D70" t="s">
        <v>5809</v>
      </c>
      <c r="E70" t="s">
        <v>2329</v>
      </c>
      <c r="H70" s="61"/>
      <c r="J70" t="str">
        <f>ToJsonArray(supplementary_offering_offeringid__4[[#Headers],[legacyid]:[activityId]],supplementary_offering_offeringid__4[[#This Row],[legacyid]:[activityId]])</f>
        <v>{"legacyid":"100002-66","name":"Voz-TD-30000s","mode":"N"}</v>
      </c>
      <c r="K70" t="str">
        <f>ToJsonArray(supplementary_offering_offeringid__4[[#This Row],[produccion]],supplementary_offering_offeringid__4[[#This Row],[json]])</f>
        <v>{"910000266":{"legacyid":"100002-66","name":"Voz-TD-30000s","mode":"N"}}</v>
      </c>
    </row>
    <row r="71" spans="1:11" x14ac:dyDescent="0.25">
      <c r="A71" s="61" t="s">
        <v>2388</v>
      </c>
      <c r="B71" t="s">
        <v>2387</v>
      </c>
      <c r="C71" t="str">
        <f>findKey(supplementary_offering_offeringid__4[[#This Row],[Value.legacyid]])</f>
        <v>100002-67</v>
      </c>
      <c r="D71" t="s">
        <v>5810</v>
      </c>
      <c r="E71" t="s">
        <v>2329</v>
      </c>
      <c r="H71" s="61"/>
      <c r="J71" t="str">
        <f>ToJsonArray(supplementary_offering_offeringid__4[[#Headers],[legacyid]:[activityId]],supplementary_offering_offeringid__4[[#This Row],[legacyid]:[activityId]])</f>
        <v>{"legacyid":"100002-67","name":"Voz-TD-12000s","mode":"N"}</v>
      </c>
      <c r="K71" t="str">
        <f>ToJsonArray(supplementary_offering_offeringid__4[[#This Row],[produccion]],supplementary_offering_offeringid__4[[#This Row],[json]])</f>
        <v>{"910000267":{"legacyid":"100002-67","name":"Voz-TD-12000s","mode":"N"}}</v>
      </c>
    </row>
    <row r="72" spans="1:11" x14ac:dyDescent="0.25">
      <c r="A72" s="61" t="s">
        <v>2391</v>
      </c>
      <c r="B72" t="s">
        <v>2390</v>
      </c>
      <c r="C72" t="str">
        <f>findKey(supplementary_offering_offeringid__4[[#This Row],[Value.legacyid]])</f>
        <v>100002-80</v>
      </c>
      <c r="D72" t="s">
        <v>5808</v>
      </c>
      <c r="E72" t="s">
        <v>2329</v>
      </c>
      <c r="H72" s="61"/>
      <c r="J72" t="str">
        <f>ToJsonArray(supplementary_offering_offeringid__4[[#Headers],[legacyid]:[activityId]],supplementary_offering_offeringid__4[[#This Row],[legacyid]:[activityId]])</f>
        <v>{"legacyid":"100002-80","name":"Voz-TD-Ilimitado","mode":"N"}</v>
      </c>
      <c r="K72" t="str">
        <f>ToJsonArray(supplementary_offering_offeringid__4[[#This Row],[produccion]],supplementary_offering_offeringid__4[[#This Row],[json]])</f>
        <v>{"910000280":{"legacyid":"100002-80","name":"Voz-TD-Ilimitado","mode":"N"}}</v>
      </c>
    </row>
    <row r="73" spans="1:11" x14ac:dyDescent="0.25">
      <c r="A73" s="61" t="s">
        <v>2394</v>
      </c>
      <c r="B73" t="s">
        <v>2393</v>
      </c>
      <c r="C73" t="str">
        <f>findKey(supplementary_offering_offeringid__4[[#This Row],[Value.legacyid]])</f>
        <v>100002-86</v>
      </c>
      <c r="D73" t="s">
        <v>5811</v>
      </c>
      <c r="E73" t="s">
        <v>2329</v>
      </c>
      <c r="H73" s="61"/>
      <c r="J73" t="str">
        <f>ToJsonArray(supplementary_offering_offeringid__4[[#Headers],[legacyid]:[activityId]],supplementary_offering_offeringid__4[[#This Row],[legacyid]:[activityId]])</f>
        <v>{"legacyid":"100002-86","name":"Voz-TD-24000s","mode":"N"}</v>
      </c>
      <c r="K73" t="str">
        <f>ToJsonArray(supplementary_offering_offeringid__4[[#This Row],[produccion]],supplementary_offering_offeringid__4[[#This Row],[json]])</f>
        <v>{"910000286":{"legacyid":"100002-86","name":"Voz-TD-24000s","mode":"N"}}</v>
      </c>
    </row>
    <row r="74" spans="1:11" x14ac:dyDescent="0.25">
      <c r="A74" s="61" t="s">
        <v>2397</v>
      </c>
      <c r="B74" t="s">
        <v>2396</v>
      </c>
      <c r="C74" t="str">
        <f>findKey(supplementary_offering_offeringid__4[[#This Row],[Value.legacyid]])</f>
        <v>100002-87</v>
      </c>
      <c r="D74" t="s">
        <v>5812</v>
      </c>
      <c r="E74" t="s">
        <v>2329</v>
      </c>
      <c r="H74" s="61"/>
      <c r="J74" t="str">
        <f>ToJsonArray(supplementary_offering_offeringid__4[[#Headers],[legacyid]:[activityId]],supplementary_offering_offeringid__4[[#This Row],[legacyid]:[activityId]])</f>
        <v>{"legacyid":"100002-87","name":"Voz-TD-54000s","mode":"N"}</v>
      </c>
      <c r="K74" t="str">
        <f>ToJsonArray(supplementary_offering_offeringid__4[[#This Row],[produccion]],supplementary_offering_offeringid__4[[#This Row],[json]])</f>
        <v>{"910000287":{"legacyid":"100002-87","name":"Voz-TD-54000s","mode":"N"}}</v>
      </c>
    </row>
    <row r="75" spans="1:11" x14ac:dyDescent="0.25">
      <c r="A75" s="61" t="s">
        <v>2400</v>
      </c>
      <c r="B75" t="s">
        <v>2399</v>
      </c>
      <c r="C75" t="str">
        <f>findKey(supplementary_offering_offeringid__4[[#This Row],[Value.legacyid]])</f>
        <v>100002-88</v>
      </c>
      <c r="D75" t="s">
        <v>5813</v>
      </c>
      <c r="E75" t="s">
        <v>2329</v>
      </c>
      <c r="H75" s="61"/>
      <c r="J75" t="str">
        <f>ToJsonArray(supplementary_offering_offeringid__4[[#Headers],[legacyid]:[activityId]],supplementary_offering_offeringid__4[[#This Row],[legacyid]:[activityId]])</f>
        <v>{"legacyid":"100002-88","name":"Voz-TD-2678400s","mode":"N"}</v>
      </c>
      <c r="K75" t="str">
        <f>ToJsonArray(supplementary_offering_offeringid__4[[#This Row],[produccion]],supplementary_offering_offeringid__4[[#This Row],[json]])</f>
        <v>{"910000288":{"legacyid":"100002-88","name":"Voz-TD-2678400s","mode":"N"}}</v>
      </c>
    </row>
    <row r="76" spans="1:11" x14ac:dyDescent="0.25">
      <c r="A76" s="61" t="s">
        <v>2403</v>
      </c>
      <c r="B76" t="s">
        <v>2402</v>
      </c>
      <c r="C76" t="str">
        <f>findKey(supplementary_offering_offeringid__4[[#This Row],[Value.legacyid]])</f>
        <v>100002-89</v>
      </c>
      <c r="D76" t="s">
        <v>5813</v>
      </c>
      <c r="E76" t="s">
        <v>2329</v>
      </c>
      <c r="H76" s="61"/>
      <c r="J76" t="str">
        <f>ToJsonArray(supplementary_offering_offeringid__4[[#Headers],[legacyid]:[activityId]],supplementary_offering_offeringid__4[[#This Row],[legacyid]:[activityId]])</f>
        <v>{"legacyid":"100002-89","name":"Voz-TD-2678400s","mode":"N"}</v>
      </c>
      <c r="K76" t="str">
        <f>ToJsonArray(supplementary_offering_offeringid__4[[#This Row],[produccion]],supplementary_offering_offeringid__4[[#This Row],[json]])</f>
        <v>{"910000289":{"legacyid":"100002-89","name":"Voz-TD-2678400s","mode":"N"}}</v>
      </c>
    </row>
    <row r="77" spans="1:11" x14ac:dyDescent="0.25">
      <c r="A77" s="61" t="s">
        <v>2406</v>
      </c>
      <c r="B77" t="s">
        <v>2405</v>
      </c>
      <c r="C77" t="str">
        <f>findKey(supplementary_offering_offeringid__4[[#This Row],[Value.legacyid]])</f>
        <v>100002-90</v>
      </c>
      <c r="D77" t="s">
        <v>5813</v>
      </c>
      <c r="E77" t="s">
        <v>2329</v>
      </c>
      <c r="H77" s="61"/>
      <c r="J77" t="str">
        <f>ToJsonArray(supplementary_offering_offeringid__4[[#Headers],[legacyid]:[activityId]],supplementary_offering_offeringid__4[[#This Row],[legacyid]:[activityId]])</f>
        <v>{"legacyid":"100002-90","name":"Voz-TD-2678400s","mode":"N"}</v>
      </c>
      <c r="K77" t="str">
        <f>ToJsonArray(supplementary_offering_offeringid__4[[#This Row],[produccion]],supplementary_offering_offeringid__4[[#This Row],[json]])</f>
        <v>{"910000290":{"legacyid":"100002-90","name":"Voz-TD-2678400s","mode":"N"}}</v>
      </c>
    </row>
    <row r="78" spans="1:11" x14ac:dyDescent="0.25">
      <c r="A78" s="61" t="s">
        <v>2409</v>
      </c>
      <c r="B78" t="s">
        <v>2408</v>
      </c>
      <c r="C78" t="str">
        <f>findKey(supplementary_offering_offeringid__4[[#This Row],[Value.legacyid]])</f>
        <v>100002-91</v>
      </c>
      <c r="D78" t="s">
        <v>5814</v>
      </c>
      <c r="E78" t="s">
        <v>2329</v>
      </c>
      <c r="H78" s="61"/>
      <c r="J78" t="str">
        <f>ToJsonArray(supplementary_offering_offeringid__4[[#Headers],[legacyid]:[activityId]],supplementary_offering_offeringid__4[[#This Row],[legacyid]:[activityId]])</f>
        <v>{"legacyid":"100002-91","name":"Voz-TD-27000s","mode":"N"}</v>
      </c>
      <c r="K78" t="str">
        <f>ToJsonArray(supplementary_offering_offeringid__4[[#This Row],[produccion]],supplementary_offering_offeringid__4[[#This Row],[json]])</f>
        <v>{"910000291":{"legacyid":"100002-91","name":"Voz-TD-27000s","mode":"N"}}</v>
      </c>
    </row>
    <row r="79" spans="1:11" x14ac:dyDescent="0.25">
      <c r="A79" s="61" t="s">
        <v>2412</v>
      </c>
      <c r="B79" t="s">
        <v>2411</v>
      </c>
      <c r="C79" t="str">
        <f>findKey(supplementary_offering_offeringid__4[[#This Row],[Value.legacyid]])</f>
        <v>100002-92</v>
      </c>
      <c r="D79" t="s">
        <v>5815</v>
      </c>
      <c r="E79" t="s">
        <v>2329</v>
      </c>
      <c r="H79" s="61"/>
      <c r="J79" t="str">
        <f>ToJsonArray(supplementary_offering_offeringid__4[[#Headers],[legacyid]:[activityId]],supplementary_offering_offeringid__4[[#This Row],[legacyid]:[activityId]])</f>
        <v>{"legacyid":"100002-92","name":"Voz-TD-36000s","mode":"N"}</v>
      </c>
      <c r="K79" t="str">
        <f>ToJsonArray(supplementary_offering_offeringid__4[[#This Row],[produccion]],supplementary_offering_offeringid__4[[#This Row],[json]])</f>
        <v>{"910000292":{"legacyid":"100002-92","name":"Voz-TD-36000s","mode":"N"}}</v>
      </c>
    </row>
    <row r="80" spans="1:11" x14ac:dyDescent="0.25">
      <c r="A80" s="61" t="s">
        <v>2415</v>
      </c>
      <c r="B80" t="s">
        <v>2414</v>
      </c>
      <c r="C80" t="str">
        <f>findKey(supplementary_offering_offeringid__4[[#This Row],[Value.legacyid]])</f>
        <v>100002-93</v>
      </c>
      <c r="D80" t="s">
        <v>5816</v>
      </c>
      <c r="E80" t="s">
        <v>2329</v>
      </c>
      <c r="H80" s="61"/>
      <c r="J80" t="str">
        <f>ToJsonArray(supplementary_offering_offeringid__4[[#Headers],[legacyid]:[activityId]],supplementary_offering_offeringid__4[[#This Row],[legacyid]:[activityId]])</f>
        <v>{"legacyid":"100002-93","name":"Voz-TD-60000s","mode":"N"}</v>
      </c>
      <c r="K80" t="str">
        <f>ToJsonArray(supplementary_offering_offeringid__4[[#This Row],[produccion]],supplementary_offering_offeringid__4[[#This Row],[json]])</f>
        <v>{"910000293":{"legacyid":"100002-93","name":"Voz-TD-60000s","mode":"N"}}</v>
      </c>
    </row>
    <row r="81" spans="1:11" x14ac:dyDescent="0.25">
      <c r="A81" s="61" t="s">
        <v>2418</v>
      </c>
      <c r="B81" t="s">
        <v>2417</v>
      </c>
      <c r="C81" t="str">
        <f>findKey(supplementary_offering_offeringid__4[[#This Row],[Value.legacyid]])</f>
        <v>100002-94</v>
      </c>
      <c r="D81" t="s">
        <v>5817</v>
      </c>
      <c r="E81" t="s">
        <v>2329</v>
      </c>
      <c r="H81" s="61"/>
      <c r="J81" t="str">
        <f>ToJsonArray(supplementary_offering_offeringid__4[[#Headers],[legacyid]:[activityId]],supplementary_offering_offeringid__4[[#This Row],[legacyid]:[activityId]])</f>
        <v>{"legacyid":"100002-94","name":"Voz-TD-78000s","mode":"N"}</v>
      </c>
      <c r="K81" t="str">
        <f>ToJsonArray(supplementary_offering_offeringid__4[[#This Row],[produccion]],supplementary_offering_offeringid__4[[#This Row],[json]])</f>
        <v>{"910000294":{"legacyid":"100002-94","name":"Voz-TD-78000s","mode":"N"}}</v>
      </c>
    </row>
    <row r="82" spans="1:11" x14ac:dyDescent="0.25">
      <c r="A82" s="61" t="s">
        <v>2421</v>
      </c>
      <c r="B82" t="s">
        <v>2420</v>
      </c>
      <c r="C82" t="str">
        <f>findKey(supplementary_offering_offeringid__4[[#This Row],[Value.legacyid]])</f>
        <v>100002-95</v>
      </c>
      <c r="D82" t="s">
        <v>5818</v>
      </c>
      <c r="E82" t="s">
        <v>2329</v>
      </c>
      <c r="H82" s="61"/>
      <c r="J82" t="str">
        <f>ToJsonArray(supplementary_offering_offeringid__4[[#Headers],[legacyid]:[activityId]],supplementary_offering_offeringid__4[[#This Row],[legacyid]:[activityId]])</f>
        <v>{"legacyid":"100002-95","name":"Voz-TD-98000s","mode":"N"}</v>
      </c>
      <c r="K82" t="str">
        <f>ToJsonArray(supplementary_offering_offeringid__4[[#This Row],[produccion]],supplementary_offering_offeringid__4[[#This Row],[json]])</f>
        <v>{"910000295":{"legacyid":"100002-95","name":"Voz-TD-98000s","mode":"N"}}</v>
      </c>
    </row>
    <row r="83" spans="1:11" x14ac:dyDescent="0.25">
      <c r="A83" s="61" t="s">
        <v>2424</v>
      </c>
      <c r="B83" t="s">
        <v>2423</v>
      </c>
      <c r="C83" t="str">
        <f>findKey(supplementary_offering_offeringid__4[[#This Row],[Value.legacyid]])</f>
        <v>100002-96</v>
      </c>
      <c r="D83" t="s">
        <v>5819</v>
      </c>
      <c r="E83" t="s">
        <v>2329</v>
      </c>
      <c r="H83" s="61"/>
      <c r="J83" t="str">
        <f>ToJsonArray(supplementary_offering_offeringid__4[[#Headers],[legacyid]:[activityId]],supplementary_offering_offeringid__4[[#This Row],[legacyid]:[activityId]])</f>
        <v>{"legacyid":"100002-96","name":"Voz-TD-114000s","mode":"N"}</v>
      </c>
      <c r="K83" t="str">
        <f>ToJsonArray(supplementary_offering_offeringid__4[[#This Row],[produccion]],supplementary_offering_offeringid__4[[#This Row],[json]])</f>
        <v>{"910000296":{"legacyid":"100002-96","name":"Voz-TD-114000s","mode":"N"}}</v>
      </c>
    </row>
    <row r="84" spans="1:11" x14ac:dyDescent="0.25">
      <c r="A84" s="61" t="s">
        <v>2427</v>
      </c>
      <c r="B84" t="s">
        <v>2426</v>
      </c>
      <c r="C84" t="str">
        <f>findKey(supplementary_offering_offeringid__4[[#This Row],[Value.legacyid]])</f>
        <v>100002-97</v>
      </c>
      <c r="D84" t="s">
        <v>5820</v>
      </c>
      <c r="E84" t="s">
        <v>2329</v>
      </c>
      <c r="H84" s="61"/>
      <c r="J84" t="str">
        <f>ToJsonArray(supplementary_offering_offeringid__4[[#Headers],[legacyid]:[activityId]],supplementary_offering_offeringid__4[[#This Row],[legacyid]:[activityId]])</f>
        <v>{"legacyid":"100002-97","name":"Voz-TD-132000s","mode":"N"}</v>
      </c>
      <c r="K84" t="str">
        <f>ToJsonArray(supplementary_offering_offeringid__4[[#This Row],[produccion]],supplementary_offering_offeringid__4[[#This Row],[json]])</f>
        <v>{"910000297":{"legacyid":"100002-97","name":"Voz-TD-132000s","mode":"N"}}</v>
      </c>
    </row>
    <row r="85" spans="1:11" x14ac:dyDescent="0.25">
      <c r="A85" s="61" t="s">
        <v>2430</v>
      </c>
      <c r="B85" t="s">
        <v>2429</v>
      </c>
      <c r="C85" t="str">
        <f>findKey(supplementary_offering_offeringid__4[[#This Row],[Value.legacyid]])</f>
        <v>100002-98</v>
      </c>
      <c r="D85" t="s">
        <v>5821</v>
      </c>
      <c r="E85" t="s">
        <v>2329</v>
      </c>
      <c r="H85" s="61"/>
      <c r="J85" t="str">
        <f>ToJsonArray(supplementary_offering_offeringid__4[[#Headers],[legacyid]:[activityId]],supplementary_offering_offeringid__4[[#This Row],[legacyid]:[activityId]])</f>
        <v>{"legacyid":"100002-98","name":"Voz-TD-150000s","mode":"N"}</v>
      </c>
      <c r="K85" t="str">
        <f>ToJsonArray(supplementary_offering_offeringid__4[[#This Row],[produccion]],supplementary_offering_offeringid__4[[#This Row],[json]])</f>
        <v>{"910000298":{"legacyid":"100002-98","name":"Voz-TD-150000s","mode":"N"}}</v>
      </c>
    </row>
    <row r="86" spans="1:11" x14ac:dyDescent="0.25">
      <c r="A86" s="61" t="s">
        <v>2433</v>
      </c>
      <c r="B86" t="s">
        <v>2432</v>
      </c>
      <c r="C86" t="str">
        <f>findKey(supplementary_offering_offeringid__4[[#This Row],[Value.legacyid]])</f>
        <v>100002-99</v>
      </c>
      <c r="D86" t="s">
        <v>5813</v>
      </c>
      <c r="E86" t="s">
        <v>2329</v>
      </c>
      <c r="H86" s="61"/>
      <c r="J86" t="str">
        <f>ToJsonArray(supplementary_offering_offeringid__4[[#Headers],[legacyid]:[activityId]],supplementary_offering_offeringid__4[[#This Row],[legacyid]:[activityId]])</f>
        <v>{"legacyid":"100002-99","name":"Voz-TD-2678400s","mode":"N"}</v>
      </c>
      <c r="K86" t="str">
        <f>ToJsonArray(supplementary_offering_offeringid__4[[#This Row],[produccion]],supplementary_offering_offeringid__4[[#This Row],[json]])</f>
        <v>{"910000299":{"legacyid":"100002-99","name":"Voz-TD-2678400s","mode":"N"}}</v>
      </c>
    </row>
    <row r="87" spans="1:11" x14ac:dyDescent="0.25">
      <c r="A87" s="61" t="s">
        <v>2436</v>
      </c>
      <c r="B87" t="s">
        <v>2435</v>
      </c>
      <c r="C87" t="str">
        <f>findKey(supplementary_offering_offeringid__4[[#This Row],[Value.legacyid]])</f>
        <v>100012-01</v>
      </c>
      <c r="D87" t="s">
        <v>5822</v>
      </c>
      <c r="E87" t="s">
        <v>2329</v>
      </c>
      <c r="H87" s="61"/>
      <c r="J87" t="str">
        <f>ToJsonArray(supplementary_offering_offeringid__4[[#Headers],[legacyid]:[activityId]],supplementary_offering_offeringid__4[[#This Row],[legacyid]:[activityId]])</f>
        <v>{"legacyid":"100012-01","name":"Voz-TD-168000s","mode":"N"}</v>
      </c>
      <c r="K87" t="str">
        <f>ToJsonArray(supplementary_offering_offeringid__4[[#This Row],[produccion]],supplementary_offering_offeringid__4[[#This Row],[json]])</f>
        <v>{"910001201":{"legacyid":"100012-01","name":"Voz-TD-168000s","mode":"N"}}</v>
      </c>
    </row>
    <row r="88" spans="1:11" x14ac:dyDescent="0.25">
      <c r="A88" s="61" t="s">
        <v>2439</v>
      </c>
      <c r="B88" t="s">
        <v>2438</v>
      </c>
      <c r="C88" t="str">
        <f>findKey(supplementary_offering_offeringid__4[[#This Row],[Value.legacyid]])</f>
        <v>100012-02</v>
      </c>
      <c r="D88" t="s">
        <v>5823</v>
      </c>
      <c r="E88" t="s">
        <v>2329</v>
      </c>
      <c r="H88" s="61"/>
      <c r="J88" t="str">
        <f>ToJsonArray(supplementary_offering_offeringid__4[[#Headers],[legacyid]:[activityId]],supplementary_offering_offeringid__4[[#This Row],[legacyid]:[activityId]])</f>
        <v>{"legacyid":"100012-02","name":"Voz-TD-186000s","mode":"N"}</v>
      </c>
      <c r="K88" t="str">
        <f>ToJsonArray(supplementary_offering_offeringid__4[[#This Row],[produccion]],supplementary_offering_offeringid__4[[#This Row],[json]])</f>
        <v>{"910001202":{"legacyid":"100012-02","name":"Voz-TD-186000s","mode":"N"}}</v>
      </c>
    </row>
    <row r="89" spans="1:11" x14ac:dyDescent="0.25">
      <c r="A89" s="61" t="s">
        <v>2442</v>
      </c>
      <c r="B89" t="s">
        <v>2441</v>
      </c>
      <c r="C89" t="str">
        <f>findKey(supplementary_offering_offeringid__4[[#This Row],[Value.legacyid]])</f>
        <v>100012-07</v>
      </c>
      <c r="D89" t="s">
        <v>5813</v>
      </c>
      <c r="E89" t="s">
        <v>2329</v>
      </c>
      <c r="H89" s="61"/>
      <c r="J89" t="str">
        <f>ToJsonArray(supplementary_offering_offeringid__4[[#Headers],[legacyid]:[activityId]],supplementary_offering_offeringid__4[[#This Row],[legacyid]:[activityId]])</f>
        <v>{"legacyid":"100012-07","name":"Voz-TD-2678400s","mode":"N"}</v>
      </c>
      <c r="K89" t="str">
        <f>ToJsonArray(supplementary_offering_offeringid__4[[#This Row],[produccion]],supplementary_offering_offeringid__4[[#This Row],[json]])</f>
        <v>{"910001207":{"legacyid":"100012-07","name":"Voz-TD-2678400s","mode":"N"}}</v>
      </c>
    </row>
    <row r="90" spans="1:11" x14ac:dyDescent="0.25">
      <c r="A90" s="61" t="s">
        <v>2445</v>
      </c>
      <c r="B90" t="s">
        <v>2444</v>
      </c>
      <c r="C90" t="str">
        <f>findKey(supplementary_offering_offeringid__4[[#This Row],[Value.legacyid]])</f>
        <v>100012-08</v>
      </c>
      <c r="D90" t="s">
        <v>5808</v>
      </c>
      <c r="E90" t="s">
        <v>2329</v>
      </c>
      <c r="H90" s="61"/>
      <c r="J90" t="str">
        <f>ToJsonArray(supplementary_offering_offeringid__4[[#Headers],[legacyid]:[activityId]],supplementary_offering_offeringid__4[[#This Row],[legacyid]:[activityId]])</f>
        <v>{"legacyid":"100012-08","name":"Voz-TD-Ilimitado","mode":"N"}</v>
      </c>
      <c r="K90" t="str">
        <f>ToJsonArray(supplementary_offering_offeringid__4[[#This Row],[produccion]],supplementary_offering_offeringid__4[[#This Row],[json]])</f>
        <v>{"910001208":{"legacyid":"100012-08","name":"Voz-TD-Ilimitado","mode":"N"}}</v>
      </c>
    </row>
    <row r="91" spans="1:11" x14ac:dyDescent="0.25">
      <c r="A91" s="61" t="s">
        <v>2448</v>
      </c>
      <c r="B91" t="s">
        <v>2447</v>
      </c>
      <c r="C91" t="str">
        <f>findKey(supplementary_offering_offeringid__4[[#This Row],[Value.legacyid]])</f>
        <v>100012-10</v>
      </c>
      <c r="D91" t="s">
        <v>5824</v>
      </c>
      <c r="E91" t="s">
        <v>2329</v>
      </c>
      <c r="H91" s="61"/>
      <c r="J91" t="str">
        <f>ToJsonArray(supplementary_offering_offeringid__4[[#Headers],[legacyid]:[activityId]],supplementary_offering_offeringid__4[[#This Row],[legacyid]:[activityId]])</f>
        <v>{"legacyid":"100012-10","name":"Voz-TD-15000s","mode":"N"}</v>
      </c>
      <c r="K91" t="str">
        <f>ToJsonArray(supplementary_offering_offeringid__4[[#This Row],[produccion]],supplementary_offering_offeringid__4[[#This Row],[json]])</f>
        <v>{"910001210":{"legacyid":"100012-10","name":"Voz-TD-15000s","mode":"N"}}</v>
      </c>
    </row>
    <row r="92" spans="1:11" x14ac:dyDescent="0.25">
      <c r="A92" s="61" t="s">
        <v>2451</v>
      </c>
      <c r="B92" t="s">
        <v>2450</v>
      </c>
      <c r="C92" t="str">
        <f>findKey(supplementary_offering_offeringid__4[[#This Row],[Value.legacyid]])</f>
        <v>100012-11</v>
      </c>
      <c r="D92" t="s">
        <v>5811</v>
      </c>
      <c r="E92" t="s">
        <v>2329</v>
      </c>
      <c r="H92" s="61"/>
      <c r="J92" t="str">
        <f>ToJsonArray(supplementary_offering_offeringid__4[[#Headers],[legacyid]:[activityId]],supplementary_offering_offeringid__4[[#This Row],[legacyid]:[activityId]])</f>
        <v>{"legacyid":"100012-11","name":"Voz-TD-24000s","mode":"N"}</v>
      </c>
      <c r="K92" t="str">
        <f>ToJsonArray(supplementary_offering_offeringid__4[[#This Row],[produccion]],supplementary_offering_offeringid__4[[#This Row],[json]])</f>
        <v>{"910001211":{"legacyid":"100012-11","name":"Voz-TD-24000s","mode":"N"}}</v>
      </c>
    </row>
    <row r="93" spans="1:11" x14ac:dyDescent="0.25">
      <c r="A93" s="61" t="s">
        <v>2454</v>
      </c>
      <c r="B93" t="s">
        <v>2453</v>
      </c>
      <c r="C93" t="str">
        <f>findKey(supplementary_offering_offeringid__4[[#This Row],[Value.legacyid]])</f>
        <v>100012-12</v>
      </c>
      <c r="D93" t="s">
        <v>5815</v>
      </c>
      <c r="E93" t="s">
        <v>2329</v>
      </c>
      <c r="H93" s="61"/>
      <c r="J93" t="str">
        <f>ToJsonArray(supplementary_offering_offeringid__4[[#Headers],[legacyid]:[activityId]],supplementary_offering_offeringid__4[[#This Row],[legacyid]:[activityId]])</f>
        <v>{"legacyid":"100012-12","name":"Voz-TD-36000s","mode":"N"}</v>
      </c>
      <c r="K93" t="str">
        <f>ToJsonArray(supplementary_offering_offeringid__4[[#This Row],[produccion]],supplementary_offering_offeringid__4[[#This Row],[json]])</f>
        <v>{"910001212":{"legacyid":"100012-12","name":"Voz-TD-36000s","mode":"N"}}</v>
      </c>
    </row>
    <row r="94" spans="1:11" x14ac:dyDescent="0.25">
      <c r="A94" s="61" t="s">
        <v>2457</v>
      </c>
      <c r="B94" t="s">
        <v>2456</v>
      </c>
      <c r="C94" t="str">
        <f>findKey(supplementary_offering_offeringid__4[[#This Row],[Value.legacyid]])</f>
        <v>100012-13</v>
      </c>
      <c r="D94" t="s">
        <v>5812</v>
      </c>
      <c r="E94" t="s">
        <v>2329</v>
      </c>
      <c r="H94" s="61"/>
      <c r="J94" t="str">
        <f>ToJsonArray(supplementary_offering_offeringid__4[[#Headers],[legacyid]:[activityId]],supplementary_offering_offeringid__4[[#This Row],[legacyid]:[activityId]])</f>
        <v>{"legacyid":"100012-13","name":"Voz-TD-54000s","mode":"N"}</v>
      </c>
      <c r="K94" t="str">
        <f>ToJsonArray(supplementary_offering_offeringid__4[[#This Row],[produccion]],supplementary_offering_offeringid__4[[#This Row],[json]])</f>
        <v>{"910001213":{"legacyid":"100012-13","name":"Voz-TD-54000s","mode":"N"}}</v>
      </c>
    </row>
    <row r="95" spans="1:11" x14ac:dyDescent="0.25">
      <c r="A95" s="61" t="s">
        <v>2460</v>
      </c>
      <c r="B95" t="s">
        <v>2459</v>
      </c>
      <c r="C95" t="str">
        <f>findKey(supplementary_offering_offeringid__4[[#This Row],[Value.legacyid]])</f>
        <v>100012-14</v>
      </c>
      <c r="D95" t="s">
        <v>5825</v>
      </c>
      <c r="E95" t="s">
        <v>2329</v>
      </c>
      <c r="H95" s="61"/>
      <c r="J95" t="str">
        <f>ToJsonArray(supplementary_offering_offeringid__4[[#Headers],[legacyid]:[activityId]],supplementary_offering_offeringid__4[[#This Row],[legacyid]:[activityId]])</f>
        <v>{"legacyid":"100012-14","name":"Voz-TD-84000s","mode":"N"}</v>
      </c>
      <c r="K95" t="str">
        <f>ToJsonArray(supplementary_offering_offeringid__4[[#This Row],[produccion]],supplementary_offering_offeringid__4[[#This Row],[json]])</f>
        <v>{"910001214":{"legacyid":"100012-14","name":"Voz-TD-84000s","mode":"N"}}</v>
      </c>
    </row>
    <row r="96" spans="1:11" x14ac:dyDescent="0.25">
      <c r="A96" s="61" t="s">
        <v>2463</v>
      </c>
      <c r="B96" t="s">
        <v>2462</v>
      </c>
      <c r="C96" t="str">
        <f>findKey(supplementary_offering_offeringid__4[[#This Row],[Value.legacyid]])</f>
        <v>100012-15</v>
      </c>
      <c r="D96" t="s">
        <v>5813</v>
      </c>
      <c r="E96" t="s">
        <v>2329</v>
      </c>
      <c r="H96" s="61"/>
      <c r="J96" t="str">
        <f>ToJsonArray(supplementary_offering_offeringid__4[[#Headers],[legacyid]:[activityId]],supplementary_offering_offeringid__4[[#This Row],[legacyid]:[activityId]])</f>
        <v>{"legacyid":"100012-15","name":"Voz-TD-2678400s","mode":"N"}</v>
      </c>
      <c r="K96" t="str">
        <f>ToJsonArray(supplementary_offering_offeringid__4[[#This Row],[produccion]],supplementary_offering_offeringid__4[[#This Row],[json]])</f>
        <v>{"910001215":{"legacyid":"100012-15","name":"Voz-TD-2678400s","mode":"N"}}</v>
      </c>
    </row>
    <row r="97" spans="1:11" x14ac:dyDescent="0.25">
      <c r="A97" s="61" t="s">
        <v>2466</v>
      </c>
      <c r="B97" t="s">
        <v>2465</v>
      </c>
      <c r="C97" t="str">
        <f>findKey(supplementary_offering_offeringid__4[[#This Row],[Value.legacyid]])</f>
        <v>100012-16</v>
      </c>
      <c r="D97" t="s">
        <v>5826</v>
      </c>
      <c r="E97" t="s">
        <v>2329</v>
      </c>
      <c r="H97" s="61"/>
      <c r="J97" t="str">
        <f>ToJsonArray(supplementary_offering_offeringid__4[[#Headers],[legacyid]:[activityId]],supplementary_offering_offeringid__4[[#This Row],[legacyid]:[activityId]])</f>
        <v>{"legacyid":"100012-16","name":"Voz-TD-21000s","mode":"N"}</v>
      </c>
      <c r="K97" t="str">
        <f>ToJsonArray(supplementary_offering_offeringid__4[[#This Row],[produccion]],supplementary_offering_offeringid__4[[#This Row],[json]])</f>
        <v>{"910001216":{"legacyid":"100012-16","name":"Voz-TD-21000s","mode":"N"}}</v>
      </c>
    </row>
    <row r="98" spans="1:11" x14ac:dyDescent="0.25">
      <c r="A98" s="61" t="s">
        <v>2469</v>
      </c>
      <c r="B98" t="s">
        <v>2468</v>
      </c>
      <c r="C98" t="str">
        <f>findKey(supplementary_offering_offeringid__4[[#This Row],[Value.legacyid]])</f>
        <v>100012-17</v>
      </c>
      <c r="D98" t="s">
        <v>5809</v>
      </c>
      <c r="E98" t="s">
        <v>2329</v>
      </c>
      <c r="H98" s="61"/>
      <c r="J98" t="str">
        <f>ToJsonArray(supplementary_offering_offeringid__4[[#Headers],[legacyid]:[activityId]],supplementary_offering_offeringid__4[[#This Row],[legacyid]:[activityId]])</f>
        <v>{"legacyid":"100012-17","name":"Voz-TD-30000s","mode":"N"}</v>
      </c>
      <c r="K98" t="str">
        <f>ToJsonArray(supplementary_offering_offeringid__4[[#This Row],[produccion]],supplementary_offering_offeringid__4[[#This Row],[json]])</f>
        <v>{"910001217":{"legacyid":"100012-17","name":"Voz-TD-30000s","mode":"N"}}</v>
      </c>
    </row>
    <row r="99" spans="1:11" x14ac:dyDescent="0.25">
      <c r="A99" s="61" t="s">
        <v>2472</v>
      </c>
      <c r="B99" t="s">
        <v>2471</v>
      </c>
      <c r="C99" t="str">
        <f>findKey(supplementary_offering_offeringid__4[[#This Row],[Value.legacyid]])</f>
        <v>100012-18</v>
      </c>
      <c r="D99" t="s">
        <v>5827</v>
      </c>
      <c r="E99" t="s">
        <v>2329</v>
      </c>
      <c r="H99" s="61"/>
      <c r="J99" t="str">
        <f>ToJsonArray(supplementary_offering_offeringid__4[[#Headers],[legacyid]:[activityId]],supplementary_offering_offeringid__4[[#This Row],[legacyid]:[activityId]])</f>
        <v>{"legacyid":"100012-18","name":"Voz-TD-42000s","mode":"N"}</v>
      </c>
      <c r="K99" t="str">
        <f>ToJsonArray(supplementary_offering_offeringid__4[[#This Row],[produccion]],supplementary_offering_offeringid__4[[#This Row],[json]])</f>
        <v>{"910001218":{"legacyid":"100012-18","name":"Voz-TD-42000s","mode":"N"}}</v>
      </c>
    </row>
    <row r="100" spans="1:11" x14ac:dyDescent="0.25">
      <c r="A100" s="61" t="s">
        <v>2475</v>
      </c>
      <c r="B100" t="s">
        <v>2474</v>
      </c>
      <c r="C100" t="str">
        <f>findKey(supplementary_offering_offeringid__4[[#This Row],[Value.legacyid]])</f>
        <v>100012-19</v>
      </c>
      <c r="D100" t="s">
        <v>5816</v>
      </c>
      <c r="E100" t="s">
        <v>2329</v>
      </c>
      <c r="H100" s="61"/>
      <c r="J100" t="str">
        <f>ToJsonArray(supplementary_offering_offeringid__4[[#Headers],[legacyid]:[activityId]],supplementary_offering_offeringid__4[[#This Row],[legacyid]:[activityId]])</f>
        <v>{"legacyid":"100012-19","name":"Voz-TD-60000s","mode":"N"}</v>
      </c>
      <c r="K100" t="str">
        <f>ToJsonArray(supplementary_offering_offeringid__4[[#This Row],[produccion]],supplementary_offering_offeringid__4[[#This Row],[json]])</f>
        <v>{"910001219":{"legacyid":"100012-19","name":"Voz-TD-60000s","mode":"N"}}</v>
      </c>
    </row>
    <row r="101" spans="1:11" x14ac:dyDescent="0.25">
      <c r="A101" s="61" t="s">
        <v>2478</v>
      </c>
      <c r="B101" t="s">
        <v>2477</v>
      </c>
      <c r="C101" t="str">
        <f>findKey(supplementary_offering_offeringid__4[[#This Row],[Value.legacyid]])</f>
        <v>100012-20</v>
      </c>
      <c r="D101" t="s">
        <v>5828</v>
      </c>
      <c r="E101" t="s">
        <v>2329</v>
      </c>
      <c r="H101" s="61"/>
      <c r="J101" t="str">
        <f>ToJsonArray(supplementary_offering_offeringid__4[[#Headers],[legacyid]:[activityId]],supplementary_offering_offeringid__4[[#This Row],[legacyid]:[activityId]])</f>
        <v>{"legacyid":"100012-20","name":"Voz-TD-9000s","mode":"N"}</v>
      </c>
      <c r="K101" t="str">
        <f>ToJsonArray(supplementary_offering_offeringid__4[[#This Row],[produccion]],supplementary_offering_offeringid__4[[#This Row],[json]])</f>
        <v>{"910001220":{"legacyid":"100012-20","name":"Voz-TD-9000s","mode":"N"}}</v>
      </c>
    </row>
    <row r="102" spans="1:11" x14ac:dyDescent="0.25">
      <c r="A102" s="61" t="s">
        <v>2481</v>
      </c>
      <c r="B102" t="s">
        <v>2480</v>
      </c>
      <c r="C102" t="str">
        <f>findKey(supplementary_offering_offeringid__4[[#This Row],[Value.legacyid]])</f>
        <v>100012-21</v>
      </c>
      <c r="D102" t="s">
        <v>5811</v>
      </c>
      <c r="E102" t="s">
        <v>2329</v>
      </c>
      <c r="H102" s="61"/>
      <c r="J102" t="str">
        <f>ToJsonArray(supplementary_offering_offeringid__4[[#Headers],[legacyid]:[activityId]],supplementary_offering_offeringid__4[[#This Row],[legacyid]:[activityId]])</f>
        <v>{"legacyid":"100012-21","name":"Voz-TD-24000s","mode":"N"}</v>
      </c>
      <c r="K102" t="str">
        <f>ToJsonArray(supplementary_offering_offeringid__4[[#This Row],[produccion]],supplementary_offering_offeringid__4[[#This Row],[json]])</f>
        <v>{"910001221":{"legacyid":"100012-21","name":"Voz-TD-24000s","mode":"N"}}</v>
      </c>
    </row>
    <row r="103" spans="1:11" x14ac:dyDescent="0.25">
      <c r="A103" s="61" t="s">
        <v>2484</v>
      </c>
      <c r="B103" t="s">
        <v>2483</v>
      </c>
      <c r="C103" t="str">
        <f>findKey(supplementary_offering_offeringid__4[[#This Row],[Value.legacyid]])</f>
        <v>100012-22</v>
      </c>
      <c r="D103" t="s">
        <v>5815</v>
      </c>
      <c r="E103" t="s">
        <v>2329</v>
      </c>
      <c r="H103" s="61"/>
      <c r="J103" t="str">
        <f>ToJsonArray(supplementary_offering_offeringid__4[[#Headers],[legacyid]:[activityId]],supplementary_offering_offeringid__4[[#This Row],[legacyid]:[activityId]])</f>
        <v>{"legacyid":"100012-22","name":"Voz-TD-36000s","mode":"N"}</v>
      </c>
      <c r="K103" t="str">
        <f>ToJsonArray(supplementary_offering_offeringid__4[[#This Row],[produccion]],supplementary_offering_offeringid__4[[#This Row],[json]])</f>
        <v>{"910001222":{"legacyid":"100012-22","name":"Voz-TD-36000s","mode":"N"}}</v>
      </c>
    </row>
    <row r="104" spans="1:11" x14ac:dyDescent="0.25">
      <c r="A104" s="61" t="s">
        <v>2487</v>
      </c>
      <c r="B104" t="s">
        <v>2486</v>
      </c>
      <c r="C104" t="str">
        <f>findKey(supplementary_offering_offeringid__4[[#This Row],[Value.legacyid]])</f>
        <v>100012-23</v>
      </c>
      <c r="D104" t="s">
        <v>5827</v>
      </c>
      <c r="E104" t="s">
        <v>2329</v>
      </c>
      <c r="H104" s="61"/>
      <c r="J104" t="str">
        <f>ToJsonArray(supplementary_offering_offeringid__4[[#Headers],[legacyid]:[activityId]],supplementary_offering_offeringid__4[[#This Row],[legacyid]:[activityId]])</f>
        <v>{"legacyid":"100012-23","name":"Voz-TD-42000s","mode":"N"}</v>
      </c>
      <c r="K104" t="str">
        <f>ToJsonArray(supplementary_offering_offeringid__4[[#This Row],[produccion]],supplementary_offering_offeringid__4[[#This Row],[json]])</f>
        <v>{"910001223":{"legacyid":"100012-23","name":"Voz-TD-42000s","mode":"N"}}</v>
      </c>
    </row>
    <row r="105" spans="1:11" x14ac:dyDescent="0.25">
      <c r="A105" s="61" t="s">
        <v>2490</v>
      </c>
      <c r="B105" t="s">
        <v>2489</v>
      </c>
      <c r="C105" t="str">
        <f>findKey(supplementary_offering_offeringid__4[[#This Row],[Value.legacyid]])</f>
        <v>100012-24</v>
      </c>
      <c r="D105" t="s">
        <v>5829</v>
      </c>
      <c r="E105" t="s">
        <v>2329</v>
      </c>
      <c r="H105" s="61"/>
      <c r="J105" t="str">
        <f>ToJsonArray(supplementary_offering_offeringid__4[[#Headers],[legacyid]:[activityId]],supplementary_offering_offeringid__4[[#This Row],[legacyid]:[activityId]])</f>
        <v>{"legacyid":"100012-24","name":"Voz-TD-6000s","mode":"N"}</v>
      </c>
      <c r="K105" t="str">
        <f>ToJsonArray(supplementary_offering_offeringid__4[[#This Row],[produccion]],supplementary_offering_offeringid__4[[#This Row],[json]])</f>
        <v>{"910001224":{"legacyid":"100012-24","name":"Voz-TD-6000s","mode":"N"}}</v>
      </c>
    </row>
    <row r="106" spans="1:11" x14ac:dyDescent="0.25">
      <c r="A106" s="61" t="s">
        <v>2493</v>
      </c>
      <c r="B106" t="s">
        <v>2492</v>
      </c>
      <c r="C106" t="str">
        <f>findKey(supplementary_offering_offeringid__4[[#This Row],[Value.legacyid]])</f>
        <v>100012-25</v>
      </c>
      <c r="D106" t="s">
        <v>5809</v>
      </c>
      <c r="E106" t="s">
        <v>2329</v>
      </c>
      <c r="H106" s="61"/>
      <c r="J106" t="str">
        <f>ToJsonArray(supplementary_offering_offeringid__4[[#Headers],[legacyid]:[activityId]],supplementary_offering_offeringid__4[[#This Row],[legacyid]:[activityId]])</f>
        <v>{"legacyid":"100012-25","name":"Voz-TD-30000s","mode":"N"}</v>
      </c>
      <c r="K106" t="str">
        <f>ToJsonArray(supplementary_offering_offeringid__4[[#This Row],[produccion]],supplementary_offering_offeringid__4[[#This Row],[json]])</f>
        <v>{"910001225":{"legacyid":"100012-25","name":"Voz-TD-30000s","mode":"N"}}</v>
      </c>
    </row>
    <row r="107" spans="1:11" x14ac:dyDescent="0.25">
      <c r="A107" s="61" t="s">
        <v>2496</v>
      </c>
      <c r="B107" t="s">
        <v>2495</v>
      </c>
      <c r="C107" t="str">
        <f>findKey(supplementary_offering_offeringid__4[[#This Row],[Value.legacyid]])</f>
        <v>100012-36</v>
      </c>
      <c r="D107" t="s">
        <v>5810</v>
      </c>
      <c r="E107" t="s">
        <v>2329</v>
      </c>
      <c r="H107" s="61"/>
      <c r="J107" t="str">
        <f>ToJsonArray(supplementary_offering_offeringid__4[[#Headers],[legacyid]:[activityId]],supplementary_offering_offeringid__4[[#This Row],[legacyid]:[activityId]])</f>
        <v>{"legacyid":"100012-36","name":"Voz-TD-12000s","mode":"N"}</v>
      </c>
      <c r="K107" t="str">
        <f>ToJsonArray(supplementary_offering_offeringid__4[[#This Row],[produccion]],supplementary_offering_offeringid__4[[#This Row],[json]])</f>
        <v>{"910001236":{"legacyid":"100012-36","name":"Voz-TD-12000s","mode":"N"}}</v>
      </c>
    </row>
    <row r="108" spans="1:11" x14ac:dyDescent="0.25">
      <c r="A108" s="61" t="s">
        <v>2499</v>
      </c>
      <c r="B108" t="s">
        <v>2498</v>
      </c>
      <c r="C108" t="str">
        <f>findKey(supplementary_offering_offeringid__4[[#This Row],[Value.legacyid]])</f>
        <v>100012-37</v>
      </c>
      <c r="D108" t="s">
        <v>5809</v>
      </c>
      <c r="E108" t="s">
        <v>2329</v>
      </c>
      <c r="H108" s="61"/>
      <c r="J108" t="str">
        <f>ToJsonArray(supplementary_offering_offeringid__4[[#Headers],[legacyid]:[activityId]],supplementary_offering_offeringid__4[[#This Row],[legacyid]:[activityId]])</f>
        <v>{"legacyid":"100012-37","name":"Voz-TD-30000s","mode":"N"}</v>
      </c>
      <c r="K108" t="str">
        <f>ToJsonArray(supplementary_offering_offeringid__4[[#This Row],[produccion]],supplementary_offering_offeringid__4[[#This Row],[json]])</f>
        <v>{"910001237":{"legacyid":"100012-37","name":"Voz-TD-30000s","mode":"N"}}</v>
      </c>
    </row>
    <row r="109" spans="1:11" x14ac:dyDescent="0.25">
      <c r="A109" s="61" t="s">
        <v>2502</v>
      </c>
      <c r="B109" t="s">
        <v>2501</v>
      </c>
      <c r="C109" t="str">
        <f>findKey(supplementary_offering_offeringid__4[[#This Row],[Value.legacyid]])</f>
        <v>100012-38</v>
      </c>
      <c r="D109" t="s">
        <v>5830</v>
      </c>
      <c r="E109" t="s">
        <v>2329</v>
      </c>
      <c r="H109" s="61"/>
      <c r="J109" t="str">
        <f>ToJsonArray(supplementary_offering_offeringid__4[[#Headers],[legacyid]:[activityId]],supplementary_offering_offeringid__4[[#This Row],[legacyid]:[activityId]])</f>
        <v>{"legacyid":"100012-38","name":"Voz-TD-48000s","mode":"N"}</v>
      </c>
      <c r="K109" t="str">
        <f>ToJsonArray(supplementary_offering_offeringid__4[[#This Row],[produccion]],supplementary_offering_offeringid__4[[#This Row],[json]])</f>
        <v>{"910001238":{"legacyid":"100012-38","name":"Voz-TD-48000s","mode":"N"}}</v>
      </c>
    </row>
    <row r="110" spans="1:11" x14ac:dyDescent="0.25">
      <c r="A110" s="61" t="s">
        <v>2505</v>
      </c>
      <c r="B110" t="s">
        <v>2504</v>
      </c>
      <c r="C110" t="str">
        <f>findKey(supplementary_offering_offeringid__4[[#This Row],[Value.legacyid]])</f>
        <v>100012-39</v>
      </c>
      <c r="D110" t="s">
        <v>5831</v>
      </c>
      <c r="E110" t="s">
        <v>2329</v>
      </c>
      <c r="H110" s="61"/>
      <c r="J110" t="str">
        <f>ToJsonArray(supplementary_offering_offeringid__4[[#Headers],[legacyid]:[activityId]],supplementary_offering_offeringid__4[[#This Row],[legacyid]:[activityId]])</f>
        <v>{"legacyid":"100012-39","name":"Voz-TD-72000s","mode":"N"}</v>
      </c>
      <c r="K110" t="str">
        <f>ToJsonArray(supplementary_offering_offeringid__4[[#This Row],[produccion]],supplementary_offering_offeringid__4[[#This Row],[json]])</f>
        <v>{"910001239":{"legacyid":"100012-39","name":"Voz-TD-72000s","mode":"N"}}</v>
      </c>
    </row>
    <row r="111" spans="1:11" x14ac:dyDescent="0.25">
      <c r="A111" s="61" t="s">
        <v>2508</v>
      </c>
      <c r="B111" t="s">
        <v>2507</v>
      </c>
      <c r="C111" t="str">
        <f>findKey(supplementary_offering_offeringid__4[[#This Row],[Value.legacyid]])</f>
        <v>100012-40</v>
      </c>
      <c r="D111" t="s">
        <v>5813</v>
      </c>
      <c r="E111" t="s">
        <v>2329</v>
      </c>
      <c r="H111" s="61"/>
      <c r="J111" t="str">
        <f>ToJsonArray(supplementary_offering_offeringid__4[[#Headers],[legacyid]:[activityId]],supplementary_offering_offeringid__4[[#This Row],[legacyid]:[activityId]])</f>
        <v>{"legacyid":"100012-40","name":"Voz-TD-2678400s","mode":"N"}</v>
      </c>
      <c r="K111" t="str">
        <f>ToJsonArray(supplementary_offering_offeringid__4[[#This Row],[produccion]],supplementary_offering_offeringid__4[[#This Row],[json]])</f>
        <v>{"910001240":{"legacyid":"100012-40","name":"Voz-TD-2678400s","mode":"N"}}</v>
      </c>
    </row>
    <row r="112" spans="1:11" x14ac:dyDescent="0.25">
      <c r="A112" s="61" t="s">
        <v>2511</v>
      </c>
      <c r="B112" t="s">
        <v>2510</v>
      </c>
      <c r="C112" t="str">
        <f>findKey(supplementary_offering_offeringid__4[[#This Row],[Value.legacyid]])</f>
        <v>100012-41</v>
      </c>
      <c r="D112" t="s">
        <v>5813</v>
      </c>
      <c r="E112" t="s">
        <v>2329</v>
      </c>
      <c r="H112" s="61"/>
      <c r="J112" t="str">
        <f>ToJsonArray(supplementary_offering_offeringid__4[[#Headers],[legacyid]:[activityId]],supplementary_offering_offeringid__4[[#This Row],[legacyid]:[activityId]])</f>
        <v>{"legacyid":"100012-41","name":"Voz-TD-2678400s","mode":"N"}</v>
      </c>
      <c r="K112" t="str">
        <f>ToJsonArray(supplementary_offering_offeringid__4[[#This Row],[produccion]],supplementary_offering_offeringid__4[[#This Row],[json]])</f>
        <v>{"910001241":{"legacyid":"100012-41","name":"Voz-TD-2678400s","mode":"N"}}</v>
      </c>
    </row>
    <row r="113" spans="1:11" x14ac:dyDescent="0.25">
      <c r="A113" s="61" t="s">
        <v>2514</v>
      </c>
      <c r="B113" t="s">
        <v>2513</v>
      </c>
      <c r="C113" t="str">
        <f>findKey(supplementary_offering_offeringid__4[[#This Row],[Value.legacyid]])</f>
        <v>100012-42</v>
      </c>
      <c r="D113" t="s">
        <v>5824</v>
      </c>
      <c r="E113" t="s">
        <v>2329</v>
      </c>
      <c r="H113" s="61"/>
      <c r="J113" t="str">
        <f>ToJsonArray(supplementary_offering_offeringid__4[[#Headers],[legacyid]:[activityId]],supplementary_offering_offeringid__4[[#This Row],[legacyid]:[activityId]])</f>
        <v>{"legacyid":"100012-42","name":"Voz-TD-15000s","mode":"N"}</v>
      </c>
      <c r="K113" t="str">
        <f>ToJsonArray(supplementary_offering_offeringid__4[[#This Row],[produccion]],supplementary_offering_offeringid__4[[#This Row],[json]])</f>
        <v>{"910001242":{"legacyid":"100012-42","name":"Voz-TD-15000s","mode":"N"}}</v>
      </c>
    </row>
    <row r="114" spans="1:11" x14ac:dyDescent="0.25">
      <c r="A114" s="61" t="s">
        <v>2517</v>
      </c>
      <c r="B114" t="s">
        <v>2516</v>
      </c>
      <c r="C114" t="str">
        <f>findKey(supplementary_offering_offeringid__4[[#This Row],[Value.legacyid]])</f>
        <v>100012-43</v>
      </c>
      <c r="D114" t="s">
        <v>5811</v>
      </c>
      <c r="E114" t="s">
        <v>2329</v>
      </c>
      <c r="H114" s="61"/>
      <c r="J114" t="str">
        <f>ToJsonArray(supplementary_offering_offeringid__4[[#Headers],[legacyid]:[activityId]],supplementary_offering_offeringid__4[[#This Row],[legacyid]:[activityId]])</f>
        <v>{"legacyid":"100012-43","name":"Voz-TD-24000s","mode":"N"}</v>
      </c>
      <c r="K114" t="str">
        <f>ToJsonArray(supplementary_offering_offeringid__4[[#This Row],[produccion]],supplementary_offering_offeringid__4[[#This Row],[json]])</f>
        <v>{"910001243":{"legacyid":"100012-43","name":"Voz-TD-24000s","mode":"N"}}</v>
      </c>
    </row>
    <row r="115" spans="1:11" x14ac:dyDescent="0.25">
      <c r="A115" s="61" t="s">
        <v>2520</v>
      </c>
      <c r="B115" t="s">
        <v>2519</v>
      </c>
      <c r="C115" t="str">
        <f>findKey(supplementary_offering_offeringid__4[[#This Row],[Value.legacyid]])</f>
        <v>100012-44</v>
      </c>
      <c r="D115" t="s">
        <v>5832</v>
      </c>
      <c r="E115" t="s">
        <v>2329</v>
      </c>
      <c r="H115" s="61"/>
      <c r="J115" t="str">
        <f>ToJsonArray(supplementary_offering_offeringid__4[[#Headers],[legacyid]:[activityId]],supplementary_offering_offeringid__4[[#This Row],[legacyid]:[activityId]])</f>
        <v>{"legacyid":"100012-44","name":"Voz-TD-45000s","mode":"N"}</v>
      </c>
      <c r="K115" t="str">
        <f>ToJsonArray(supplementary_offering_offeringid__4[[#This Row],[produccion]],supplementary_offering_offeringid__4[[#This Row],[json]])</f>
        <v>{"910001244":{"legacyid":"100012-44","name":"Voz-TD-45000s","mode":"N"}}</v>
      </c>
    </row>
    <row r="116" spans="1:11" x14ac:dyDescent="0.25">
      <c r="A116" s="61" t="s">
        <v>2523</v>
      </c>
      <c r="B116" t="s">
        <v>2522</v>
      </c>
      <c r="C116" t="str">
        <f>findKey(supplementary_offering_offeringid__4[[#This Row],[Value.legacyid]])</f>
        <v>100012-45</v>
      </c>
      <c r="D116" t="s">
        <v>5812</v>
      </c>
      <c r="E116" t="s">
        <v>2329</v>
      </c>
      <c r="H116" s="61"/>
      <c r="J116" t="str">
        <f>ToJsonArray(supplementary_offering_offeringid__4[[#Headers],[legacyid]:[activityId]],supplementary_offering_offeringid__4[[#This Row],[legacyid]:[activityId]])</f>
        <v>{"legacyid":"100012-45","name":"Voz-TD-54000s","mode":"N"}</v>
      </c>
      <c r="K116" t="str">
        <f>ToJsonArray(supplementary_offering_offeringid__4[[#This Row],[produccion]],supplementary_offering_offeringid__4[[#This Row],[json]])</f>
        <v>{"910001245":{"legacyid":"100012-45","name":"Voz-TD-54000s","mode":"N"}}</v>
      </c>
    </row>
    <row r="117" spans="1:11" x14ac:dyDescent="0.25">
      <c r="A117" s="61" t="s">
        <v>2526</v>
      </c>
      <c r="B117" t="s">
        <v>2525</v>
      </c>
      <c r="C117" t="str">
        <f>findKey(supplementary_offering_offeringid__4[[#This Row],[Value.legacyid]])</f>
        <v>100012-46</v>
      </c>
      <c r="D117" t="s">
        <v>5825</v>
      </c>
      <c r="E117" t="s">
        <v>2329</v>
      </c>
      <c r="H117" s="61"/>
      <c r="J117" t="str">
        <f>ToJsonArray(supplementary_offering_offeringid__4[[#Headers],[legacyid]:[activityId]],supplementary_offering_offeringid__4[[#This Row],[legacyid]:[activityId]])</f>
        <v>{"legacyid":"100012-46","name":"Voz-TD-84000s","mode":"N"}</v>
      </c>
      <c r="K117" t="str">
        <f>ToJsonArray(supplementary_offering_offeringid__4[[#This Row],[produccion]],supplementary_offering_offeringid__4[[#This Row],[json]])</f>
        <v>{"910001246":{"legacyid":"100012-46","name":"Voz-TD-84000s","mode":"N"}}</v>
      </c>
    </row>
    <row r="118" spans="1:11" x14ac:dyDescent="0.25">
      <c r="A118" s="61" t="s">
        <v>2529</v>
      </c>
      <c r="B118" t="s">
        <v>2528</v>
      </c>
      <c r="C118" t="str">
        <f>findKey(supplementary_offering_offeringid__4[[#This Row],[Value.legacyid]])</f>
        <v>100012-47</v>
      </c>
      <c r="D118" t="s">
        <v>5808</v>
      </c>
      <c r="E118" t="s">
        <v>2329</v>
      </c>
      <c r="H118" s="61"/>
      <c r="J118" t="str">
        <f>ToJsonArray(supplementary_offering_offeringid__4[[#Headers],[legacyid]:[activityId]],supplementary_offering_offeringid__4[[#This Row],[legacyid]:[activityId]])</f>
        <v>{"legacyid":"100012-47","name":"Voz-TD-Ilimitado","mode":"N"}</v>
      </c>
      <c r="K118" t="str">
        <f>ToJsonArray(supplementary_offering_offeringid__4[[#This Row],[produccion]],supplementary_offering_offeringid__4[[#This Row],[json]])</f>
        <v>{"910001247":{"legacyid":"100012-47","name":"Voz-TD-Ilimitado","mode":"N"}}</v>
      </c>
    </row>
    <row r="119" spans="1:11" x14ac:dyDescent="0.25">
      <c r="A119" s="61" t="s">
        <v>2532</v>
      </c>
      <c r="B119" t="s">
        <v>2531</v>
      </c>
      <c r="C119" t="str">
        <f>findKey(supplementary_offering_offeringid__4[[#This Row],[Value.legacyid]])</f>
        <v>100012-48</v>
      </c>
      <c r="D119" t="s">
        <v>5808</v>
      </c>
      <c r="E119" t="s">
        <v>2329</v>
      </c>
      <c r="H119" s="61"/>
      <c r="J119" t="str">
        <f>ToJsonArray(supplementary_offering_offeringid__4[[#Headers],[legacyid]:[activityId]],supplementary_offering_offeringid__4[[#This Row],[legacyid]:[activityId]])</f>
        <v>{"legacyid":"100012-48","name":"Voz-TD-Ilimitado","mode":"N"}</v>
      </c>
      <c r="K119" t="str">
        <f>ToJsonArray(supplementary_offering_offeringid__4[[#This Row],[produccion]],supplementary_offering_offeringid__4[[#This Row],[json]])</f>
        <v>{"910001248":{"legacyid":"100012-48","name":"Voz-TD-Ilimitado","mode":"N"}}</v>
      </c>
    </row>
    <row r="120" spans="1:11" x14ac:dyDescent="0.25">
      <c r="A120" s="61" t="s">
        <v>2535</v>
      </c>
      <c r="B120" t="s">
        <v>2534</v>
      </c>
      <c r="C120" t="str">
        <f>findKey(supplementary_offering_offeringid__4[[#This Row],[Value.legacyid]])</f>
        <v>100012-49</v>
      </c>
      <c r="D120" t="s">
        <v>5808</v>
      </c>
      <c r="E120" t="s">
        <v>2329</v>
      </c>
      <c r="H120" s="61"/>
      <c r="J120" t="str">
        <f>ToJsonArray(supplementary_offering_offeringid__4[[#Headers],[legacyid]:[activityId]],supplementary_offering_offeringid__4[[#This Row],[legacyid]:[activityId]])</f>
        <v>{"legacyid":"100012-49","name":"Voz-TD-Ilimitado","mode":"N"}</v>
      </c>
      <c r="K120" t="str">
        <f>ToJsonArray(supplementary_offering_offeringid__4[[#This Row],[produccion]],supplementary_offering_offeringid__4[[#This Row],[json]])</f>
        <v>{"910001249":{"legacyid":"100012-49","name":"Voz-TD-Ilimitado","mode":"N"}}</v>
      </c>
    </row>
    <row r="121" spans="1:11" x14ac:dyDescent="0.25">
      <c r="A121" s="61" t="s">
        <v>2538</v>
      </c>
      <c r="B121" t="s">
        <v>2537</v>
      </c>
      <c r="C121" t="str">
        <f>findKey(supplementary_offering_offeringid__4[[#This Row],[Value.legacyid]])</f>
        <v>100012-50</v>
      </c>
      <c r="D121" t="s">
        <v>5808</v>
      </c>
      <c r="E121" t="s">
        <v>2329</v>
      </c>
      <c r="H121" s="61"/>
      <c r="J121" t="str">
        <f>ToJsonArray(supplementary_offering_offeringid__4[[#Headers],[legacyid]:[activityId]],supplementary_offering_offeringid__4[[#This Row],[legacyid]:[activityId]])</f>
        <v>{"legacyid":"100012-50","name":"Voz-TD-Ilimitado","mode":"N"}</v>
      </c>
      <c r="K121" t="str">
        <f>ToJsonArray(supplementary_offering_offeringid__4[[#This Row],[produccion]],supplementary_offering_offeringid__4[[#This Row],[json]])</f>
        <v>{"910001250":{"legacyid":"100012-50","name":"Voz-TD-Ilimitado","mode":"N"}}</v>
      </c>
    </row>
    <row r="122" spans="1:11" x14ac:dyDescent="0.25">
      <c r="A122" s="61" t="s">
        <v>2541</v>
      </c>
      <c r="B122" t="s">
        <v>2540</v>
      </c>
      <c r="C122" t="str">
        <f>findKey(supplementary_offering_offeringid__4[[#This Row],[Value.legacyid]])</f>
        <v>100012-51</v>
      </c>
      <c r="D122" t="s">
        <v>5808</v>
      </c>
      <c r="E122" t="s">
        <v>2329</v>
      </c>
      <c r="H122" s="61"/>
      <c r="J122" t="str">
        <f>ToJsonArray(supplementary_offering_offeringid__4[[#Headers],[legacyid]:[activityId]],supplementary_offering_offeringid__4[[#This Row],[legacyid]:[activityId]])</f>
        <v>{"legacyid":"100012-51","name":"Voz-TD-Ilimitado","mode":"N"}</v>
      </c>
      <c r="K122" t="str">
        <f>ToJsonArray(supplementary_offering_offeringid__4[[#This Row],[produccion]],supplementary_offering_offeringid__4[[#This Row],[json]])</f>
        <v>{"910001251":{"legacyid":"100012-51","name":"Voz-TD-Ilimitado","mode":"N"}}</v>
      </c>
    </row>
    <row r="123" spans="1:11" x14ac:dyDescent="0.25">
      <c r="A123" s="61" t="s">
        <v>2544</v>
      </c>
      <c r="B123" t="s">
        <v>2543</v>
      </c>
      <c r="C123" t="str">
        <f>findKey(supplementary_offering_offeringid__4[[#This Row],[Value.legacyid]])</f>
        <v>100012-52</v>
      </c>
      <c r="D123" t="s">
        <v>5808</v>
      </c>
      <c r="E123" t="s">
        <v>2329</v>
      </c>
      <c r="H123" s="61"/>
      <c r="J123" t="str">
        <f>ToJsonArray(supplementary_offering_offeringid__4[[#Headers],[legacyid]:[activityId]],supplementary_offering_offeringid__4[[#This Row],[legacyid]:[activityId]])</f>
        <v>{"legacyid":"100012-52","name":"Voz-TD-Ilimitado","mode":"N"}</v>
      </c>
      <c r="K123" t="str">
        <f>ToJsonArray(supplementary_offering_offeringid__4[[#This Row],[produccion]],supplementary_offering_offeringid__4[[#This Row],[json]])</f>
        <v>{"910001252":{"legacyid":"100012-52","name":"Voz-TD-Ilimitado","mode":"N"}}</v>
      </c>
    </row>
    <row r="124" spans="1:11" x14ac:dyDescent="0.25">
      <c r="A124" s="61" t="s">
        <v>2547</v>
      </c>
      <c r="B124" t="s">
        <v>2546</v>
      </c>
      <c r="C124" t="str">
        <f>findKey(supplementary_offering_offeringid__4[[#This Row],[Value.legacyid]])</f>
        <v>100012-53</v>
      </c>
      <c r="D124" t="s">
        <v>5808</v>
      </c>
      <c r="E124" t="s">
        <v>2329</v>
      </c>
      <c r="H124" s="61"/>
      <c r="J124" t="str">
        <f>ToJsonArray(supplementary_offering_offeringid__4[[#Headers],[legacyid]:[activityId]],supplementary_offering_offeringid__4[[#This Row],[legacyid]:[activityId]])</f>
        <v>{"legacyid":"100012-53","name":"Voz-TD-Ilimitado","mode":"N"}</v>
      </c>
      <c r="K124" t="str">
        <f>ToJsonArray(supplementary_offering_offeringid__4[[#This Row],[produccion]],supplementary_offering_offeringid__4[[#This Row],[json]])</f>
        <v>{"910001253":{"legacyid":"100012-53","name":"Voz-TD-Ilimitado","mode":"N"}}</v>
      </c>
    </row>
    <row r="125" spans="1:11" x14ac:dyDescent="0.25">
      <c r="A125" s="61" t="s">
        <v>2550</v>
      </c>
      <c r="B125" t="s">
        <v>2549</v>
      </c>
      <c r="C125" t="str">
        <f>findKey(supplementary_offering_offeringid__4[[#This Row],[Value.legacyid]])</f>
        <v>100012-54</v>
      </c>
      <c r="D125" t="s">
        <v>5808</v>
      </c>
      <c r="E125" t="s">
        <v>2329</v>
      </c>
      <c r="H125" s="61"/>
      <c r="J125" t="str">
        <f>ToJsonArray(supplementary_offering_offeringid__4[[#Headers],[legacyid]:[activityId]],supplementary_offering_offeringid__4[[#This Row],[legacyid]:[activityId]])</f>
        <v>{"legacyid":"100012-54","name":"Voz-TD-Ilimitado","mode":"N"}</v>
      </c>
      <c r="K125" t="str">
        <f>ToJsonArray(supplementary_offering_offeringid__4[[#This Row],[produccion]],supplementary_offering_offeringid__4[[#This Row],[json]])</f>
        <v>{"910001254":{"legacyid":"100012-54","name":"Voz-TD-Ilimitado","mode":"N"}}</v>
      </c>
    </row>
    <row r="126" spans="1:11" x14ac:dyDescent="0.25">
      <c r="A126" s="61" t="s">
        <v>2553</v>
      </c>
      <c r="B126" t="s">
        <v>2552</v>
      </c>
      <c r="C126" t="str">
        <f>findKey(supplementary_offering_offeringid__4[[#This Row],[Value.legacyid]])</f>
        <v>100012-55</v>
      </c>
      <c r="D126" t="s">
        <v>5808</v>
      </c>
      <c r="E126" t="s">
        <v>2329</v>
      </c>
      <c r="H126" s="61"/>
      <c r="J126" t="str">
        <f>ToJsonArray(supplementary_offering_offeringid__4[[#Headers],[legacyid]:[activityId]],supplementary_offering_offeringid__4[[#This Row],[legacyid]:[activityId]])</f>
        <v>{"legacyid":"100012-55","name":"Voz-TD-Ilimitado","mode":"N"}</v>
      </c>
      <c r="K126" t="str">
        <f>ToJsonArray(supplementary_offering_offeringid__4[[#This Row],[produccion]],supplementary_offering_offeringid__4[[#This Row],[json]])</f>
        <v>{"910001255":{"legacyid":"100012-55","name":"Voz-TD-Ilimitado","mode":"N"}}</v>
      </c>
    </row>
    <row r="127" spans="1:11" x14ac:dyDescent="0.25">
      <c r="A127" s="61" t="s">
        <v>2556</v>
      </c>
      <c r="B127" t="s">
        <v>2555</v>
      </c>
      <c r="C127" t="str">
        <f>findKey(supplementary_offering_offeringid__4[[#This Row],[Value.legacyid]])</f>
        <v>100012-56</v>
      </c>
      <c r="D127" t="s">
        <v>5808</v>
      </c>
      <c r="E127" t="s">
        <v>2329</v>
      </c>
      <c r="H127" s="61"/>
      <c r="J127" t="str">
        <f>ToJsonArray(supplementary_offering_offeringid__4[[#Headers],[legacyid]:[activityId]],supplementary_offering_offeringid__4[[#This Row],[legacyid]:[activityId]])</f>
        <v>{"legacyid":"100012-56","name":"Voz-TD-Ilimitado","mode":"N"}</v>
      </c>
      <c r="K127" t="str">
        <f>ToJsonArray(supplementary_offering_offeringid__4[[#This Row],[produccion]],supplementary_offering_offeringid__4[[#This Row],[json]])</f>
        <v>{"910001256":{"legacyid":"100012-56","name":"Voz-TD-Ilimitado","mode":"N"}}</v>
      </c>
    </row>
    <row r="128" spans="1:11" x14ac:dyDescent="0.25">
      <c r="A128" s="61" t="s">
        <v>2559</v>
      </c>
      <c r="B128" t="s">
        <v>2558</v>
      </c>
      <c r="C128" t="str">
        <f>findKey(supplementary_offering_offeringid__4[[#This Row],[Value.legacyid]])</f>
        <v>100012-57</v>
      </c>
      <c r="D128" t="s">
        <v>5808</v>
      </c>
      <c r="E128" t="s">
        <v>2329</v>
      </c>
      <c r="H128" s="61"/>
      <c r="J128" t="str">
        <f>ToJsonArray(supplementary_offering_offeringid__4[[#Headers],[legacyid]:[activityId]],supplementary_offering_offeringid__4[[#This Row],[legacyid]:[activityId]])</f>
        <v>{"legacyid":"100012-57","name":"Voz-TD-Ilimitado","mode":"N"}</v>
      </c>
      <c r="K128" t="str">
        <f>ToJsonArray(supplementary_offering_offeringid__4[[#This Row],[produccion]],supplementary_offering_offeringid__4[[#This Row],[json]])</f>
        <v>{"910001257":{"legacyid":"100012-57","name":"Voz-TD-Ilimitado","mode":"N"}}</v>
      </c>
    </row>
    <row r="129" spans="1:11" x14ac:dyDescent="0.25">
      <c r="A129" s="61" t="s">
        <v>2562</v>
      </c>
      <c r="B129" t="s">
        <v>2561</v>
      </c>
      <c r="C129" t="str">
        <f>findKey(supplementary_offering_offeringid__4[[#This Row],[Value.legacyid]])</f>
        <v>100012-58</v>
      </c>
      <c r="D129" t="s">
        <v>5808</v>
      </c>
      <c r="E129" t="s">
        <v>2329</v>
      </c>
      <c r="H129" s="61"/>
      <c r="J129" t="str">
        <f>ToJsonArray(supplementary_offering_offeringid__4[[#Headers],[legacyid]:[activityId]],supplementary_offering_offeringid__4[[#This Row],[legacyid]:[activityId]])</f>
        <v>{"legacyid":"100012-58","name":"Voz-TD-Ilimitado","mode":"N"}</v>
      </c>
      <c r="K129" t="str">
        <f>ToJsonArray(supplementary_offering_offeringid__4[[#This Row],[produccion]],supplementary_offering_offeringid__4[[#This Row],[json]])</f>
        <v>{"910001258":{"legacyid":"100012-58","name":"Voz-TD-Ilimitado","mode":"N"}}</v>
      </c>
    </row>
    <row r="130" spans="1:11" x14ac:dyDescent="0.25">
      <c r="A130" s="61" t="s">
        <v>2565</v>
      </c>
      <c r="B130" t="s">
        <v>2564</v>
      </c>
      <c r="C130" t="str">
        <f>findKey(supplementary_offering_offeringid__4[[#This Row],[Value.legacyid]])</f>
        <v>100012-59</v>
      </c>
      <c r="D130" t="s">
        <v>5808</v>
      </c>
      <c r="E130" t="s">
        <v>2329</v>
      </c>
      <c r="H130" s="61"/>
      <c r="J130" t="str">
        <f>ToJsonArray(supplementary_offering_offeringid__4[[#Headers],[legacyid]:[activityId]],supplementary_offering_offeringid__4[[#This Row],[legacyid]:[activityId]])</f>
        <v>{"legacyid":"100012-59","name":"Voz-TD-Ilimitado","mode":"N"}</v>
      </c>
      <c r="K130" t="str">
        <f>ToJsonArray(supplementary_offering_offeringid__4[[#This Row],[produccion]],supplementary_offering_offeringid__4[[#This Row],[json]])</f>
        <v>{"910001259":{"legacyid":"100012-59","name":"Voz-TD-Ilimitado","mode":"N"}}</v>
      </c>
    </row>
    <row r="131" spans="1:11" x14ac:dyDescent="0.25">
      <c r="A131" s="61" t="s">
        <v>2568</v>
      </c>
      <c r="B131" t="s">
        <v>2567</v>
      </c>
      <c r="C131" t="str">
        <f>findKey(supplementary_offering_offeringid__4[[#This Row],[Value.legacyid]])</f>
        <v>100012-60</v>
      </c>
      <c r="D131" t="s">
        <v>5824</v>
      </c>
      <c r="E131" t="s">
        <v>2329</v>
      </c>
      <c r="H131" s="61"/>
      <c r="J131" t="str">
        <f>ToJsonArray(supplementary_offering_offeringid__4[[#Headers],[legacyid]:[activityId]],supplementary_offering_offeringid__4[[#This Row],[legacyid]:[activityId]])</f>
        <v>{"legacyid":"100012-60","name":"Voz-TD-15000s","mode":"N"}</v>
      </c>
      <c r="K131" t="str">
        <f>ToJsonArray(supplementary_offering_offeringid__4[[#This Row],[produccion]],supplementary_offering_offeringid__4[[#This Row],[json]])</f>
        <v>{"910001260":{"legacyid":"100012-60","name":"Voz-TD-15000s","mode":"N"}}</v>
      </c>
    </row>
    <row r="132" spans="1:11" x14ac:dyDescent="0.25">
      <c r="A132" s="61" t="s">
        <v>2571</v>
      </c>
      <c r="B132" t="s">
        <v>2570</v>
      </c>
      <c r="C132" t="str">
        <f>findKey(supplementary_offering_offeringid__4[[#This Row],[Value.legacyid]])</f>
        <v>100012-61</v>
      </c>
      <c r="D132" t="s">
        <v>5811</v>
      </c>
      <c r="E132" t="s">
        <v>2329</v>
      </c>
      <c r="H132" s="61"/>
      <c r="J132" t="str">
        <f>ToJsonArray(supplementary_offering_offeringid__4[[#Headers],[legacyid]:[activityId]],supplementary_offering_offeringid__4[[#This Row],[legacyid]:[activityId]])</f>
        <v>{"legacyid":"100012-61","name":"Voz-TD-24000s","mode":"N"}</v>
      </c>
      <c r="K132" t="str">
        <f>ToJsonArray(supplementary_offering_offeringid__4[[#This Row],[produccion]],supplementary_offering_offeringid__4[[#This Row],[json]])</f>
        <v>{"910001261":{"legacyid":"100012-61","name":"Voz-TD-24000s","mode":"N"}}</v>
      </c>
    </row>
    <row r="133" spans="1:11" x14ac:dyDescent="0.25">
      <c r="A133" s="61" t="s">
        <v>2574</v>
      </c>
      <c r="B133" t="s">
        <v>2573</v>
      </c>
      <c r="C133" t="str">
        <f>findKey(supplementary_offering_offeringid__4[[#This Row],[Value.legacyid]])</f>
        <v>100012-62</v>
      </c>
      <c r="D133" t="s">
        <v>5832</v>
      </c>
      <c r="E133" t="s">
        <v>2329</v>
      </c>
      <c r="H133" s="61"/>
      <c r="J133" t="str">
        <f>ToJsonArray(supplementary_offering_offeringid__4[[#Headers],[legacyid]:[activityId]],supplementary_offering_offeringid__4[[#This Row],[legacyid]:[activityId]])</f>
        <v>{"legacyid":"100012-62","name":"Voz-TD-45000s","mode":"N"}</v>
      </c>
      <c r="K133" t="str">
        <f>ToJsonArray(supplementary_offering_offeringid__4[[#This Row],[produccion]],supplementary_offering_offeringid__4[[#This Row],[json]])</f>
        <v>{"910001262":{"legacyid":"100012-62","name":"Voz-TD-45000s","mode":"N"}}</v>
      </c>
    </row>
    <row r="134" spans="1:11" x14ac:dyDescent="0.25">
      <c r="A134" s="61" t="s">
        <v>2577</v>
      </c>
      <c r="B134" t="s">
        <v>2576</v>
      </c>
      <c r="C134" t="str">
        <f>findKey(supplementary_offering_offeringid__4[[#This Row],[Value.legacyid]])</f>
        <v>100012-63</v>
      </c>
      <c r="D134" t="s">
        <v>5812</v>
      </c>
      <c r="E134" t="s">
        <v>2329</v>
      </c>
      <c r="H134" s="61"/>
      <c r="J134" t="str">
        <f>ToJsonArray(supplementary_offering_offeringid__4[[#Headers],[legacyid]:[activityId]],supplementary_offering_offeringid__4[[#This Row],[legacyid]:[activityId]])</f>
        <v>{"legacyid":"100012-63","name":"Voz-TD-54000s","mode":"N"}</v>
      </c>
      <c r="K134" t="str">
        <f>ToJsonArray(supplementary_offering_offeringid__4[[#This Row],[produccion]],supplementary_offering_offeringid__4[[#This Row],[json]])</f>
        <v>{"910001263":{"legacyid":"100012-63","name":"Voz-TD-54000s","mode":"N"}}</v>
      </c>
    </row>
    <row r="135" spans="1:11" x14ac:dyDescent="0.25">
      <c r="A135" s="61" t="s">
        <v>2580</v>
      </c>
      <c r="B135" t="s">
        <v>2579</v>
      </c>
      <c r="C135" t="str">
        <f>findKey(supplementary_offering_offeringid__4[[#This Row],[Value.legacyid]])</f>
        <v>100012-64</v>
      </c>
      <c r="D135" t="s">
        <v>5808</v>
      </c>
      <c r="E135" t="s">
        <v>2329</v>
      </c>
      <c r="H135" s="61"/>
      <c r="J135" t="str">
        <f>ToJsonArray(supplementary_offering_offeringid__4[[#Headers],[legacyid]:[activityId]],supplementary_offering_offeringid__4[[#This Row],[legacyid]:[activityId]])</f>
        <v>{"legacyid":"100012-64","name":"Voz-TD-Ilimitado","mode":"N"}</v>
      </c>
      <c r="K135" t="str">
        <f>ToJsonArray(supplementary_offering_offeringid__4[[#This Row],[produccion]],supplementary_offering_offeringid__4[[#This Row],[json]])</f>
        <v>{"910001264":{"legacyid":"100012-64","name":"Voz-TD-Ilimitado","mode":"N"}}</v>
      </c>
    </row>
    <row r="136" spans="1:11" x14ac:dyDescent="0.25">
      <c r="A136" s="61" t="s">
        <v>4411</v>
      </c>
      <c r="B136" t="s">
        <v>4410</v>
      </c>
      <c r="C136" t="str">
        <f>findKey(supplementary_offering_offeringid__4[[#This Row],[Value.legacyid]])</f>
        <v>100012-69</v>
      </c>
      <c r="D136" t="s">
        <v>5828</v>
      </c>
      <c r="E136" t="s">
        <v>2329</v>
      </c>
      <c r="H136" s="61"/>
      <c r="J136" t="str">
        <f>ToJsonArray(supplementary_offering_offeringid__4[[#Headers],[legacyid]:[activityId]],supplementary_offering_offeringid__4[[#This Row],[legacyid]:[activityId]])</f>
        <v>{"legacyid":"100012-69","name":"Voz-TD-9000s","mode":"N"}</v>
      </c>
      <c r="K136" t="str">
        <f>ToJsonArray(supplementary_offering_offeringid__4[[#This Row],[produccion]],supplementary_offering_offeringid__4[[#This Row],[json]])</f>
        <v>{"910001269":{"legacyid":"100012-69","name":"Voz-TD-9000s","mode":"N"}}</v>
      </c>
    </row>
    <row r="137" spans="1:11" x14ac:dyDescent="0.25">
      <c r="A137" s="61" t="s">
        <v>4414</v>
      </c>
      <c r="B137" t="s">
        <v>4413</v>
      </c>
      <c r="C137" t="str">
        <f>findKey(supplementary_offering_offeringid__4[[#This Row],[Value.legacyid]])</f>
        <v>100012-70</v>
      </c>
      <c r="D137" t="s">
        <v>5810</v>
      </c>
      <c r="E137" t="s">
        <v>2329</v>
      </c>
      <c r="H137" s="61"/>
      <c r="J137" t="str">
        <f>ToJsonArray(supplementary_offering_offeringid__4[[#Headers],[legacyid]:[activityId]],supplementary_offering_offeringid__4[[#This Row],[legacyid]:[activityId]])</f>
        <v>{"legacyid":"100012-70","name":"Voz-TD-12000s","mode":"N"}</v>
      </c>
      <c r="K137" t="str">
        <f>ToJsonArray(supplementary_offering_offeringid__4[[#This Row],[produccion]],supplementary_offering_offeringid__4[[#This Row],[json]])</f>
        <v>{"910001270":{"legacyid":"100012-70","name":"Voz-TD-12000s","mode":"N"}}</v>
      </c>
    </row>
    <row r="138" spans="1:11" x14ac:dyDescent="0.25">
      <c r="A138" s="61" t="s">
        <v>2583</v>
      </c>
      <c r="B138" t="s">
        <v>2582</v>
      </c>
      <c r="C138" t="str">
        <f>findKey(supplementary_offering_offeringid__4[[#This Row],[Value.legacyid]])</f>
        <v>100012-71</v>
      </c>
      <c r="D138" t="s">
        <v>5810</v>
      </c>
      <c r="E138" t="s">
        <v>2329</v>
      </c>
      <c r="H138" s="61"/>
      <c r="J138" t="str">
        <f>ToJsonArray(supplementary_offering_offeringid__4[[#Headers],[legacyid]:[activityId]],supplementary_offering_offeringid__4[[#This Row],[legacyid]:[activityId]])</f>
        <v>{"legacyid":"100012-71","name":"Voz-TD-12000s","mode":"N"}</v>
      </c>
      <c r="K138" t="str">
        <f>ToJsonArray(supplementary_offering_offeringid__4[[#This Row],[produccion]],supplementary_offering_offeringid__4[[#This Row],[json]])</f>
        <v>{"910001271":{"legacyid":"100012-71","name":"Voz-TD-12000s","mode":"N"}}</v>
      </c>
    </row>
    <row r="139" spans="1:11" x14ac:dyDescent="0.25">
      <c r="A139" s="61" t="s">
        <v>2586</v>
      </c>
      <c r="B139" t="s">
        <v>2585</v>
      </c>
      <c r="C139" t="str">
        <f>findKey(supplementary_offering_offeringid__4[[#This Row],[Value.legacyid]])</f>
        <v>100012-72</v>
      </c>
      <c r="D139" t="s">
        <v>5810</v>
      </c>
      <c r="E139" t="s">
        <v>2329</v>
      </c>
      <c r="H139" s="61"/>
      <c r="J139" t="str">
        <f>ToJsonArray(supplementary_offering_offeringid__4[[#Headers],[legacyid]:[activityId]],supplementary_offering_offeringid__4[[#This Row],[legacyid]:[activityId]])</f>
        <v>{"legacyid":"100012-72","name":"Voz-TD-12000s","mode":"N"}</v>
      </c>
      <c r="K139" t="str">
        <f>ToJsonArray(supplementary_offering_offeringid__4[[#This Row],[produccion]],supplementary_offering_offeringid__4[[#This Row],[json]])</f>
        <v>{"910001272":{"legacyid":"100012-72","name":"Voz-TD-12000s","mode":"N"}}</v>
      </c>
    </row>
    <row r="140" spans="1:11" x14ac:dyDescent="0.25">
      <c r="A140" s="61" t="s">
        <v>2589</v>
      </c>
      <c r="B140" t="s">
        <v>2588</v>
      </c>
      <c r="C140" t="str">
        <f>findKey(supplementary_offering_offeringid__4[[#This Row],[Value.legacyid]])</f>
        <v>100012-73</v>
      </c>
      <c r="D140" t="s">
        <v>5810</v>
      </c>
      <c r="E140" t="s">
        <v>2329</v>
      </c>
      <c r="H140" s="61"/>
      <c r="J140" t="str">
        <f>ToJsonArray(supplementary_offering_offeringid__4[[#Headers],[legacyid]:[activityId]],supplementary_offering_offeringid__4[[#This Row],[legacyid]:[activityId]])</f>
        <v>{"legacyid":"100012-73","name":"Voz-TD-12000s","mode":"N"}</v>
      </c>
      <c r="K140" t="str">
        <f>ToJsonArray(supplementary_offering_offeringid__4[[#This Row],[produccion]],supplementary_offering_offeringid__4[[#This Row],[json]])</f>
        <v>{"910001273":{"legacyid":"100012-73","name":"Voz-TD-12000s","mode":"N"}}</v>
      </c>
    </row>
    <row r="141" spans="1:11" x14ac:dyDescent="0.25">
      <c r="A141" s="61" t="s">
        <v>2592</v>
      </c>
      <c r="B141" t="s">
        <v>2591</v>
      </c>
      <c r="C141" t="str">
        <f>findKey(supplementary_offering_offeringid__4[[#This Row],[Value.legacyid]])</f>
        <v>100012-74</v>
      </c>
      <c r="D141" t="s">
        <v>5810</v>
      </c>
      <c r="E141" t="s">
        <v>2329</v>
      </c>
      <c r="H141" s="61"/>
      <c r="J141" t="str">
        <f>ToJsonArray(supplementary_offering_offeringid__4[[#Headers],[legacyid]:[activityId]],supplementary_offering_offeringid__4[[#This Row],[legacyid]:[activityId]])</f>
        <v>{"legacyid":"100012-74","name":"Voz-TD-12000s","mode":"N"}</v>
      </c>
      <c r="K141" t="str">
        <f>ToJsonArray(supplementary_offering_offeringid__4[[#This Row],[produccion]],supplementary_offering_offeringid__4[[#This Row],[json]])</f>
        <v>{"910001274":{"legacyid":"100012-74","name":"Voz-TD-12000s","mode":"N"}}</v>
      </c>
    </row>
    <row r="142" spans="1:11" x14ac:dyDescent="0.25">
      <c r="A142" s="61" t="s">
        <v>2595</v>
      </c>
      <c r="B142" t="s">
        <v>2594</v>
      </c>
      <c r="C142" t="str">
        <f>findKey(supplementary_offering_offeringid__4[[#This Row],[Value.legacyid]])</f>
        <v>100012-75</v>
      </c>
      <c r="D142" t="s">
        <v>5810</v>
      </c>
      <c r="E142" t="s">
        <v>2329</v>
      </c>
      <c r="H142" s="61"/>
      <c r="J142" t="str">
        <f>ToJsonArray(supplementary_offering_offeringid__4[[#Headers],[legacyid]:[activityId]],supplementary_offering_offeringid__4[[#This Row],[legacyid]:[activityId]])</f>
        <v>{"legacyid":"100012-75","name":"Voz-TD-12000s","mode":"N"}</v>
      </c>
      <c r="K142" t="str">
        <f>ToJsonArray(supplementary_offering_offeringid__4[[#This Row],[produccion]],supplementary_offering_offeringid__4[[#This Row],[json]])</f>
        <v>{"910001275":{"legacyid":"100012-75","name":"Voz-TD-12000s","mode":"N"}}</v>
      </c>
    </row>
    <row r="143" spans="1:11" x14ac:dyDescent="0.25">
      <c r="A143" s="61" t="s">
        <v>3889</v>
      </c>
      <c r="B143" t="s">
        <v>3888</v>
      </c>
      <c r="C143" t="str">
        <f>findKey(supplementary_offering_offeringid__4[[#This Row],[Value.legacyid]])</f>
        <v>100012-80</v>
      </c>
      <c r="D143" t="s">
        <v>5824</v>
      </c>
      <c r="E143" t="s">
        <v>2329</v>
      </c>
      <c r="H143" s="61"/>
      <c r="J143" t="str">
        <f>ToJsonArray(supplementary_offering_offeringid__4[[#Headers],[legacyid]:[activityId]],supplementary_offering_offeringid__4[[#This Row],[legacyid]:[activityId]])</f>
        <v>{"legacyid":"100012-80","name":"Voz-TD-15000s","mode":"N"}</v>
      </c>
      <c r="K143" t="str">
        <f>ToJsonArray(supplementary_offering_offeringid__4[[#This Row],[produccion]],supplementary_offering_offeringid__4[[#This Row],[json]])</f>
        <v>{"910001280":{"legacyid":"100012-80","name":"Voz-TD-15000s","mode":"N"}}</v>
      </c>
    </row>
    <row r="144" spans="1:11" x14ac:dyDescent="0.25">
      <c r="A144" s="61" t="s">
        <v>3892</v>
      </c>
      <c r="B144" t="s">
        <v>3891</v>
      </c>
      <c r="C144" t="str">
        <f>findKey(supplementary_offering_offeringid__4[[#This Row],[Value.legacyid]])</f>
        <v>100012-81</v>
      </c>
      <c r="D144" t="s">
        <v>5811</v>
      </c>
      <c r="E144" t="s">
        <v>2329</v>
      </c>
      <c r="H144" s="61"/>
      <c r="J144" t="str">
        <f>ToJsonArray(supplementary_offering_offeringid__4[[#Headers],[legacyid]:[activityId]],supplementary_offering_offeringid__4[[#This Row],[legacyid]:[activityId]])</f>
        <v>{"legacyid":"100012-81","name":"Voz-TD-24000s","mode":"N"}</v>
      </c>
      <c r="K144" t="str">
        <f>ToJsonArray(supplementary_offering_offeringid__4[[#This Row],[produccion]],supplementary_offering_offeringid__4[[#This Row],[json]])</f>
        <v>{"910001281":{"legacyid":"100012-81","name":"Voz-TD-24000s","mode":"N"}}</v>
      </c>
    </row>
    <row r="145" spans="1:11" x14ac:dyDescent="0.25">
      <c r="A145" s="61" t="s">
        <v>3895</v>
      </c>
      <c r="B145" t="s">
        <v>3894</v>
      </c>
      <c r="C145" t="str">
        <f>findKey(supplementary_offering_offeringid__4[[#This Row],[Value.legacyid]])</f>
        <v>100012-82</v>
      </c>
      <c r="D145" t="s">
        <v>5832</v>
      </c>
      <c r="E145" t="s">
        <v>2329</v>
      </c>
      <c r="H145" s="61"/>
      <c r="J145" t="str">
        <f>ToJsonArray(supplementary_offering_offeringid__4[[#Headers],[legacyid]:[activityId]],supplementary_offering_offeringid__4[[#This Row],[legacyid]:[activityId]])</f>
        <v>{"legacyid":"100012-82","name":"Voz-TD-45000s","mode":"N"}</v>
      </c>
      <c r="K145" t="str">
        <f>ToJsonArray(supplementary_offering_offeringid__4[[#This Row],[produccion]],supplementary_offering_offeringid__4[[#This Row],[json]])</f>
        <v>{"910001282":{"legacyid":"100012-82","name":"Voz-TD-45000s","mode":"N"}}</v>
      </c>
    </row>
    <row r="146" spans="1:11" x14ac:dyDescent="0.25">
      <c r="A146" s="61" t="s">
        <v>3898</v>
      </c>
      <c r="B146" t="s">
        <v>3897</v>
      </c>
      <c r="C146" t="str">
        <f>findKey(supplementary_offering_offeringid__4[[#This Row],[Value.legacyid]])</f>
        <v>100012-83</v>
      </c>
      <c r="D146" t="s">
        <v>5812</v>
      </c>
      <c r="E146" t="s">
        <v>2329</v>
      </c>
      <c r="H146" s="61"/>
      <c r="J146" t="str">
        <f>ToJsonArray(supplementary_offering_offeringid__4[[#Headers],[legacyid]:[activityId]],supplementary_offering_offeringid__4[[#This Row],[legacyid]:[activityId]])</f>
        <v>{"legacyid":"100012-83","name":"Voz-TD-54000s","mode":"N"}</v>
      </c>
      <c r="K146" t="str">
        <f>ToJsonArray(supplementary_offering_offeringid__4[[#This Row],[produccion]],supplementary_offering_offeringid__4[[#This Row],[json]])</f>
        <v>{"910001283":{"legacyid":"100012-83","name":"Voz-TD-54000s","mode":"N"}}</v>
      </c>
    </row>
    <row r="147" spans="1:11" x14ac:dyDescent="0.25">
      <c r="A147" s="61" t="s">
        <v>3901</v>
      </c>
      <c r="B147" t="s">
        <v>3900</v>
      </c>
      <c r="C147" t="str">
        <f>findKey(supplementary_offering_offeringid__4[[#This Row],[Value.legacyid]])</f>
        <v>100012-84</v>
      </c>
      <c r="D147" t="s">
        <v>5825</v>
      </c>
      <c r="E147" t="s">
        <v>2329</v>
      </c>
      <c r="H147" s="61"/>
      <c r="J147" t="str">
        <f>ToJsonArray(supplementary_offering_offeringid__4[[#Headers],[legacyid]:[activityId]],supplementary_offering_offeringid__4[[#This Row],[legacyid]:[activityId]])</f>
        <v>{"legacyid":"100012-84","name":"Voz-TD-84000s","mode":"N"}</v>
      </c>
      <c r="K147" t="str">
        <f>ToJsonArray(supplementary_offering_offeringid__4[[#This Row],[produccion]],supplementary_offering_offeringid__4[[#This Row],[json]])</f>
        <v>{"910001284":{"legacyid":"100012-84","name":"Voz-TD-84000s","mode":"N"}}</v>
      </c>
    </row>
    <row r="148" spans="1:11" x14ac:dyDescent="0.25">
      <c r="A148" s="61" t="s">
        <v>3904</v>
      </c>
      <c r="B148" t="s">
        <v>3903</v>
      </c>
      <c r="C148" t="str">
        <f>findKey(supplementary_offering_offeringid__4[[#This Row],[Value.legacyid]])</f>
        <v>100012-85</v>
      </c>
      <c r="D148" t="s">
        <v>5813</v>
      </c>
      <c r="E148" t="s">
        <v>2329</v>
      </c>
      <c r="H148" s="61"/>
      <c r="J148" t="str">
        <f>ToJsonArray(supplementary_offering_offeringid__4[[#Headers],[legacyid]:[activityId]],supplementary_offering_offeringid__4[[#This Row],[legacyid]:[activityId]])</f>
        <v>{"legacyid":"100012-85","name":"Voz-TD-2678400s","mode":"N"}</v>
      </c>
      <c r="K148" t="str">
        <f>ToJsonArray(supplementary_offering_offeringid__4[[#This Row],[produccion]],supplementary_offering_offeringid__4[[#This Row],[json]])</f>
        <v>{"910001285":{"legacyid":"100012-85","name":"Voz-TD-2678400s","mode":"N"}}</v>
      </c>
    </row>
    <row r="149" spans="1:11" x14ac:dyDescent="0.25">
      <c r="A149" s="61" t="s">
        <v>3907</v>
      </c>
      <c r="B149" t="s">
        <v>3906</v>
      </c>
      <c r="C149" t="str">
        <f>findKey(supplementary_offering_offeringid__4[[#This Row],[Value.legacyid]])</f>
        <v>100012-86</v>
      </c>
      <c r="D149" t="s">
        <v>5813</v>
      </c>
      <c r="E149" t="s">
        <v>2329</v>
      </c>
      <c r="H149" s="61"/>
      <c r="J149" t="str">
        <f>ToJsonArray(supplementary_offering_offeringid__4[[#Headers],[legacyid]:[activityId]],supplementary_offering_offeringid__4[[#This Row],[legacyid]:[activityId]])</f>
        <v>{"legacyid":"100012-86","name":"Voz-TD-2678400s","mode":"N"}</v>
      </c>
      <c r="K149" t="str">
        <f>ToJsonArray(supplementary_offering_offeringid__4[[#This Row],[produccion]],supplementary_offering_offeringid__4[[#This Row],[json]])</f>
        <v>{"910001286":{"legacyid":"100012-86","name":"Voz-TD-2678400s","mode":"N"}}</v>
      </c>
    </row>
    <row r="150" spans="1:11" x14ac:dyDescent="0.25">
      <c r="A150" s="61" t="s">
        <v>3910</v>
      </c>
      <c r="B150" t="s">
        <v>3909</v>
      </c>
      <c r="C150" t="str">
        <f>findKey(supplementary_offering_offeringid__4[[#This Row],[Value.legacyid]])</f>
        <v>100012-87</v>
      </c>
      <c r="D150" t="s">
        <v>5813</v>
      </c>
      <c r="E150" t="s">
        <v>2329</v>
      </c>
      <c r="H150" s="61"/>
      <c r="J150" t="str">
        <f>ToJsonArray(supplementary_offering_offeringid__4[[#Headers],[legacyid]:[activityId]],supplementary_offering_offeringid__4[[#This Row],[legacyid]:[activityId]])</f>
        <v>{"legacyid":"100012-87","name":"Voz-TD-2678400s","mode":"N"}</v>
      </c>
      <c r="K150" t="str">
        <f>ToJsonArray(supplementary_offering_offeringid__4[[#This Row],[produccion]],supplementary_offering_offeringid__4[[#This Row],[json]])</f>
        <v>{"910001287":{"legacyid":"100012-87","name":"Voz-TD-2678400s","mode":"N"}}</v>
      </c>
    </row>
    <row r="151" spans="1:11" x14ac:dyDescent="0.25">
      <c r="A151" s="61" t="s">
        <v>3913</v>
      </c>
      <c r="B151" t="s">
        <v>3912</v>
      </c>
      <c r="C151" t="str">
        <f>findKey(supplementary_offering_offeringid__4[[#This Row],[Value.legacyid]])</f>
        <v>100012-88</v>
      </c>
      <c r="D151" t="s">
        <v>5813</v>
      </c>
      <c r="E151" t="s">
        <v>2329</v>
      </c>
      <c r="H151" s="61"/>
      <c r="J151" t="str">
        <f>ToJsonArray(supplementary_offering_offeringid__4[[#Headers],[legacyid]:[activityId]],supplementary_offering_offeringid__4[[#This Row],[legacyid]:[activityId]])</f>
        <v>{"legacyid":"100012-88","name":"Voz-TD-2678400s","mode":"N"}</v>
      </c>
      <c r="K151" t="str">
        <f>ToJsonArray(supplementary_offering_offeringid__4[[#This Row],[produccion]],supplementary_offering_offeringid__4[[#This Row],[json]])</f>
        <v>{"910001288":{"legacyid":"100012-88","name":"Voz-TD-2678400s","mode":"N"}}</v>
      </c>
    </row>
    <row r="152" spans="1:11" x14ac:dyDescent="0.25">
      <c r="A152" s="61" t="s">
        <v>3916</v>
      </c>
      <c r="B152" t="s">
        <v>3915</v>
      </c>
      <c r="C152" t="str">
        <f>findKey(supplementary_offering_offeringid__4[[#This Row],[Value.legacyid]])</f>
        <v>100012-89</v>
      </c>
      <c r="D152" t="s">
        <v>5813</v>
      </c>
      <c r="E152" t="s">
        <v>2329</v>
      </c>
      <c r="H152" s="61"/>
      <c r="J152" t="str">
        <f>ToJsonArray(supplementary_offering_offeringid__4[[#Headers],[legacyid]:[activityId]],supplementary_offering_offeringid__4[[#This Row],[legacyid]:[activityId]])</f>
        <v>{"legacyid":"100012-89","name":"Voz-TD-2678400s","mode":"N"}</v>
      </c>
      <c r="K152" t="str">
        <f>ToJsonArray(supplementary_offering_offeringid__4[[#This Row],[produccion]],supplementary_offering_offeringid__4[[#This Row],[json]])</f>
        <v>{"910001289":{"legacyid":"100012-89","name":"Voz-TD-2678400s","mode":"N"}}</v>
      </c>
    </row>
    <row r="153" spans="1:11" x14ac:dyDescent="0.25">
      <c r="A153" s="61" t="s">
        <v>3919</v>
      </c>
      <c r="B153" t="s">
        <v>3918</v>
      </c>
      <c r="C153" t="str">
        <f>findKey(supplementary_offering_offeringid__4[[#This Row],[Value.legacyid]])</f>
        <v>100012-90</v>
      </c>
      <c r="D153" t="s">
        <v>5813</v>
      </c>
      <c r="E153" t="s">
        <v>2329</v>
      </c>
      <c r="H153" s="61"/>
      <c r="J153" t="str">
        <f>ToJsonArray(supplementary_offering_offeringid__4[[#Headers],[legacyid]:[activityId]],supplementary_offering_offeringid__4[[#This Row],[legacyid]:[activityId]])</f>
        <v>{"legacyid":"100012-90","name":"Voz-TD-2678400s","mode":"N"}</v>
      </c>
      <c r="K153" t="str">
        <f>ToJsonArray(supplementary_offering_offeringid__4[[#This Row],[produccion]],supplementary_offering_offeringid__4[[#This Row],[json]])</f>
        <v>{"910001290":{"legacyid":"100012-90","name":"Voz-TD-2678400s","mode":"N"}}</v>
      </c>
    </row>
    <row r="154" spans="1:11" x14ac:dyDescent="0.25">
      <c r="A154" s="61" t="s">
        <v>3922</v>
      </c>
      <c r="B154" t="s">
        <v>3921</v>
      </c>
      <c r="C154" t="str">
        <f>findKey(supplementary_offering_offeringid__4[[#This Row],[Value.legacyid]])</f>
        <v>100012-91</v>
      </c>
      <c r="D154" t="s">
        <v>5824</v>
      </c>
      <c r="E154" t="s">
        <v>2329</v>
      </c>
      <c r="H154" s="61"/>
      <c r="J154" t="str">
        <f>ToJsonArray(supplementary_offering_offeringid__4[[#Headers],[legacyid]:[activityId]],supplementary_offering_offeringid__4[[#This Row],[legacyid]:[activityId]])</f>
        <v>{"legacyid":"100012-91","name":"Voz-TD-15000s","mode":"N"}</v>
      </c>
      <c r="K154" t="str">
        <f>ToJsonArray(supplementary_offering_offeringid__4[[#This Row],[produccion]],supplementary_offering_offeringid__4[[#This Row],[json]])</f>
        <v>{"910001291":{"legacyid":"100012-91","name":"Voz-TD-15000s","mode":"N"}}</v>
      </c>
    </row>
    <row r="155" spans="1:11" x14ac:dyDescent="0.25">
      <c r="A155" s="61" t="s">
        <v>3925</v>
      </c>
      <c r="B155" t="s">
        <v>3924</v>
      </c>
      <c r="C155" t="str">
        <f>findKey(supplementary_offering_offeringid__4[[#This Row],[Value.legacyid]])</f>
        <v>100012-92</v>
      </c>
      <c r="D155" t="s">
        <v>5811</v>
      </c>
      <c r="E155" t="s">
        <v>2329</v>
      </c>
      <c r="H155" s="61"/>
      <c r="J155" t="str">
        <f>ToJsonArray(supplementary_offering_offeringid__4[[#Headers],[legacyid]:[activityId]],supplementary_offering_offeringid__4[[#This Row],[legacyid]:[activityId]])</f>
        <v>{"legacyid":"100012-92","name":"Voz-TD-24000s","mode":"N"}</v>
      </c>
      <c r="K155" t="str">
        <f>ToJsonArray(supplementary_offering_offeringid__4[[#This Row],[produccion]],supplementary_offering_offeringid__4[[#This Row],[json]])</f>
        <v>{"910001292":{"legacyid":"100012-92","name":"Voz-TD-24000s","mode":"N"}}</v>
      </c>
    </row>
    <row r="156" spans="1:11" x14ac:dyDescent="0.25">
      <c r="A156" s="61" t="s">
        <v>3928</v>
      </c>
      <c r="B156" t="s">
        <v>3927</v>
      </c>
      <c r="C156" t="str">
        <f>findKey(supplementary_offering_offeringid__4[[#This Row],[Value.legacyid]])</f>
        <v>100012-93</v>
      </c>
      <c r="D156" t="s">
        <v>5832</v>
      </c>
      <c r="E156" t="s">
        <v>2329</v>
      </c>
      <c r="H156" s="61"/>
      <c r="J156" t="str">
        <f>ToJsonArray(supplementary_offering_offeringid__4[[#Headers],[legacyid]:[activityId]],supplementary_offering_offeringid__4[[#This Row],[legacyid]:[activityId]])</f>
        <v>{"legacyid":"100012-93","name":"Voz-TD-45000s","mode":"N"}</v>
      </c>
      <c r="K156" t="str">
        <f>ToJsonArray(supplementary_offering_offeringid__4[[#This Row],[produccion]],supplementary_offering_offeringid__4[[#This Row],[json]])</f>
        <v>{"910001293":{"legacyid":"100012-93","name":"Voz-TD-45000s","mode":"N"}}</v>
      </c>
    </row>
    <row r="157" spans="1:11" x14ac:dyDescent="0.25">
      <c r="A157" s="61" t="s">
        <v>3931</v>
      </c>
      <c r="B157" t="s">
        <v>3930</v>
      </c>
      <c r="C157" t="str">
        <f>findKey(supplementary_offering_offeringid__4[[#This Row],[Value.legacyid]])</f>
        <v>100012-94</v>
      </c>
      <c r="D157" t="s">
        <v>5812</v>
      </c>
      <c r="E157" t="s">
        <v>2329</v>
      </c>
      <c r="H157" s="61"/>
      <c r="J157" t="str">
        <f>ToJsonArray(supplementary_offering_offeringid__4[[#Headers],[legacyid]:[activityId]],supplementary_offering_offeringid__4[[#This Row],[legacyid]:[activityId]])</f>
        <v>{"legacyid":"100012-94","name":"Voz-TD-54000s","mode":"N"}</v>
      </c>
      <c r="K157" t="str">
        <f>ToJsonArray(supplementary_offering_offeringid__4[[#This Row],[produccion]],supplementary_offering_offeringid__4[[#This Row],[json]])</f>
        <v>{"910001294":{"legacyid":"100012-94","name":"Voz-TD-54000s","mode":"N"}}</v>
      </c>
    </row>
    <row r="158" spans="1:11" x14ac:dyDescent="0.25">
      <c r="A158" s="61" t="s">
        <v>3934</v>
      </c>
      <c r="B158" t="s">
        <v>3933</v>
      </c>
      <c r="C158" t="str">
        <f>findKey(supplementary_offering_offeringid__4[[#This Row],[Value.legacyid]])</f>
        <v>100012-95</v>
      </c>
      <c r="D158" t="s">
        <v>5813</v>
      </c>
      <c r="E158" t="s">
        <v>2329</v>
      </c>
      <c r="H158" s="61"/>
      <c r="J158" t="str">
        <f>ToJsonArray(supplementary_offering_offeringid__4[[#Headers],[legacyid]:[activityId]],supplementary_offering_offeringid__4[[#This Row],[legacyid]:[activityId]])</f>
        <v>{"legacyid":"100012-95","name":"Voz-TD-2678400s","mode":"N"}</v>
      </c>
      <c r="K158" t="str">
        <f>ToJsonArray(supplementary_offering_offeringid__4[[#This Row],[produccion]],supplementary_offering_offeringid__4[[#This Row],[json]])</f>
        <v>{"910001295":{"legacyid":"100012-95","name":"Voz-TD-2678400s","mode":"N"}}</v>
      </c>
    </row>
    <row r="159" spans="1:11" x14ac:dyDescent="0.25">
      <c r="A159" s="61" t="s">
        <v>3937</v>
      </c>
      <c r="B159" t="s">
        <v>3936</v>
      </c>
      <c r="C159" t="str">
        <f>findKey(supplementary_offering_offeringid__4[[#This Row],[Value.legacyid]])</f>
        <v>100012-96</v>
      </c>
      <c r="D159" t="s">
        <v>5813</v>
      </c>
      <c r="E159" t="s">
        <v>2329</v>
      </c>
      <c r="H159" s="61"/>
      <c r="J159" t="str">
        <f>ToJsonArray(supplementary_offering_offeringid__4[[#Headers],[legacyid]:[activityId]],supplementary_offering_offeringid__4[[#This Row],[legacyid]:[activityId]])</f>
        <v>{"legacyid":"100012-96","name":"Voz-TD-2678400s","mode":"N"}</v>
      </c>
      <c r="K159" t="str">
        <f>ToJsonArray(supplementary_offering_offeringid__4[[#This Row],[produccion]],supplementary_offering_offeringid__4[[#This Row],[json]])</f>
        <v>{"910001296":{"legacyid":"100012-96","name":"Voz-TD-2678400s","mode":"N"}}</v>
      </c>
    </row>
    <row r="160" spans="1:11" x14ac:dyDescent="0.25">
      <c r="A160" s="61" t="s">
        <v>3940</v>
      </c>
      <c r="B160" t="s">
        <v>3939</v>
      </c>
      <c r="C160" t="str">
        <f>findKey(supplementary_offering_offeringid__4[[#This Row],[Value.legacyid]])</f>
        <v>100012-97</v>
      </c>
      <c r="D160" t="s">
        <v>5813</v>
      </c>
      <c r="E160" t="s">
        <v>2329</v>
      </c>
      <c r="H160" s="61"/>
      <c r="J160" t="str">
        <f>ToJsonArray(supplementary_offering_offeringid__4[[#Headers],[legacyid]:[activityId]],supplementary_offering_offeringid__4[[#This Row],[legacyid]:[activityId]])</f>
        <v>{"legacyid":"100012-97","name":"Voz-TD-2678400s","mode":"N"}</v>
      </c>
      <c r="K160" t="str">
        <f>ToJsonArray(supplementary_offering_offeringid__4[[#This Row],[produccion]],supplementary_offering_offeringid__4[[#This Row],[json]])</f>
        <v>{"910001297":{"legacyid":"100012-97","name":"Voz-TD-2678400s","mode":"N"}}</v>
      </c>
    </row>
    <row r="161" spans="1:11" x14ac:dyDescent="0.25">
      <c r="A161" s="61" t="s">
        <v>3943</v>
      </c>
      <c r="B161" t="s">
        <v>3942</v>
      </c>
      <c r="C161" t="str">
        <f>findKey(supplementary_offering_offeringid__4[[#This Row],[Value.legacyid]])</f>
        <v>100012-98</v>
      </c>
      <c r="D161" t="s">
        <v>5813</v>
      </c>
      <c r="E161" t="s">
        <v>2329</v>
      </c>
      <c r="H161" s="61"/>
      <c r="J161" t="str">
        <f>ToJsonArray(supplementary_offering_offeringid__4[[#Headers],[legacyid]:[activityId]],supplementary_offering_offeringid__4[[#This Row],[legacyid]:[activityId]])</f>
        <v>{"legacyid":"100012-98","name":"Voz-TD-2678400s","mode":"N"}</v>
      </c>
      <c r="K161" t="str">
        <f>ToJsonArray(supplementary_offering_offeringid__4[[#This Row],[produccion]],supplementary_offering_offeringid__4[[#This Row],[json]])</f>
        <v>{"910001298":{"legacyid":"100012-98","name":"Voz-TD-2678400s","mode":"N"}}</v>
      </c>
    </row>
    <row r="162" spans="1:11" x14ac:dyDescent="0.25">
      <c r="A162" s="61" t="s">
        <v>3946</v>
      </c>
      <c r="B162" t="s">
        <v>3945</v>
      </c>
      <c r="C162" t="str">
        <f>findKey(supplementary_offering_offeringid__4[[#This Row],[Value.legacyid]])</f>
        <v>100012-99</v>
      </c>
      <c r="D162" t="s">
        <v>5813</v>
      </c>
      <c r="E162" t="s">
        <v>2329</v>
      </c>
      <c r="H162" s="61"/>
      <c r="J162" t="str">
        <f>ToJsonArray(supplementary_offering_offeringid__4[[#Headers],[legacyid]:[activityId]],supplementary_offering_offeringid__4[[#This Row],[legacyid]:[activityId]])</f>
        <v>{"legacyid":"100012-99","name":"Voz-TD-2678400s","mode":"N"}</v>
      </c>
      <c r="K162" t="str">
        <f>ToJsonArray(supplementary_offering_offeringid__4[[#This Row],[produccion]],supplementary_offering_offeringid__4[[#This Row],[json]])</f>
        <v>{"910001299":{"legacyid":"100012-99","name":"Voz-TD-2678400s","mode":"N"}}</v>
      </c>
    </row>
    <row r="163" spans="1:11" x14ac:dyDescent="0.25">
      <c r="A163" s="61" t="s">
        <v>3949</v>
      </c>
      <c r="B163" t="s">
        <v>3948</v>
      </c>
      <c r="C163" t="str">
        <f>findKey(supplementary_offering_offeringid__4[[#This Row],[Value.legacyid]])</f>
        <v>100022-00</v>
      </c>
      <c r="D163" t="s">
        <v>5813</v>
      </c>
      <c r="E163" t="s">
        <v>2329</v>
      </c>
      <c r="H163" s="61"/>
      <c r="J163" t="str">
        <f>ToJsonArray(supplementary_offering_offeringid__4[[#Headers],[legacyid]:[activityId]],supplementary_offering_offeringid__4[[#This Row],[legacyid]:[activityId]])</f>
        <v>{"legacyid":"100022-00","name":"Voz-TD-2678400s","mode":"N"}</v>
      </c>
      <c r="K163" t="str">
        <f>ToJsonArray(supplementary_offering_offeringid__4[[#This Row],[produccion]],supplementary_offering_offeringid__4[[#This Row],[json]])</f>
        <v>{"910002200":{"legacyid":"100022-00","name":"Voz-TD-2678400s","mode":"N"}}</v>
      </c>
    </row>
    <row r="164" spans="1:11" x14ac:dyDescent="0.25">
      <c r="A164" s="61" t="s">
        <v>3952</v>
      </c>
      <c r="B164" t="s">
        <v>3951</v>
      </c>
      <c r="C164" t="str">
        <f>findKey(supplementary_offering_offeringid__4[[#This Row],[Value.legacyid]])</f>
        <v>100022-01</v>
      </c>
      <c r="D164" t="s">
        <v>5813</v>
      </c>
      <c r="E164" t="s">
        <v>2329</v>
      </c>
      <c r="H164" s="61"/>
      <c r="J164" t="str">
        <f>ToJsonArray(supplementary_offering_offeringid__4[[#Headers],[legacyid]:[activityId]],supplementary_offering_offeringid__4[[#This Row],[legacyid]:[activityId]])</f>
        <v>{"legacyid":"100022-01","name":"Voz-TD-2678400s","mode":"N"}</v>
      </c>
      <c r="K164" t="str">
        <f>ToJsonArray(supplementary_offering_offeringid__4[[#This Row],[produccion]],supplementary_offering_offeringid__4[[#This Row],[json]])</f>
        <v>{"910002201":{"legacyid":"100022-01","name":"Voz-TD-2678400s","mode":"N"}}</v>
      </c>
    </row>
    <row r="165" spans="1:11" x14ac:dyDescent="0.25">
      <c r="A165" s="61" t="s">
        <v>3955</v>
      </c>
      <c r="B165" t="s">
        <v>3954</v>
      </c>
      <c r="C165" t="str">
        <f>findKey(supplementary_offering_offeringid__4[[#This Row],[Value.legacyid]])</f>
        <v>100022-02</v>
      </c>
      <c r="D165" t="s">
        <v>5810</v>
      </c>
      <c r="E165" t="s">
        <v>2329</v>
      </c>
      <c r="H165" s="61"/>
      <c r="J165" t="str">
        <f>ToJsonArray(supplementary_offering_offeringid__4[[#Headers],[legacyid]:[activityId]],supplementary_offering_offeringid__4[[#This Row],[legacyid]:[activityId]])</f>
        <v>{"legacyid":"100022-02","name":"Voz-TD-12000s","mode":"N"}</v>
      </c>
      <c r="K165" t="str">
        <f>ToJsonArray(supplementary_offering_offeringid__4[[#This Row],[produccion]],supplementary_offering_offeringid__4[[#This Row],[json]])</f>
        <v>{"910002202":{"legacyid":"100022-02","name":"Voz-TD-12000s","mode":"N"}}</v>
      </c>
    </row>
    <row r="166" spans="1:11" x14ac:dyDescent="0.25">
      <c r="A166" s="61" t="s">
        <v>3958</v>
      </c>
      <c r="B166" t="s">
        <v>3957</v>
      </c>
      <c r="C166" t="str">
        <f>findKey(supplementary_offering_offeringid__4[[#This Row],[Value.legacyid]])</f>
        <v>100022-03</v>
      </c>
      <c r="D166" t="s">
        <v>5810</v>
      </c>
      <c r="E166" t="s">
        <v>2329</v>
      </c>
      <c r="H166" s="61"/>
      <c r="J166" t="str">
        <f>ToJsonArray(supplementary_offering_offeringid__4[[#Headers],[legacyid]:[activityId]],supplementary_offering_offeringid__4[[#This Row],[legacyid]:[activityId]])</f>
        <v>{"legacyid":"100022-03","name":"Voz-TD-12000s","mode":"N"}</v>
      </c>
      <c r="K166" t="str">
        <f>ToJsonArray(supplementary_offering_offeringid__4[[#This Row],[produccion]],supplementary_offering_offeringid__4[[#This Row],[json]])</f>
        <v>{"910002203":{"legacyid":"100022-03","name":"Voz-TD-12000s","mode":"N"}}</v>
      </c>
    </row>
    <row r="167" spans="1:11" x14ac:dyDescent="0.25">
      <c r="A167" s="61" t="s">
        <v>3961</v>
      </c>
      <c r="B167" t="s">
        <v>3960</v>
      </c>
      <c r="C167" t="str">
        <f>findKey(supplementary_offering_offeringid__4[[#This Row],[Value.legacyid]])</f>
        <v>100022-04</v>
      </c>
      <c r="D167" t="s">
        <v>5810</v>
      </c>
      <c r="E167" t="s">
        <v>2329</v>
      </c>
      <c r="H167" s="61"/>
      <c r="J167" t="str">
        <f>ToJsonArray(supplementary_offering_offeringid__4[[#Headers],[legacyid]:[activityId]],supplementary_offering_offeringid__4[[#This Row],[legacyid]:[activityId]])</f>
        <v>{"legacyid":"100022-04","name":"Voz-TD-12000s","mode":"N"}</v>
      </c>
      <c r="K167" t="str">
        <f>ToJsonArray(supplementary_offering_offeringid__4[[#This Row],[produccion]],supplementary_offering_offeringid__4[[#This Row],[json]])</f>
        <v>{"910002204":{"legacyid":"100022-04","name":"Voz-TD-12000s","mode":"N"}}</v>
      </c>
    </row>
    <row r="168" spans="1:11" x14ac:dyDescent="0.25">
      <c r="A168" s="61" t="s">
        <v>3964</v>
      </c>
      <c r="B168" t="s">
        <v>3963</v>
      </c>
      <c r="C168" t="str">
        <f>findKey(supplementary_offering_offeringid__4[[#This Row],[Value.legacyid]])</f>
        <v>100022-05</v>
      </c>
      <c r="D168" t="s">
        <v>5810</v>
      </c>
      <c r="E168" t="s">
        <v>2329</v>
      </c>
      <c r="H168" s="61"/>
      <c r="J168" t="str">
        <f>ToJsonArray(supplementary_offering_offeringid__4[[#Headers],[legacyid]:[activityId]],supplementary_offering_offeringid__4[[#This Row],[legacyid]:[activityId]])</f>
        <v>{"legacyid":"100022-05","name":"Voz-TD-12000s","mode":"N"}</v>
      </c>
      <c r="K168" t="str">
        <f>ToJsonArray(supplementary_offering_offeringid__4[[#This Row],[produccion]],supplementary_offering_offeringid__4[[#This Row],[json]])</f>
        <v>{"910002205":{"legacyid":"100022-05","name":"Voz-TD-12000s","mode":"N"}}</v>
      </c>
    </row>
    <row r="169" spans="1:11" x14ac:dyDescent="0.25">
      <c r="A169" s="61" t="s">
        <v>3967</v>
      </c>
      <c r="B169" t="s">
        <v>3966</v>
      </c>
      <c r="C169" t="str">
        <f>findKey(supplementary_offering_offeringid__4[[#This Row],[Value.legacyid]])</f>
        <v>100022-06</v>
      </c>
      <c r="D169" t="s">
        <v>5810</v>
      </c>
      <c r="E169" t="s">
        <v>2329</v>
      </c>
      <c r="H169" s="61"/>
      <c r="J169" t="str">
        <f>ToJsonArray(supplementary_offering_offeringid__4[[#Headers],[legacyid]:[activityId]],supplementary_offering_offeringid__4[[#This Row],[legacyid]:[activityId]])</f>
        <v>{"legacyid":"100022-06","name":"Voz-TD-12000s","mode":"N"}</v>
      </c>
      <c r="K169" t="str">
        <f>ToJsonArray(supplementary_offering_offeringid__4[[#This Row],[produccion]],supplementary_offering_offeringid__4[[#This Row],[json]])</f>
        <v>{"910002206":{"legacyid":"100022-06","name":"Voz-TD-12000s","mode":"N"}}</v>
      </c>
    </row>
    <row r="170" spans="1:11" x14ac:dyDescent="0.25">
      <c r="A170" s="61" t="s">
        <v>3970</v>
      </c>
      <c r="B170" t="s">
        <v>3969</v>
      </c>
      <c r="C170" t="str">
        <f>findKey(supplementary_offering_offeringid__4[[#This Row],[Value.legacyid]])</f>
        <v>100022-07</v>
      </c>
      <c r="D170" t="s">
        <v>5810</v>
      </c>
      <c r="E170" t="s">
        <v>2329</v>
      </c>
      <c r="H170" s="61"/>
      <c r="J170" t="str">
        <f>ToJsonArray(supplementary_offering_offeringid__4[[#Headers],[legacyid]:[activityId]],supplementary_offering_offeringid__4[[#This Row],[legacyid]:[activityId]])</f>
        <v>{"legacyid":"100022-07","name":"Voz-TD-12000s","mode":"N"}</v>
      </c>
      <c r="K170" t="str">
        <f>ToJsonArray(supplementary_offering_offeringid__4[[#This Row],[produccion]],supplementary_offering_offeringid__4[[#This Row],[json]])</f>
        <v>{"910002207":{"legacyid":"100022-07","name":"Voz-TD-12000s","mode":"N"}}</v>
      </c>
    </row>
    <row r="171" spans="1:11" x14ac:dyDescent="0.25">
      <c r="A171" s="61" t="s">
        <v>3973</v>
      </c>
      <c r="B171" t="s">
        <v>3972</v>
      </c>
      <c r="C171" t="str">
        <f>findKey(supplementary_offering_offeringid__4[[#This Row],[Value.legacyid]])</f>
        <v>100022-08</v>
      </c>
      <c r="D171" t="s">
        <v>5828</v>
      </c>
      <c r="E171" t="s">
        <v>2329</v>
      </c>
      <c r="H171" s="61"/>
      <c r="J171" t="str">
        <f>ToJsonArray(supplementary_offering_offeringid__4[[#Headers],[legacyid]:[activityId]],supplementary_offering_offeringid__4[[#This Row],[legacyid]:[activityId]])</f>
        <v>{"legacyid":"100022-08","name":"Voz-TD-9000s","mode":"N"}</v>
      </c>
      <c r="K171" t="str">
        <f>ToJsonArray(supplementary_offering_offeringid__4[[#This Row],[produccion]],supplementary_offering_offeringid__4[[#This Row],[json]])</f>
        <v>{"910002208":{"legacyid":"100022-08","name":"Voz-TD-9000s","mode":"N"}}</v>
      </c>
    </row>
    <row r="172" spans="1:11" x14ac:dyDescent="0.25">
      <c r="A172" s="61" t="s">
        <v>3976</v>
      </c>
      <c r="B172" t="s">
        <v>3975</v>
      </c>
      <c r="C172" t="str">
        <f>findKey(supplementary_offering_offeringid__4[[#This Row],[Value.legacyid]])</f>
        <v>100022-09</v>
      </c>
      <c r="D172" t="s">
        <v>5810</v>
      </c>
      <c r="E172" t="s">
        <v>2329</v>
      </c>
      <c r="H172" s="61"/>
      <c r="J172" t="str">
        <f>ToJsonArray(supplementary_offering_offeringid__4[[#Headers],[legacyid]:[activityId]],supplementary_offering_offeringid__4[[#This Row],[legacyid]:[activityId]])</f>
        <v>{"legacyid":"100022-09","name":"Voz-TD-12000s","mode":"N"}</v>
      </c>
      <c r="K172" t="str">
        <f>ToJsonArray(supplementary_offering_offeringid__4[[#This Row],[produccion]],supplementary_offering_offeringid__4[[#This Row],[json]])</f>
        <v>{"910002209":{"legacyid":"100022-09","name":"Voz-TD-12000s","mode":"N"}}</v>
      </c>
    </row>
    <row r="173" spans="1:11" x14ac:dyDescent="0.25">
      <c r="A173" s="61" t="s">
        <v>3979</v>
      </c>
      <c r="B173" t="s">
        <v>3978</v>
      </c>
      <c r="C173" t="str">
        <f>findKey(supplementary_offering_offeringid__4[[#This Row],[Value.legacyid]])</f>
        <v>100022-10</v>
      </c>
      <c r="D173" t="s">
        <v>5810</v>
      </c>
      <c r="E173" t="s">
        <v>2329</v>
      </c>
      <c r="H173" s="61"/>
      <c r="J173" t="str">
        <f>ToJsonArray(supplementary_offering_offeringid__4[[#Headers],[legacyid]:[activityId]],supplementary_offering_offeringid__4[[#This Row],[legacyid]:[activityId]])</f>
        <v>{"legacyid":"100022-10","name":"Voz-TD-12000s","mode":"N"}</v>
      </c>
      <c r="K173" t="str">
        <f>ToJsonArray(supplementary_offering_offeringid__4[[#This Row],[produccion]],supplementary_offering_offeringid__4[[#This Row],[json]])</f>
        <v>{"910002210":{"legacyid":"100022-10","name":"Voz-TD-12000s","mode":"N"}}</v>
      </c>
    </row>
    <row r="174" spans="1:11" x14ac:dyDescent="0.25">
      <c r="A174" s="61" t="s">
        <v>3982</v>
      </c>
      <c r="B174" t="s">
        <v>3981</v>
      </c>
      <c r="C174" t="str">
        <f>findKey(supplementary_offering_offeringid__4[[#This Row],[Value.legacyid]])</f>
        <v>100022-11</v>
      </c>
      <c r="D174" t="s">
        <v>5833</v>
      </c>
      <c r="E174" t="s">
        <v>2329</v>
      </c>
      <c r="H174" s="61"/>
      <c r="J174" t="str">
        <f>ToJsonArray(supplementary_offering_offeringid__4[[#Headers],[legacyid]:[activityId]],supplementary_offering_offeringid__4[[#This Row],[legacyid]:[activityId]])</f>
        <v>{"legacyid":"100022-11","name":"Voz-TD-300000s","mode":"N"}</v>
      </c>
      <c r="K174" t="str">
        <f>ToJsonArray(supplementary_offering_offeringid__4[[#This Row],[produccion]],supplementary_offering_offeringid__4[[#This Row],[json]])</f>
        <v>{"910002211":{"legacyid":"100022-11","name":"Voz-TD-300000s","mode":"N"}}</v>
      </c>
    </row>
    <row r="175" spans="1:11" x14ac:dyDescent="0.25">
      <c r="A175" s="61" t="s">
        <v>3985</v>
      </c>
      <c r="B175" t="s">
        <v>3984</v>
      </c>
      <c r="C175" t="str">
        <f>findKey(supplementary_offering_offeringid__4[[#This Row],[Value.legacyid]])</f>
        <v>100022-12</v>
      </c>
      <c r="D175" t="s">
        <v>5834</v>
      </c>
      <c r="E175" t="s">
        <v>2329</v>
      </c>
      <c r="H175" s="61"/>
      <c r="J175" t="str">
        <f>ToJsonArray(supplementary_offering_offeringid__4[[#Headers],[legacyid]:[activityId]],supplementary_offering_offeringid__4[[#This Row],[legacyid]:[activityId]])</f>
        <v>{"legacyid":"100022-12","name":"Voz-TD-600000s","mode":"N"}</v>
      </c>
      <c r="K175" t="str">
        <f>ToJsonArray(supplementary_offering_offeringid__4[[#This Row],[produccion]],supplementary_offering_offeringid__4[[#This Row],[json]])</f>
        <v>{"910002212":{"legacyid":"100022-12","name":"Voz-TD-600000s","mode":"N"}}</v>
      </c>
    </row>
    <row r="176" spans="1:11" x14ac:dyDescent="0.25">
      <c r="A176" s="61" t="s">
        <v>5002</v>
      </c>
      <c r="B176" t="s">
        <v>5001</v>
      </c>
      <c r="C176" t="str">
        <f>findKey(supplementary_offering_offeringid__4[[#This Row],[Value.legacyid]])</f>
        <v>100022-13</v>
      </c>
      <c r="D176" t="s">
        <v>5813</v>
      </c>
      <c r="E176" t="s">
        <v>2329</v>
      </c>
      <c r="H176" s="61"/>
      <c r="J176" t="str">
        <f>ToJsonArray(supplementary_offering_offeringid__4[[#Headers],[legacyid]:[activityId]],supplementary_offering_offeringid__4[[#This Row],[legacyid]:[activityId]])</f>
        <v>{"legacyid":"100022-13","name":"Voz-TD-2678400s","mode":"N"}</v>
      </c>
      <c r="K176" t="str">
        <f>ToJsonArray(supplementary_offering_offeringid__4[[#This Row],[produccion]],supplementary_offering_offeringid__4[[#This Row],[json]])</f>
        <v>{"910002213":{"legacyid":"100022-13","name":"Voz-TD-2678400s","mode":"N"}}</v>
      </c>
    </row>
    <row r="177" spans="1:11" x14ac:dyDescent="0.25">
      <c r="A177" s="61" t="s">
        <v>5005</v>
      </c>
      <c r="B177" t="s">
        <v>5004</v>
      </c>
      <c r="C177" t="str">
        <f>findKey(supplementary_offering_offeringid__4[[#This Row],[Value.legacyid]])</f>
        <v>100022-14</v>
      </c>
      <c r="D177" t="s">
        <v>5813</v>
      </c>
      <c r="E177" t="s">
        <v>2329</v>
      </c>
      <c r="H177" s="61"/>
      <c r="J177" t="str">
        <f>ToJsonArray(supplementary_offering_offeringid__4[[#Headers],[legacyid]:[activityId]],supplementary_offering_offeringid__4[[#This Row],[legacyid]:[activityId]])</f>
        <v>{"legacyid":"100022-14","name":"Voz-TD-2678400s","mode":"N"}</v>
      </c>
      <c r="K177" t="str">
        <f>ToJsonArray(supplementary_offering_offeringid__4[[#This Row],[produccion]],supplementary_offering_offeringid__4[[#This Row],[json]])</f>
        <v>{"910002214":{"legacyid":"100022-14","name":"Voz-TD-2678400s","mode":"N"}}</v>
      </c>
    </row>
    <row r="178" spans="1:11" x14ac:dyDescent="0.25">
      <c r="A178" s="61" t="s">
        <v>3988</v>
      </c>
      <c r="B178" t="s">
        <v>3987</v>
      </c>
      <c r="C178" t="str">
        <f>findKey(supplementary_offering_offeringid__4[[#This Row],[Value.legacyid]])</f>
        <v>100022-15</v>
      </c>
      <c r="D178" t="s">
        <v>5813</v>
      </c>
      <c r="E178" t="s">
        <v>2329</v>
      </c>
      <c r="H178" s="61"/>
      <c r="J178" t="str">
        <f>ToJsonArray(supplementary_offering_offeringid__4[[#Headers],[legacyid]:[activityId]],supplementary_offering_offeringid__4[[#This Row],[legacyid]:[activityId]])</f>
        <v>{"legacyid":"100022-15","name":"Voz-TD-2678400s","mode":"N"}</v>
      </c>
      <c r="K178" t="str">
        <f>ToJsonArray(supplementary_offering_offeringid__4[[#This Row],[produccion]],supplementary_offering_offeringid__4[[#This Row],[json]])</f>
        <v>{"910002215":{"legacyid":"100022-15","name":"Voz-TD-2678400s","mode":"N"}}</v>
      </c>
    </row>
    <row r="179" spans="1:11" x14ac:dyDescent="0.25">
      <c r="A179" s="61" t="s">
        <v>2598</v>
      </c>
      <c r="B179" t="s">
        <v>2597</v>
      </c>
      <c r="C179" t="str">
        <f>findKey(supplementary_offering_offeringid__4[[#This Row],[Value.legacyid]])</f>
        <v>100101-00</v>
      </c>
      <c r="D179" t="s">
        <v>5835</v>
      </c>
      <c r="E179" t="s">
        <v>2189</v>
      </c>
      <c r="H179" s="61"/>
      <c r="J179" t="str">
        <f>ToJsonArray(supplementary_offering_offeringid__4[[#Headers],[legacyid]:[activityId]],supplementary_offering_offeringid__4[[#This Row],[legacyid]:[activityId]])</f>
        <v>{"legacyid":"100101-00","name":"Voz - OnNet - Regalo 0","mode":"I"}</v>
      </c>
      <c r="K179" t="str">
        <f>ToJsonArray(supplementary_offering_offeringid__4[[#This Row],[produccion]],supplementary_offering_offeringid__4[[#This Row],[json]])</f>
        <v>{"910010100":{"legacyid":"100101-00","name":"Voz - OnNet - Regalo 0","mode":"I"}}</v>
      </c>
    </row>
    <row r="180" spans="1:11" x14ac:dyDescent="0.25">
      <c r="A180" s="61" t="s">
        <v>4417</v>
      </c>
      <c r="B180" t="s">
        <v>4416</v>
      </c>
      <c r="C180" t="str">
        <f>findKey(supplementary_offering_offeringid__4[[#This Row],[Value.legacyid]])</f>
        <v>100101-02</v>
      </c>
      <c r="D180" t="s">
        <v>5836</v>
      </c>
      <c r="E180" t="s">
        <v>2329</v>
      </c>
      <c r="H180" s="61"/>
      <c r="J180" t="str">
        <f>ToJsonArray(supplementary_offering_offeringid__4[[#Headers],[legacyid]:[activityId]],supplementary_offering_offeringid__4[[#This Row],[legacyid]:[activityId]])</f>
        <v>{"legacyid":"100101-02","name":"Voz - OnNet - Regalo 1","mode":"N"}</v>
      </c>
      <c r="K180" t="str">
        <f>ToJsonArray(supplementary_offering_offeringid__4[[#This Row],[produccion]],supplementary_offering_offeringid__4[[#This Row],[json]])</f>
        <v>{"910010102":{"legacyid":"100101-02","name":"Voz - OnNet - Regalo 1","mode":"N"}}</v>
      </c>
    </row>
    <row r="181" spans="1:11" x14ac:dyDescent="0.25">
      <c r="A181" s="61" t="s">
        <v>4420</v>
      </c>
      <c r="B181" t="s">
        <v>4419</v>
      </c>
      <c r="C181" t="str">
        <f>findKey(supplementary_offering_offeringid__4[[#This Row],[Value.legacyid]])</f>
        <v>100101-04</v>
      </c>
      <c r="D181" t="s">
        <v>5837</v>
      </c>
      <c r="E181" t="s">
        <v>2329</v>
      </c>
      <c r="H181" s="61"/>
      <c r="J181" t="str">
        <f>ToJsonArray(supplementary_offering_offeringid__4[[#Headers],[legacyid]:[activityId]],supplementary_offering_offeringid__4[[#This Row],[legacyid]:[activityId]])</f>
        <v>{"legacyid":"100101-04","name":"Voz - OnNet - Regalo 2","mode":"N"}</v>
      </c>
      <c r="K181" t="str">
        <f>ToJsonArray(supplementary_offering_offeringid__4[[#This Row],[produccion]],supplementary_offering_offeringid__4[[#This Row],[json]])</f>
        <v>{"910010104":{"legacyid":"100101-04","name":"Voz - OnNet - Regalo 2","mode":"N"}}</v>
      </c>
    </row>
    <row r="182" spans="1:11" x14ac:dyDescent="0.25">
      <c r="A182" s="61" t="s">
        <v>4423</v>
      </c>
      <c r="B182" t="s">
        <v>4422</v>
      </c>
      <c r="C182" t="str">
        <f>findKey(supplementary_offering_offeringid__4[[#This Row],[Value.legacyid]])</f>
        <v>100102-01</v>
      </c>
      <c r="D182" t="s">
        <v>5838</v>
      </c>
      <c r="E182" t="s">
        <v>2329</v>
      </c>
      <c r="H182" s="61"/>
      <c r="J182" t="str">
        <f>ToJsonArray(supplementary_offering_offeringid__4[[#Headers],[legacyid]:[activityId]],supplementary_offering_offeringid__4[[#This Row],[legacyid]:[activityId]])</f>
        <v>{"legacyid":"100102-01","name":"Voz - Todo destino - Regalo 1","mode":"N"}</v>
      </c>
      <c r="K182" t="str">
        <f>ToJsonArray(supplementary_offering_offeringid__4[[#This Row],[produccion]],supplementary_offering_offeringid__4[[#This Row],[json]])</f>
        <v>{"910010201":{"legacyid":"100102-01","name":"Voz - Todo destino - Regalo 1","mode":"N"}}</v>
      </c>
    </row>
    <row r="183" spans="1:11" x14ac:dyDescent="0.25">
      <c r="A183" s="61" t="s">
        <v>4426</v>
      </c>
      <c r="B183" t="s">
        <v>4425</v>
      </c>
      <c r="C183" t="str">
        <f>findKey(supplementary_offering_offeringid__4[[#This Row],[Value.legacyid]])</f>
        <v>100102-02</v>
      </c>
      <c r="D183" t="s">
        <v>5839</v>
      </c>
      <c r="E183" t="s">
        <v>2329</v>
      </c>
      <c r="H183" s="61"/>
      <c r="J183" t="str">
        <f>ToJsonArray(supplementary_offering_offeringid__4[[#Headers],[legacyid]:[activityId]],supplementary_offering_offeringid__4[[#This Row],[legacyid]:[activityId]])</f>
        <v>{"legacyid":"100102-02","name":"Voz - Todo destino - Regalo 2","mode":"N"}</v>
      </c>
      <c r="K183" t="str">
        <f>ToJsonArray(supplementary_offering_offeringid__4[[#This Row],[produccion]],supplementary_offering_offeringid__4[[#This Row],[json]])</f>
        <v>{"910010202":{"legacyid":"100102-02","name":"Voz - Todo destino - Regalo 2","mode":"N"}}</v>
      </c>
    </row>
    <row r="184" spans="1:11" x14ac:dyDescent="0.25">
      <c r="A184" s="61" t="s">
        <v>2601</v>
      </c>
      <c r="B184" t="s">
        <v>2600</v>
      </c>
      <c r="C184" t="str">
        <f>findKey(supplementary_offering_offeringid__4[[#This Row],[Value.legacyid]])</f>
        <v>100149-11</v>
      </c>
      <c r="D184" t="s">
        <v>5840</v>
      </c>
      <c r="E184" t="s">
        <v>2329</v>
      </c>
      <c r="H184" s="61"/>
      <c r="J184" t="str">
        <f>ToJsonArray(supplementary_offering_offeringid__4[[#Headers],[legacyid]:[activityId]],supplementary_offering_offeringid__4[[#This Row],[legacyid]:[activityId]])</f>
        <v>{"legacyid":"100149-11","name":"Voz-LDI G1y2-600s","mode":"N"}</v>
      </c>
      <c r="K184" t="str">
        <f>ToJsonArray(supplementary_offering_offeringid__4[[#This Row],[produccion]],supplementary_offering_offeringid__4[[#This Row],[json]])</f>
        <v>{"910014911":{"legacyid":"100149-11","name":"Voz-LDI G1y2-600s","mode":"N"}}</v>
      </c>
    </row>
    <row r="185" spans="1:11" x14ac:dyDescent="0.25">
      <c r="A185" s="61" t="s">
        <v>4429</v>
      </c>
      <c r="B185" t="s">
        <v>4428</v>
      </c>
      <c r="C185" t="str">
        <f>findKey(supplementary_offering_offeringid__4[[#This Row],[Value.legacyid]])</f>
        <v>200001-01</v>
      </c>
      <c r="D185" t="s">
        <v>5841</v>
      </c>
      <c r="E185" t="s">
        <v>2329</v>
      </c>
      <c r="H185" s="61"/>
      <c r="J185" t="str">
        <f>ToJsonArray(supplementary_offering_offeringid__4[[#Headers],[legacyid]:[activityId]],supplementary_offering_offeringid__4[[#This Row],[legacyid]:[activityId]])</f>
        <v>{"legacyid":"200001-01","name":"Data - Bajo 0","mode":"N"}</v>
      </c>
      <c r="K185" t="str">
        <f>ToJsonArray(supplementary_offering_offeringid__4[[#This Row],[produccion]],supplementary_offering_offeringid__4[[#This Row],[json]])</f>
        <v>{"920000101":{"legacyid":"200001-01","name":"Data - Bajo 0","mode":"N"}}</v>
      </c>
    </row>
    <row r="186" spans="1:11" x14ac:dyDescent="0.25">
      <c r="A186" s="61" t="s">
        <v>4432</v>
      </c>
      <c r="B186" t="s">
        <v>4431</v>
      </c>
      <c r="C186" t="str">
        <f>findKey(supplementary_offering_offeringid__4[[#This Row],[Value.legacyid]])</f>
        <v>200001-02</v>
      </c>
      <c r="D186" t="s">
        <v>5842</v>
      </c>
      <c r="E186" t="s">
        <v>2329</v>
      </c>
      <c r="H186" s="61"/>
      <c r="J186" t="str">
        <f>ToJsonArray(supplementary_offering_offeringid__4[[#Headers],[legacyid]:[activityId]],supplementary_offering_offeringid__4[[#This Row],[legacyid]:[activityId]])</f>
        <v>{"legacyid":"200001-02","name":"Data - Bajo 1","mode":"N"}</v>
      </c>
      <c r="K186" t="str">
        <f>ToJsonArray(supplementary_offering_offeringid__4[[#This Row],[produccion]],supplementary_offering_offeringid__4[[#This Row],[json]])</f>
        <v>{"920000102":{"legacyid":"200001-02","name":"Data - Bajo 1","mode":"N"}}</v>
      </c>
    </row>
    <row r="187" spans="1:11" x14ac:dyDescent="0.25">
      <c r="A187" s="61" t="s">
        <v>4435</v>
      </c>
      <c r="B187" t="s">
        <v>4434</v>
      </c>
      <c r="C187" t="str">
        <f>findKey(supplementary_offering_offeringid__4[[#This Row],[Value.legacyid]])</f>
        <v>200001-06</v>
      </c>
      <c r="D187" t="s">
        <v>5843</v>
      </c>
      <c r="E187" t="s">
        <v>2329</v>
      </c>
      <c r="H187" s="61"/>
      <c r="J187" t="str">
        <f>ToJsonArray(supplementary_offering_offeringid__4[[#Headers],[legacyid]:[activityId]],supplementary_offering_offeringid__4[[#This Row],[legacyid]:[activityId]])</f>
        <v>{"legacyid":"200001-06","name":"Data - Medio 1","mode":"N"}</v>
      </c>
      <c r="K187" t="str">
        <f>ToJsonArray(supplementary_offering_offeringid__4[[#This Row],[produccion]],supplementary_offering_offeringid__4[[#This Row],[json]])</f>
        <v>{"920000106":{"legacyid":"200001-06","name":"Data - Medio 1","mode":"N"}}</v>
      </c>
    </row>
    <row r="188" spans="1:11" x14ac:dyDescent="0.25">
      <c r="A188" s="61" t="s">
        <v>4438</v>
      </c>
      <c r="B188" t="s">
        <v>4437</v>
      </c>
      <c r="C188" t="str">
        <f>findKey(supplementary_offering_offeringid__4[[#This Row],[Value.legacyid]])</f>
        <v>200001-07</v>
      </c>
      <c r="D188" t="s">
        <v>5844</v>
      </c>
      <c r="E188" t="s">
        <v>2329</v>
      </c>
      <c r="H188" s="61"/>
      <c r="J188" t="str">
        <f>ToJsonArray(supplementary_offering_offeringid__4[[#Headers],[legacyid]:[activityId]],supplementary_offering_offeringid__4[[#This Row],[legacyid]:[activityId]])</f>
        <v>{"legacyid":"200001-07","name":"Data - Medio 2","mode":"N"}</v>
      </c>
      <c r="K188" t="str">
        <f>ToJsonArray(supplementary_offering_offeringid__4[[#This Row],[produccion]],supplementary_offering_offeringid__4[[#This Row],[json]])</f>
        <v>{"920000107":{"legacyid":"200001-07","name":"Data - Medio 2","mode":"N"}}</v>
      </c>
    </row>
    <row r="189" spans="1:11" x14ac:dyDescent="0.25">
      <c r="A189" s="61" t="s">
        <v>4441</v>
      </c>
      <c r="B189" t="s">
        <v>4440</v>
      </c>
      <c r="C189" t="str">
        <f>findKey(supplementary_offering_offeringid__4[[#This Row],[Value.legacyid]])</f>
        <v>200001-11</v>
      </c>
      <c r="D189" t="s">
        <v>5841</v>
      </c>
      <c r="E189" t="s">
        <v>2329</v>
      </c>
      <c r="H189" s="61"/>
      <c r="J189" t="str">
        <f>ToJsonArray(supplementary_offering_offeringid__4[[#Headers],[legacyid]:[activityId]],supplementary_offering_offeringid__4[[#This Row],[legacyid]:[activityId]])</f>
        <v>{"legacyid":"200001-11","name":"Data - Bajo 0","mode":"N"}</v>
      </c>
      <c r="K189" t="str">
        <f>ToJsonArray(supplementary_offering_offeringid__4[[#This Row],[produccion]],supplementary_offering_offeringid__4[[#This Row],[json]])</f>
        <v>{"920000111":{"legacyid":"200001-11","name":"Data - Bajo 0","mode":"N"}}</v>
      </c>
    </row>
    <row r="190" spans="1:11" x14ac:dyDescent="0.25">
      <c r="A190" s="61" t="s">
        <v>4444</v>
      </c>
      <c r="B190" t="s">
        <v>4443</v>
      </c>
      <c r="C190" t="str">
        <f>findKey(supplementary_offering_offeringid__4[[#This Row],[Value.legacyid]])</f>
        <v>200001-12</v>
      </c>
      <c r="D190" t="s">
        <v>5845</v>
      </c>
      <c r="E190" t="s">
        <v>2329</v>
      </c>
      <c r="H190" s="61"/>
      <c r="J190" t="str">
        <f>ToJsonArray(supplementary_offering_offeringid__4[[#Headers],[legacyid]:[activityId]],supplementary_offering_offeringid__4[[#This Row],[legacyid]:[activityId]])</f>
        <v>{"legacyid":"200001-12","name":"Data 3Gb","mode":"N"}</v>
      </c>
      <c r="K190" t="str">
        <f>ToJsonArray(supplementary_offering_offeringid__4[[#This Row],[produccion]],supplementary_offering_offeringid__4[[#This Row],[json]])</f>
        <v>{"920000112":{"legacyid":"200001-12","name":"Data 3Gb","mode":"N"}}</v>
      </c>
    </row>
    <row r="191" spans="1:11" x14ac:dyDescent="0.25">
      <c r="A191" s="61" t="s">
        <v>4447</v>
      </c>
      <c r="B191" t="s">
        <v>4446</v>
      </c>
      <c r="C191" t="str">
        <f>findKey(supplementary_offering_offeringid__4[[#This Row],[Value.legacyid]])</f>
        <v>200001-13</v>
      </c>
      <c r="D191" t="s">
        <v>5846</v>
      </c>
      <c r="E191" t="s">
        <v>2329</v>
      </c>
      <c r="H191" s="61"/>
      <c r="J191" t="str">
        <f>ToJsonArray(supplementary_offering_offeringid__4[[#Headers],[legacyid]:[activityId]],supplementary_offering_offeringid__4[[#This Row],[legacyid]:[activityId]])</f>
        <v>{"legacyid":"200001-13","name":"Data 4Gb","mode":"N"}</v>
      </c>
      <c r="K191" t="str">
        <f>ToJsonArray(supplementary_offering_offeringid__4[[#This Row],[produccion]],supplementary_offering_offeringid__4[[#This Row],[json]])</f>
        <v>{"920000113":{"legacyid":"200001-13","name":"Data 4Gb","mode":"N"}}</v>
      </c>
    </row>
    <row r="192" spans="1:11" x14ac:dyDescent="0.25">
      <c r="A192" s="61" t="s">
        <v>2604</v>
      </c>
      <c r="B192" t="s">
        <v>2603</v>
      </c>
      <c r="C192" t="str">
        <f>findKey(supplementary_offering_offeringid__4[[#This Row],[Value.legacyid]])</f>
        <v>200001-14</v>
      </c>
      <c r="D192" t="s">
        <v>5847</v>
      </c>
      <c r="E192" t="s">
        <v>2329</v>
      </c>
      <c r="H192" s="61"/>
      <c r="J192" t="str">
        <f>ToJsonArray(supplementary_offering_offeringid__4[[#Headers],[legacyid]:[activityId]],supplementary_offering_offeringid__4[[#This Row],[legacyid]:[activityId]])</f>
        <v>{"legacyid":"200001-14","name":"Data 5Gb","mode":"N"}</v>
      </c>
      <c r="K192" t="str">
        <f>ToJsonArray(supplementary_offering_offeringid__4[[#This Row],[produccion]],supplementary_offering_offeringid__4[[#This Row],[json]])</f>
        <v>{"920000114":{"legacyid":"200001-14","name":"Data 5Gb","mode":"N"}}</v>
      </c>
    </row>
    <row r="193" spans="1:11" x14ac:dyDescent="0.25">
      <c r="A193" s="61" t="s">
        <v>4450</v>
      </c>
      <c r="B193" t="s">
        <v>4449</v>
      </c>
      <c r="C193" t="str">
        <f>findKey(supplementary_offering_offeringid__4[[#This Row],[Value.legacyid]])</f>
        <v>200001-15</v>
      </c>
      <c r="D193" t="s">
        <v>5848</v>
      </c>
      <c r="E193" t="s">
        <v>2329</v>
      </c>
      <c r="H193" s="61"/>
      <c r="J193" t="str">
        <f>ToJsonArray(supplementary_offering_offeringid__4[[#Headers],[legacyid]:[activityId]],supplementary_offering_offeringid__4[[#This Row],[legacyid]:[activityId]])</f>
        <v>{"legacyid":"200001-15","name":"Data 6Gb","mode":"N"}</v>
      </c>
      <c r="K193" t="str">
        <f>ToJsonArray(supplementary_offering_offeringid__4[[#This Row],[produccion]],supplementary_offering_offeringid__4[[#This Row],[json]])</f>
        <v>{"920000115":{"legacyid":"200001-15","name":"Data 6Gb","mode":"N"}}</v>
      </c>
    </row>
    <row r="194" spans="1:11" x14ac:dyDescent="0.25">
      <c r="A194" s="61" t="s">
        <v>4453</v>
      </c>
      <c r="B194" t="s">
        <v>4452</v>
      </c>
      <c r="C194" t="str">
        <f>findKey(supplementary_offering_offeringid__4[[#This Row],[Value.legacyid]])</f>
        <v>200001-17</v>
      </c>
      <c r="D194" t="s">
        <v>5849</v>
      </c>
      <c r="E194" t="s">
        <v>2329</v>
      </c>
      <c r="H194" s="61"/>
      <c r="J194" t="str">
        <f>ToJsonArray(supplementary_offering_offeringid__4[[#Headers],[legacyid]:[activityId]],supplementary_offering_offeringid__4[[#This Row],[legacyid]:[activityId]])</f>
        <v>{"legacyid":"200001-17","name":"Data 750MB","mode":"N"}</v>
      </c>
      <c r="K194" t="str">
        <f>ToJsonArray(supplementary_offering_offeringid__4[[#This Row],[produccion]],supplementary_offering_offeringid__4[[#This Row],[json]])</f>
        <v>{"920000117":{"legacyid":"200001-17","name":"Data 750MB","mode":"N"}}</v>
      </c>
    </row>
    <row r="195" spans="1:11" x14ac:dyDescent="0.25">
      <c r="A195" s="61" t="s">
        <v>4456</v>
      </c>
      <c r="B195" t="s">
        <v>4455</v>
      </c>
      <c r="C195" t="str">
        <f>findKey(supplementary_offering_offeringid__4[[#This Row],[Value.legacyid]])</f>
        <v>200001-18</v>
      </c>
      <c r="D195" t="s">
        <v>5850</v>
      </c>
      <c r="E195" t="s">
        <v>2329</v>
      </c>
      <c r="H195" s="61"/>
      <c r="J195" t="str">
        <f>ToJsonArray(supplementary_offering_offeringid__4[[#Headers],[legacyid]:[activityId]],supplementary_offering_offeringid__4[[#This Row],[legacyid]:[activityId]])</f>
        <v>{"legacyid":"200001-18","name":"Data 1Gb","mode":"N"}</v>
      </c>
      <c r="K195" t="str">
        <f>ToJsonArray(supplementary_offering_offeringid__4[[#This Row],[produccion]],supplementary_offering_offeringid__4[[#This Row],[json]])</f>
        <v>{"920000118":{"legacyid":"200001-18","name":"Data 1Gb","mode":"N"}}</v>
      </c>
    </row>
    <row r="196" spans="1:11" x14ac:dyDescent="0.25">
      <c r="A196" s="61" t="s">
        <v>4459</v>
      </c>
      <c r="B196" t="s">
        <v>4458</v>
      </c>
      <c r="C196" t="str">
        <f>findKey(supplementary_offering_offeringid__4[[#This Row],[Value.legacyid]])</f>
        <v>200001-19</v>
      </c>
      <c r="D196" t="s">
        <v>5851</v>
      </c>
      <c r="E196" t="s">
        <v>2329</v>
      </c>
      <c r="H196" s="61"/>
      <c r="J196" t="str">
        <f>ToJsonArray(supplementary_offering_offeringid__4[[#Headers],[legacyid]:[activityId]],supplementary_offering_offeringid__4[[#This Row],[legacyid]:[activityId]])</f>
        <v>{"legacyid":"200001-19","name":"Data 2Gb","mode":"N"}</v>
      </c>
      <c r="K196" t="str">
        <f>ToJsonArray(supplementary_offering_offeringid__4[[#This Row],[produccion]],supplementary_offering_offeringid__4[[#This Row],[json]])</f>
        <v>{"920000119":{"legacyid":"200001-19","name":"Data 2Gb","mode":"N"}}</v>
      </c>
    </row>
    <row r="197" spans="1:11" x14ac:dyDescent="0.25">
      <c r="A197" s="61" t="s">
        <v>2607</v>
      </c>
      <c r="B197" t="s">
        <v>2606</v>
      </c>
      <c r="C197" t="str">
        <f>findKey(supplementary_offering_offeringid__4[[#This Row],[Value.legacyid]])</f>
        <v>200001-20</v>
      </c>
      <c r="D197" t="s">
        <v>5852</v>
      </c>
      <c r="E197" t="s">
        <v>2329</v>
      </c>
      <c r="H197" s="61"/>
      <c r="J197" t="str">
        <f>ToJsonArray(supplementary_offering_offeringid__4[[#Headers],[legacyid]:[activityId]],supplementary_offering_offeringid__4[[#This Row],[legacyid]:[activityId]])</f>
        <v>{"legacyid":"200001-20","name":"Data 2.5Gb","mode":"N"}</v>
      </c>
      <c r="K197" t="str">
        <f>ToJsonArray(supplementary_offering_offeringid__4[[#This Row],[produccion]],supplementary_offering_offeringid__4[[#This Row],[json]])</f>
        <v>{"920000120":{"legacyid":"200001-20","name":"Data 2.5Gb","mode":"N"}}</v>
      </c>
    </row>
    <row r="198" spans="1:11" x14ac:dyDescent="0.25">
      <c r="A198" s="61" t="s">
        <v>2610</v>
      </c>
      <c r="B198" t="s">
        <v>2609</v>
      </c>
      <c r="C198" t="str">
        <f>findKey(supplementary_offering_offeringid__4[[#This Row],[Value.legacyid]])</f>
        <v>200001-22</v>
      </c>
      <c r="D198" t="s">
        <v>5848</v>
      </c>
      <c r="E198" t="s">
        <v>2329</v>
      </c>
      <c r="H198" s="61"/>
      <c r="J198" t="str">
        <f>ToJsonArray(supplementary_offering_offeringid__4[[#Headers],[legacyid]:[activityId]],supplementary_offering_offeringid__4[[#This Row],[legacyid]:[activityId]])</f>
        <v>{"legacyid":"200001-22","name":"Data 6Gb","mode":"N"}</v>
      </c>
      <c r="K198" t="str">
        <f>ToJsonArray(supplementary_offering_offeringid__4[[#This Row],[produccion]],supplementary_offering_offeringid__4[[#This Row],[json]])</f>
        <v>{"920000122":{"legacyid":"200001-22","name":"Data 6Gb","mode":"N"}}</v>
      </c>
    </row>
    <row r="199" spans="1:11" x14ac:dyDescent="0.25">
      <c r="A199" s="61" t="s">
        <v>2613</v>
      </c>
      <c r="B199" t="s">
        <v>2612</v>
      </c>
      <c r="C199" t="str">
        <f>findKey(supplementary_offering_offeringid__4[[#This Row],[Value.legacyid]])</f>
        <v>200001-23</v>
      </c>
      <c r="D199" t="s">
        <v>5853</v>
      </c>
      <c r="E199" t="s">
        <v>2329</v>
      </c>
      <c r="H199" s="61"/>
      <c r="J199" t="str">
        <f>ToJsonArray(supplementary_offering_offeringid__4[[#Headers],[legacyid]:[activityId]],supplementary_offering_offeringid__4[[#This Row],[legacyid]:[activityId]])</f>
        <v>{"legacyid":"200001-23","name":"Data 8Gb","mode":"N"}</v>
      </c>
      <c r="K199" t="str">
        <f>ToJsonArray(supplementary_offering_offeringid__4[[#This Row],[produccion]],supplementary_offering_offeringid__4[[#This Row],[json]])</f>
        <v>{"920000123":{"legacyid":"200001-23","name":"Data 8Gb","mode":"N"}}</v>
      </c>
    </row>
    <row r="200" spans="1:11" x14ac:dyDescent="0.25">
      <c r="A200" s="61" t="s">
        <v>5038</v>
      </c>
      <c r="B200" t="s">
        <v>5037</v>
      </c>
      <c r="C200" t="str">
        <f>findKey(supplementary_offering_offeringid__4[[#This Row],[Value.legacyid]])</f>
        <v>200001-24</v>
      </c>
      <c r="D200" t="s">
        <v>5854</v>
      </c>
      <c r="E200" t="s">
        <v>2329</v>
      </c>
      <c r="H200" s="61"/>
      <c r="J200" t="str">
        <f>ToJsonArray(supplementary_offering_offeringid__4[[#Headers],[legacyid]:[activityId]],supplementary_offering_offeringid__4[[#This Row],[legacyid]:[activityId]])</f>
        <v>{"legacyid":"200001-24","name":"Data 10Gb","mode":"N"}</v>
      </c>
      <c r="K200" t="str">
        <f>ToJsonArray(supplementary_offering_offeringid__4[[#This Row],[produccion]],supplementary_offering_offeringid__4[[#This Row],[json]])</f>
        <v>{"920000124":{"legacyid":"200001-24","name":"Data 10Gb","mode":"N"}}</v>
      </c>
    </row>
    <row r="201" spans="1:11" x14ac:dyDescent="0.25">
      <c r="A201" s="61" t="s">
        <v>4462</v>
      </c>
      <c r="B201" t="s">
        <v>4461</v>
      </c>
      <c r="C201" t="str">
        <f>findKey(supplementary_offering_offeringid__4[[#This Row],[Value.legacyid]])</f>
        <v>200001-25</v>
      </c>
      <c r="D201" t="s">
        <v>5855</v>
      </c>
      <c r="E201" t="s">
        <v>2329</v>
      </c>
      <c r="H201" s="61"/>
      <c r="J201" t="str">
        <f>ToJsonArray(supplementary_offering_offeringid__4[[#Headers],[legacyid]:[activityId]],supplementary_offering_offeringid__4[[#This Row],[legacyid]:[activityId]])</f>
        <v>{"legacyid":"200001-25","name":"Data 12Gb","mode":"N"}</v>
      </c>
      <c r="K201" t="str">
        <f>ToJsonArray(supplementary_offering_offeringid__4[[#This Row],[produccion]],supplementary_offering_offeringid__4[[#This Row],[json]])</f>
        <v>{"920000125":{"legacyid":"200001-25","name":"Data 12Gb","mode":"N"}}</v>
      </c>
    </row>
    <row r="202" spans="1:11" x14ac:dyDescent="0.25">
      <c r="A202" s="61" t="s">
        <v>4465</v>
      </c>
      <c r="B202" t="s">
        <v>4464</v>
      </c>
      <c r="C202" t="str">
        <f>findKey(supplementary_offering_offeringid__4[[#This Row],[Value.legacyid]])</f>
        <v>200001-26</v>
      </c>
      <c r="D202" t="s">
        <v>5856</v>
      </c>
      <c r="E202" t="s">
        <v>2329</v>
      </c>
      <c r="H202" s="61"/>
      <c r="J202" t="str">
        <f>ToJsonArray(supplementary_offering_offeringid__4[[#Headers],[legacyid]:[activityId]],supplementary_offering_offeringid__4[[#This Row],[legacyid]:[activityId]])</f>
        <v>{"legacyid":"200001-26","name":"Data 15Gb","mode":"N"}</v>
      </c>
      <c r="K202" t="str">
        <f>ToJsonArray(supplementary_offering_offeringid__4[[#This Row],[produccion]],supplementary_offering_offeringid__4[[#This Row],[json]])</f>
        <v>{"920000126":{"legacyid":"200001-26","name":"Data 15Gb","mode":"N"}}</v>
      </c>
    </row>
    <row r="203" spans="1:11" x14ac:dyDescent="0.25">
      <c r="A203" s="61" t="s">
        <v>4468</v>
      </c>
      <c r="B203" t="s">
        <v>4467</v>
      </c>
      <c r="C203" t="str">
        <f>findKey(supplementary_offering_offeringid__4[[#This Row],[Value.legacyid]])</f>
        <v>200001-27</v>
      </c>
      <c r="D203" t="s">
        <v>5849</v>
      </c>
      <c r="E203" t="s">
        <v>2329</v>
      </c>
      <c r="H203" s="61"/>
      <c r="J203" t="str">
        <f>ToJsonArray(supplementary_offering_offeringid__4[[#Headers],[legacyid]:[activityId]],supplementary_offering_offeringid__4[[#This Row],[legacyid]:[activityId]])</f>
        <v>{"legacyid":"200001-27","name":"Data 750MB","mode":"N"}</v>
      </c>
      <c r="K203" t="str">
        <f>ToJsonArray(supplementary_offering_offeringid__4[[#This Row],[produccion]],supplementary_offering_offeringid__4[[#This Row],[json]])</f>
        <v>{"920000127":{"legacyid":"200001-27","name":"Data 750MB","mode":"N"}}</v>
      </c>
    </row>
    <row r="204" spans="1:11" x14ac:dyDescent="0.25">
      <c r="A204" s="61" t="s">
        <v>2616</v>
      </c>
      <c r="B204" t="s">
        <v>2615</v>
      </c>
      <c r="C204" t="str">
        <f>findKey(supplementary_offering_offeringid__4[[#This Row],[Value.legacyid]])</f>
        <v>200001-28</v>
      </c>
      <c r="D204" t="s">
        <v>5857</v>
      </c>
      <c r="E204" t="s">
        <v>2329</v>
      </c>
      <c r="H204" s="61"/>
      <c r="J204" t="str">
        <f>ToJsonArray(supplementary_offering_offeringid__4[[#Headers],[legacyid]:[activityId]],supplementary_offering_offeringid__4[[#This Row],[legacyid]:[activityId]])</f>
        <v>{"legacyid":"200001-28","name":"Data 1GB","mode":"N"}</v>
      </c>
      <c r="K204" t="str">
        <f>ToJsonArray(supplementary_offering_offeringid__4[[#This Row],[produccion]],supplementary_offering_offeringid__4[[#This Row],[json]])</f>
        <v>{"920000128":{"legacyid":"200001-28","name":"Data 1GB","mode":"N"}}</v>
      </c>
    </row>
    <row r="205" spans="1:11" x14ac:dyDescent="0.25">
      <c r="A205" s="61" t="s">
        <v>2619</v>
      </c>
      <c r="B205" t="s">
        <v>2618</v>
      </c>
      <c r="C205" t="str">
        <f>findKey(supplementary_offering_offeringid__4[[#This Row],[Value.legacyid]])</f>
        <v>200001-29</v>
      </c>
      <c r="D205" t="s">
        <v>5858</v>
      </c>
      <c r="E205" t="s">
        <v>2329</v>
      </c>
      <c r="H205" s="61"/>
      <c r="J205" t="str">
        <f>ToJsonArray(supplementary_offering_offeringid__4[[#Headers],[legacyid]:[activityId]],supplementary_offering_offeringid__4[[#This Row],[legacyid]:[activityId]])</f>
        <v>{"legacyid":"200001-29","name":"Data 1.5GB","mode":"N"}</v>
      </c>
      <c r="K205" t="str">
        <f>ToJsonArray(supplementary_offering_offeringid__4[[#This Row],[produccion]],supplementary_offering_offeringid__4[[#This Row],[json]])</f>
        <v>{"920000129":{"legacyid":"200001-29","name":"Data 1.5GB","mode":"N"}}</v>
      </c>
    </row>
    <row r="206" spans="1:11" x14ac:dyDescent="0.25">
      <c r="A206" s="61" t="s">
        <v>2622</v>
      </c>
      <c r="B206" t="s">
        <v>2621</v>
      </c>
      <c r="C206" t="str">
        <f>findKey(supplementary_offering_offeringid__4[[#This Row],[Value.legacyid]])</f>
        <v>200001-30</v>
      </c>
      <c r="D206" t="s">
        <v>5859</v>
      </c>
      <c r="E206" t="s">
        <v>2329</v>
      </c>
      <c r="H206" s="61"/>
      <c r="J206" t="str">
        <f>ToJsonArray(supplementary_offering_offeringid__4[[#Headers],[legacyid]:[activityId]],supplementary_offering_offeringid__4[[#This Row],[legacyid]:[activityId]])</f>
        <v>{"legacyid":"200001-30","name":"Data 2.5GB","mode":"N"}</v>
      </c>
      <c r="K206" t="str">
        <f>ToJsonArray(supplementary_offering_offeringid__4[[#This Row],[produccion]],supplementary_offering_offeringid__4[[#This Row],[json]])</f>
        <v>{"920000130":{"legacyid":"200001-30","name":"Data 2.5GB","mode":"N"}}</v>
      </c>
    </row>
    <row r="207" spans="1:11" x14ac:dyDescent="0.25">
      <c r="A207" s="61" t="s">
        <v>4471</v>
      </c>
      <c r="B207" t="s">
        <v>4470</v>
      </c>
      <c r="C207" t="str">
        <f>findKey(supplementary_offering_offeringid__4[[#This Row],[Value.legacyid]])</f>
        <v>200001-33</v>
      </c>
      <c r="D207" t="s">
        <v>5860</v>
      </c>
      <c r="E207" t="s">
        <v>2329</v>
      </c>
      <c r="H207" s="61"/>
      <c r="J207" t="str">
        <f>ToJsonArray(supplementary_offering_offeringid__4[[#Headers],[legacyid]:[activityId]],supplementary_offering_offeringid__4[[#This Row],[legacyid]:[activityId]])</f>
        <v>{"legacyid":"200001-33","name":"Data 2.6GB","mode":"N"}</v>
      </c>
      <c r="K207" t="str">
        <f>ToJsonArray(supplementary_offering_offeringid__4[[#This Row],[produccion]],supplementary_offering_offeringid__4[[#This Row],[json]])</f>
        <v>{"920000133":{"legacyid":"200001-33","name":"Data 2.6GB","mode":"N"}}</v>
      </c>
    </row>
    <row r="208" spans="1:11" x14ac:dyDescent="0.25">
      <c r="A208" s="61" t="s">
        <v>2625</v>
      </c>
      <c r="B208" t="s">
        <v>2624</v>
      </c>
      <c r="C208" t="str">
        <f>findKey(supplementary_offering_offeringid__4[[#This Row],[Value.legacyid]])</f>
        <v>200001-34</v>
      </c>
      <c r="D208" t="s">
        <v>5861</v>
      </c>
      <c r="E208" t="s">
        <v>2329</v>
      </c>
      <c r="H208" s="61"/>
      <c r="J208" t="str">
        <f>ToJsonArray(supplementary_offering_offeringid__4[[#Headers],[legacyid]:[activityId]],supplementary_offering_offeringid__4[[#This Row],[legacyid]:[activityId]])</f>
        <v>{"legacyid":"200001-34","name":"Data 4.2GB","mode":"N"}</v>
      </c>
      <c r="K208" t="str">
        <f>ToJsonArray(supplementary_offering_offeringid__4[[#This Row],[produccion]],supplementary_offering_offeringid__4[[#This Row],[json]])</f>
        <v>{"920000134":{"legacyid":"200001-34","name":"Data 4.2GB","mode":"N"}}</v>
      </c>
    </row>
    <row r="209" spans="1:11" x14ac:dyDescent="0.25">
      <c r="A209" s="61" t="s">
        <v>2628</v>
      </c>
      <c r="B209" t="s">
        <v>2627</v>
      </c>
      <c r="C209" t="str">
        <f>findKey(supplementary_offering_offeringid__4[[#This Row],[Value.legacyid]])</f>
        <v>200001-35</v>
      </c>
      <c r="D209" t="s">
        <v>5862</v>
      </c>
      <c r="E209" t="s">
        <v>2329</v>
      </c>
      <c r="H209" s="61"/>
      <c r="J209" t="str">
        <f>ToJsonArray(supplementary_offering_offeringid__4[[#Headers],[legacyid]:[activityId]],supplementary_offering_offeringid__4[[#This Row],[legacyid]:[activityId]])</f>
        <v>{"legacyid":"200001-35","name":"Data 5.2GB","mode":"N"}</v>
      </c>
      <c r="K209" t="str">
        <f>ToJsonArray(supplementary_offering_offeringid__4[[#This Row],[produccion]],supplementary_offering_offeringid__4[[#This Row],[json]])</f>
        <v>{"920000135":{"legacyid":"200001-35","name":"Data 5.2GB","mode":"N"}}</v>
      </c>
    </row>
    <row r="210" spans="1:11" x14ac:dyDescent="0.25">
      <c r="A210" s="61" t="s">
        <v>2631</v>
      </c>
      <c r="B210" t="s">
        <v>2630</v>
      </c>
      <c r="C210" t="str">
        <f>findKey(supplementary_offering_offeringid__4[[#This Row],[Value.legacyid]])</f>
        <v>200001-36</v>
      </c>
      <c r="D210" t="s">
        <v>5863</v>
      </c>
      <c r="E210" t="s">
        <v>2329</v>
      </c>
      <c r="H210" s="61"/>
      <c r="J210" t="str">
        <f>ToJsonArray(supplementary_offering_offeringid__4[[#Headers],[legacyid]:[activityId]],supplementary_offering_offeringid__4[[#This Row],[legacyid]:[activityId]])</f>
        <v>{"legacyid":"200001-36","name":"Data 3.5GB","mode":"N"}</v>
      </c>
      <c r="K210" t="str">
        <f>ToJsonArray(supplementary_offering_offeringid__4[[#This Row],[produccion]],supplementary_offering_offeringid__4[[#This Row],[json]])</f>
        <v>{"920000136":{"legacyid":"200001-36","name":"Data 3.5GB","mode":"N"}}</v>
      </c>
    </row>
    <row r="211" spans="1:11" x14ac:dyDescent="0.25">
      <c r="A211" s="61" t="s">
        <v>2634</v>
      </c>
      <c r="B211" t="s">
        <v>2633</v>
      </c>
      <c r="C211" t="str">
        <f>findKey(supplementary_offering_offeringid__4[[#This Row],[Value.legacyid]])</f>
        <v>200001-37</v>
      </c>
      <c r="D211" t="s">
        <v>5864</v>
      </c>
      <c r="E211" t="s">
        <v>2329</v>
      </c>
      <c r="H211" s="61"/>
      <c r="J211" t="str">
        <f>ToJsonArray(supplementary_offering_offeringid__4[[#Headers],[legacyid]:[activityId]],supplementary_offering_offeringid__4[[#This Row],[legacyid]:[activityId]])</f>
        <v>{"legacyid":"200001-37","name":"Data 2 GB","mode":"N"}</v>
      </c>
      <c r="K211" t="str">
        <f>ToJsonArray(supplementary_offering_offeringid__4[[#This Row],[produccion]],supplementary_offering_offeringid__4[[#This Row],[json]])</f>
        <v>{"920000137":{"legacyid":"200001-37","name":"Data 2 GB","mode":"N"}}</v>
      </c>
    </row>
    <row r="212" spans="1:11" x14ac:dyDescent="0.25">
      <c r="A212" s="61" t="s">
        <v>4474</v>
      </c>
      <c r="B212" t="s">
        <v>4473</v>
      </c>
      <c r="C212" t="str">
        <f>findKey(supplementary_offering_offeringid__4[[#This Row],[Value.legacyid]])</f>
        <v>200001-38</v>
      </c>
      <c r="D212" t="s">
        <v>5864</v>
      </c>
      <c r="E212" t="s">
        <v>2329</v>
      </c>
      <c r="H212" s="61"/>
      <c r="J212" t="str">
        <f>ToJsonArray(supplementary_offering_offeringid__4[[#Headers],[legacyid]:[activityId]],supplementary_offering_offeringid__4[[#This Row],[legacyid]:[activityId]])</f>
        <v>{"legacyid":"200001-38","name":"Data 2 GB","mode":"N"}</v>
      </c>
      <c r="K212" t="str">
        <f>ToJsonArray(supplementary_offering_offeringid__4[[#This Row],[produccion]],supplementary_offering_offeringid__4[[#This Row],[json]])</f>
        <v>{"920000138":{"legacyid":"200001-38","name":"Data 2 GB","mode":"N"}}</v>
      </c>
    </row>
    <row r="213" spans="1:11" x14ac:dyDescent="0.25">
      <c r="A213" s="61" t="s">
        <v>4477</v>
      </c>
      <c r="B213" t="s">
        <v>4476</v>
      </c>
      <c r="C213" t="str">
        <f>findKey(supplementary_offering_offeringid__4[[#This Row],[Value.legacyid]])</f>
        <v>200001-39</v>
      </c>
      <c r="D213" t="s">
        <v>5865</v>
      </c>
      <c r="E213" t="s">
        <v>2329</v>
      </c>
      <c r="H213" s="61"/>
      <c r="J213" t="str">
        <f>ToJsonArray(supplementary_offering_offeringid__4[[#Headers],[legacyid]:[activityId]],supplementary_offering_offeringid__4[[#This Row],[legacyid]:[activityId]])</f>
        <v>{"legacyid":"200001-39","name":"Data 2.5 GB","mode":"N"}</v>
      </c>
      <c r="K213" t="str">
        <f>ToJsonArray(supplementary_offering_offeringid__4[[#This Row],[produccion]],supplementary_offering_offeringid__4[[#This Row],[json]])</f>
        <v>{"920000139":{"legacyid":"200001-39","name":"Data 2.5 GB","mode":"N"}}</v>
      </c>
    </row>
    <row r="214" spans="1:11" x14ac:dyDescent="0.25">
      <c r="A214" s="61" t="s">
        <v>4480</v>
      </c>
      <c r="B214" t="s">
        <v>4479</v>
      </c>
      <c r="C214" t="str">
        <f>findKey(supplementary_offering_offeringid__4[[#This Row],[Value.legacyid]])</f>
        <v>200001-40</v>
      </c>
      <c r="D214" t="s">
        <v>5866</v>
      </c>
      <c r="E214" t="s">
        <v>2329</v>
      </c>
      <c r="H214" s="61"/>
      <c r="J214" t="str">
        <f>ToJsonArray(supplementary_offering_offeringid__4[[#Headers],[legacyid]:[activityId]],supplementary_offering_offeringid__4[[#This Row],[legacyid]:[activityId]])</f>
        <v>{"legacyid":"200001-40","name":"Data 3 GB","mode":"N"}</v>
      </c>
      <c r="K214" t="str">
        <f>ToJsonArray(supplementary_offering_offeringid__4[[#This Row],[produccion]],supplementary_offering_offeringid__4[[#This Row],[json]])</f>
        <v>{"920000140":{"legacyid":"200001-40","name":"Data 3 GB","mode":"N"}}</v>
      </c>
    </row>
    <row r="215" spans="1:11" x14ac:dyDescent="0.25">
      <c r="A215" s="61" t="s">
        <v>4483</v>
      </c>
      <c r="B215" t="s">
        <v>4482</v>
      </c>
      <c r="C215" t="str">
        <f>findKey(supplementary_offering_offeringid__4[[#This Row],[Value.legacyid]])</f>
        <v>200001-42</v>
      </c>
      <c r="D215" t="s">
        <v>5867</v>
      </c>
      <c r="E215" t="s">
        <v>2329</v>
      </c>
      <c r="H215" s="61"/>
      <c r="J215" t="str">
        <f>ToJsonArray(supplementary_offering_offeringid__4[[#Headers],[legacyid]:[activityId]],supplementary_offering_offeringid__4[[#This Row],[legacyid]:[activityId]])</f>
        <v>{"legacyid":"200001-42","name":"Data 4 GB","mode":"N"}</v>
      </c>
      <c r="K215" t="str">
        <f>ToJsonArray(supplementary_offering_offeringid__4[[#This Row],[produccion]],supplementary_offering_offeringid__4[[#This Row],[json]])</f>
        <v>{"920000142":{"legacyid":"200001-42","name":"Data 4 GB","mode":"N"}}</v>
      </c>
    </row>
    <row r="216" spans="1:11" x14ac:dyDescent="0.25">
      <c r="A216" s="61" t="s">
        <v>4486</v>
      </c>
      <c r="B216" t="s">
        <v>4485</v>
      </c>
      <c r="C216" t="str">
        <f>findKey(supplementary_offering_offeringid__4[[#This Row],[Value.legacyid]])</f>
        <v>200001-43</v>
      </c>
      <c r="D216" t="s">
        <v>5868</v>
      </c>
      <c r="E216" t="s">
        <v>2329</v>
      </c>
      <c r="H216" s="61"/>
      <c r="J216" t="str">
        <f>ToJsonArray(supplementary_offering_offeringid__4[[#Headers],[legacyid]:[activityId]],supplementary_offering_offeringid__4[[#This Row],[legacyid]:[activityId]])</f>
        <v>{"legacyid":"200001-43","name":"Data 5 GB","mode":"N"}</v>
      </c>
      <c r="K216" t="str">
        <f>ToJsonArray(supplementary_offering_offeringid__4[[#This Row],[produccion]],supplementary_offering_offeringid__4[[#This Row],[json]])</f>
        <v>{"920000143":{"legacyid":"200001-43","name":"Data 5 GB","mode":"N"}}</v>
      </c>
    </row>
    <row r="217" spans="1:11" x14ac:dyDescent="0.25">
      <c r="A217" s="61" t="s">
        <v>2637</v>
      </c>
      <c r="B217" t="s">
        <v>2636</v>
      </c>
      <c r="C217" t="str">
        <f>findKey(supplementary_offering_offeringid__4[[#This Row],[Value.legacyid]])</f>
        <v>200001-48</v>
      </c>
      <c r="D217" t="s">
        <v>5869</v>
      </c>
      <c r="E217" t="s">
        <v>2329</v>
      </c>
      <c r="H217" s="61"/>
      <c r="J217" t="str">
        <f>ToJsonArray(supplementary_offering_offeringid__4[[#Headers],[legacyid]:[activityId]],supplementary_offering_offeringid__4[[#This Row],[legacyid]:[activityId]])</f>
        <v>{"legacyid":"200001-48","name":"Data Unlimited","mode":"N"}</v>
      </c>
      <c r="K217" t="str">
        <f>ToJsonArray(supplementary_offering_offeringid__4[[#This Row],[produccion]],supplementary_offering_offeringid__4[[#This Row],[json]])</f>
        <v>{"920000148":{"legacyid":"200001-48","name":"Data Unlimited","mode":"N"}}</v>
      </c>
    </row>
    <row r="218" spans="1:11" x14ac:dyDescent="0.25">
      <c r="A218" s="61" t="s">
        <v>4489</v>
      </c>
      <c r="B218" t="s">
        <v>4488</v>
      </c>
      <c r="C218" t="str">
        <f>findKey(supplementary_offering_offeringid__4[[#This Row],[Value.legacyid]])</f>
        <v>200001-51</v>
      </c>
      <c r="D218" t="s">
        <v>5870</v>
      </c>
      <c r="E218" t="s">
        <v>2329</v>
      </c>
      <c r="H218" s="61"/>
      <c r="J218" t="str">
        <f>ToJsonArray(supplementary_offering_offeringid__4[[#Headers],[legacyid]:[activityId]],supplementary_offering_offeringid__4[[#This Row],[legacyid]:[activityId]])</f>
        <v>{"legacyid":"200001-51","name":"Data 500 MB","mode":"N"}</v>
      </c>
      <c r="K218" t="str">
        <f>ToJsonArray(supplementary_offering_offeringid__4[[#This Row],[produccion]],supplementary_offering_offeringid__4[[#This Row],[json]])</f>
        <v>{"920000151":{"legacyid":"200001-51","name":"Data 500 MB","mode":"N"}}</v>
      </c>
    </row>
    <row r="219" spans="1:11" x14ac:dyDescent="0.25">
      <c r="A219" s="61" t="s">
        <v>2640</v>
      </c>
      <c r="B219" t="s">
        <v>2639</v>
      </c>
      <c r="C219" t="str">
        <f>findKey(supplementary_offering_offeringid__4[[#This Row],[Value.legacyid]])</f>
        <v>200001-52</v>
      </c>
      <c r="D219" t="s">
        <v>5870</v>
      </c>
      <c r="E219" t="s">
        <v>2329</v>
      </c>
      <c r="H219" s="61"/>
      <c r="J219" t="str">
        <f>ToJsonArray(supplementary_offering_offeringid__4[[#Headers],[legacyid]:[activityId]],supplementary_offering_offeringid__4[[#This Row],[legacyid]:[activityId]])</f>
        <v>{"legacyid":"200001-52","name":"Data 500 MB","mode":"N"}</v>
      </c>
      <c r="K219" t="str">
        <f>ToJsonArray(supplementary_offering_offeringid__4[[#This Row],[produccion]],supplementary_offering_offeringid__4[[#This Row],[json]])</f>
        <v>{"920000152":{"legacyid":"200001-52","name":"Data 500 MB","mode":"N"}}</v>
      </c>
    </row>
    <row r="220" spans="1:11" x14ac:dyDescent="0.25">
      <c r="A220" s="61" t="s">
        <v>4492</v>
      </c>
      <c r="B220" t="s">
        <v>4491</v>
      </c>
      <c r="C220" t="str">
        <f>findKey(supplementary_offering_offeringid__4[[#This Row],[Value.legacyid]])</f>
        <v>200001-53</v>
      </c>
      <c r="D220" t="s">
        <v>5871</v>
      </c>
      <c r="E220" t="s">
        <v>2329</v>
      </c>
      <c r="H220" s="61"/>
      <c r="J220" t="str">
        <f>ToJsonArray(supplementary_offering_offeringid__4[[#Headers],[legacyid]:[activityId]],supplementary_offering_offeringid__4[[#This Row],[legacyid]:[activityId]])</f>
        <v>{"legacyid":"200001-53","name":"Data 800 MB","mode":"N"}</v>
      </c>
      <c r="K220" t="str">
        <f>ToJsonArray(supplementary_offering_offeringid__4[[#This Row],[produccion]],supplementary_offering_offeringid__4[[#This Row],[json]])</f>
        <v>{"920000153":{"legacyid":"200001-53","name":"Data 800 MB","mode":"N"}}</v>
      </c>
    </row>
    <row r="221" spans="1:11" x14ac:dyDescent="0.25">
      <c r="A221" s="61" t="s">
        <v>2643</v>
      </c>
      <c r="B221" t="s">
        <v>2642</v>
      </c>
      <c r="C221" t="str">
        <f>findKey(supplementary_offering_offeringid__4[[#This Row],[Value.legacyid]])</f>
        <v>200001-54</v>
      </c>
      <c r="D221" t="s">
        <v>5872</v>
      </c>
      <c r="E221" t="s">
        <v>2329</v>
      </c>
      <c r="H221" s="61"/>
      <c r="J221" t="str">
        <f>ToJsonArray(supplementary_offering_offeringid__4[[#Headers],[legacyid]:[activityId]],supplementary_offering_offeringid__4[[#This Row],[legacyid]:[activityId]])</f>
        <v>{"legacyid":"200001-54","name":"Data 1 GB","mode":"N"}</v>
      </c>
      <c r="K221" t="str">
        <f>ToJsonArray(supplementary_offering_offeringid__4[[#This Row],[produccion]],supplementary_offering_offeringid__4[[#This Row],[json]])</f>
        <v>{"920000154":{"legacyid":"200001-54","name":"Data 1 GB","mode":"N"}}</v>
      </c>
    </row>
    <row r="222" spans="1:11" x14ac:dyDescent="0.25">
      <c r="A222" s="61" t="s">
        <v>2646</v>
      </c>
      <c r="B222" t="s">
        <v>2645</v>
      </c>
      <c r="C222" t="str">
        <f>findKey(supplementary_offering_offeringid__4[[#This Row],[Value.legacyid]])</f>
        <v>200001-55</v>
      </c>
      <c r="D222" t="s">
        <v>5872</v>
      </c>
      <c r="E222" t="s">
        <v>2329</v>
      </c>
      <c r="H222" s="61"/>
      <c r="J222" t="str">
        <f>ToJsonArray(supplementary_offering_offeringid__4[[#Headers],[legacyid]:[activityId]],supplementary_offering_offeringid__4[[#This Row],[legacyid]:[activityId]])</f>
        <v>{"legacyid":"200001-55","name":"Data 1 GB","mode":"N"}</v>
      </c>
      <c r="K222" t="str">
        <f>ToJsonArray(supplementary_offering_offeringid__4[[#This Row],[produccion]],supplementary_offering_offeringid__4[[#This Row],[json]])</f>
        <v>{"920000155":{"legacyid":"200001-55","name":"Data 1 GB","mode":"N"}}</v>
      </c>
    </row>
    <row r="223" spans="1:11" x14ac:dyDescent="0.25">
      <c r="A223" s="61" t="s">
        <v>2649</v>
      </c>
      <c r="B223" t="s">
        <v>2648</v>
      </c>
      <c r="C223" t="str">
        <f>findKey(supplementary_offering_offeringid__4[[#This Row],[Value.legacyid]])</f>
        <v>200001-56</v>
      </c>
      <c r="D223" t="s">
        <v>5858</v>
      </c>
      <c r="E223" t="s">
        <v>2329</v>
      </c>
      <c r="H223" s="61"/>
      <c r="J223" t="str">
        <f>ToJsonArray(supplementary_offering_offeringid__4[[#Headers],[legacyid]:[activityId]],supplementary_offering_offeringid__4[[#This Row],[legacyid]:[activityId]])</f>
        <v>{"legacyid":"200001-56","name":"Data 1.5GB","mode":"N"}</v>
      </c>
      <c r="K223" t="str">
        <f>ToJsonArray(supplementary_offering_offeringid__4[[#This Row],[produccion]],supplementary_offering_offeringid__4[[#This Row],[json]])</f>
        <v>{"920000156":{"legacyid":"200001-56","name":"Data 1.5GB","mode":"N"}}</v>
      </c>
    </row>
    <row r="224" spans="1:11" x14ac:dyDescent="0.25">
      <c r="A224" s="61" t="s">
        <v>4495</v>
      </c>
      <c r="B224" t="s">
        <v>4494</v>
      </c>
      <c r="C224" t="str">
        <f>findKey(supplementary_offering_offeringid__4[[#This Row],[Value.legacyid]])</f>
        <v>200001-57</v>
      </c>
      <c r="D224" t="s">
        <v>5858</v>
      </c>
      <c r="E224" t="s">
        <v>2329</v>
      </c>
      <c r="H224" s="61"/>
      <c r="J224" t="str">
        <f>ToJsonArray(supplementary_offering_offeringid__4[[#Headers],[legacyid]:[activityId]],supplementary_offering_offeringid__4[[#This Row],[legacyid]:[activityId]])</f>
        <v>{"legacyid":"200001-57","name":"Data 1.5GB","mode":"N"}</v>
      </c>
      <c r="K224" t="str">
        <f>ToJsonArray(supplementary_offering_offeringid__4[[#This Row],[produccion]],supplementary_offering_offeringid__4[[#This Row],[json]])</f>
        <v>{"920000157":{"legacyid":"200001-57","name":"Data 1.5GB","mode":"N"}}</v>
      </c>
    </row>
    <row r="225" spans="1:11" x14ac:dyDescent="0.25">
      <c r="A225" s="61" t="s">
        <v>2652</v>
      </c>
      <c r="B225" t="s">
        <v>2651</v>
      </c>
      <c r="C225" t="str">
        <f>findKey(supplementary_offering_offeringid__4[[#This Row],[Value.legacyid]])</f>
        <v>200001-58</v>
      </c>
      <c r="D225" t="s">
        <v>5873</v>
      </c>
      <c r="E225" t="s">
        <v>2329</v>
      </c>
      <c r="H225" s="61"/>
      <c r="J225" t="str">
        <f>ToJsonArray(supplementary_offering_offeringid__4[[#Headers],[legacyid]:[activityId]],supplementary_offering_offeringid__4[[#This Row],[legacyid]:[activityId]])</f>
        <v>{"legacyid":"200001-58","name":"Data 2GB","mode":"N"}</v>
      </c>
      <c r="K225" t="str">
        <f>ToJsonArray(supplementary_offering_offeringid__4[[#This Row],[produccion]],supplementary_offering_offeringid__4[[#This Row],[json]])</f>
        <v>{"920000158":{"legacyid":"200001-58","name":"Data 2GB","mode":"N"}}</v>
      </c>
    </row>
    <row r="226" spans="1:11" x14ac:dyDescent="0.25">
      <c r="A226" s="61" t="s">
        <v>4498</v>
      </c>
      <c r="B226" t="s">
        <v>4497</v>
      </c>
      <c r="C226" t="str">
        <f>findKey(supplementary_offering_offeringid__4[[#This Row],[Value.legacyid]])</f>
        <v>200001-59</v>
      </c>
      <c r="D226" t="s">
        <v>5873</v>
      </c>
      <c r="E226" t="s">
        <v>2329</v>
      </c>
      <c r="H226" s="61"/>
      <c r="J226" t="str">
        <f>ToJsonArray(supplementary_offering_offeringid__4[[#Headers],[legacyid]:[activityId]],supplementary_offering_offeringid__4[[#This Row],[legacyid]:[activityId]])</f>
        <v>{"legacyid":"200001-59","name":"Data 2GB","mode":"N"}</v>
      </c>
      <c r="K226" t="str">
        <f>ToJsonArray(supplementary_offering_offeringid__4[[#This Row],[produccion]],supplementary_offering_offeringid__4[[#This Row],[json]])</f>
        <v>{"920000159":{"legacyid":"200001-59","name":"Data 2GB","mode":"N"}}</v>
      </c>
    </row>
    <row r="227" spans="1:11" x14ac:dyDescent="0.25">
      <c r="A227" s="61" t="s">
        <v>2655</v>
      </c>
      <c r="B227" t="s">
        <v>2654</v>
      </c>
      <c r="C227" t="str">
        <f>findKey(supplementary_offering_offeringid__4[[#This Row],[Value.legacyid]])</f>
        <v>200001-60</v>
      </c>
      <c r="D227" t="s">
        <v>5873</v>
      </c>
      <c r="E227" t="s">
        <v>2329</v>
      </c>
      <c r="H227" s="61"/>
      <c r="J227" t="str">
        <f>ToJsonArray(supplementary_offering_offeringid__4[[#Headers],[legacyid]:[activityId]],supplementary_offering_offeringid__4[[#This Row],[legacyid]:[activityId]])</f>
        <v>{"legacyid":"200001-60","name":"Data 2GB","mode":"N"}</v>
      </c>
      <c r="K227" t="str">
        <f>ToJsonArray(supplementary_offering_offeringid__4[[#This Row],[produccion]],supplementary_offering_offeringid__4[[#This Row],[json]])</f>
        <v>{"920000160":{"legacyid":"200001-60","name":"Data 2GB","mode":"N"}}</v>
      </c>
    </row>
    <row r="228" spans="1:11" x14ac:dyDescent="0.25">
      <c r="A228" s="61" t="s">
        <v>2658</v>
      </c>
      <c r="B228" t="s">
        <v>2657</v>
      </c>
      <c r="C228" t="str">
        <f>findKey(supplementary_offering_offeringid__4[[#This Row],[Value.legacyid]])</f>
        <v>200001-61</v>
      </c>
      <c r="D228" t="s">
        <v>5874</v>
      </c>
      <c r="E228" t="s">
        <v>2329</v>
      </c>
      <c r="H228" s="61"/>
      <c r="J228" t="str">
        <f>ToJsonArray(supplementary_offering_offeringid__4[[#Headers],[legacyid]:[activityId]],supplementary_offering_offeringid__4[[#This Row],[legacyid]:[activityId]])</f>
        <v>{"legacyid":"200001-61","name":"Data 3GB","mode":"N"}</v>
      </c>
      <c r="K228" t="str">
        <f>ToJsonArray(supplementary_offering_offeringid__4[[#This Row],[produccion]],supplementary_offering_offeringid__4[[#This Row],[json]])</f>
        <v>{"920000161":{"legacyid":"200001-61","name":"Data 3GB","mode":"N"}}</v>
      </c>
    </row>
    <row r="229" spans="1:11" x14ac:dyDescent="0.25">
      <c r="A229" s="61" t="s">
        <v>2661</v>
      </c>
      <c r="B229" t="s">
        <v>2660</v>
      </c>
      <c r="C229" t="str">
        <f>findKey(supplementary_offering_offeringid__4[[#This Row],[Value.legacyid]])</f>
        <v>200001-62</v>
      </c>
      <c r="D229" t="s">
        <v>5859</v>
      </c>
      <c r="E229" t="s">
        <v>2329</v>
      </c>
      <c r="H229" s="61"/>
      <c r="J229" t="str">
        <f>ToJsonArray(supplementary_offering_offeringid__4[[#Headers],[legacyid]:[activityId]],supplementary_offering_offeringid__4[[#This Row],[legacyid]:[activityId]])</f>
        <v>{"legacyid":"200001-62","name":"Data 2.5GB","mode":"N"}</v>
      </c>
      <c r="K229" t="str">
        <f>ToJsonArray(supplementary_offering_offeringid__4[[#This Row],[produccion]],supplementary_offering_offeringid__4[[#This Row],[json]])</f>
        <v>{"920000162":{"legacyid":"200001-62","name":"Data 2.5GB","mode":"N"}}</v>
      </c>
    </row>
    <row r="230" spans="1:11" x14ac:dyDescent="0.25">
      <c r="A230" s="61" t="s">
        <v>4501</v>
      </c>
      <c r="B230" t="s">
        <v>4500</v>
      </c>
      <c r="C230" t="str">
        <f>findKey(supplementary_offering_offeringid__4[[#This Row],[Value.legacyid]])</f>
        <v>200001-63</v>
      </c>
      <c r="D230" t="s">
        <v>5859</v>
      </c>
      <c r="E230" t="s">
        <v>2329</v>
      </c>
      <c r="H230" s="61"/>
      <c r="J230" t="str">
        <f>ToJsonArray(supplementary_offering_offeringid__4[[#Headers],[legacyid]:[activityId]],supplementary_offering_offeringid__4[[#This Row],[legacyid]:[activityId]])</f>
        <v>{"legacyid":"200001-63","name":"Data 2.5GB","mode":"N"}</v>
      </c>
      <c r="K230" t="str">
        <f>ToJsonArray(supplementary_offering_offeringid__4[[#This Row],[produccion]],supplementary_offering_offeringid__4[[#This Row],[json]])</f>
        <v>{"920000163":{"legacyid":"200001-63","name":"Data 2.5GB","mode":"N"}}</v>
      </c>
    </row>
    <row r="231" spans="1:11" x14ac:dyDescent="0.25">
      <c r="A231" s="61" t="s">
        <v>4504</v>
      </c>
      <c r="B231" t="s">
        <v>4503</v>
      </c>
      <c r="C231" t="str">
        <f>findKey(supplementary_offering_offeringid__4[[#This Row],[Value.legacyid]])</f>
        <v>200001-64</v>
      </c>
      <c r="D231" t="s">
        <v>5874</v>
      </c>
      <c r="E231" t="s">
        <v>2329</v>
      </c>
      <c r="H231" s="61"/>
      <c r="J231" t="str">
        <f>ToJsonArray(supplementary_offering_offeringid__4[[#Headers],[legacyid]:[activityId]],supplementary_offering_offeringid__4[[#This Row],[legacyid]:[activityId]])</f>
        <v>{"legacyid":"200001-64","name":"Data 3GB","mode":"N"}</v>
      </c>
      <c r="K231" t="str">
        <f>ToJsonArray(supplementary_offering_offeringid__4[[#This Row],[produccion]],supplementary_offering_offeringid__4[[#This Row],[json]])</f>
        <v>{"920000164":{"legacyid":"200001-64","name":"Data 3GB","mode":"N"}}</v>
      </c>
    </row>
    <row r="232" spans="1:11" x14ac:dyDescent="0.25">
      <c r="A232" s="61" t="s">
        <v>2664</v>
      </c>
      <c r="B232" t="s">
        <v>2663</v>
      </c>
      <c r="C232" t="str">
        <f>findKey(supplementary_offering_offeringid__4[[#This Row],[Value.legacyid]])</f>
        <v>200001-65</v>
      </c>
      <c r="D232" t="s">
        <v>5863</v>
      </c>
      <c r="E232" t="s">
        <v>2329</v>
      </c>
      <c r="H232" s="61"/>
      <c r="J232" t="str">
        <f>ToJsonArray(supplementary_offering_offeringid__4[[#Headers],[legacyid]:[activityId]],supplementary_offering_offeringid__4[[#This Row],[legacyid]:[activityId]])</f>
        <v>{"legacyid":"200001-65","name":"Data 3.5GB","mode":"N"}</v>
      </c>
      <c r="K232" t="str">
        <f>ToJsonArray(supplementary_offering_offeringid__4[[#This Row],[produccion]],supplementary_offering_offeringid__4[[#This Row],[json]])</f>
        <v>{"920000165":{"legacyid":"200001-65","name":"Data 3.5GB","mode":"N"}}</v>
      </c>
    </row>
    <row r="233" spans="1:11" x14ac:dyDescent="0.25">
      <c r="A233" s="61" t="s">
        <v>2667</v>
      </c>
      <c r="B233" t="s">
        <v>2666</v>
      </c>
      <c r="C233" t="str">
        <f>findKey(supplementary_offering_offeringid__4[[#This Row],[Value.legacyid]])</f>
        <v>200001-66</v>
      </c>
      <c r="D233" t="s">
        <v>5874</v>
      </c>
      <c r="E233" t="s">
        <v>2329</v>
      </c>
      <c r="H233" s="61"/>
      <c r="J233" t="str">
        <f>ToJsonArray(supplementary_offering_offeringid__4[[#Headers],[legacyid]:[activityId]],supplementary_offering_offeringid__4[[#This Row],[legacyid]:[activityId]])</f>
        <v>{"legacyid":"200001-66","name":"Data 3GB","mode":"N"}</v>
      </c>
      <c r="K233" t="str">
        <f>ToJsonArray(supplementary_offering_offeringid__4[[#This Row],[produccion]],supplementary_offering_offeringid__4[[#This Row],[json]])</f>
        <v>{"920000166":{"legacyid":"200001-66","name":"Data 3GB","mode":"N"}}</v>
      </c>
    </row>
    <row r="234" spans="1:11" x14ac:dyDescent="0.25">
      <c r="A234" s="61" t="s">
        <v>4507</v>
      </c>
      <c r="B234" t="s">
        <v>4506</v>
      </c>
      <c r="C234" t="str">
        <f>findKey(supplementary_offering_offeringid__4[[#This Row],[Value.legacyid]])</f>
        <v>200001-67</v>
      </c>
      <c r="D234" t="s">
        <v>5875</v>
      </c>
      <c r="E234" t="s">
        <v>2329</v>
      </c>
      <c r="H234" s="61"/>
      <c r="J234" t="str">
        <f>ToJsonArray(supplementary_offering_offeringid__4[[#Headers],[legacyid]:[activityId]],supplementary_offering_offeringid__4[[#This Row],[legacyid]:[activityId]])</f>
        <v>{"legacyid":"200001-67","name":"Data 4GB","mode":"N"}</v>
      </c>
      <c r="K234" t="str">
        <f>ToJsonArray(supplementary_offering_offeringid__4[[#This Row],[produccion]],supplementary_offering_offeringid__4[[#This Row],[json]])</f>
        <v>{"920000167":{"legacyid":"200001-67","name":"Data 4GB","mode":"N"}}</v>
      </c>
    </row>
    <row r="235" spans="1:11" x14ac:dyDescent="0.25">
      <c r="A235" s="61" t="s">
        <v>2670</v>
      </c>
      <c r="B235" t="s">
        <v>2669</v>
      </c>
      <c r="C235" t="str">
        <f>findKey(supplementary_offering_offeringid__4[[#This Row],[Value.legacyid]])</f>
        <v>200001-68</v>
      </c>
      <c r="D235" t="s">
        <v>5875</v>
      </c>
      <c r="E235" t="s">
        <v>2329</v>
      </c>
      <c r="H235" s="61"/>
      <c r="J235" t="str">
        <f>ToJsonArray(supplementary_offering_offeringid__4[[#Headers],[legacyid]:[activityId]],supplementary_offering_offeringid__4[[#This Row],[legacyid]:[activityId]])</f>
        <v>{"legacyid":"200001-68","name":"Data 4GB","mode":"N"}</v>
      </c>
      <c r="K235" t="str">
        <f>ToJsonArray(supplementary_offering_offeringid__4[[#This Row],[produccion]],supplementary_offering_offeringid__4[[#This Row],[json]])</f>
        <v>{"920000168":{"legacyid":"200001-68","name":"Data 4GB","mode":"N"}}</v>
      </c>
    </row>
    <row r="236" spans="1:11" x14ac:dyDescent="0.25">
      <c r="A236" s="61" t="s">
        <v>2673</v>
      </c>
      <c r="B236" t="s">
        <v>2672</v>
      </c>
      <c r="C236" t="str">
        <f>findKey(supplementary_offering_offeringid__4[[#This Row],[Value.legacyid]])</f>
        <v>200001-69</v>
      </c>
      <c r="D236" t="s">
        <v>5875</v>
      </c>
      <c r="E236" t="s">
        <v>2329</v>
      </c>
      <c r="H236" s="61"/>
      <c r="J236" t="str">
        <f>ToJsonArray(supplementary_offering_offeringid__4[[#Headers],[legacyid]:[activityId]],supplementary_offering_offeringid__4[[#This Row],[legacyid]:[activityId]])</f>
        <v>{"legacyid":"200001-69","name":"Data 4GB","mode":"N"}</v>
      </c>
      <c r="K236" t="str">
        <f>ToJsonArray(supplementary_offering_offeringid__4[[#This Row],[produccion]],supplementary_offering_offeringid__4[[#This Row],[json]])</f>
        <v>{"920000169":{"legacyid":"200001-69","name":"Data 4GB","mode":"N"}}</v>
      </c>
    </row>
    <row r="237" spans="1:11" x14ac:dyDescent="0.25">
      <c r="A237" s="61" t="s">
        <v>2676</v>
      </c>
      <c r="B237" t="s">
        <v>2675</v>
      </c>
      <c r="C237" t="str">
        <f>findKey(supplementary_offering_offeringid__4[[#This Row],[Value.legacyid]])</f>
        <v>200001-70</v>
      </c>
      <c r="D237" t="s">
        <v>5876</v>
      </c>
      <c r="E237" t="s">
        <v>2329</v>
      </c>
      <c r="H237" s="61"/>
      <c r="J237" t="str">
        <f>ToJsonArray(supplementary_offering_offeringid__4[[#Headers],[legacyid]:[activityId]],supplementary_offering_offeringid__4[[#This Row],[legacyid]:[activityId]])</f>
        <v>{"legacyid":"200001-70","name":"Data 5GB","mode":"N"}</v>
      </c>
      <c r="K237" t="str">
        <f>ToJsonArray(supplementary_offering_offeringid__4[[#This Row],[produccion]],supplementary_offering_offeringid__4[[#This Row],[json]])</f>
        <v>{"920000170":{"legacyid":"200001-70","name":"Data 5GB","mode":"N"}}</v>
      </c>
    </row>
    <row r="238" spans="1:11" x14ac:dyDescent="0.25">
      <c r="A238" s="61" t="s">
        <v>2679</v>
      </c>
      <c r="B238" t="s">
        <v>2678</v>
      </c>
      <c r="C238" t="str">
        <f>findKey(supplementary_offering_offeringid__4[[#This Row],[Value.legacyid]])</f>
        <v>200001-71</v>
      </c>
      <c r="D238" t="s">
        <v>5877</v>
      </c>
      <c r="E238" t="s">
        <v>2329</v>
      </c>
      <c r="H238" s="61"/>
      <c r="J238" t="str">
        <f>ToJsonArray(supplementary_offering_offeringid__4[[#Headers],[legacyid]:[activityId]],supplementary_offering_offeringid__4[[#This Row],[legacyid]:[activityId]])</f>
        <v>{"legacyid":"200001-71","name":"Data 5.5GB","mode":"N"}</v>
      </c>
      <c r="K238" t="str">
        <f>ToJsonArray(supplementary_offering_offeringid__4[[#This Row],[produccion]],supplementary_offering_offeringid__4[[#This Row],[json]])</f>
        <v>{"920000171":{"legacyid":"200001-71","name":"Data 5.5GB","mode":"N"}}</v>
      </c>
    </row>
    <row r="239" spans="1:11" x14ac:dyDescent="0.25">
      <c r="A239" s="61" t="s">
        <v>2682</v>
      </c>
      <c r="B239" t="s">
        <v>2681</v>
      </c>
      <c r="C239" t="str">
        <f>findKey(supplementary_offering_offeringid__4[[#This Row],[Value.legacyid]])</f>
        <v>200001-72</v>
      </c>
      <c r="D239" t="s">
        <v>5878</v>
      </c>
      <c r="E239" t="s">
        <v>2329</v>
      </c>
      <c r="H239" s="61"/>
      <c r="J239" t="str">
        <f>ToJsonArray(supplementary_offering_offeringid__4[[#Headers],[legacyid]:[activityId]],supplementary_offering_offeringid__4[[#This Row],[legacyid]:[activityId]])</f>
        <v>{"legacyid":"200001-72","name":"Data 6.5GB","mode":"N"}</v>
      </c>
      <c r="K239" t="str">
        <f>ToJsonArray(supplementary_offering_offeringid__4[[#This Row],[produccion]],supplementary_offering_offeringid__4[[#This Row],[json]])</f>
        <v>{"920000172":{"legacyid":"200001-72","name":"Data 6.5GB","mode":"N"}}</v>
      </c>
    </row>
    <row r="240" spans="1:11" x14ac:dyDescent="0.25">
      <c r="A240" s="61" t="s">
        <v>2685</v>
      </c>
      <c r="B240" t="s">
        <v>2684</v>
      </c>
      <c r="C240" t="str">
        <f>findKey(supplementary_offering_offeringid__4[[#This Row],[Value.legacyid]])</f>
        <v>200001-74</v>
      </c>
      <c r="D240" t="s">
        <v>5879</v>
      </c>
      <c r="E240" t="s">
        <v>2329</v>
      </c>
      <c r="H240" s="61"/>
      <c r="J240" t="str">
        <f>ToJsonArray(supplementary_offering_offeringid__4[[#Headers],[legacyid]:[activityId]],supplementary_offering_offeringid__4[[#This Row],[legacyid]:[activityId]])</f>
        <v>{"legacyid":"200001-74","name":"Data 800MB","mode":"N"}</v>
      </c>
      <c r="K240" t="str">
        <f>ToJsonArray(supplementary_offering_offeringid__4[[#This Row],[produccion]],supplementary_offering_offeringid__4[[#This Row],[json]])</f>
        <v>{"920000174":{"legacyid":"200001-74","name":"Data 800MB","mode":"N"}}</v>
      </c>
    </row>
    <row r="241" spans="1:11" x14ac:dyDescent="0.25">
      <c r="A241" s="61" t="s">
        <v>2688</v>
      </c>
      <c r="B241" t="s">
        <v>2687</v>
      </c>
      <c r="C241" t="str">
        <f>findKey(supplementary_offering_offeringid__4[[#This Row],[Value.legacyid]])</f>
        <v>200001-75</v>
      </c>
      <c r="D241" t="s">
        <v>5858</v>
      </c>
      <c r="E241" t="s">
        <v>2329</v>
      </c>
      <c r="H241" s="61"/>
      <c r="J241" t="str">
        <f>ToJsonArray(supplementary_offering_offeringid__4[[#Headers],[legacyid]:[activityId]],supplementary_offering_offeringid__4[[#This Row],[legacyid]:[activityId]])</f>
        <v>{"legacyid":"200001-75","name":"Data 1.5GB","mode":"N"}</v>
      </c>
      <c r="K241" t="str">
        <f>ToJsonArray(supplementary_offering_offeringid__4[[#This Row],[produccion]],supplementary_offering_offeringid__4[[#This Row],[json]])</f>
        <v>{"920000175":{"legacyid":"200001-75","name":"Data 1.5GB","mode":"N"}}</v>
      </c>
    </row>
    <row r="242" spans="1:11" x14ac:dyDescent="0.25">
      <c r="A242" s="61" t="s">
        <v>2691</v>
      </c>
      <c r="B242" t="s">
        <v>2690</v>
      </c>
      <c r="C242" t="str">
        <f>findKey(supplementary_offering_offeringid__4[[#This Row],[Value.legacyid]])</f>
        <v>200001-76</v>
      </c>
      <c r="D242" t="s">
        <v>5873</v>
      </c>
      <c r="E242" t="s">
        <v>2329</v>
      </c>
      <c r="H242" s="61"/>
      <c r="J242" t="str">
        <f>ToJsonArray(supplementary_offering_offeringid__4[[#Headers],[legacyid]:[activityId]],supplementary_offering_offeringid__4[[#This Row],[legacyid]:[activityId]])</f>
        <v>{"legacyid":"200001-76","name":"Data 2GB","mode":"N"}</v>
      </c>
      <c r="K242" t="str">
        <f>ToJsonArray(supplementary_offering_offeringid__4[[#This Row],[produccion]],supplementary_offering_offeringid__4[[#This Row],[json]])</f>
        <v>{"920000176":{"legacyid":"200001-76","name":"Data 2GB","mode":"N"}}</v>
      </c>
    </row>
    <row r="243" spans="1:11" x14ac:dyDescent="0.25">
      <c r="A243" s="61" t="s">
        <v>2694</v>
      </c>
      <c r="B243" t="s">
        <v>2693</v>
      </c>
      <c r="C243" t="str">
        <f>findKey(supplementary_offering_offeringid__4[[#This Row],[Value.legacyid]])</f>
        <v>200001-77</v>
      </c>
      <c r="D243" t="s">
        <v>5859</v>
      </c>
      <c r="E243" t="s">
        <v>2329</v>
      </c>
      <c r="H243" s="61"/>
      <c r="J243" t="str">
        <f>ToJsonArray(supplementary_offering_offeringid__4[[#Headers],[legacyid]:[activityId]],supplementary_offering_offeringid__4[[#This Row],[legacyid]:[activityId]])</f>
        <v>{"legacyid":"200001-77","name":"Data 2.5GB","mode":"N"}</v>
      </c>
      <c r="K243" t="str">
        <f>ToJsonArray(supplementary_offering_offeringid__4[[#This Row],[produccion]],supplementary_offering_offeringid__4[[#This Row],[json]])</f>
        <v>{"920000177":{"legacyid":"200001-77","name":"Data 2.5GB","mode":"N"}}</v>
      </c>
    </row>
    <row r="244" spans="1:11" x14ac:dyDescent="0.25">
      <c r="A244" s="61" t="s">
        <v>2697</v>
      </c>
      <c r="B244" t="s">
        <v>2696</v>
      </c>
      <c r="C244" t="str">
        <f>findKey(supplementary_offering_offeringid__4[[#This Row],[Value.legacyid]])</f>
        <v>200001-78</v>
      </c>
      <c r="D244" t="s">
        <v>5874</v>
      </c>
      <c r="E244" t="s">
        <v>2329</v>
      </c>
      <c r="H244" s="61"/>
      <c r="J244" t="str">
        <f>ToJsonArray(supplementary_offering_offeringid__4[[#Headers],[legacyid]:[activityId]],supplementary_offering_offeringid__4[[#This Row],[legacyid]:[activityId]])</f>
        <v>{"legacyid":"200001-78","name":"Data 3GB","mode":"N"}</v>
      </c>
      <c r="K244" t="str">
        <f>ToJsonArray(supplementary_offering_offeringid__4[[#This Row],[produccion]],supplementary_offering_offeringid__4[[#This Row],[json]])</f>
        <v>{"920000178":{"legacyid":"200001-78","name":"Data 3GB","mode":"N"}}</v>
      </c>
    </row>
    <row r="245" spans="1:11" x14ac:dyDescent="0.25">
      <c r="A245" s="61" t="s">
        <v>2700</v>
      </c>
      <c r="B245" t="s">
        <v>2699</v>
      </c>
      <c r="C245" t="str">
        <f>findKey(supplementary_offering_offeringid__4[[#This Row],[Value.legacyid]])</f>
        <v>200001-79</v>
      </c>
      <c r="D245" t="s">
        <v>5863</v>
      </c>
      <c r="E245" t="s">
        <v>2329</v>
      </c>
      <c r="H245" s="61"/>
      <c r="J245" t="str">
        <f>ToJsonArray(supplementary_offering_offeringid__4[[#Headers],[legacyid]:[activityId]],supplementary_offering_offeringid__4[[#This Row],[legacyid]:[activityId]])</f>
        <v>{"legacyid":"200001-79","name":"Data 3.5GB","mode":"N"}</v>
      </c>
      <c r="K245" t="str">
        <f>ToJsonArray(supplementary_offering_offeringid__4[[#This Row],[produccion]],supplementary_offering_offeringid__4[[#This Row],[json]])</f>
        <v>{"920000179":{"legacyid":"200001-79","name":"Data 3.5GB","mode":"N"}}</v>
      </c>
    </row>
    <row r="246" spans="1:11" x14ac:dyDescent="0.25">
      <c r="A246" s="61" t="s">
        <v>2703</v>
      </c>
      <c r="B246" t="s">
        <v>2702</v>
      </c>
      <c r="C246" t="str">
        <f>findKey(supplementary_offering_offeringid__4[[#This Row],[Value.legacyid]])</f>
        <v>200001-80</v>
      </c>
      <c r="D246" t="s">
        <v>5875</v>
      </c>
      <c r="E246" t="s">
        <v>2329</v>
      </c>
      <c r="H246" s="61"/>
      <c r="J246" t="str">
        <f>ToJsonArray(supplementary_offering_offeringid__4[[#Headers],[legacyid]:[activityId]],supplementary_offering_offeringid__4[[#This Row],[legacyid]:[activityId]])</f>
        <v>{"legacyid":"200001-80","name":"Data 4GB","mode":"N"}</v>
      </c>
      <c r="K246" t="str">
        <f>ToJsonArray(supplementary_offering_offeringid__4[[#This Row],[produccion]],supplementary_offering_offeringid__4[[#This Row],[json]])</f>
        <v>{"920000180":{"legacyid":"200001-80","name":"Data 4GB","mode":"N"}}</v>
      </c>
    </row>
    <row r="247" spans="1:11" x14ac:dyDescent="0.25">
      <c r="A247" s="61" t="s">
        <v>2706</v>
      </c>
      <c r="B247" t="s">
        <v>2705</v>
      </c>
      <c r="C247" t="str">
        <f>findKey(supplementary_offering_offeringid__4[[#This Row],[Value.legacyid]])</f>
        <v>200001-81</v>
      </c>
      <c r="D247" t="s">
        <v>5880</v>
      </c>
      <c r="E247" t="s">
        <v>2329</v>
      </c>
      <c r="H247" s="61"/>
      <c r="J247" t="str">
        <f>ToJsonArray(supplementary_offering_offeringid__4[[#Headers],[legacyid]:[activityId]],supplementary_offering_offeringid__4[[#This Row],[legacyid]:[activityId]])</f>
        <v>{"legacyid":"200001-81","name":"Data 4.5GB","mode":"N"}</v>
      </c>
      <c r="K247" t="str">
        <f>ToJsonArray(supplementary_offering_offeringid__4[[#This Row],[produccion]],supplementary_offering_offeringid__4[[#This Row],[json]])</f>
        <v>{"920000181":{"legacyid":"200001-81","name":"Data 4.5GB","mode":"N"}}</v>
      </c>
    </row>
    <row r="248" spans="1:11" x14ac:dyDescent="0.25">
      <c r="A248" s="61" t="s">
        <v>2709</v>
      </c>
      <c r="B248" t="s">
        <v>2708</v>
      </c>
      <c r="C248" t="str">
        <f>findKey(supplementary_offering_offeringid__4[[#This Row],[Value.legacyid]])</f>
        <v>200001-82</v>
      </c>
      <c r="D248" t="s">
        <v>5876</v>
      </c>
      <c r="E248" t="s">
        <v>2329</v>
      </c>
      <c r="H248" s="61"/>
      <c r="J248" t="str">
        <f>ToJsonArray(supplementary_offering_offeringid__4[[#Headers],[legacyid]:[activityId]],supplementary_offering_offeringid__4[[#This Row],[legacyid]:[activityId]])</f>
        <v>{"legacyid":"200001-82","name":"Data 5GB","mode":"N"}</v>
      </c>
      <c r="K248" t="str">
        <f>ToJsonArray(supplementary_offering_offeringid__4[[#This Row],[produccion]],supplementary_offering_offeringid__4[[#This Row],[json]])</f>
        <v>{"920000182":{"legacyid":"200001-82","name":"Data 5GB","mode":"N"}}</v>
      </c>
    </row>
    <row r="249" spans="1:11" x14ac:dyDescent="0.25">
      <c r="A249" s="61" t="s">
        <v>4510</v>
      </c>
      <c r="B249" t="s">
        <v>4509</v>
      </c>
      <c r="C249" t="str">
        <f>findKey(supplementary_offering_offeringid__4[[#This Row],[Value.legacyid]])</f>
        <v>200001-84</v>
      </c>
      <c r="D249" t="s">
        <v>5881</v>
      </c>
      <c r="E249" t="s">
        <v>2329</v>
      </c>
      <c r="H249" s="61"/>
      <c r="J249" t="str">
        <f>ToJsonArray(supplementary_offering_offeringid__4[[#Headers],[legacyid]:[activityId]],supplementary_offering_offeringid__4[[#This Row],[legacyid]:[activityId]])</f>
        <v>{"legacyid":"200001-84","name":"Data 1.3GB","mode":"N"}</v>
      </c>
      <c r="K249" t="str">
        <f>ToJsonArray(supplementary_offering_offeringid__4[[#This Row],[produccion]],supplementary_offering_offeringid__4[[#This Row],[json]])</f>
        <v>{"920000184":{"legacyid":"200001-84","name":"Data 1.3GB","mode":"N"}}</v>
      </c>
    </row>
    <row r="250" spans="1:11" x14ac:dyDescent="0.25">
      <c r="A250" s="61" t="s">
        <v>4513</v>
      </c>
      <c r="B250" t="s">
        <v>4512</v>
      </c>
      <c r="C250" t="str">
        <f>findKey(supplementary_offering_offeringid__4[[#This Row],[Value.legacyid]])</f>
        <v>200001-86</v>
      </c>
      <c r="D250" t="s">
        <v>5873</v>
      </c>
      <c r="E250" t="s">
        <v>2329</v>
      </c>
      <c r="H250" s="61"/>
      <c r="J250" t="str">
        <f>ToJsonArray(supplementary_offering_offeringid__4[[#Headers],[legacyid]:[activityId]],supplementary_offering_offeringid__4[[#This Row],[legacyid]:[activityId]])</f>
        <v>{"legacyid":"200001-86","name":"Data 2GB","mode":"N"}</v>
      </c>
      <c r="K250" t="str">
        <f>ToJsonArray(supplementary_offering_offeringid__4[[#This Row],[produccion]],supplementary_offering_offeringid__4[[#This Row],[json]])</f>
        <v>{"920000186":{"legacyid":"200001-86","name":"Data 2GB","mode":"N"}}</v>
      </c>
    </row>
    <row r="251" spans="1:11" x14ac:dyDescent="0.25">
      <c r="A251" s="61" t="s">
        <v>2712</v>
      </c>
      <c r="B251" t="s">
        <v>2711</v>
      </c>
      <c r="C251" t="str">
        <f>findKey(supplementary_offering_offeringid__4[[#This Row],[Value.legacyid]])</f>
        <v>200001-91</v>
      </c>
      <c r="D251" t="s">
        <v>5863</v>
      </c>
      <c r="E251" t="s">
        <v>2329</v>
      </c>
      <c r="H251" s="61"/>
      <c r="J251" t="str">
        <f>ToJsonArray(supplementary_offering_offeringid__4[[#Headers],[legacyid]:[activityId]],supplementary_offering_offeringid__4[[#This Row],[legacyid]:[activityId]])</f>
        <v>{"legacyid":"200001-91","name":"Data 3.5GB","mode":"N"}</v>
      </c>
      <c r="K251" t="str">
        <f>ToJsonArray(supplementary_offering_offeringid__4[[#This Row],[produccion]],supplementary_offering_offeringid__4[[#This Row],[json]])</f>
        <v>{"920000191":{"legacyid":"200001-91","name":"Data 3.5GB","mode":"N"}}</v>
      </c>
    </row>
    <row r="252" spans="1:11" x14ac:dyDescent="0.25">
      <c r="A252" s="61" t="s">
        <v>2715</v>
      </c>
      <c r="B252" t="s">
        <v>2714</v>
      </c>
      <c r="C252" t="str">
        <f>findKey(supplementary_offering_offeringid__4[[#This Row],[Value.legacyid]])</f>
        <v>200001-92</v>
      </c>
      <c r="D252" t="s">
        <v>5880</v>
      </c>
      <c r="E252" t="s">
        <v>2329</v>
      </c>
      <c r="H252" s="61"/>
      <c r="J252" t="str">
        <f>ToJsonArray(supplementary_offering_offeringid__4[[#Headers],[legacyid]:[activityId]],supplementary_offering_offeringid__4[[#This Row],[legacyid]:[activityId]])</f>
        <v>{"legacyid":"200001-92","name":"Data 4.5GB","mode":"N"}</v>
      </c>
      <c r="K252" t="str">
        <f>ToJsonArray(supplementary_offering_offeringid__4[[#This Row],[produccion]],supplementary_offering_offeringid__4[[#This Row],[json]])</f>
        <v>{"920000192":{"legacyid":"200001-92","name":"Data 4.5GB","mode":"N"}}</v>
      </c>
    </row>
    <row r="253" spans="1:11" x14ac:dyDescent="0.25">
      <c r="A253" s="61" t="s">
        <v>2718</v>
      </c>
      <c r="B253" t="s">
        <v>2717</v>
      </c>
      <c r="C253" t="str">
        <f>findKey(supplementary_offering_offeringid__4[[#This Row],[Value.legacyid]])</f>
        <v>200001-93</v>
      </c>
      <c r="D253" t="s">
        <v>5882</v>
      </c>
      <c r="E253" t="s">
        <v>2329</v>
      </c>
      <c r="H253" s="61"/>
      <c r="J253" t="str">
        <f>ToJsonArray(supplementary_offering_offeringid__4[[#Headers],[legacyid]:[activityId]],supplementary_offering_offeringid__4[[#This Row],[legacyid]:[activityId]])</f>
        <v>{"legacyid":"200001-93","name":"Data 7GB","mode":"N"}</v>
      </c>
      <c r="K253" t="str">
        <f>ToJsonArray(supplementary_offering_offeringid__4[[#This Row],[produccion]],supplementary_offering_offeringid__4[[#This Row],[json]])</f>
        <v>{"920000193":{"legacyid":"200001-93","name":"Data 7GB","mode":"N"}}</v>
      </c>
    </row>
    <row r="254" spans="1:11" x14ac:dyDescent="0.25">
      <c r="A254" s="61" t="s">
        <v>2721</v>
      </c>
      <c r="B254" t="s">
        <v>2720</v>
      </c>
      <c r="C254" t="str">
        <f>findKey(supplementary_offering_offeringid__4[[#This Row],[Value.legacyid]])</f>
        <v>200001-95</v>
      </c>
      <c r="D254" t="s">
        <v>5877</v>
      </c>
      <c r="E254" t="s">
        <v>2329</v>
      </c>
      <c r="H254" s="61"/>
      <c r="J254" t="str">
        <f>ToJsonArray(supplementary_offering_offeringid__4[[#Headers],[legacyid]:[activityId]],supplementary_offering_offeringid__4[[#This Row],[legacyid]:[activityId]])</f>
        <v>{"legacyid":"200001-95","name":"Data 5.5GB","mode":"N"}</v>
      </c>
      <c r="K254" t="str">
        <f>ToJsonArray(supplementary_offering_offeringid__4[[#This Row],[produccion]],supplementary_offering_offeringid__4[[#This Row],[json]])</f>
        <v>{"920000195":{"legacyid":"200001-95","name":"Data 5.5GB","mode":"N"}}</v>
      </c>
    </row>
    <row r="255" spans="1:11" x14ac:dyDescent="0.25">
      <c r="A255" s="61" t="s">
        <v>2724</v>
      </c>
      <c r="B255" t="s">
        <v>2723</v>
      </c>
      <c r="C255" t="str">
        <f>findKey(supplementary_offering_offeringid__4[[#This Row],[Value.legacyid]])</f>
        <v>200001-96</v>
      </c>
      <c r="D255" t="s">
        <v>5858</v>
      </c>
      <c r="E255" t="s">
        <v>2329</v>
      </c>
      <c r="H255" s="61"/>
      <c r="J255" t="str">
        <f>ToJsonArray(supplementary_offering_offeringid__4[[#Headers],[legacyid]:[activityId]],supplementary_offering_offeringid__4[[#This Row],[legacyid]:[activityId]])</f>
        <v>{"legacyid":"200001-96","name":"Data 1.5GB","mode":"N"}</v>
      </c>
      <c r="K255" t="str">
        <f>ToJsonArray(supplementary_offering_offeringid__4[[#This Row],[produccion]],supplementary_offering_offeringid__4[[#This Row],[json]])</f>
        <v>{"920000196":{"legacyid":"200001-96","name":"Data 1.5GB","mode":"N"}}</v>
      </c>
    </row>
    <row r="256" spans="1:11" x14ac:dyDescent="0.25">
      <c r="A256" s="61" t="s">
        <v>2727</v>
      </c>
      <c r="B256" t="s">
        <v>2726</v>
      </c>
      <c r="C256" t="str">
        <f>findKey(supplementary_offering_offeringid__4[[#This Row],[Value.legacyid]])</f>
        <v>200001-97</v>
      </c>
      <c r="D256" t="s">
        <v>5859</v>
      </c>
      <c r="E256" t="s">
        <v>2329</v>
      </c>
      <c r="H256" s="61"/>
      <c r="J256" t="str">
        <f>ToJsonArray(supplementary_offering_offeringid__4[[#Headers],[legacyid]:[activityId]],supplementary_offering_offeringid__4[[#This Row],[legacyid]:[activityId]])</f>
        <v>{"legacyid":"200001-97","name":"Data 2.5GB","mode":"N"}</v>
      </c>
      <c r="K256" t="str">
        <f>ToJsonArray(supplementary_offering_offeringid__4[[#This Row],[produccion]],supplementary_offering_offeringid__4[[#This Row],[json]])</f>
        <v>{"920000197":{"legacyid":"200001-97","name":"Data 2.5GB","mode":"N"}}</v>
      </c>
    </row>
    <row r="257" spans="1:11" x14ac:dyDescent="0.25">
      <c r="A257" s="61" t="s">
        <v>2730</v>
      </c>
      <c r="B257" t="s">
        <v>2729</v>
      </c>
      <c r="C257" t="str">
        <f>findKey(supplementary_offering_offeringid__4[[#This Row],[Value.legacyid]])</f>
        <v>200001-98</v>
      </c>
      <c r="D257" t="s">
        <v>5874</v>
      </c>
      <c r="E257" t="s">
        <v>2329</v>
      </c>
      <c r="H257" s="61"/>
      <c r="J257" t="str">
        <f>ToJsonArray(supplementary_offering_offeringid__4[[#Headers],[legacyid]:[activityId]],supplementary_offering_offeringid__4[[#This Row],[legacyid]:[activityId]])</f>
        <v>{"legacyid":"200001-98","name":"Data 3GB","mode":"N"}</v>
      </c>
      <c r="K257" t="str">
        <f>ToJsonArray(supplementary_offering_offeringid__4[[#This Row],[produccion]],supplementary_offering_offeringid__4[[#This Row],[json]])</f>
        <v>{"920000198":{"legacyid":"200001-98","name":"Data 3GB","mode":"N"}}</v>
      </c>
    </row>
    <row r="258" spans="1:11" x14ac:dyDescent="0.25">
      <c r="A258" s="61" t="s">
        <v>2733</v>
      </c>
      <c r="B258" t="s">
        <v>2732</v>
      </c>
      <c r="C258" t="str">
        <f>findKey(supplementary_offering_offeringid__4[[#This Row],[Value.legacyid]])</f>
        <v>200001-99</v>
      </c>
      <c r="D258" t="s">
        <v>5875</v>
      </c>
      <c r="E258" t="s">
        <v>2329</v>
      </c>
      <c r="H258" s="61"/>
      <c r="J258" t="str">
        <f>ToJsonArray(supplementary_offering_offeringid__4[[#Headers],[legacyid]:[activityId]],supplementary_offering_offeringid__4[[#This Row],[legacyid]:[activityId]])</f>
        <v>{"legacyid":"200001-99","name":"Data 4GB","mode":"N"}</v>
      </c>
      <c r="K258" t="str">
        <f>ToJsonArray(supplementary_offering_offeringid__4[[#This Row],[produccion]],supplementary_offering_offeringid__4[[#This Row],[json]])</f>
        <v>{"920000199":{"legacyid":"200001-99","name":"Data 4GB","mode":"N"}}</v>
      </c>
    </row>
    <row r="259" spans="1:11" x14ac:dyDescent="0.25">
      <c r="A259" s="61" t="s">
        <v>4516</v>
      </c>
      <c r="B259" t="s">
        <v>4515</v>
      </c>
      <c r="C259" t="str">
        <f>findKey(supplementary_offering_offeringid__4[[#This Row],[Value.legacyid]])</f>
        <v>200003-00</v>
      </c>
      <c r="D259" t="s">
        <v>5883</v>
      </c>
      <c r="E259" t="s">
        <v>2329</v>
      </c>
      <c r="H259" s="61"/>
      <c r="J259" t="str">
        <f>ToJsonArray(supplementary_offering_offeringid__4[[#Headers],[legacyid]:[activityId]],supplementary_offering_offeringid__4[[#This Row],[legacyid]:[activityId]])</f>
        <v>{"legacyid":"200003-00","name":"Blackberry Total","mode":"N"}</v>
      </c>
      <c r="K259" t="str">
        <f>ToJsonArray(supplementary_offering_offeringid__4[[#This Row],[produccion]],supplementary_offering_offeringid__4[[#This Row],[json]])</f>
        <v>{"920000300":{"legacyid":"200003-00","name":"Blackberry Total","mode":"N"}}</v>
      </c>
    </row>
    <row r="260" spans="1:11" x14ac:dyDescent="0.25">
      <c r="A260" s="61" t="s">
        <v>2736</v>
      </c>
      <c r="B260" t="s">
        <v>2735</v>
      </c>
      <c r="C260" t="str">
        <f>findKey(supplementary_offering_offeringid__4[[#This Row],[Value.legacyid]])</f>
        <v>200003-01</v>
      </c>
      <c r="D260" t="s">
        <v>5884</v>
      </c>
      <c r="E260" t="s">
        <v>2329</v>
      </c>
      <c r="H260" s="61"/>
      <c r="J260" t="str">
        <f>ToJsonArray(supplementary_offering_offeringid__4[[#Headers],[legacyid]:[activityId]],supplementary_offering_offeringid__4[[#This Row],[legacyid]:[activityId]])</f>
        <v>{"legacyid":"200003-01","name":"BlackBerry Total","mode":"N"}</v>
      </c>
      <c r="K260" t="str">
        <f>ToJsonArray(supplementary_offering_offeringid__4[[#This Row],[produccion]],supplementary_offering_offeringid__4[[#This Row],[json]])</f>
        <v>{"920000301":{"legacyid":"200003-01","name":"BlackBerry Total","mode":"N"}}</v>
      </c>
    </row>
    <row r="261" spans="1:11" x14ac:dyDescent="0.25">
      <c r="A261" s="61" t="s">
        <v>4519</v>
      </c>
      <c r="B261" t="s">
        <v>4518</v>
      </c>
      <c r="C261" t="str">
        <f>findKey(supplementary_offering_offeringid__4[[#This Row],[Value.legacyid]])</f>
        <v>200003-02</v>
      </c>
      <c r="D261" t="s">
        <v>5885</v>
      </c>
      <c r="E261" t="s">
        <v>2329</v>
      </c>
      <c r="H261" s="61"/>
      <c r="J261" t="str">
        <f>ToJsonArray(supplementary_offering_offeringid__4[[#Headers],[legacyid]:[activityId]],supplementary_offering_offeringid__4[[#This Row],[legacyid]:[activityId]])</f>
        <v>{"legacyid":"200003-02","name":"BlackBerry 2 - 2G","mode":"N"}</v>
      </c>
      <c r="K261" t="str">
        <f>ToJsonArray(supplementary_offering_offeringid__4[[#This Row],[produccion]],supplementary_offering_offeringid__4[[#This Row],[json]])</f>
        <v>{"920000302":{"legacyid":"200003-02","name":"BlackBerry 2 - 2G","mode":"N"}}</v>
      </c>
    </row>
    <row r="262" spans="1:11" x14ac:dyDescent="0.25">
      <c r="A262" s="61" t="s">
        <v>2739</v>
      </c>
      <c r="B262" t="s">
        <v>2738</v>
      </c>
      <c r="C262" t="str">
        <f>findKey(supplementary_offering_offeringid__4[[#This Row],[Value.legacyid]])</f>
        <v>200003-06</v>
      </c>
      <c r="D262" t="s">
        <v>5886</v>
      </c>
      <c r="E262" t="s">
        <v>2329</v>
      </c>
      <c r="H262" s="61"/>
      <c r="J262" t="str">
        <f>ToJsonArray(supplementary_offering_offeringid__4[[#Headers],[legacyid]:[activityId]],supplementary_offering_offeringid__4[[#This Row],[legacyid]:[activityId]])</f>
        <v>{"legacyid":"200003-06","name":"BlackBerry Social","mode":"N"}</v>
      </c>
      <c r="K262" t="str">
        <f>ToJsonArray(supplementary_offering_offeringid__4[[#This Row],[produccion]],supplementary_offering_offeringid__4[[#This Row],[json]])</f>
        <v>{"920000306":{"legacyid":"200003-06","name":"BlackBerry Social","mode":"N"}}</v>
      </c>
    </row>
    <row r="263" spans="1:11" x14ac:dyDescent="0.25">
      <c r="A263" s="61" t="s">
        <v>4522</v>
      </c>
      <c r="B263" t="s">
        <v>4521</v>
      </c>
      <c r="C263" t="str">
        <f>findKey(supplementary_offering_offeringid__4[[#This Row],[Value.legacyid]])</f>
        <v>200003-08</v>
      </c>
      <c r="D263" t="s">
        <v>5886</v>
      </c>
      <c r="E263" t="s">
        <v>2329</v>
      </c>
      <c r="H263" s="61"/>
      <c r="J263" t="str">
        <f>ToJsonArray(supplementary_offering_offeringid__4[[#Headers],[legacyid]:[activityId]],supplementary_offering_offeringid__4[[#This Row],[legacyid]:[activityId]])</f>
        <v>{"legacyid":"200003-08","name":"BlackBerry Social","mode":"N"}</v>
      </c>
      <c r="K263" t="str">
        <f>ToJsonArray(supplementary_offering_offeringid__4[[#This Row],[produccion]],supplementary_offering_offeringid__4[[#This Row],[json]])</f>
        <v>{"920000308":{"legacyid":"200003-08","name":"BlackBerry Social","mode":"N"}}</v>
      </c>
    </row>
    <row r="264" spans="1:11" x14ac:dyDescent="0.25">
      <c r="A264" s="61" t="s">
        <v>4525</v>
      </c>
      <c r="B264" t="s">
        <v>4524</v>
      </c>
      <c r="C264" t="str">
        <f>findKey(supplementary_offering_offeringid__4[[#This Row],[Value.legacyid]])</f>
        <v>200005-01</v>
      </c>
      <c r="D264" t="s">
        <v>5887</v>
      </c>
      <c r="E264" t="s">
        <v>2329</v>
      </c>
      <c r="H264" s="61"/>
      <c r="J264" t="str">
        <f>ToJsonArray(supplementary_offering_offeringid__4[[#Headers],[legacyid]:[activityId]],supplementary_offering_offeringid__4[[#This Row],[legacyid]:[activityId]])</f>
        <v>{"legacyid":"200005-01","name":"DPI Mail","mode":"N"}</v>
      </c>
      <c r="K264" t="str">
        <f>ToJsonArray(supplementary_offering_offeringid__4[[#This Row],[produccion]],supplementary_offering_offeringid__4[[#This Row],[json]])</f>
        <v>{"920000501":{"legacyid":"200005-01","name":"DPI Mail","mode":"N"}}</v>
      </c>
    </row>
    <row r="265" spans="1:11" x14ac:dyDescent="0.25">
      <c r="A265" s="61" t="s">
        <v>2742</v>
      </c>
      <c r="B265" t="s">
        <v>2741</v>
      </c>
      <c r="C265" t="str">
        <f>findKey(supplementary_offering_offeringid__4[[#This Row],[Value.legacyid]])</f>
        <v>200005-03</v>
      </c>
      <c r="D265" t="s">
        <v>5888</v>
      </c>
      <c r="E265" t="s">
        <v>2329</v>
      </c>
      <c r="H265" s="61"/>
      <c r="J265" t="str">
        <f>ToJsonArray(supplementary_offering_offeringid__4[[#Headers],[legacyid]:[activityId]],supplementary_offering_offeringid__4[[#This Row],[legacyid]:[activityId]])</f>
        <v>{"legacyid":"200005-03","name":"DPI Chat","mode":"N"}</v>
      </c>
      <c r="K265" t="str">
        <f>ToJsonArray(supplementary_offering_offeringid__4[[#This Row],[produccion]],supplementary_offering_offeringid__4[[#This Row],[json]])</f>
        <v>{"920000503":{"legacyid":"200005-03","name":"DPI Chat","mode":"N"}}</v>
      </c>
    </row>
    <row r="266" spans="1:11" x14ac:dyDescent="0.25">
      <c r="A266" s="61" t="s">
        <v>2745</v>
      </c>
      <c r="B266" t="s">
        <v>2744</v>
      </c>
      <c r="C266" t="str">
        <f>findKey(supplementary_offering_offeringid__4[[#This Row],[Value.legacyid]])</f>
        <v>200005-07</v>
      </c>
      <c r="D266" t="s">
        <v>5889</v>
      </c>
      <c r="E266" t="s">
        <v>2329</v>
      </c>
      <c r="H266" s="61"/>
      <c r="J266" t="str">
        <f>ToJsonArray(supplementary_offering_offeringid__4[[#Headers],[legacyid]:[activityId]],supplementary_offering_offeringid__4[[#This Row],[legacyid]:[activityId]])</f>
        <v>{"legacyid":"200005-07","name":"DPI Chat + Redes sociales","mode":"N"}</v>
      </c>
      <c r="K266" t="str">
        <f>ToJsonArray(supplementary_offering_offeringid__4[[#This Row],[produccion]],supplementary_offering_offeringid__4[[#This Row],[json]])</f>
        <v>{"920000507":{"legacyid":"200005-07","name":"DPI Chat + Redes sociales","mode":"N"}}</v>
      </c>
    </row>
    <row r="267" spans="1:11" x14ac:dyDescent="0.25">
      <c r="A267" s="61" t="s">
        <v>2748</v>
      </c>
      <c r="B267" t="s">
        <v>2747</v>
      </c>
      <c r="C267" t="str">
        <f>findKey(supplementary_offering_offeringid__4[[#This Row],[Value.legacyid]])</f>
        <v>200005-09</v>
      </c>
      <c r="D267" t="s">
        <v>5890</v>
      </c>
      <c r="E267" t="s">
        <v>2329</v>
      </c>
      <c r="H267" s="61"/>
      <c r="J267" t="str">
        <f>ToJsonArray(supplementary_offering_offeringid__4[[#Headers],[legacyid]:[activityId]],supplementary_offering_offeringid__4[[#This Row],[legacyid]:[activityId]])</f>
        <v>{"legacyid":"200005-09","name":"DPI Chat + Mail","mode":"N"}</v>
      </c>
      <c r="K267" t="str">
        <f>ToJsonArray(supplementary_offering_offeringid__4[[#This Row],[produccion]],supplementary_offering_offeringid__4[[#This Row],[json]])</f>
        <v>{"920000509":{"legacyid":"200005-09","name":"DPI Chat + Mail","mode":"N"}}</v>
      </c>
    </row>
    <row r="268" spans="1:11" x14ac:dyDescent="0.25">
      <c r="A268" s="61" t="s">
        <v>4528</v>
      </c>
      <c r="B268" t="s">
        <v>4527</v>
      </c>
      <c r="C268" t="str">
        <f>findKey(supplementary_offering_offeringid__4[[#This Row],[Value.legacyid]])</f>
        <v>200007-01</v>
      </c>
      <c r="D268" t="s">
        <v>5891</v>
      </c>
      <c r="E268" t="s">
        <v>2329</v>
      </c>
      <c r="H268" s="61"/>
      <c r="J268" t="str">
        <f>ToJsonArray(supplementary_offering_offeringid__4[[#Headers],[legacyid]:[activityId]],supplementary_offering_offeringid__4[[#This Row],[legacyid]:[activityId]])</f>
        <v>{"legacyid":"200007-01","name":"Deezer 750 Mb","mode":"N"}</v>
      </c>
      <c r="K268" t="str">
        <f>ToJsonArray(supplementary_offering_offeringid__4[[#This Row],[produccion]],supplementary_offering_offeringid__4[[#This Row],[json]])</f>
        <v>{"920000701":{"legacyid":"200007-01","name":"Deezer 750 Mb","mode":"N"}}</v>
      </c>
    </row>
    <row r="269" spans="1:11" x14ac:dyDescent="0.25">
      <c r="A269" s="61" t="s">
        <v>4531</v>
      </c>
      <c r="B269" t="s">
        <v>4530</v>
      </c>
      <c r="C269" t="str">
        <f>findKey(supplementary_offering_offeringid__4[[#This Row],[Value.legacyid]])</f>
        <v>200007-03</v>
      </c>
      <c r="D269" t="s">
        <v>5892</v>
      </c>
      <c r="E269" t="s">
        <v>2329</v>
      </c>
      <c r="H269" s="61"/>
      <c r="J269" t="str">
        <f>ToJsonArray(supplementary_offering_offeringid__4[[#Headers],[legacyid]:[activityId]],supplementary_offering_offeringid__4[[#This Row],[legacyid]:[activityId]])</f>
        <v>{"legacyid":"200007-03","name":"Deezer 1.5 Gb","mode":"N"}</v>
      </c>
      <c r="K269" t="str">
        <f>ToJsonArray(supplementary_offering_offeringid__4[[#This Row],[produccion]],supplementary_offering_offeringid__4[[#This Row],[json]])</f>
        <v>{"920000703":{"legacyid":"200007-03","name":"Deezer 1.5 Gb","mode":"N"}}</v>
      </c>
    </row>
    <row r="270" spans="1:11" x14ac:dyDescent="0.25">
      <c r="A270" s="61" t="s">
        <v>4534</v>
      </c>
      <c r="B270" t="s">
        <v>4533</v>
      </c>
      <c r="C270" t="str">
        <f>findKey(supplementary_offering_offeringid__4[[#This Row],[Value.legacyid]])</f>
        <v>200007-05</v>
      </c>
      <c r="D270" t="s">
        <v>5893</v>
      </c>
      <c r="E270" t="s">
        <v>2329</v>
      </c>
      <c r="H270" s="61"/>
      <c r="J270" t="str">
        <f>ToJsonArray(supplementary_offering_offeringid__4[[#Headers],[legacyid]:[activityId]],supplementary_offering_offeringid__4[[#This Row],[legacyid]:[activityId]])</f>
        <v>{"legacyid":"200007-05","name":"Deezer 2.5 Gb","mode":"N"}</v>
      </c>
      <c r="K270" t="str">
        <f>ToJsonArray(supplementary_offering_offeringid__4[[#This Row],[produccion]],supplementary_offering_offeringid__4[[#This Row],[json]])</f>
        <v>{"920000705":{"legacyid":"200007-05","name":"Deezer 2.5 Gb","mode":"N"}}</v>
      </c>
    </row>
    <row r="271" spans="1:11" x14ac:dyDescent="0.25">
      <c r="A271" s="61" t="s">
        <v>4537</v>
      </c>
      <c r="B271" t="s">
        <v>4536</v>
      </c>
      <c r="C271" t="str">
        <f>findKey(supplementary_offering_offeringid__4[[#This Row],[Value.legacyid]])</f>
        <v>200007-07</v>
      </c>
      <c r="D271" t="s">
        <v>5894</v>
      </c>
      <c r="E271" t="s">
        <v>2329</v>
      </c>
      <c r="H271" s="61"/>
      <c r="J271" t="str">
        <f>ToJsonArray(supplementary_offering_offeringid__4[[#Headers],[legacyid]:[activityId]],supplementary_offering_offeringid__4[[#This Row],[legacyid]:[activityId]])</f>
        <v>{"legacyid":"200007-07","name":"Deezer 4 Gb","mode":"N"}</v>
      </c>
      <c r="K271" t="str">
        <f>ToJsonArray(supplementary_offering_offeringid__4[[#This Row],[produccion]],supplementary_offering_offeringid__4[[#This Row],[json]])</f>
        <v>{"920000707":{"legacyid":"200007-07","name":"Deezer 4 Gb","mode":"N"}}</v>
      </c>
    </row>
    <row r="272" spans="1:11" x14ac:dyDescent="0.25">
      <c r="A272" s="61" t="s">
        <v>2751</v>
      </c>
      <c r="B272" t="s">
        <v>2750</v>
      </c>
      <c r="C272" t="str">
        <f>findKey(supplementary_offering_offeringid__4[[#This Row],[Value.legacyid]])</f>
        <v>200007-09</v>
      </c>
      <c r="D272" t="s">
        <v>5895</v>
      </c>
      <c r="E272" t="s">
        <v>2329</v>
      </c>
      <c r="H272" s="61"/>
      <c r="J272" t="str">
        <f>ToJsonArray(supplementary_offering_offeringid__4[[#Headers],[legacyid]:[activityId]],supplementary_offering_offeringid__4[[#This Row],[legacyid]:[activityId]])</f>
        <v>{"legacyid":"200007-09","name":"Deezer 5 Gb","mode":"N"}</v>
      </c>
      <c r="K272" t="str">
        <f>ToJsonArray(supplementary_offering_offeringid__4[[#This Row],[produccion]],supplementary_offering_offeringid__4[[#This Row],[json]])</f>
        <v>{"920000709":{"legacyid":"200007-09","name":"Deezer 5 Gb","mode":"N"}}</v>
      </c>
    </row>
    <row r="273" spans="1:11" x14ac:dyDescent="0.25">
      <c r="A273" s="61" t="s">
        <v>4540</v>
      </c>
      <c r="B273" t="s">
        <v>4539</v>
      </c>
      <c r="C273" t="str">
        <f>findKey(supplementary_offering_offeringid__4[[#This Row],[Value.legacyid]])</f>
        <v>200008-01</v>
      </c>
      <c r="D273" t="s">
        <v>5896</v>
      </c>
      <c r="E273" t="s">
        <v>2329</v>
      </c>
      <c r="H273" s="61"/>
      <c r="J273" t="str">
        <f>ToJsonArray(supplementary_offering_offeringid__4[[#Headers],[legacyid]:[activityId]],supplementary_offering_offeringid__4[[#This Row],[legacyid]:[activityId]])</f>
        <v>{"legacyid":"200008-01","name":"Smart 750MB","mode":"N"}</v>
      </c>
      <c r="K273" t="str">
        <f>ToJsonArray(supplementary_offering_offeringid__4[[#This Row],[produccion]],supplementary_offering_offeringid__4[[#This Row],[json]])</f>
        <v>{"920000801":{"legacyid":"200008-01","name":"Smart 750MB","mode":"N"}}</v>
      </c>
    </row>
    <row r="274" spans="1:11" x14ac:dyDescent="0.25">
      <c r="A274" s="61" t="s">
        <v>4543</v>
      </c>
      <c r="B274" t="s">
        <v>4542</v>
      </c>
      <c r="C274" t="str">
        <f>findKey(supplementary_offering_offeringid__4[[#This Row],[Value.legacyid]])</f>
        <v>200008-02</v>
      </c>
      <c r="D274" t="s">
        <v>5897</v>
      </c>
      <c r="E274" t="s">
        <v>2329</v>
      </c>
      <c r="H274" s="61"/>
      <c r="J274" t="str">
        <f>ToJsonArray(supplementary_offering_offeringid__4[[#Headers],[legacyid]:[activityId]],supplementary_offering_offeringid__4[[#This Row],[legacyid]:[activityId]])</f>
        <v>{"legacyid":"200008-02","name":"Smart 1GB","mode":"N"}</v>
      </c>
      <c r="K274" t="str">
        <f>ToJsonArray(supplementary_offering_offeringid__4[[#This Row],[produccion]],supplementary_offering_offeringid__4[[#This Row],[json]])</f>
        <v>{"920000802":{"legacyid":"200008-02","name":"Smart 1GB","mode":"N"}}</v>
      </c>
    </row>
    <row r="275" spans="1:11" x14ac:dyDescent="0.25">
      <c r="A275" s="61" t="s">
        <v>4546</v>
      </c>
      <c r="B275" t="s">
        <v>4545</v>
      </c>
      <c r="C275" t="str">
        <f>findKey(supplementary_offering_offeringid__4[[#This Row],[Value.legacyid]])</f>
        <v>200008-03</v>
      </c>
      <c r="D275" t="s">
        <v>5898</v>
      </c>
      <c r="E275" t="s">
        <v>2329</v>
      </c>
      <c r="H275" s="61"/>
      <c r="J275" t="str">
        <f>ToJsonArray(supplementary_offering_offeringid__4[[#Headers],[legacyid]:[activityId]],supplementary_offering_offeringid__4[[#This Row],[legacyid]:[activityId]])</f>
        <v>{"legacyid":"200008-03","name":"Smart 2GB","mode":"N"}</v>
      </c>
      <c r="K275" t="str">
        <f>ToJsonArray(supplementary_offering_offeringid__4[[#This Row],[produccion]],supplementary_offering_offeringid__4[[#This Row],[json]])</f>
        <v>{"920000803":{"legacyid":"200008-03","name":"Smart 2GB","mode":"N"}}</v>
      </c>
    </row>
    <row r="276" spans="1:11" x14ac:dyDescent="0.25">
      <c r="A276" s="61" t="s">
        <v>4549</v>
      </c>
      <c r="B276" t="s">
        <v>4548</v>
      </c>
      <c r="C276" t="str">
        <f>findKey(supplementary_offering_offeringid__4[[#This Row],[Value.legacyid]])</f>
        <v>200008-04</v>
      </c>
      <c r="D276" t="s">
        <v>5899</v>
      </c>
      <c r="E276" t="s">
        <v>2329</v>
      </c>
      <c r="H276" s="61"/>
      <c r="J276" t="str">
        <f>ToJsonArray(supplementary_offering_offeringid__4[[#Headers],[legacyid]:[activityId]],supplementary_offering_offeringid__4[[#This Row],[legacyid]:[activityId]])</f>
        <v>{"legacyid":"200008-04","name":"Smart 2.5GB","mode":"N"}</v>
      </c>
      <c r="K276" t="str">
        <f>ToJsonArray(supplementary_offering_offeringid__4[[#This Row],[produccion]],supplementary_offering_offeringid__4[[#This Row],[json]])</f>
        <v>{"920000804":{"legacyid":"200008-04","name":"Smart 2.5GB","mode":"N"}}</v>
      </c>
    </row>
    <row r="277" spans="1:11" x14ac:dyDescent="0.25">
      <c r="A277" s="61" t="s">
        <v>4552</v>
      </c>
      <c r="B277" t="s">
        <v>4551</v>
      </c>
      <c r="C277" t="str">
        <f>findKey(supplementary_offering_offeringid__4[[#This Row],[Value.legacyid]])</f>
        <v>200008-06</v>
      </c>
      <c r="D277" t="s">
        <v>5900</v>
      </c>
      <c r="E277" t="s">
        <v>2329</v>
      </c>
      <c r="H277" s="61"/>
      <c r="J277" t="str">
        <f>ToJsonArray(supplementary_offering_offeringid__4[[#Headers],[legacyid]:[activityId]],supplementary_offering_offeringid__4[[#This Row],[legacyid]:[activityId]])</f>
        <v>{"legacyid":"200008-06","name":"Smart 3GB","mode":"N"}</v>
      </c>
      <c r="K277" t="str">
        <f>ToJsonArray(supplementary_offering_offeringid__4[[#This Row],[produccion]],supplementary_offering_offeringid__4[[#This Row],[json]])</f>
        <v>{"920000806":{"legacyid":"200008-06","name":"Smart 3GB","mode":"N"}}</v>
      </c>
    </row>
    <row r="278" spans="1:11" x14ac:dyDescent="0.25">
      <c r="A278" s="61" t="s">
        <v>4555</v>
      </c>
      <c r="B278" t="s">
        <v>4554</v>
      </c>
      <c r="C278" t="str">
        <f>findKey(supplementary_offering_offeringid__4[[#This Row],[Value.legacyid]])</f>
        <v>200008-07</v>
      </c>
      <c r="D278" t="s">
        <v>5901</v>
      </c>
      <c r="E278" t="s">
        <v>2329</v>
      </c>
      <c r="H278" s="61"/>
      <c r="J278" t="str">
        <f>ToJsonArray(supplementary_offering_offeringid__4[[#Headers],[legacyid]:[activityId]],supplementary_offering_offeringid__4[[#This Row],[legacyid]:[activityId]])</f>
        <v>{"legacyid":"200008-07","name":"Smart 4GB","mode":"N"}</v>
      </c>
      <c r="K278" t="str">
        <f>ToJsonArray(supplementary_offering_offeringid__4[[#This Row],[produccion]],supplementary_offering_offeringid__4[[#This Row],[json]])</f>
        <v>{"920000807":{"legacyid":"200008-07","name":"Smart 4GB","mode":"N"}}</v>
      </c>
    </row>
    <row r="279" spans="1:11" x14ac:dyDescent="0.25">
      <c r="A279" s="61" t="s">
        <v>2754</v>
      </c>
      <c r="B279" t="s">
        <v>2753</v>
      </c>
      <c r="C279" t="str">
        <f>findKey(supplementary_offering_offeringid__4[[#This Row],[Value.legacyid]])</f>
        <v>200008-08</v>
      </c>
      <c r="D279" t="s">
        <v>5902</v>
      </c>
      <c r="E279" t="s">
        <v>2329</v>
      </c>
      <c r="H279" s="61"/>
      <c r="J279" t="str">
        <f>ToJsonArray(supplementary_offering_offeringid__4[[#Headers],[legacyid]:[activityId]],supplementary_offering_offeringid__4[[#This Row],[legacyid]:[activityId]])</f>
        <v>{"legacyid":"200008-08","name":"Smart 5GB","mode":"N"}</v>
      </c>
      <c r="K279" t="str">
        <f>ToJsonArray(supplementary_offering_offeringid__4[[#This Row],[produccion]],supplementary_offering_offeringid__4[[#This Row],[json]])</f>
        <v>{"920000808":{"legacyid":"200008-08","name":"Smart 5GB","mode":"N"}}</v>
      </c>
    </row>
    <row r="280" spans="1:11" x14ac:dyDescent="0.25">
      <c r="A280" s="61" t="s">
        <v>4558</v>
      </c>
      <c r="B280" t="s">
        <v>4557</v>
      </c>
      <c r="C280" t="str">
        <f>findKey(supplementary_offering_offeringid__4[[#This Row],[Value.legacyid]])</f>
        <v>200008-09</v>
      </c>
      <c r="D280" t="s">
        <v>5903</v>
      </c>
      <c r="E280" t="s">
        <v>2329</v>
      </c>
      <c r="H280" s="61"/>
      <c r="J280" t="str">
        <f>ToJsonArray(supplementary_offering_offeringid__4[[#Headers],[legacyid]:[activityId]],supplementary_offering_offeringid__4[[#This Row],[legacyid]:[activityId]])</f>
        <v>{"legacyid":"200008-09","name":"Smart 6GB","mode":"N"}</v>
      </c>
      <c r="K280" t="str">
        <f>ToJsonArray(supplementary_offering_offeringid__4[[#This Row],[produccion]],supplementary_offering_offeringid__4[[#This Row],[json]])</f>
        <v>{"920000809":{"legacyid":"200008-09","name":"Smart 6GB","mode":"N"}}</v>
      </c>
    </row>
    <row r="281" spans="1:11" x14ac:dyDescent="0.25">
      <c r="A281" s="61" t="s">
        <v>4561</v>
      </c>
      <c r="B281" t="s">
        <v>4560</v>
      </c>
      <c r="C281" t="str">
        <f>findKey(supplementary_offering_offeringid__4[[#This Row],[Value.legacyid]])</f>
        <v>200008-10</v>
      </c>
      <c r="D281" t="s">
        <v>5904</v>
      </c>
      <c r="E281" t="s">
        <v>2329</v>
      </c>
      <c r="H281" s="61"/>
      <c r="J281" t="str">
        <f>ToJsonArray(supplementary_offering_offeringid__4[[#Headers],[legacyid]:[activityId]],supplementary_offering_offeringid__4[[#This Row],[legacyid]:[activityId]])</f>
        <v>{"legacyid":"200008-10","name":"Smart 7GB","mode":"N"}</v>
      </c>
      <c r="K281" t="str">
        <f>ToJsonArray(supplementary_offering_offeringid__4[[#This Row],[produccion]],supplementary_offering_offeringid__4[[#This Row],[json]])</f>
        <v>{"920000810":{"legacyid":"200008-10","name":"Smart 7GB","mode":"N"}}</v>
      </c>
    </row>
    <row r="282" spans="1:11" x14ac:dyDescent="0.25">
      <c r="A282" s="61" t="s">
        <v>2757</v>
      </c>
      <c r="B282" t="s">
        <v>2756</v>
      </c>
      <c r="C282" t="str">
        <f>findKey(supplementary_offering_offeringid__4[[#This Row],[Value.legacyid]])</f>
        <v>200008-11</v>
      </c>
      <c r="D282" t="s">
        <v>5905</v>
      </c>
      <c r="E282" t="s">
        <v>2329</v>
      </c>
      <c r="H282" s="61"/>
      <c r="J282" t="str">
        <f>ToJsonArray(supplementary_offering_offeringid__4[[#Headers],[legacyid]:[activityId]],supplementary_offering_offeringid__4[[#This Row],[legacyid]:[activityId]])</f>
        <v>{"legacyid":"200008-11","name":"Smart sin datos","mode":"N"}</v>
      </c>
      <c r="K282" t="str">
        <f>ToJsonArray(supplementary_offering_offeringid__4[[#This Row],[produccion]],supplementary_offering_offeringid__4[[#This Row],[json]])</f>
        <v>{"920000811":{"legacyid":"200008-11","name":"Smart sin datos","mode":"N"}}</v>
      </c>
    </row>
    <row r="283" spans="1:11" x14ac:dyDescent="0.25">
      <c r="A283" s="61" t="s">
        <v>4564</v>
      </c>
      <c r="B283" t="s">
        <v>4563</v>
      </c>
      <c r="C283" t="str">
        <f>findKey(supplementary_offering_offeringid__4[[#This Row],[Value.legacyid]])</f>
        <v>200008-12</v>
      </c>
      <c r="D283" t="s">
        <v>5905</v>
      </c>
      <c r="E283" t="s">
        <v>2329</v>
      </c>
      <c r="H283" s="61"/>
      <c r="J283" t="str">
        <f>ToJsonArray(supplementary_offering_offeringid__4[[#Headers],[legacyid]:[activityId]],supplementary_offering_offeringid__4[[#This Row],[legacyid]:[activityId]])</f>
        <v>{"legacyid":"200008-12","name":"Smart sin datos","mode":"N"}</v>
      </c>
      <c r="K283" t="str">
        <f>ToJsonArray(supplementary_offering_offeringid__4[[#This Row],[produccion]],supplementary_offering_offeringid__4[[#This Row],[json]])</f>
        <v>{"920000812":{"legacyid":"200008-12","name":"Smart sin datos","mode":"N"}}</v>
      </c>
    </row>
    <row r="284" spans="1:11" x14ac:dyDescent="0.25">
      <c r="A284" s="61" t="s">
        <v>4567</v>
      </c>
      <c r="B284" t="s">
        <v>4566</v>
      </c>
      <c r="C284" t="str">
        <f>findKey(supplementary_offering_offeringid__4[[#This Row],[Value.legacyid]])</f>
        <v>200008-13</v>
      </c>
      <c r="D284" t="s">
        <v>5905</v>
      </c>
      <c r="E284" t="s">
        <v>2329</v>
      </c>
      <c r="H284" s="61"/>
      <c r="J284" t="str">
        <f>ToJsonArray(supplementary_offering_offeringid__4[[#Headers],[legacyid]:[activityId]],supplementary_offering_offeringid__4[[#This Row],[legacyid]:[activityId]])</f>
        <v>{"legacyid":"200008-13","name":"Smart sin datos","mode":"N"}</v>
      </c>
      <c r="K284" t="str">
        <f>ToJsonArray(supplementary_offering_offeringid__4[[#This Row],[produccion]],supplementary_offering_offeringid__4[[#This Row],[json]])</f>
        <v>{"920000813":{"legacyid":"200008-13","name":"Smart sin datos","mode":"N"}}</v>
      </c>
    </row>
    <row r="285" spans="1:11" x14ac:dyDescent="0.25">
      <c r="A285" s="61" t="s">
        <v>4570</v>
      </c>
      <c r="B285" t="s">
        <v>4569</v>
      </c>
      <c r="C285" t="str">
        <f>findKey(supplementary_offering_offeringid__4[[#This Row],[Value.legacyid]])</f>
        <v>200008-14</v>
      </c>
      <c r="D285" t="s">
        <v>5905</v>
      </c>
      <c r="E285" t="s">
        <v>2329</v>
      </c>
      <c r="H285" s="61"/>
      <c r="J285" t="str">
        <f>ToJsonArray(supplementary_offering_offeringid__4[[#Headers],[legacyid]:[activityId]],supplementary_offering_offeringid__4[[#This Row],[legacyid]:[activityId]])</f>
        <v>{"legacyid":"200008-14","name":"Smart sin datos","mode":"N"}</v>
      </c>
      <c r="K285" t="str">
        <f>ToJsonArray(supplementary_offering_offeringid__4[[#This Row],[produccion]],supplementary_offering_offeringid__4[[#This Row],[json]])</f>
        <v>{"920000814":{"legacyid":"200008-14","name":"Smart sin datos","mode":"N"}}</v>
      </c>
    </row>
    <row r="286" spans="1:11" x14ac:dyDescent="0.25">
      <c r="A286" s="61" t="s">
        <v>2760</v>
      </c>
      <c r="B286" t="s">
        <v>2759</v>
      </c>
      <c r="C286" t="str">
        <f>findKey(supplementary_offering_offeringid__4[[#This Row],[Value.legacyid]])</f>
        <v>200008-15</v>
      </c>
      <c r="D286" t="s">
        <v>5906</v>
      </c>
      <c r="E286" t="s">
        <v>2329</v>
      </c>
      <c r="H286" s="61"/>
      <c r="J286" t="str">
        <f>ToJsonArray(supplementary_offering_offeringid__4[[#Headers],[legacyid]:[activityId]],supplementary_offering_offeringid__4[[#This Row],[legacyid]:[activityId]])</f>
        <v>{"legacyid":"200008-15","name":"Smart sin navegacion","mode":"N"}</v>
      </c>
      <c r="K286" t="str">
        <f>ToJsonArray(supplementary_offering_offeringid__4[[#This Row],[produccion]],supplementary_offering_offeringid__4[[#This Row],[json]])</f>
        <v>{"920000815":{"legacyid":"200008-15","name":"Smart sin navegacion","mode":"N"}}</v>
      </c>
    </row>
    <row r="287" spans="1:11" x14ac:dyDescent="0.25">
      <c r="A287" s="61" t="s">
        <v>2763</v>
      </c>
      <c r="B287" t="s">
        <v>2762</v>
      </c>
      <c r="C287" t="str">
        <f>findKey(supplementary_offering_offeringid__4[[#This Row],[Value.legacyid]])</f>
        <v>200008-16</v>
      </c>
      <c r="D287" t="s">
        <v>5906</v>
      </c>
      <c r="E287" t="s">
        <v>2329</v>
      </c>
      <c r="H287" s="61"/>
      <c r="J287" t="str">
        <f>ToJsonArray(supplementary_offering_offeringid__4[[#Headers],[legacyid]:[activityId]],supplementary_offering_offeringid__4[[#This Row],[legacyid]:[activityId]])</f>
        <v>{"legacyid":"200008-16","name":"Smart sin navegacion","mode":"N"}</v>
      </c>
      <c r="K287" t="str">
        <f>ToJsonArray(supplementary_offering_offeringid__4[[#This Row],[produccion]],supplementary_offering_offeringid__4[[#This Row],[json]])</f>
        <v>{"920000816":{"legacyid":"200008-16","name":"Smart sin navegacion","mode":"N"}}</v>
      </c>
    </row>
    <row r="288" spans="1:11" x14ac:dyDescent="0.25">
      <c r="A288" s="61" t="s">
        <v>2766</v>
      </c>
      <c r="B288" t="s">
        <v>2765</v>
      </c>
      <c r="C288" t="str">
        <f>findKey(supplementary_offering_offeringid__4[[#This Row],[Value.legacyid]])</f>
        <v>200008-17</v>
      </c>
      <c r="D288" t="s">
        <v>5907</v>
      </c>
      <c r="E288" t="s">
        <v>2329</v>
      </c>
      <c r="H288" s="61"/>
      <c r="J288" t="str">
        <f>ToJsonArray(supplementary_offering_offeringid__4[[#Headers],[legacyid]:[activityId]],supplementary_offering_offeringid__4[[#This Row],[legacyid]:[activityId]])</f>
        <v>{"legacyid":"200008-17","name":"Smart cero pesos","mode":"N"}</v>
      </c>
      <c r="K288" t="str">
        <f>ToJsonArray(supplementary_offering_offeringid__4[[#This Row],[produccion]],supplementary_offering_offeringid__4[[#This Row],[json]])</f>
        <v>{"920000817":{"legacyid":"200008-17","name":"Smart cero pesos","mode":"N"}}</v>
      </c>
    </row>
    <row r="289" spans="1:11" x14ac:dyDescent="0.25">
      <c r="A289" s="61" t="s">
        <v>2769</v>
      </c>
      <c r="B289" t="s">
        <v>2768</v>
      </c>
      <c r="C289" t="str">
        <f>findKey(supplementary_offering_offeringid__4[[#This Row],[Value.legacyid]])</f>
        <v>200008-18</v>
      </c>
      <c r="D289" t="s">
        <v>5908</v>
      </c>
      <c r="E289" t="s">
        <v>2329</v>
      </c>
      <c r="H289" s="61"/>
      <c r="J289" t="str">
        <f>ToJsonArray(supplementary_offering_offeringid__4[[#Headers],[legacyid]:[activityId]],supplementary_offering_offeringid__4[[#This Row],[legacyid]:[activityId]])</f>
        <v>{"legacyid":"200008-18","name":"Smart 49","mode":"N"}</v>
      </c>
      <c r="K289" t="str">
        <f>ToJsonArray(supplementary_offering_offeringid__4[[#This Row],[produccion]],supplementary_offering_offeringid__4[[#This Row],[json]])</f>
        <v>{"920000818":{"legacyid":"200008-18","name":"Smart 49","mode":"N"}}</v>
      </c>
    </row>
    <row r="290" spans="1:11" x14ac:dyDescent="0.25">
      <c r="A290" s="61" t="s">
        <v>2772</v>
      </c>
      <c r="B290" t="s">
        <v>2771</v>
      </c>
      <c r="C290" t="str">
        <f>findKey(supplementary_offering_offeringid__4[[#This Row],[Value.legacyid]])</f>
        <v>200008-19</v>
      </c>
      <c r="D290" t="s">
        <v>5909</v>
      </c>
      <c r="E290" t="s">
        <v>2329</v>
      </c>
      <c r="H290" s="61"/>
      <c r="J290" t="str">
        <f>ToJsonArray(supplementary_offering_offeringid__4[[#Headers],[legacyid]:[activityId]],supplementary_offering_offeringid__4[[#This Row],[legacyid]:[activityId]])</f>
        <v>{"legacyid":"200008-19","name":"Smart 50","mode":"N"}</v>
      </c>
      <c r="K290" t="str">
        <f>ToJsonArray(supplementary_offering_offeringid__4[[#This Row],[produccion]],supplementary_offering_offeringid__4[[#This Row],[json]])</f>
        <v>{"920000819":{"legacyid":"200008-19","name":"Smart 50","mode":"N"}}</v>
      </c>
    </row>
    <row r="291" spans="1:11" x14ac:dyDescent="0.25">
      <c r="A291" s="61" t="s">
        <v>2775</v>
      </c>
      <c r="B291" t="s">
        <v>2774</v>
      </c>
      <c r="C291" t="str">
        <f>findKey(supplementary_offering_offeringid__4[[#This Row],[Value.legacyid]])</f>
        <v>200008-20</v>
      </c>
      <c r="D291" t="s">
        <v>5910</v>
      </c>
      <c r="E291" t="s">
        <v>2329</v>
      </c>
      <c r="H291" s="61"/>
      <c r="J291" t="str">
        <f>ToJsonArray(supplementary_offering_offeringid__4[[#Headers],[legacyid]:[activityId]],supplementary_offering_offeringid__4[[#This Row],[legacyid]:[activityId]])</f>
        <v>{"legacyid":"200008-20","name":"Smart 51","mode":"N"}</v>
      </c>
      <c r="K291" t="str">
        <f>ToJsonArray(supplementary_offering_offeringid__4[[#This Row],[produccion]],supplementary_offering_offeringid__4[[#This Row],[json]])</f>
        <v>{"920000820":{"legacyid":"200008-20","name":"Smart 51","mode":"N"}}</v>
      </c>
    </row>
    <row r="292" spans="1:11" x14ac:dyDescent="0.25">
      <c r="A292" s="61" t="s">
        <v>2778</v>
      </c>
      <c r="B292" t="s">
        <v>2777</v>
      </c>
      <c r="C292" t="str">
        <f>findKey(supplementary_offering_offeringid__4[[#This Row],[Value.legacyid]])</f>
        <v>200008-21</v>
      </c>
      <c r="D292" t="s">
        <v>5906</v>
      </c>
      <c r="E292" t="s">
        <v>2329</v>
      </c>
      <c r="H292" s="61"/>
      <c r="J292" t="str">
        <f>ToJsonArray(supplementary_offering_offeringid__4[[#Headers],[legacyid]:[activityId]],supplementary_offering_offeringid__4[[#This Row],[legacyid]:[activityId]])</f>
        <v>{"legacyid":"200008-21","name":"Smart sin navegacion","mode":"N"}</v>
      </c>
      <c r="K292" t="str">
        <f>ToJsonArray(supplementary_offering_offeringid__4[[#This Row],[produccion]],supplementary_offering_offeringid__4[[#This Row],[json]])</f>
        <v>{"920000821":{"legacyid":"200008-21","name":"Smart sin navegacion","mode":"N"}}</v>
      </c>
    </row>
    <row r="293" spans="1:11" x14ac:dyDescent="0.25">
      <c r="A293" s="61" t="s">
        <v>2781</v>
      </c>
      <c r="B293" t="s">
        <v>2780</v>
      </c>
      <c r="C293" t="str">
        <f>findKey(supplementary_offering_offeringid__4[[#This Row],[Value.legacyid]])</f>
        <v>200008-22</v>
      </c>
      <c r="D293" t="s">
        <v>5906</v>
      </c>
      <c r="E293" t="s">
        <v>2329</v>
      </c>
      <c r="H293" s="61"/>
      <c r="J293" t="str">
        <f>ToJsonArray(supplementary_offering_offeringid__4[[#Headers],[legacyid]:[activityId]],supplementary_offering_offeringid__4[[#This Row],[legacyid]:[activityId]])</f>
        <v>{"legacyid":"200008-22","name":"Smart sin navegacion","mode":"N"}</v>
      </c>
      <c r="K293" t="str">
        <f>ToJsonArray(supplementary_offering_offeringid__4[[#This Row],[produccion]],supplementary_offering_offeringid__4[[#This Row],[json]])</f>
        <v>{"920000822":{"legacyid":"200008-22","name":"Smart sin navegacion","mode":"N"}}</v>
      </c>
    </row>
    <row r="294" spans="1:11" x14ac:dyDescent="0.25">
      <c r="A294" s="61" t="s">
        <v>2784</v>
      </c>
      <c r="B294" t="s">
        <v>2783</v>
      </c>
      <c r="C294" t="str">
        <f>findKey(supplementary_offering_offeringid__4[[#This Row],[Value.legacyid]])</f>
        <v>200008-23</v>
      </c>
      <c r="D294" t="s">
        <v>5906</v>
      </c>
      <c r="E294" t="s">
        <v>2329</v>
      </c>
      <c r="H294" s="61"/>
      <c r="J294" t="str">
        <f>ToJsonArray(supplementary_offering_offeringid__4[[#Headers],[legacyid]:[activityId]],supplementary_offering_offeringid__4[[#This Row],[legacyid]:[activityId]])</f>
        <v>{"legacyid":"200008-23","name":"Smart sin navegacion","mode":"N"}</v>
      </c>
      <c r="K294" t="str">
        <f>ToJsonArray(supplementary_offering_offeringid__4[[#This Row],[produccion]],supplementary_offering_offeringid__4[[#This Row],[json]])</f>
        <v>{"920000823":{"legacyid":"200008-23","name":"Smart sin navegacion","mode":"N"}}</v>
      </c>
    </row>
    <row r="295" spans="1:11" x14ac:dyDescent="0.25">
      <c r="A295" s="61" t="s">
        <v>2787</v>
      </c>
      <c r="B295" t="s">
        <v>2786</v>
      </c>
      <c r="C295" t="str">
        <f>findKey(supplementary_offering_offeringid__4[[#This Row],[Value.legacyid]])</f>
        <v>200008-24</v>
      </c>
      <c r="D295" t="s">
        <v>5906</v>
      </c>
      <c r="E295" t="s">
        <v>2329</v>
      </c>
      <c r="H295" s="61"/>
      <c r="J295" t="str">
        <f>ToJsonArray(supplementary_offering_offeringid__4[[#Headers],[legacyid]:[activityId]],supplementary_offering_offeringid__4[[#This Row],[legacyid]:[activityId]])</f>
        <v>{"legacyid":"200008-24","name":"Smart sin navegacion","mode":"N"}</v>
      </c>
      <c r="K295" t="str">
        <f>ToJsonArray(supplementary_offering_offeringid__4[[#This Row],[produccion]],supplementary_offering_offeringid__4[[#This Row],[json]])</f>
        <v>{"920000824":{"legacyid":"200008-24","name":"Smart sin navegacion","mode":"N"}}</v>
      </c>
    </row>
    <row r="296" spans="1:11" x14ac:dyDescent="0.25">
      <c r="A296" s="61" t="s">
        <v>2790</v>
      </c>
      <c r="B296" t="s">
        <v>2789</v>
      </c>
      <c r="C296" t="str">
        <f>findKey(supplementary_offering_offeringid__4[[#This Row],[Value.legacyid]])</f>
        <v>200008-25</v>
      </c>
      <c r="D296" t="s">
        <v>5906</v>
      </c>
      <c r="E296" t="s">
        <v>2329</v>
      </c>
      <c r="H296" s="61"/>
      <c r="J296" t="str">
        <f>ToJsonArray(supplementary_offering_offeringid__4[[#Headers],[legacyid]:[activityId]],supplementary_offering_offeringid__4[[#This Row],[legacyid]:[activityId]])</f>
        <v>{"legacyid":"200008-25","name":"Smart sin navegacion","mode":"N"}</v>
      </c>
      <c r="K296" t="str">
        <f>ToJsonArray(supplementary_offering_offeringid__4[[#This Row],[produccion]],supplementary_offering_offeringid__4[[#This Row],[json]])</f>
        <v>{"920000825":{"legacyid":"200008-25","name":"Smart sin navegacion","mode":"N"}}</v>
      </c>
    </row>
    <row r="297" spans="1:11" x14ac:dyDescent="0.25">
      <c r="A297" s="61" t="s">
        <v>2793</v>
      </c>
      <c r="B297" t="s">
        <v>2792</v>
      </c>
      <c r="C297" t="str">
        <f>findKey(supplementary_offering_offeringid__4[[#This Row],[Value.legacyid]])</f>
        <v>200008-26</v>
      </c>
      <c r="D297" t="s">
        <v>5906</v>
      </c>
      <c r="E297" t="s">
        <v>2329</v>
      </c>
      <c r="H297" s="61"/>
      <c r="J297" t="str">
        <f>ToJsonArray(supplementary_offering_offeringid__4[[#Headers],[legacyid]:[activityId]],supplementary_offering_offeringid__4[[#This Row],[legacyid]:[activityId]])</f>
        <v>{"legacyid":"200008-26","name":"Smart sin navegacion","mode":"N"}</v>
      </c>
      <c r="K297" t="str">
        <f>ToJsonArray(supplementary_offering_offeringid__4[[#This Row],[produccion]],supplementary_offering_offeringid__4[[#This Row],[json]])</f>
        <v>{"920000826":{"legacyid":"200008-26","name":"Smart sin navegacion","mode":"N"}}</v>
      </c>
    </row>
    <row r="298" spans="1:11" x14ac:dyDescent="0.25">
      <c r="A298" s="61" t="s">
        <v>2796</v>
      </c>
      <c r="B298" t="s">
        <v>2795</v>
      </c>
      <c r="C298" t="str">
        <f>findKey(supplementary_offering_offeringid__4[[#This Row],[Value.legacyid]])</f>
        <v>200008-27</v>
      </c>
      <c r="D298" t="s">
        <v>5906</v>
      </c>
      <c r="E298" t="s">
        <v>2329</v>
      </c>
      <c r="H298" s="61"/>
      <c r="J298" t="str">
        <f>ToJsonArray(supplementary_offering_offeringid__4[[#Headers],[legacyid]:[activityId]],supplementary_offering_offeringid__4[[#This Row],[legacyid]:[activityId]])</f>
        <v>{"legacyid":"200008-27","name":"Smart sin navegacion","mode":"N"}</v>
      </c>
      <c r="K298" t="str">
        <f>ToJsonArray(supplementary_offering_offeringid__4[[#This Row],[produccion]],supplementary_offering_offeringid__4[[#This Row],[json]])</f>
        <v>{"920000827":{"legacyid":"200008-27","name":"Smart sin navegacion","mode":"N"}}</v>
      </c>
    </row>
    <row r="299" spans="1:11" x14ac:dyDescent="0.25">
      <c r="A299" s="61" t="s">
        <v>2799</v>
      </c>
      <c r="B299" t="s">
        <v>2798</v>
      </c>
      <c r="C299" t="str">
        <f>findKey(supplementary_offering_offeringid__4[[#This Row],[Value.legacyid]])</f>
        <v>200008-28</v>
      </c>
      <c r="D299" t="s">
        <v>5906</v>
      </c>
      <c r="E299" t="s">
        <v>2329</v>
      </c>
      <c r="H299" s="61"/>
      <c r="J299" t="str">
        <f>ToJsonArray(supplementary_offering_offeringid__4[[#Headers],[legacyid]:[activityId]],supplementary_offering_offeringid__4[[#This Row],[legacyid]:[activityId]])</f>
        <v>{"legacyid":"200008-28","name":"Smart sin navegacion","mode":"N"}</v>
      </c>
      <c r="K299" t="str">
        <f>ToJsonArray(supplementary_offering_offeringid__4[[#This Row],[produccion]],supplementary_offering_offeringid__4[[#This Row],[json]])</f>
        <v>{"920000828":{"legacyid":"200008-28","name":"Smart sin navegacion","mode":"N"}}</v>
      </c>
    </row>
    <row r="300" spans="1:11" x14ac:dyDescent="0.25">
      <c r="A300" s="61" t="s">
        <v>2802</v>
      </c>
      <c r="B300" t="s">
        <v>2801</v>
      </c>
      <c r="C300" t="str">
        <f>findKey(supplementary_offering_offeringid__4[[#This Row],[Value.legacyid]])</f>
        <v>200008-29</v>
      </c>
      <c r="D300" t="s">
        <v>5906</v>
      </c>
      <c r="E300" t="s">
        <v>2329</v>
      </c>
      <c r="H300" s="61"/>
      <c r="J300" t="str">
        <f>ToJsonArray(supplementary_offering_offeringid__4[[#Headers],[legacyid]:[activityId]],supplementary_offering_offeringid__4[[#This Row],[legacyid]:[activityId]])</f>
        <v>{"legacyid":"200008-29","name":"Smart sin navegacion","mode":"N"}</v>
      </c>
      <c r="K300" t="str">
        <f>ToJsonArray(supplementary_offering_offeringid__4[[#This Row],[produccion]],supplementary_offering_offeringid__4[[#This Row],[json]])</f>
        <v>{"920000829":{"legacyid":"200008-29","name":"Smart sin navegacion","mode":"N"}}</v>
      </c>
    </row>
    <row r="301" spans="1:11" x14ac:dyDescent="0.25">
      <c r="A301" s="61" t="s">
        <v>2805</v>
      </c>
      <c r="B301" t="s">
        <v>2804</v>
      </c>
      <c r="C301" t="str">
        <f>findKey(supplementary_offering_offeringid__4[[#This Row],[Value.legacyid]])</f>
        <v>200008-30</v>
      </c>
      <c r="D301" t="s">
        <v>5906</v>
      </c>
      <c r="E301" t="s">
        <v>2329</v>
      </c>
      <c r="H301" s="61"/>
      <c r="J301" t="str">
        <f>ToJsonArray(supplementary_offering_offeringid__4[[#Headers],[legacyid]:[activityId]],supplementary_offering_offeringid__4[[#This Row],[legacyid]:[activityId]])</f>
        <v>{"legacyid":"200008-30","name":"Smart sin navegacion","mode":"N"}</v>
      </c>
      <c r="K301" t="str">
        <f>ToJsonArray(supplementary_offering_offeringid__4[[#This Row],[produccion]],supplementary_offering_offeringid__4[[#This Row],[json]])</f>
        <v>{"920000830":{"legacyid":"200008-30","name":"Smart sin navegacion","mode":"N"}}</v>
      </c>
    </row>
    <row r="302" spans="1:11" x14ac:dyDescent="0.25">
      <c r="A302" s="61" t="s">
        <v>2808</v>
      </c>
      <c r="B302" t="s">
        <v>2807</v>
      </c>
      <c r="C302" t="str">
        <f>findKey(supplementary_offering_offeringid__4[[#This Row],[Value.legacyid]])</f>
        <v>200008-31</v>
      </c>
      <c r="D302" t="s">
        <v>5906</v>
      </c>
      <c r="E302" t="s">
        <v>2329</v>
      </c>
      <c r="H302" s="61"/>
      <c r="J302" t="str">
        <f>ToJsonArray(supplementary_offering_offeringid__4[[#Headers],[legacyid]:[activityId]],supplementary_offering_offeringid__4[[#This Row],[legacyid]:[activityId]])</f>
        <v>{"legacyid":"200008-31","name":"Smart sin navegacion","mode":"N"}</v>
      </c>
      <c r="K302" t="str">
        <f>ToJsonArray(supplementary_offering_offeringid__4[[#This Row],[produccion]],supplementary_offering_offeringid__4[[#This Row],[json]])</f>
        <v>{"920000831":{"legacyid":"200008-31","name":"Smart sin navegacion","mode":"N"}}</v>
      </c>
    </row>
    <row r="303" spans="1:11" x14ac:dyDescent="0.25">
      <c r="A303" s="61" t="s">
        <v>2811</v>
      </c>
      <c r="B303" t="s">
        <v>2810</v>
      </c>
      <c r="C303" t="str">
        <f>findKey(supplementary_offering_offeringid__4[[#This Row],[Value.legacyid]])</f>
        <v>200008-32</v>
      </c>
      <c r="D303" t="s">
        <v>5906</v>
      </c>
      <c r="E303" t="s">
        <v>2329</v>
      </c>
      <c r="H303" s="61"/>
      <c r="J303" t="str">
        <f>ToJsonArray(supplementary_offering_offeringid__4[[#Headers],[legacyid]:[activityId]],supplementary_offering_offeringid__4[[#This Row],[legacyid]:[activityId]])</f>
        <v>{"legacyid":"200008-32","name":"Smart sin navegacion","mode":"N"}</v>
      </c>
      <c r="K303" t="str">
        <f>ToJsonArray(supplementary_offering_offeringid__4[[#This Row],[produccion]],supplementary_offering_offeringid__4[[#This Row],[json]])</f>
        <v>{"920000832":{"legacyid":"200008-32","name":"Smart sin navegacion","mode":"N"}}</v>
      </c>
    </row>
    <row r="304" spans="1:11" x14ac:dyDescent="0.25">
      <c r="A304" s="61" t="s">
        <v>2814</v>
      </c>
      <c r="B304" t="s">
        <v>2813</v>
      </c>
      <c r="C304" t="str">
        <f>findKey(supplementary_offering_offeringid__4[[#This Row],[Value.legacyid]])</f>
        <v>200008-33</v>
      </c>
      <c r="D304" t="s">
        <v>5906</v>
      </c>
      <c r="E304" t="s">
        <v>2329</v>
      </c>
      <c r="H304" s="61"/>
      <c r="J304" t="str">
        <f>ToJsonArray(supplementary_offering_offeringid__4[[#Headers],[legacyid]:[activityId]],supplementary_offering_offeringid__4[[#This Row],[legacyid]:[activityId]])</f>
        <v>{"legacyid":"200008-33","name":"Smart sin navegacion","mode":"N"}</v>
      </c>
      <c r="K304" t="str">
        <f>ToJsonArray(supplementary_offering_offeringid__4[[#This Row],[produccion]],supplementary_offering_offeringid__4[[#This Row],[json]])</f>
        <v>{"920000833":{"legacyid":"200008-33","name":"Smart sin navegacion","mode":"N"}}</v>
      </c>
    </row>
    <row r="305" spans="1:11" x14ac:dyDescent="0.25">
      <c r="A305" s="61" t="s">
        <v>2817</v>
      </c>
      <c r="B305" t="s">
        <v>2816</v>
      </c>
      <c r="C305" t="str">
        <f>findKey(supplementary_offering_offeringid__4[[#This Row],[Value.legacyid]])</f>
        <v>200008-34</v>
      </c>
      <c r="D305" t="s">
        <v>5906</v>
      </c>
      <c r="E305" t="s">
        <v>2329</v>
      </c>
      <c r="H305" s="61"/>
      <c r="J305" t="str">
        <f>ToJsonArray(supplementary_offering_offeringid__4[[#Headers],[legacyid]:[activityId]],supplementary_offering_offeringid__4[[#This Row],[legacyid]:[activityId]])</f>
        <v>{"legacyid":"200008-34","name":"Smart sin navegacion","mode":"N"}</v>
      </c>
      <c r="K305" t="str">
        <f>ToJsonArray(supplementary_offering_offeringid__4[[#This Row],[produccion]],supplementary_offering_offeringid__4[[#This Row],[json]])</f>
        <v>{"920000834":{"legacyid":"200008-34","name":"Smart sin navegacion","mode":"N"}}</v>
      </c>
    </row>
    <row r="306" spans="1:11" x14ac:dyDescent="0.25">
      <c r="A306" s="61" t="s">
        <v>2820</v>
      </c>
      <c r="B306" t="s">
        <v>2819</v>
      </c>
      <c r="C306" t="str">
        <f>findKey(supplementary_offering_offeringid__4[[#This Row],[Value.legacyid]])</f>
        <v>200008-35</v>
      </c>
      <c r="D306" t="s">
        <v>5906</v>
      </c>
      <c r="E306" t="s">
        <v>2329</v>
      </c>
      <c r="H306" s="61"/>
      <c r="J306" t="str">
        <f>ToJsonArray(supplementary_offering_offeringid__4[[#Headers],[legacyid]:[activityId]],supplementary_offering_offeringid__4[[#This Row],[legacyid]:[activityId]])</f>
        <v>{"legacyid":"200008-35","name":"Smart sin navegacion","mode":"N"}</v>
      </c>
      <c r="K306" t="str">
        <f>ToJsonArray(supplementary_offering_offeringid__4[[#This Row],[produccion]],supplementary_offering_offeringid__4[[#This Row],[json]])</f>
        <v>{"920000835":{"legacyid":"200008-35","name":"Smart sin navegacion","mode":"N"}}</v>
      </c>
    </row>
    <row r="307" spans="1:11" x14ac:dyDescent="0.25">
      <c r="A307" s="61" t="s">
        <v>2823</v>
      </c>
      <c r="B307" t="s">
        <v>2822</v>
      </c>
      <c r="C307" t="str">
        <f>findKey(supplementary_offering_offeringid__4[[#This Row],[Value.legacyid]])</f>
        <v>200008-36</v>
      </c>
      <c r="D307" t="s">
        <v>5906</v>
      </c>
      <c r="E307" t="s">
        <v>2329</v>
      </c>
      <c r="H307" s="61"/>
      <c r="J307" t="str">
        <f>ToJsonArray(supplementary_offering_offeringid__4[[#Headers],[legacyid]:[activityId]],supplementary_offering_offeringid__4[[#This Row],[legacyid]:[activityId]])</f>
        <v>{"legacyid":"200008-36","name":"Smart sin navegacion","mode":"N"}</v>
      </c>
      <c r="K307" t="str">
        <f>ToJsonArray(supplementary_offering_offeringid__4[[#This Row],[produccion]],supplementary_offering_offeringid__4[[#This Row],[json]])</f>
        <v>{"920000836":{"legacyid":"200008-36","name":"Smart sin navegacion","mode":"N"}}</v>
      </c>
    </row>
    <row r="308" spans="1:11" x14ac:dyDescent="0.25">
      <c r="A308" s="61" t="s">
        <v>2826</v>
      </c>
      <c r="B308" t="s">
        <v>2825</v>
      </c>
      <c r="C308" t="str">
        <f>findKey(supplementary_offering_offeringid__4[[#This Row],[Value.legacyid]])</f>
        <v>200008-37</v>
      </c>
      <c r="D308" t="s">
        <v>5906</v>
      </c>
      <c r="E308" t="s">
        <v>2329</v>
      </c>
      <c r="H308" s="61"/>
      <c r="J308" t="str">
        <f>ToJsonArray(supplementary_offering_offeringid__4[[#Headers],[legacyid]:[activityId]],supplementary_offering_offeringid__4[[#This Row],[legacyid]:[activityId]])</f>
        <v>{"legacyid":"200008-37","name":"Smart sin navegacion","mode":"N"}</v>
      </c>
      <c r="K308" t="str">
        <f>ToJsonArray(supplementary_offering_offeringid__4[[#This Row],[produccion]],supplementary_offering_offeringid__4[[#This Row],[json]])</f>
        <v>{"920000837":{"legacyid":"200008-37","name":"Smart sin navegacion","mode":"N"}}</v>
      </c>
    </row>
    <row r="309" spans="1:11" x14ac:dyDescent="0.25">
      <c r="A309" s="61" t="s">
        <v>2829</v>
      </c>
      <c r="B309" t="s">
        <v>2828</v>
      </c>
      <c r="C309" t="str">
        <f>findKey(supplementary_offering_offeringid__4[[#This Row],[Value.legacyid]])</f>
        <v>200008-38</v>
      </c>
      <c r="D309" t="s">
        <v>5906</v>
      </c>
      <c r="E309" t="s">
        <v>2329</v>
      </c>
      <c r="H309" s="61"/>
      <c r="J309" t="str">
        <f>ToJsonArray(supplementary_offering_offeringid__4[[#Headers],[legacyid]:[activityId]],supplementary_offering_offeringid__4[[#This Row],[legacyid]:[activityId]])</f>
        <v>{"legacyid":"200008-38","name":"Smart sin navegacion","mode":"N"}</v>
      </c>
      <c r="K309" t="str">
        <f>ToJsonArray(supplementary_offering_offeringid__4[[#This Row],[produccion]],supplementary_offering_offeringid__4[[#This Row],[json]])</f>
        <v>{"920000838":{"legacyid":"200008-38","name":"Smart sin navegacion","mode":"N"}}</v>
      </c>
    </row>
    <row r="310" spans="1:11" x14ac:dyDescent="0.25">
      <c r="A310" s="61" t="s">
        <v>2832</v>
      </c>
      <c r="B310" t="s">
        <v>2831</v>
      </c>
      <c r="C310" t="str">
        <f>findKey(supplementary_offering_offeringid__4[[#This Row],[Value.legacyid]])</f>
        <v>200008-39</v>
      </c>
      <c r="D310" t="s">
        <v>5906</v>
      </c>
      <c r="E310" t="s">
        <v>2329</v>
      </c>
      <c r="H310" s="61"/>
      <c r="J310" t="str">
        <f>ToJsonArray(supplementary_offering_offeringid__4[[#Headers],[legacyid]:[activityId]],supplementary_offering_offeringid__4[[#This Row],[legacyid]:[activityId]])</f>
        <v>{"legacyid":"200008-39","name":"Smart sin navegacion","mode":"N"}</v>
      </c>
      <c r="K310" t="str">
        <f>ToJsonArray(supplementary_offering_offeringid__4[[#This Row],[produccion]],supplementary_offering_offeringid__4[[#This Row],[json]])</f>
        <v>{"920000839":{"legacyid":"200008-39","name":"Smart sin navegacion","mode":"N"}}</v>
      </c>
    </row>
    <row r="311" spans="1:11" x14ac:dyDescent="0.25">
      <c r="A311" s="61" t="s">
        <v>2835</v>
      </c>
      <c r="B311" t="s">
        <v>2834</v>
      </c>
      <c r="C311" t="str">
        <f>findKey(supplementary_offering_offeringid__4[[#This Row],[Value.legacyid]])</f>
        <v>200008-40</v>
      </c>
      <c r="D311" t="s">
        <v>5906</v>
      </c>
      <c r="E311" t="s">
        <v>2329</v>
      </c>
      <c r="H311" s="61"/>
      <c r="J311" t="str">
        <f>ToJsonArray(supplementary_offering_offeringid__4[[#Headers],[legacyid]:[activityId]],supplementary_offering_offeringid__4[[#This Row],[legacyid]:[activityId]])</f>
        <v>{"legacyid":"200008-40","name":"Smart sin navegacion","mode":"N"}</v>
      </c>
      <c r="K311" t="str">
        <f>ToJsonArray(supplementary_offering_offeringid__4[[#This Row],[produccion]],supplementary_offering_offeringid__4[[#This Row],[json]])</f>
        <v>{"920000840":{"legacyid":"200008-40","name":"Smart sin navegacion","mode":"N"}}</v>
      </c>
    </row>
    <row r="312" spans="1:11" x14ac:dyDescent="0.25">
      <c r="A312" s="61" t="s">
        <v>2838</v>
      </c>
      <c r="B312" t="s">
        <v>2837</v>
      </c>
      <c r="C312" t="str">
        <f>findKey(supplementary_offering_offeringid__4[[#This Row],[Value.legacyid]])</f>
        <v>200008-41</v>
      </c>
      <c r="D312" t="s">
        <v>5906</v>
      </c>
      <c r="E312" t="s">
        <v>2329</v>
      </c>
      <c r="H312" s="61"/>
      <c r="J312" t="str">
        <f>ToJsonArray(supplementary_offering_offeringid__4[[#Headers],[legacyid]:[activityId]],supplementary_offering_offeringid__4[[#This Row],[legacyid]:[activityId]])</f>
        <v>{"legacyid":"200008-41","name":"Smart sin navegacion","mode":"N"}</v>
      </c>
      <c r="K312" t="str">
        <f>ToJsonArray(supplementary_offering_offeringid__4[[#This Row],[produccion]],supplementary_offering_offeringid__4[[#This Row],[json]])</f>
        <v>{"920000841":{"legacyid":"200008-41","name":"Smart sin navegacion","mode":"N"}}</v>
      </c>
    </row>
    <row r="313" spans="1:11" x14ac:dyDescent="0.25">
      <c r="A313" s="61" t="s">
        <v>2841</v>
      </c>
      <c r="B313" t="s">
        <v>2840</v>
      </c>
      <c r="C313" t="str">
        <f>findKey(supplementary_offering_offeringid__4[[#This Row],[Value.legacyid]])</f>
        <v>200008-42</v>
      </c>
      <c r="D313" t="s">
        <v>5906</v>
      </c>
      <c r="E313" t="s">
        <v>2329</v>
      </c>
      <c r="H313" s="61"/>
      <c r="J313" t="str">
        <f>ToJsonArray(supplementary_offering_offeringid__4[[#Headers],[legacyid]:[activityId]],supplementary_offering_offeringid__4[[#This Row],[legacyid]:[activityId]])</f>
        <v>{"legacyid":"200008-42","name":"Smart sin navegacion","mode":"N"}</v>
      </c>
      <c r="K313" t="str">
        <f>ToJsonArray(supplementary_offering_offeringid__4[[#This Row],[produccion]],supplementary_offering_offeringid__4[[#This Row],[json]])</f>
        <v>{"920000842":{"legacyid":"200008-42","name":"Smart sin navegacion","mode":"N"}}</v>
      </c>
    </row>
    <row r="314" spans="1:11" x14ac:dyDescent="0.25">
      <c r="A314" s="61" t="s">
        <v>2844</v>
      </c>
      <c r="B314" t="s">
        <v>2843</v>
      </c>
      <c r="C314" t="str">
        <f>findKey(supplementary_offering_offeringid__4[[#This Row],[Value.legacyid]])</f>
        <v>200008-43</v>
      </c>
      <c r="D314" t="s">
        <v>5906</v>
      </c>
      <c r="E314" t="s">
        <v>2329</v>
      </c>
      <c r="H314" s="61"/>
      <c r="J314" t="str">
        <f>ToJsonArray(supplementary_offering_offeringid__4[[#Headers],[legacyid]:[activityId]],supplementary_offering_offeringid__4[[#This Row],[legacyid]:[activityId]])</f>
        <v>{"legacyid":"200008-43","name":"Smart sin navegacion","mode":"N"}</v>
      </c>
      <c r="K314" t="str">
        <f>ToJsonArray(supplementary_offering_offeringid__4[[#This Row],[produccion]],supplementary_offering_offeringid__4[[#This Row],[json]])</f>
        <v>{"920000843":{"legacyid":"200008-43","name":"Smart sin navegacion","mode":"N"}}</v>
      </c>
    </row>
    <row r="315" spans="1:11" x14ac:dyDescent="0.25">
      <c r="A315" s="61" t="s">
        <v>3991</v>
      </c>
      <c r="B315" t="s">
        <v>3990</v>
      </c>
      <c r="C315" t="str">
        <f>findKey(supplementary_offering_offeringid__4[[#This Row],[Value.legacyid]])</f>
        <v>200008-46</v>
      </c>
      <c r="D315" t="s">
        <v>5906</v>
      </c>
      <c r="E315" t="s">
        <v>2329</v>
      </c>
      <c r="H315" s="61"/>
      <c r="J315" t="str">
        <f>ToJsonArray(supplementary_offering_offeringid__4[[#Headers],[legacyid]:[activityId]],supplementary_offering_offeringid__4[[#This Row],[legacyid]:[activityId]])</f>
        <v>{"legacyid":"200008-46","name":"Smart sin navegacion","mode":"N"}</v>
      </c>
      <c r="K315" t="str">
        <f>ToJsonArray(supplementary_offering_offeringid__4[[#This Row],[produccion]],supplementary_offering_offeringid__4[[#This Row],[json]])</f>
        <v>{"920000846":{"legacyid":"200008-46","name":"Smart sin navegacion","mode":"N"}}</v>
      </c>
    </row>
    <row r="316" spans="1:11" x14ac:dyDescent="0.25">
      <c r="A316" s="61" t="s">
        <v>3994</v>
      </c>
      <c r="B316" t="s">
        <v>3993</v>
      </c>
      <c r="C316" t="str">
        <f>findKey(supplementary_offering_offeringid__4[[#This Row],[Value.legacyid]])</f>
        <v>200008-47</v>
      </c>
      <c r="D316" t="s">
        <v>5906</v>
      </c>
      <c r="E316" t="s">
        <v>2329</v>
      </c>
      <c r="H316" s="61"/>
      <c r="J316" t="str">
        <f>ToJsonArray(supplementary_offering_offeringid__4[[#Headers],[legacyid]:[activityId]],supplementary_offering_offeringid__4[[#This Row],[legacyid]:[activityId]])</f>
        <v>{"legacyid":"200008-47","name":"Smart sin navegacion","mode":"N"}</v>
      </c>
      <c r="K316" t="str">
        <f>ToJsonArray(supplementary_offering_offeringid__4[[#This Row],[produccion]],supplementary_offering_offeringid__4[[#This Row],[json]])</f>
        <v>{"920000847":{"legacyid":"200008-47","name":"Smart sin navegacion","mode":"N"}}</v>
      </c>
    </row>
    <row r="317" spans="1:11" x14ac:dyDescent="0.25">
      <c r="A317" s="61" t="s">
        <v>3997</v>
      </c>
      <c r="B317" t="s">
        <v>3996</v>
      </c>
      <c r="C317" t="str">
        <f>findKey(supplementary_offering_offeringid__4[[#This Row],[Value.legacyid]])</f>
        <v>200008-48</v>
      </c>
      <c r="D317" t="s">
        <v>5906</v>
      </c>
      <c r="E317" t="s">
        <v>2329</v>
      </c>
      <c r="H317" s="61"/>
      <c r="J317" t="str">
        <f>ToJsonArray(supplementary_offering_offeringid__4[[#Headers],[legacyid]:[activityId]],supplementary_offering_offeringid__4[[#This Row],[legacyid]:[activityId]])</f>
        <v>{"legacyid":"200008-48","name":"Smart sin navegacion","mode":"N"}</v>
      </c>
      <c r="K317" t="str">
        <f>ToJsonArray(supplementary_offering_offeringid__4[[#This Row],[produccion]],supplementary_offering_offeringid__4[[#This Row],[json]])</f>
        <v>{"920000848":{"legacyid":"200008-48","name":"Smart sin navegacion","mode":"N"}}</v>
      </c>
    </row>
    <row r="318" spans="1:11" x14ac:dyDescent="0.25">
      <c r="A318" s="61" t="s">
        <v>4000</v>
      </c>
      <c r="B318" t="s">
        <v>3999</v>
      </c>
      <c r="C318" t="str">
        <f>findKey(supplementary_offering_offeringid__4[[#This Row],[Value.legacyid]])</f>
        <v>200008-49</v>
      </c>
      <c r="D318" t="s">
        <v>5906</v>
      </c>
      <c r="E318" t="s">
        <v>2329</v>
      </c>
      <c r="H318" s="61"/>
      <c r="J318" t="str">
        <f>ToJsonArray(supplementary_offering_offeringid__4[[#Headers],[legacyid]:[activityId]],supplementary_offering_offeringid__4[[#This Row],[legacyid]:[activityId]])</f>
        <v>{"legacyid":"200008-49","name":"Smart sin navegacion","mode":"N"}</v>
      </c>
      <c r="K318" t="str">
        <f>ToJsonArray(supplementary_offering_offeringid__4[[#This Row],[produccion]],supplementary_offering_offeringid__4[[#This Row],[json]])</f>
        <v>{"920000849":{"legacyid":"200008-49","name":"Smart sin navegacion","mode":"N"}}</v>
      </c>
    </row>
    <row r="319" spans="1:11" x14ac:dyDescent="0.25">
      <c r="A319" s="61" t="s">
        <v>4003</v>
      </c>
      <c r="B319" t="s">
        <v>4002</v>
      </c>
      <c r="C319" t="str">
        <f>findKey(supplementary_offering_offeringid__4[[#This Row],[Value.legacyid]])</f>
        <v>200008-50</v>
      </c>
      <c r="D319" t="s">
        <v>5906</v>
      </c>
      <c r="E319" t="s">
        <v>2329</v>
      </c>
      <c r="H319" s="61"/>
      <c r="J319" t="str">
        <f>ToJsonArray(supplementary_offering_offeringid__4[[#Headers],[legacyid]:[activityId]],supplementary_offering_offeringid__4[[#This Row],[legacyid]:[activityId]])</f>
        <v>{"legacyid":"200008-50","name":"Smart sin navegacion","mode":"N"}</v>
      </c>
      <c r="K319" t="str">
        <f>ToJsonArray(supplementary_offering_offeringid__4[[#This Row],[produccion]],supplementary_offering_offeringid__4[[#This Row],[json]])</f>
        <v>{"920000850":{"legacyid":"200008-50","name":"Smart sin navegacion","mode":"N"}}</v>
      </c>
    </row>
    <row r="320" spans="1:11" x14ac:dyDescent="0.25">
      <c r="A320" s="61" t="s">
        <v>4006</v>
      </c>
      <c r="B320" t="s">
        <v>4005</v>
      </c>
      <c r="C320" t="str">
        <f>findKey(supplementary_offering_offeringid__4[[#This Row],[Value.legacyid]])</f>
        <v>200008-51</v>
      </c>
      <c r="D320" t="s">
        <v>5906</v>
      </c>
      <c r="E320" t="s">
        <v>2329</v>
      </c>
      <c r="H320" s="61"/>
      <c r="J320" t="str">
        <f>ToJsonArray(supplementary_offering_offeringid__4[[#Headers],[legacyid]:[activityId]],supplementary_offering_offeringid__4[[#This Row],[legacyid]:[activityId]])</f>
        <v>{"legacyid":"200008-51","name":"Smart sin navegacion","mode":"N"}</v>
      </c>
      <c r="K320" t="str">
        <f>ToJsonArray(supplementary_offering_offeringid__4[[#This Row],[produccion]],supplementary_offering_offeringid__4[[#This Row],[json]])</f>
        <v>{"920000851":{"legacyid":"200008-51","name":"Smart sin navegacion","mode":"N"}}</v>
      </c>
    </row>
    <row r="321" spans="1:11" x14ac:dyDescent="0.25">
      <c r="A321" s="61" t="s">
        <v>4009</v>
      </c>
      <c r="B321" t="s">
        <v>4008</v>
      </c>
      <c r="C321" t="str">
        <f>findKey(supplementary_offering_offeringid__4[[#This Row],[Value.legacyid]])</f>
        <v>200008-52</v>
      </c>
      <c r="D321" t="s">
        <v>5906</v>
      </c>
      <c r="E321" t="s">
        <v>2329</v>
      </c>
      <c r="H321" s="61"/>
      <c r="J321" t="str">
        <f>ToJsonArray(supplementary_offering_offeringid__4[[#Headers],[legacyid]:[activityId]],supplementary_offering_offeringid__4[[#This Row],[legacyid]:[activityId]])</f>
        <v>{"legacyid":"200008-52","name":"Smart sin navegacion","mode":"N"}</v>
      </c>
      <c r="K321" t="str">
        <f>ToJsonArray(supplementary_offering_offeringid__4[[#This Row],[produccion]],supplementary_offering_offeringid__4[[#This Row],[json]])</f>
        <v>{"920000852":{"legacyid":"200008-52","name":"Smart sin navegacion","mode":"N"}}</v>
      </c>
    </row>
    <row r="322" spans="1:11" x14ac:dyDescent="0.25">
      <c r="A322" s="61" t="s">
        <v>4012</v>
      </c>
      <c r="B322" t="s">
        <v>4011</v>
      </c>
      <c r="C322" t="str">
        <f>findKey(supplementary_offering_offeringid__4[[#This Row],[Value.legacyid]])</f>
        <v>200008-53</v>
      </c>
      <c r="D322" t="s">
        <v>5906</v>
      </c>
      <c r="E322" t="s">
        <v>2329</v>
      </c>
      <c r="H322" s="61"/>
      <c r="J322" t="str">
        <f>ToJsonArray(supplementary_offering_offeringid__4[[#Headers],[legacyid]:[activityId]],supplementary_offering_offeringid__4[[#This Row],[legacyid]:[activityId]])</f>
        <v>{"legacyid":"200008-53","name":"Smart sin navegacion","mode":"N"}</v>
      </c>
      <c r="K322" t="str">
        <f>ToJsonArray(supplementary_offering_offeringid__4[[#This Row],[produccion]],supplementary_offering_offeringid__4[[#This Row],[json]])</f>
        <v>{"920000853":{"legacyid":"200008-53","name":"Smart sin navegacion","mode":"N"}}</v>
      </c>
    </row>
    <row r="323" spans="1:11" x14ac:dyDescent="0.25">
      <c r="A323" s="61" t="s">
        <v>4015</v>
      </c>
      <c r="B323" t="s">
        <v>4014</v>
      </c>
      <c r="C323" t="str">
        <f>findKey(supplementary_offering_offeringid__4[[#This Row],[Value.legacyid]])</f>
        <v>200008-54</v>
      </c>
      <c r="D323" t="s">
        <v>5906</v>
      </c>
      <c r="E323" t="s">
        <v>2329</v>
      </c>
      <c r="H323" s="61"/>
      <c r="J323" t="str">
        <f>ToJsonArray(supplementary_offering_offeringid__4[[#Headers],[legacyid]:[activityId]],supplementary_offering_offeringid__4[[#This Row],[legacyid]:[activityId]])</f>
        <v>{"legacyid":"200008-54","name":"Smart sin navegacion","mode":"N"}</v>
      </c>
      <c r="K323" t="str">
        <f>ToJsonArray(supplementary_offering_offeringid__4[[#This Row],[produccion]],supplementary_offering_offeringid__4[[#This Row],[json]])</f>
        <v>{"920000854":{"legacyid":"200008-54","name":"Smart sin navegacion","mode":"N"}}</v>
      </c>
    </row>
    <row r="324" spans="1:11" x14ac:dyDescent="0.25">
      <c r="A324" s="61" t="s">
        <v>4018</v>
      </c>
      <c r="B324" t="s">
        <v>4017</v>
      </c>
      <c r="C324" t="str">
        <f>findKey(supplementary_offering_offeringid__4[[#This Row],[Value.legacyid]])</f>
        <v>200008-55</v>
      </c>
      <c r="D324" t="s">
        <v>5906</v>
      </c>
      <c r="E324" t="s">
        <v>2329</v>
      </c>
      <c r="H324" s="61"/>
      <c r="J324" t="str">
        <f>ToJsonArray(supplementary_offering_offeringid__4[[#Headers],[legacyid]:[activityId]],supplementary_offering_offeringid__4[[#This Row],[legacyid]:[activityId]])</f>
        <v>{"legacyid":"200008-55","name":"Smart sin navegacion","mode":"N"}</v>
      </c>
      <c r="K324" t="str">
        <f>ToJsonArray(supplementary_offering_offeringid__4[[#This Row],[produccion]],supplementary_offering_offeringid__4[[#This Row],[json]])</f>
        <v>{"920000855":{"legacyid":"200008-55","name":"Smart sin navegacion","mode":"N"}}</v>
      </c>
    </row>
    <row r="325" spans="1:11" x14ac:dyDescent="0.25">
      <c r="A325" s="61" t="s">
        <v>4021</v>
      </c>
      <c r="B325" t="s">
        <v>4020</v>
      </c>
      <c r="C325" t="str">
        <f>findKey(supplementary_offering_offeringid__4[[#This Row],[Value.legacyid]])</f>
        <v>200008-56</v>
      </c>
      <c r="D325" t="s">
        <v>5906</v>
      </c>
      <c r="E325" t="s">
        <v>2329</v>
      </c>
      <c r="H325" s="61"/>
      <c r="J325" t="str">
        <f>ToJsonArray(supplementary_offering_offeringid__4[[#Headers],[legacyid]:[activityId]],supplementary_offering_offeringid__4[[#This Row],[legacyid]:[activityId]])</f>
        <v>{"legacyid":"200008-56","name":"Smart sin navegacion","mode":"N"}</v>
      </c>
      <c r="K325" t="str">
        <f>ToJsonArray(supplementary_offering_offeringid__4[[#This Row],[produccion]],supplementary_offering_offeringid__4[[#This Row],[json]])</f>
        <v>{"920000856":{"legacyid":"200008-56","name":"Smart sin navegacion","mode":"N"}}</v>
      </c>
    </row>
    <row r="326" spans="1:11" x14ac:dyDescent="0.25">
      <c r="A326" s="61" t="s">
        <v>4024</v>
      </c>
      <c r="B326" t="s">
        <v>4023</v>
      </c>
      <c r="C326" t="str">
        <f>findKey(supplementary_offering_offeringid__4[[#This Row],[Value.legacyid]])</f>
        <v>200008-57</v>
      </c>
      <c r="D326" t="s">
        <v>5906</v>
      </c>
      <c r="E326" t="s">
        <v>2329</v>
      </c>
      <c r="H326" s="61"/>
      <c r="J326" t="str">
        <f>ToJsonArray(supplementary_offering_offeringid__4[[#Headers],[legacyid]:[activityId]],supplementary_offering_offeringid__4[[#This Row],[legacyid]:[activityId]])</f>
        <v>{"legacyid":"200008-57","name":"Smart sin navegacion","mode":"N"}</v>
      </c>
      <c r="K326" t="str">
        <f>ToJsonArray(supplementary_offering_offeringid__4[[#This Row],[produccion]],supplementary_offering_offeringid__4[[#This Row],[json]])</f>
        <v>{"920000857":{"legacyid":"200008-57","name":"Smart sin navegacion","mode":"N"}}</v>
      </c>
    </row>
    <row r="327" spans="1:11" x14ac:dyDescent="0.25">
      <c r="A327" s="61" t="s">
        <v>4027</v>
      </c>
      <c r="B327" t="s">
        <v>4026</v>
      </c>
      <c r="C327" t="str">
        <f>findKey(supplementary_offering_offeringid__4[[#This Row],[Value.legacyid]])</f>
        <v>200008-58</v>
      </c>
      <c r="D327" t="s">
        <v>5906</v>
      </c>
      <c r="E327" t="s">
        <v>2329</v>
      </c>
      <c r="H327" s="61"/>
      <c r="J327" t="str">
        <f>ToJsonArray(supplementary_offering_offeringid__4[[#Headers],[legacyid]:[activityId]],supplementary_offering_offeringid__4[[#This Row],[legacyid]:[activityId]])</f>
        <v>{"legacyid":"200008-58","name":"Smart sin navegacion","mode":"N"}</v>
      </c>
      <c r="K327" t="str">
        <f>ToJsonArray(supplementary_offering_offeringid__4[[#This Row],[produccion]],supplementary_offering_offeringid__4[[#This Row],[json]])</f>
        <v>{"920000858":{"legacyid":"200008-58","name":"Smart sin navegacion","mode":"N"}}</v>
      </c>
    </row>
    <row r="328" spans="1:11" x14ac:dyDescent="0.25">
      <c r="A328" s="61" t="s">
        <v>4030</v>
      </c>
      <c r="B328" t="s">
        <v>4029</v>
      </c>
      <c r="C328" t="str">
        <f>findKey(supplementary_offering_offeringid__4[[#This Row],[Value.legacyid]])</f>
        <v>200008-59</v>
      </c>
      <c r="D328" t="s">
        <v>5906</v>
      </c>
      <c r="E328" t="s">
        <v>2329</v>
      </c>
      <c r="H328" s="61"/>
      <c r="J328" t="str">
        <f>ToJsonArray(supplementary_offering_offeringid__4[[#Headers],[legacyid]:[activityId]],supplementary_offering_offeringid__4[[#This Row],[legacyid]:[activityId]])</f>
        <v>{"legacyid":"200008-59","name":"Smart sin navegacion","mode":"N"}</v>
      </c>
      <c r="K328" t="str">
        <f>ToJsonArray(supplementary_offering_offeringid__4[[#This Row],[produccion]],supplementary_offering_offeringid__4[[#This Row],[json]])</f>
        <v>{"920000859":{"legacyid":"200008-59","name":"Smart sin navegacion","mode":"N"}}</v>
      </c>
    </row>
    <row r="329" spans="1:11" x14ac:dyDescent="0.25">
      <c r="A329" s="61" t="s">
        <v>4033</v>
      </c>
      <c r="B329" t="s">
        <v>4032</v>
      </c>
      <c r="C329" t="str">
        <f>findKey(supplementary_offering_offeringid__4[[#This Row],[Value.legacyid]])</f>
        <v>200008-60</v>
      </c>
      <c r="D329" t="s">
        <v>5906</v>
      </c>
      <c r="E329" t="s">
        <v>2329</v>
      </c>
      <c r="H329" s="61"/>
      <c r="J329" t="str">
        <f>ToJsonArray(supplementary_offering_offeringid__4[[#Headers],[legacyid]:[activityId]],supplementary_offering_offeringid__4[[#This Row],[legacyid]:[activityId]])</f>
        <v>{"legacyid":"200008-60","name":"Smart sin navegacion","mode":"N"}</v>
      </c>
      <c r="K329" t="str">
        <f>ToJsonArray(supplementary_offering_offeringid__4[[#This Row],[produccion]],supplementary_offering_offeringid__4[[#This Row],[json]])</f>
        <v>{"920000860":{"legacyid":"200008-60","name":"Smart sin navegacion","mode":"N"}}</v>
      </c>
    </row>
    <row r="330" spans="1:11" x14ac:dyDescent="0.25">
      <c r="A330" s="61" t="s">
        <v>4036</v>
      </c>
      <c r="B330" t="s">
        <v>4035</v>
      </c>
      <c r="C330" t="str">
        <f>findKey(supplementary_offering_offeringid__4[[#This Row],[Value.legacyid]])</f>
        <v>200008-61</v>
      </c>
      <c r="D330" t="s">
        <v>5906</v>
      </c>
      <c r="E330" t="s">
        <v>2329</v>
      </c>
      <c r="H330" s="61"/>
      <c r="J330" t="str">
        <f>ToJsonArray(supplementary_offering_offeringid__4[[#Headers],[legacyid]:[activityId]],supplementary_offering_offeringid__4[[#This Row],[legacyid]:[activityId]])</f>
        <v>{"legacyid":"200008-61","name":"Smart sin navegacion","mode":"N"}</v>
      </c>
      <c r="K330" t="str">
        <f>ToJsonArray(supplementary_offering_offeringid__4[[#This Row],[produccion]],supplementary_offering_offeringid__4[[#This Row],[json]])</f>
        <v>{"920000861":{"legacyid":"200008-61","name":"Smart sin navegacion","mode":"N"}}</v>
      </c>
    </row>
    <row r="331" spans="1:11" x14ac:dyDescent="0.25">
      <c r="A331" s="61" t="s">
        <v>4039</v>
      </c>
      <c r="B331" t="s">
        <v>4038</v>
      </c>
      <c r="C331" t="str">
        <f>findKey(supplementary_offering_offeringid__4[[#This Row],[Value.legacyid]])</f>
        <v>200008-62</v>
      </c>
      <c r="D331" t="s">
        <v>5906</v>
      </c>
      <c r="E331" t="s">
        <v>2329</v>
      </c>
      <c r="H331" s="61"/>
      <c r="J331" t="str">
        <f>ToJsonArray(supplementary_offering_offeringid__4[[#Headers],[legacyid]:[activityId]],supplementary_offering_offeringid__4[[#This Row],[legacyid]:[activityId]])</f>
        <v>{"legacyid":"200008-62","name":"Smart sin navegacion","mode":"N"}</v>
      </c>
      <c r="K331" t="str">
        <f>ToJsonArray(supplementary_offering_offeringid__4[[#This Row],[produccion]],supplementary_offering_offeringid__4[[#This Row],[json]])</f>
        <v>{"920000862":{"legacyid":"200008-62","name":"Smart sin navegacion","mode":"N"}}</v>
      </c>
    </row>
    <row r="332" spans="1:11" x14ac:dyDescent="0.25">
      <c r="A332" s="61" t="s">
        <v>4042</v>
      </c>
      <c r="B332" t="s">
        <v>4041</v>
      </c>
      <c r="C332" t="str">
        <f>findKey(supplementary_offering_offeringid__4[[#This Row],[Value.legacyid]])</f>
        <v>200008-63</v>
      </c>
      <c r="D332" t="s">
        <v>5906</v>
      </c>
      <c r="E332" t="s">
        <v>2329</v>
      </c>
      <c r="H332" s="61"/>
      <c r="J332" t="str">
        <f>ToJsonArray(supplementary_offering_offeringid__4[[#Headers],[legacyid]:[activityId]],supplementary_offering_offeringid__4[[#This Row],[legacyid]:[activityId]])</f>
        <v>{"legacyid":"200008-63","name":"Smart sin navegacion","mode":"N"}</v>
      </c>
      <c r="K332" t="str">
        <f>ToJsonArray(supplementary_offering_offeringid__4[[#This Row],[produccion]],supplementary_offering_offeringid__4[[#This Row],[json]])</f>
        <v>{"920000863":{"legacyid":"200008-63","name":"Smart sin navegacion","mode":"N"}}</v>
      </c>
    </row>
    <row r="333" spans="1:11" x14ac:dyDescent="0.25">
      <c r="A333" s="61" t="s">
        <v>4045</v>
      </c>
      <c r="B333" t="s">
        <v>4044</v>
      </c>
      <c r="C333" t="str">
        <f>findKey(supplementary_offering_offeringid__4[[#This Row],[Value.legacyid]])</f>
        <v>200008-64</v>
      </c>
      <c r="D333" t="s">
        <v>5906</v>
      </c>
      <c r="E333" t="s">
        <v>2329</v>
      </c>
      <c r="H333" s="61"/>
      <c r="J333" t="str">
        <f>ToJsonArray(supplementary_offering_offeringid__4[[#Headers],[legacyid]:[activityId]],supplementary_offering_offeringid__4[[#This Row],[legacyid]:[activityId]])</f>
        <v>{"legacyid":"200008-64","name":"Smart sin navegacion","mode":"N"}</v>
      </c>
      <c r="K333" t="str">
        <f>ToJsonArray(supplementary_offering_offeringid__4[[#This Row],[produccion]],supplementary_offering_offeringid__4[[#This Row],[json]])</f>
        <v>{"920000864":{"legacyid":"200008-64","name":"Smart sin navegacion","mode":"N"}}</v>
      </c>
    </row>
    <row r="334" spans="1:11" x14ac:dyDescent="0.25">
      <c r="A334" s="61" t="s">
        <v>4048</v>
      </c>
      <c r="B334" t="s">
        <v>4047</v>
      </c>
      <c r="C334" t="str">
        <f>findKey(supplementary_offering_offeringid__4[[#This Row],[Value.legacyid]])</f>
        <v>200008-65</v>
      </c>
      <c r="D334" t="s">
        <v>5906</v>
      </c>
      <c r="E334" t="s">
        <v>2329</v>
      </c>
      <c r="H334" s="61"/>
      <c r="J334" t="str">
        <f>ToJsonArray(supplementary_offering_offeringid__4[[#Headers],[legacyid]:[activityId]],supplementary_offering_offeringid__4[[#This Row],[legacyid]:[activityId]])</f>
        <v>{"legacyid":"200008-65","name":"Smart sin navegacion","mode":"N"}</v>
      </c>
      <c r="K334" t="str">
        <f>ToJsonArray(supplementary_offering_offeringid__4[[#This Row],[produccion]],supplementary_offering_offeringid__4[[#This Row],[json]])</f>
        <v>{"920000865":{"legacyid":"200008-65","name":"Smart sin navegacion","mode":"N"}}</v>
      </c>
    </row>
    <row r="335" spans="1:11" x14ac:dyDescent="0.25">
      <c r="A335" s="61" t="s">
        <v>4051</v>
      </c>
      <c r="B335" t="s">
        <v>4050</v>
      </c>
      <c r="C335" t="str">
        <f>findKey(supplementary_offering_offeringid__4[[#This Row],[Value.legacyid]])</f>
        <v>200008-66</v>
      </c>
      <c r="D335" t="s">
        <v>5906</v>
      </c>
      <c r="E335" t="s">
        <v>2329</v>
      </c>
      <c r="H335" s="61"/>
      <c r="J335" t="str">
        <f>ToJsonArray(supplementary_offering_offeringid__4[[#Headers],[legacyid]:[activityId]],supplementary_offering_offeringid__4[[#This Row],[legacyid]:[activityId]])</f>
        <v>{"legacyid":"200008-66","name":"Smart sin navegacion","mode":"N"}</v>
      </c>
      <c r="K335" t="str">
        <f>ToJsonArray(supplementary_offering_offeringid__4[[#This Row],[produccion]],supplementary_offering_offeringid__4[[#This Row],[json]])</f>
        <v>{"920000866":{"legacyid":"200008-66","name":"Smart sin navegacion","mode":"N"}}</v>
      </c>
    </row>
    <row r="336" spans="1:11" x14ac:dyDescent="0.25">
      <c r="A336" s="61" t="s">
        <v>4054</v>
      </c>
      <c r="B336" t="s">
        <v>4053</v>
      </c>
      <c r="C336" t="str">
        <f>findKey(supplementary_offering_offeringid__4[[#This Row],[Value.legacyid]])</f>
        <v>200008-67</v>
      </c>
      <c r="D336" t="s">
        <v>5906</v>
      </c>
      <c r="E336" t="s">
        <v>2329</v>
      </c>
      <c r="H336" s="61"/>
      <c r="J336" t="str">
        <f>ToJsonArray(supplementary_offering_offeringid__4[[#Headers],[legacyid]:[activityId]],supplementary_offering_offeringid__4[[#This Row],[legacyid]:[activityId]])</f>
        <v>{"legacyid":"200008-67","name":"Smart sin navegacion","mode":"N"}</v>
      </c>
      <c r="K336" t="str">
        <f>ToJsonArray(supplementary_offering_offeringid__4[[#This Row],[produccion]],supplementary_offering_offeringid__4[[#This Row],[json]])</f>
        <v>{"920000867":{"legacyid":"200008-67","name":"Smart sin navegacion","mode":"N"}}</v>
      </c>
    </row>
    <row r="337" spans="1:11" x14ac:dyDescent="0.25">
      <c r="A337" s="61" t="s">
        <v>4057</v>
      </c>
      <c r="B337" t="s">
        <v>4056</v>
      </c>
      <c r="C337" t="str">
        <f>findKey(supplementary_offering_offeringid__4[[#This Row],[Value.legacyid]])</f>
        <v>200008-68</v>
      </c>
      <c r="D337" t="s">
        <v>5906</v>
      </c>
      <c r="E337" t="s">
        <v>2329</v>
      </c>
      <c r="H337" s="61"/>
      <c r="J337" t="str">
        <f>ToJsonArray(supplementary_offering_offeringid__4[[#Headers],[legacyid]:[activityId]],supplementary_offering_offeringid__4[[#This Row],[legacyid]:[activityId]])</f>
        <v>{"legacyid":"200008-68","name":"Smart sin navegacion","mode":"N"}</v>
      </c>
      <c r="K337" t="str">
        <f>ToJsonArray(supplementary_offering_offeringid__4[[#This Row],[produccion]],supplementary_offering_offeringid__4[[#This Row],[json]])</f>
        <v>{"920000868":{"legacyid":"200008-68","name":"Smart sin navegacion","mode":"N"}}</v>
      </c>
    </row>
    <row r="338" spans="1:11" x14ac:dyDescent="0.25">
      <c r="A338" s="61" t="s">
        <v>5008</v>
      </c>
      <c r="B338" t="s">
        <v>5007</v>
      </c>
      <c r="C338" t="str">
        <f>findKey(supplementary_offering_offeringid__4[[#This Row],[Value.legacyid]])</f>
        <v>200008-69</v>
      </c>
      <c r="D338" t="s">
        <v>5906</v>
      </c>
      <c r="E338" t="s">
        <v>2329</v>
      </c>
      <c r="H338" s="61"/>
      <c r="J338" t="str">
        <f>ToJsonArray(supplementary_offering_offeringid__4[[#Headers],[legacyid]:[activityId]],supplementary_offering_offeringid__4[[#This Row],[legacyid]:[activityId]])</f>
        <v>{"legacyid":"200008-69","name":"Smart sin navegacion","mode":"N"}</v>
      </c>
      <c r="K338" t="str">
        <f>ToJsonArray(supplementary_offering_offeringid__4[[#This Row],[produccion]],supplementary_offering_offeringid__4[[#This Row],[json]])</f>
        <v>{"920000869":{"legacyid":"200008-69","name":"Smart sin navegacion","mode":"N"}}</v>
      </c>
    </row>
    <row r="339" spans="1:11" x14ac:dyDescent="0.25">
      <c r="A339" s="61" t="s">
        <v>5011</v>
      </c>
      <c r="B339" t="s">
        <v>5010</v>
      </c>
      <c r="C339" t="str">
        <f>findKey(supplementary_offering_offeringid__4[[#This Row],[Value.legacyid]])</f>
        <v>200008-70</v>
      </c>
      <c r="D339" t="s">
        <v>5906</v>
      </c>
      <c r="E339" t="s">
        <v>2329</v>
      </c>
      <c r="H339" s="61"/>
      <c r="J339" t="str">
        <f>ToJsonArray(supplementary_offering_offeringid__4[[#Headers],[legacyid]:[activityId]],supplementary_offering_offeringid__4[[#This Row],[legacyid]:[activityId]])</f>
        <v>{"legacyid":"200008-70","name":"Smart sin navegacion","mode":"N"}</v>
      </c>
      <c r="K339" t="str">
        <f>ToJsonArray(supplementary_offering_offeringid__4[[#This Row],[produccion]],supplementary_offering_offeringid__4[[#This Row],[json]])</f>
        <v>{"920000870":{"legacyid":"200008-70","name":"Smart sin navegacion","mode":"N"}}</v>
      </c>
    </row>
    <row r="340" spans="1:11" x14ac:dyDescent="0.25">
      <c r="A340" s="61" t="s">
        <v>4060</v>
      </c>
      <c r="B340" t="s">
        <v>4059</v>
      </c>
      <c r="C340" t="str">
        <f>findKey(supplementary_offering_offeringid__4[[#This Row],[Value.legacyid]])</f>
        <v>200008-71</v>
      </c>
      <c r="D340" t="s">
        <v>5906</v>
      </c>
      <c r="E340" t="s">
        <v>2329</v>
      </c>
      <c r="H340" s="61"/>
      <c r="J340" t="str">
        <f>ToJsonArray(supplementary_offering_offeringid__4[[#Headers],[legacyid]:[activityId]],supplementary_offering_offeringid__4[[#This Row],[legacyid]:[activityId]])</f>
        <v>{"legacyid":"200008-71","name":"Smart sin navegacion","mode":"N"}</v>
      </c>
      <c r="K340" t="str">
        <f>ToJsonArray(supplementary_offering_offeringid__4[[#This Row],[produccion]],supplementary_offering_offeringid__4[[#This Row],[json]])</f>
        <v>{"920000871":{"legacyid":"200008-71","name":"Smart sin navegacion","mode":"N"}}</v>
      </c>
    </row>
    <row r="341" spans="1:11" x14ac:dyDescent="0.25">
      <c r="A341" s="61" t="s">
        <v>2847</v>
      </c>
      <c r="B341" t="s">
        <v>2846</v>
      </c>
      <c r="C341" t="str">
        <f>findKey(supplementary_offering_offeringid__4[[#This Row],[Value.legacyid]])</f>
        <v>200011-01</v>
      </c>
      <c r="D341" t="s">
        <v>5876</v>
      </c>
      <c r="E341" t="s">
        <v>2329</v>
      </c>
      <c r="H341" s="61"/>
      <c r="J341" t="str">
        <f>ToJsonArray(supplementary_offering_offeringid__4[[#Headers],[legacyid]:[activityId]],supplementary_offering_offeringid__4[[#This Row],[legacyid]:[activityId]])</f>
        <v>{"legacyid":"200011-01","name":"Data 5GB","mode":"N"}</v>
      </c>
      <c r="K341" t="str">
        <f>ToJsonArray(supplementary_offering_offeringid__4[[#This Row],[produccion]],supplementary_offering_offeringid__4[[#This Row],[json]])</f>
        <v>{"920001101":{"legacyid":"200011-01","name":"Data 5GB","mode":"N"}}</v>
      </c>
    </row>
    <row r="342" spans="1:11" x14ac:dyDescent="0.25">
      <c r="A342" s="61" t="s">
        <v>2850</v>
      </c>
      <c r="B342" t="s">
        <v>2849</v>
      </c>
      <c r="C342" t="str">
        <f>findKey(supplementary_offering_offeringid__4[[#This Row],[Value.legacyid]])</f>
        <v>200011-02</v>
      </c>
      <c r="D342" t="s">
        <v>5911</v>
      </c>
      <c r="E342" t="s">
        <v>2329</v>
      </c>
      <c r="H342" s="61"/>
      <c r="J342" t="str">
        <f>ToJsonArray(supplementary_offering_offeringid__4[[#Headers],[legacyid]:[activityId]],supplementary_offering_offeringid__4[[#This Row],[legacyid]:[activityId]])</f>
        <v>{"legacyid":"200011-02","name":"Data 6GB","mode":"N"}</v>
      </c>
      <c r="K342" t="str">
        <f>ToJsonArray(supplementary_offering_offeringid__4[[#This Row],[produccion]],supplementary_offering_offeringid__4[[#This Row],[json]])</f>
        <v>{"920001102":{"legacyid":"200011-02","name":"Data 6GB","mode":"N"}}</v>
      </c>
    </row>
    <row r="343" spans="1:11" x14ac:dyDescent="0.25">
      <c r="A343" s="61" t="s">
        <v>2853</v>
      </c>
      <c r="B343" t="s">
        <v>2852</v>
      </c>
      <c r="C343" t="str">
        <f>findKey(supplementary_offering_offeringid__4[[#This Row],[Value.legacyid]])</f>
        <v>200011-03</v>
      </c>
      <c r="D343" t="s">
        <v>5912</v>
      </c>
      <c r="E343" t="s">
        <v>2329</v>
      </c>
      <c r="H343" s="61"/>
      <c r="J343" t="str">
        <f>ToJsonArray(supplementary_offering_offeringid__4[[#Headers],[legacyid]:[activityId]],supplementary_offering_offeringid__4[[#This Row],[legacyid]:[activityId]])</f>
        <v>{"legacyid":"200011-03","name":"Data 8GB","mode":"N"}</v>
      </c>
      <c r="K343" t="str">
        <f>ToJsonArray(supplementary_offering_offeringid__4[[#This Row],[produccion]],supplementary_offering_offeringid__4[[#This Row],[json]])</f>
        <v>{"920001103":{"legacyid":"200011-03","name":"Data 8GB","mode":"N"}}</v>
      </c>
    </row>
    <row r="344" spans="1:11" x14ac:dyDescent="0.25">
      <c r="A344" s="61" t="s">
        <v>4573</v>
      </c>
      <c r="B344" t="s">
        <v>4572</v>
      </c>
      <c r="C344" t="str">
        <f>findKey(supplementary_offering_offeringid__4[[#This Row],[Value.legacyid]])</f>
        <v>200011-04</v>
      </c>
      <c r="D344" t="s">
        <v>5913</v>
      </c>
      <c r="E344" t="s">
        <v>2329</v>
      </c>
      <c r="H344" s="61"/>
      <c r="J344" t="str">
        <f>ToJsonArray(supplementary_offering_offeringid__4[[#Headers],[legacyid]:[activityId]],supplementary_offering_offeringid__4[[#This Row],[legacyid]:[activityId]])</f>
        <v>{"legacyid":"200011-04","name":"Data 10GB","mode":"N"}</v>
      </c>
      <c r="K344" t="str">
        <f>ToJsonArray(supplementary_offering_offeringid__4[[#This Row],[produccion]],supplementary_offering_offeringid__4[[#This Row],[json]])</f>
        <v>{"920001104":{"legacyid":"200011-04","name":"Data 10GB","mode":"N"}}</v>
      </c>
    </row>
    <row r="345" spans="1:11" x14ac:dyDescent="0.25">
      <c r="A345" s="61" t="s">
        <v>4576</v>
      </c>
      <c r="B345" t="s">
        <v>4575</v>
      </c>
      <c r="C345" t="str">
        <f>findKey(supplementary_offering_offeringid__4[[#This Row],[Value.legacyid]])</f>
        <v>200011-05</v>
      </c>
      <c r="D345" t="s">
        <v>5914</v>
      </c>
      <c r="E345" t="s">
        <v>2329</v>
      </c>
      <c r="H345" s="61"/>
      <c r="J345" t="str">
        <f>ToJsonArray(supplementary_offering_offeringid__4[[#Headers],[legacyid]:[activityId]],supplementary_offering_offeringid__4[[#This Row],[legacyid]:[activityId]])</f>
        <v>{"legacyid":"200011-05","name":"Data 12GB","mode":"N"}</v>
      </c>
      <c r="K345" t="str">
        <f>ToJsonArray(supplementary_offering_offeringid__4[[#This Row],[produccion]],supplementary_offering_offeringid__4[[#This Row],[json]])</f>
        <v>{"920001105":{"legacyid":"200011-05","name":"Data 12GB","mode":"N"}}</v>
      </c>
    </row>
    <row r="346" spans="1:11" x14ac:dyDescent="0.25">
      <c r="A346" s="61" t="s">
        <v>2856</v>
      </c>
      <c r="B346" t="s">
        <v>2855</v>
      </c>
      <c r="C346" t="str">
        <f>findKey(supplementary_offering_offeringid__4[[#This Row],[Value.legacyid]])</f>
        <v>200011-06</v>
      </c>
      <c r="D346" t="s">
        <v>5915</v>
      </c>
      <c r="E346" t="s">
        <v>2329</v>
      </c>
      <c r="H346" s="61"/>
      <c r="J346" t="str">
        <f>ToJsonArray(supplementary_offering_offeringid__4[[#Headers],[legacyid]:[activityId]],supplementary_offering_offeringid__4[[#This Row],[legacyid]:[activityId]])</f>
        <v>{"legacyid":"200011-06","name":"Data WhatsFace","mode":"N"}</v>
      </c>
      <c r="K346" t="str">
        <f>ToJsonArray(supplementary_offering_offeringid__4[[#This Row],[produccion]],supplementary_offering_offeringid__4[[#This Row],[json]])</f>
        <v>{"920001106":{"legacyid":"200011-06","name":"Data WhatsFace","mode":"N"}}</v>
      </c>
    </row>
    <row r="347" spans="1:11" x14ac:dyDescent="0.25">
      <c r="A347" s="61" t="s">
        <v>2859</v>
      </c>
      <c r="B347" t="s">
        <v>2858</v>
      </c>
      <c r="C347" t="str">
        <f>findKey(supplementary_offering_offeringid__4[[#This Row],[Value.legacyid]])</f>
        <v>200011-12</v>
      </c>
      <c r="D347" t="s">
        <v>5915</v>
      </c>
      <c r="E347" t="s">
        <v>2329</v>
      </c>
      <c r="H347" s="61"/>
      <c r="J347" t="str">
        <f>ToJsonArray(supplementary_offering_offeringid__4[[#Headers],[legacyid]:[activityId]],supplementary_offering_offeringid__4[[#This Row],[legacyid]:[activityId]])</f>
        <v>{"legacyid":"200011-12","name":"Data WhatsFace","mode":"N"}</v>
      </c>
      <c r="K347" t="str">
        <f>ToJsonArray(supplementary_offering_offeringid__4[[#This Row],[produccion]],supplementary_offering_offeringid__4[[#This Row],[json]])</f>
        <v>{"920001112":{"legacyid":"200011-12","name":"Data WhatsFace","mode":"N"}}</v>
      </c>
    </row>
    <row r="348" spans="1:11" x14ac:dyDescent="0.25">
      <c r="A348" s="61" t="s">
        <v>2862</v>
      </c>
      <c r="B348" t="s">
        <v>2861</v>
      </c>
      <c r="C348" t="str">
        <f>findKey(supplementary_offering_offeringid__4[[#This Row],[Value.legacyid]])</f>
        <v>200011-13</v>
      </c>
      <c r="D348" t="s">
        <v>5879</v>
      </c>
      <c r="E348" t="s">
        <v>2329</v>
      </c>
      <c r="H348" s="61"/>
      <c r="J348" t="str">
        <f>ToJsonArray(supplementary_offering_offeringid__4[[#Headers],[legacyid]:[activityId]],supplementary_offering_offeringid__4[[#This Row],[legacyid]:[activityId]])</f>
        <v>{"legacyid":"200011-13","name":"Data 800MB","mode":"N"}</v>
      </c>
      <c r="K348" t="str">
        <f>ToJsonArray(supplementary_offering_offeringid__4[[#This Row],[produccion]],supplementary_offering_offeringid__4[[#This Row],[json]])</f>
        <v>{"920001113":{"legacyid":"200011-13","name":"Data 800MB","mode":"N"}}</v>
      </c>
    </row>
    <row r="349" spans="1:11" x14ac:dyDescent="0.25">
      <c r="A349" s="61" t="s">
        <v>2865</v>
      </c>
      <c r="B349" t="s">
        <v>2864</v>
      </c>
      <c r="C349" t="str">
        <f>findKey(supplementary_offering_offeringid__4[[#This Row],[Value.legacyid]])</f>
        <v>200011-14</v>
      </c>
      <c r="D349" t="s">
        <v>5858</v>
      </c>
      <c r="E349" t="s">
        <v>2329</v>
      </c>
      <c r="H349" s="61"/>
      <c r="J349" t="str">
        <f>ToJsonArray(supplementary_offering_offeringid__4[[#Headers],[legacyid]:[activityId]],supplementary_offering_offeringid__4[[#This Row],[legacyid]:[activityId]])</f>
        <v>{"legacyid":"200011-14","name":"Data 1.5GB","mode":"N"}</v>
      </c>
      <c r="K349" t="str">
        <f>ToJsonArray(supplementary_offering_offeringid__4[[#This Row],[produccion]],supplementary_offering_offeringid__4[[#This Row],[json]])</f>
        <v>{"920001114":{"legacyid":"200011-14","name":"Data 1.5GB","mode":"N"}}</v>
      </c>
    </row>
    <row r="350" spans="1:11" x14ac:dyDescent="0.25">
      <c r="A350" s="61" t="s">
        <v>2868</v>
      </c>
      <c r="B350" t="s">
        <v>2867</v>
      </c>
      <c r="C350" t="str">
        <f>findKey(supplementary_offering_offeringid__4[[#This Row],[Value.legacyid]])</f>
        <v>200011-15</v>
      </c>
      <c r="D350" t="s">
        <v>5859</v>
      </c>
      <c r="E350" t="s">
        <v>2329</v>
      </c>
      <c r="H350" s="61"/>
      <c r="J350" t="str">
        <f>ToJsonArray(supplementary_offering_offeringid__4[[#Headers],[legacyid]:[activityId]],supplementary_offering_offeringid__4[[#This Row],[legacyid]:[activityId]])</f>
        <v>{"legacyid":"200011-15","name":"Data 2.5GB","mode":"N"}</v>
      </c>
      <c r="K350" t="str">
        <f>ToJsonArray(supplementary_offering_offeringid__4[[#This Row],[produccion]],supplementary_offering_offeringid__4[[#This Row],[json]])</f>
        <v>{"920001115":{"legacyid":"200011-15","name":"Data 2.5GB","mode":"N"}}</v>
      </c>
    </row>
    <row r="351" spans="1:11" x14ac:dyDescent="0.25">
      <c r="A351" s="61" t="s">
        <v>2871</v>
      </c>
      <c r="B351" t="s">
        <v>2870</v>
      </c>
      <c r="C351" t="str">
        <f>findKey(supplementary_offering_offeringid__4[[#This Row],[Value.legacyid]])</f>
        <v>200011-16</v>
      </c>
      <c r="D351" t="s">
        <v>5863</v>
      </c>
      <c r="E351" t="s">
        <v>2329</v>
      </c>
      <c r="H351" s="61"/>
      <c r="J351" t="str">
        <f>ToJsonArray(supplementary_offering_offeringid__4[[#Headers],[legacyid]:[activityId]],supplementary_offering_offeringid__4[[#This Row],[legacyid]:[activityId]])</f>
        <v>{"legacyid":"200011-16","name":"Data 3.5GB","mode":"N"}</v>
      </c>
      <c r="K351" t="str">
        <f>ToJsonArray(supplementary_offering_offeringid__4[[#This Row],[produccion]],supplementary_offering_offeringid__4[[#This Row],[json]])</f>
        <v>{"920001116":{"legacyid":"200011-16","name":"Data 3.5GB","mode":"N"}}</v>
      </c>
    </row>
    <row r="352" spans="1:11" x14ac:dyDescent="0.25">
      <c r="A352" s="61" t="s">
        <v>2874</v>
      </c>
      <c r="B352" t="s">
        <v>2873</v>
      </c>
      <c r="C352" t="str">
        <f>findKey(supplementary_offering_offeringid__4[[#This Row],[Value.legacyid]])</f>
        <v>200011-17</v>
      </c>
      <c r="D352" t="s">
        <v>5875</v>
      </c>
      <c r="E352" t="s">
        <v>2329</v>
      </c>
      <c r="H352" s="61"/>
      <c r="J352" t="str">
        <f>ToJsonArray(supplementary_offering_offeringid__4[[#Headers],[legacyid]:[activityId]],supplementary_offering_offeringid__4[[#This Row],[legacyid]:[activityId]])</f>
        <v>{"legacyid":"200011-17","name":"Data 4GB","mode":"N"}</v>
      </c>
      <c r="K352" t="str">
        <f>ToJsonArray(supplementary_offering_offeringid__4[[#This Row],[produccion]],supplementary_offering_offeringid__4[[#This Row],[json]])</f>
        <v>{"920001117":{"legacyid":"200011-17","name":"Data 4GB","mode":"N"}}</v>
      </c>
    </row>
    <row r="353" spans="1:11" x14ac:dyDescent="0.25">
      <c r="A353" s="61" t="s">
        <v>2877</v>
      </c>
      <c r="B353" t="s">
        <v>2876</v>
      </c>
      <c r="C353" t="str">
        <f>findKey(supplementary_offering_offeringid__4[[#This Row],[Value.legacyid]])</f>
        <v>200011-18</v>
      </c>
      <c r="D353" t="s">
        <v>5911</v>
      </c>
      <c r="E353" t="s">
        <v>2329</v>
      </c>
      <c r="H353" s="61"/>
      <c r="J353" t="str">
        <f>ToJsonArray(supplementary_offering_offeringid__4[[#Headers],[legacyid]:[activityId]],supplementary_offering_offeringid__4[[#This Row],[legacyid]:[activityId]])</f>
        <v>{"legacyid":"200011-18","name":"Data 6GB","mode":"N"}</v>
      </c>
      <c r="K353" t="str">
        <f>ToJsonArray(supplementary_offering_offeringid__4[[#This Row],[produccion]],supplementary_offering_offeringid__4[[#This Row],[json]])</f>
        <v>{"920001118":{"legacyid":"200011-18","name":"Data 6GB","mode":"N"}}</v>
      </c>
    </row>
    <row r="354" spans="1:11" x14ac:dyDescent="0.25">
      <c r="A354" s="61" t="s">
        <v>2880</v>
      </c>
      <c r="B354" t="s">
        <v>2879</v>
      </c>
      <c r="C354" t="str">
        <f>findKey(supplementary_offering_offeringid__4[[#This Row],[Value.legacyid]])</f>
        <v>200011-19</v>
      </c>
      <c r="D354" t="s">
        <v>5912</v>
      </c>
      <c r="E354" t="s">
        <v>2329</v>
      </c>
      <c r="H354" s="61"/>
      <c r="J354" t="str">
        <f>ToJsonArray(supplementary_offering_offeringid__4[[#Headers],[legacyid]:[activityId]],supplementary_offering_offeringid__4[[#This Row],[legacyid]:[activityId]])</f>
        <v>{"legacyid":"200011-19","name":"Data 8GB","mode":"N"}</v>
      </c>
      <c r="K354" t="str">
        <f>ToJsonArray(supplementary_offering_offeringid__4[[#This Row],[produccion]],supplementary_offering_offeringid__4[[#This Row],[json]])</f>
        <v>{"920001119":{"legacyid":"200011-19","name":"Data 8GB","mode":"N"}}</v>
      </c>
    </row>
    <row r="355" spans="1:11" x14ac:dyDescent="0.25">
      <c r="A355" s="61" t="s">
        <v>2883</v>
      </c>
      <c r="B355" t="s">
        <v>2882</v>
      </c>
      <c r="C355" t="str">
        <f>findKey(supplementary_offering_offeringid__4[[#This Row],[Value.legacyid]])</f>
        <v>200011-20</v>
      </c>
      <c r="D355" t="s">
        <v>5913</v>
      </c>
      <c r="E355" t="s">
        <v>2329</v>
      </c>
      <c r="H355" s="61"/>
      <c r="J355" t="str">
        <f>ToJsonArray(supplementary_offering_offeringid__4[[#Headers],[legacyid]:[activityId]],supplementary_offering_offeringid__4[[#This Row],[legacyid]:[activityId]])</f>
        <v>{"legacyid":"200011-20","name":"Data 10GB","mode":"N"}</v>
      </c>
      <c r="K355" t="str">
        <f>ToJsonArray(supplementary_offering_offeringid__4[[#This Row],[produccion]],supplementary_offering_offeringid__4[[#This Row],[json]])</f>
        <v>{"920001120":{"legacyid":"200011-20","name":"Data 10GB","mode":"N"}}</v>
      </c>
    </row>
    <row r="356" spans="1:11" x14ac:dyDescent="0.25">
      <c r="A356" s="61" t="s">
        <v>2886</v>
      </c>
      <c r="B356" t="s">
        <v>2885</v>
      </c>
      <c r="C356" t="str">
        <f>findKey(supplementary_offering_offeringid__4[[#This Row],[Value.legacyid]])</f>
        <v>200011-21</v>
      </c>
      <c r="D356" t="s">
        <v>5914</v>
      </c>
      <c r="E356" t="s">
        <v>2329</v>
      </c>
      <c r="H356" s="61"/>
      <c r="J356" t="str">
        <f>ToJsonArray(supplementary_offering_offeringid__4[[#Headers],[legacyid]:[activityId]],supplementary_offering_offeringid__4[[#This Row],[legacyid]:[activityId]])</f>
        <v>{"legacyid":"200011-21","name":"Data 12GB","mode":"N"}</v>
      </c>
      <c r="K356" t="str">
        <f>ToJsonArray(supplementary_offering_offeringid__4[[#This Row],[produccion]],supplementary_offering_offeringid__4[[#This Row],[json]])</f>
        <v>{"920001121":{"legacyid":"200011-21","name":"Data 12GB","mode":"N"}}</v>
      </c>
    </row>
    <row r="357" spans="1:11" x14ac:dyDescent="0.25">
      <c r="A357" s="61" t="s">
        <v>2889</v>
      </c>
      <c r="B357" t="s">
        <v>2888</v>
      </c>
      <c r="C357" t="str">
        <f>findKey(supplementary_offering_offeringid__4[[#This Row],[Value.legacyid]])</f>
        <v>200011-22</v>
      </c>
      <c r="D357" t="s">
        <v>5916</v>
      </c>
      <c r="E357" t="s">
        <v>2329</v>
      </c>
      <c r="H357" s="61"/>
      <c r="J357" t="str">
        <f>ToJsonArray(supplementary_offering_offeringid__4[[#Headers],[legacyid]:[activityId]],supplementary_offering_offeringid__4[[#This Row],[legacyid]:[activityId]])</f>
        <v>{"legacyid":"200011-22","name":"Data WhatsApp","mode":"N"}</v>
      </c>
      <c r="K357" t="str">
        <f>ToJsonArray(supplementary_offering_offeringid__4[[#This Row],[produccion]],supplementary_offering_offeringid__4[[#This Row],[json]])</f>
        <v>{"920001122":{"legacyid":"200011-22","name":"Data WhatsApp","mode":"N"}}</v>
      </c>
    </row>
    <row r="358" spans="1:11" x14ac:dyDescent="0.25">
      <c r="A358" s="61" t="s">
        <v>2892</v>
      </c>
      <c r="B358" t="s">
        <v>2891</v>
      </c>
      <c r="C358" t="str">
        <f>findKey(supplementary_offering_offeringid__4[[#This Row],[Value.legacyid]])</f>
        <v>200011-23</v>
      </c>
      <c r="D358" t="s">
        <v>5915</v>
      </c>
      <c r="E358" t="s">
        <v>2329</v>
      </c>
      <c r="H358" s="61"/>
      <c r="J358" t="str">
        <f>ToJsonArray(supplementary_offering_offeringid__4[[#Headers],[legacyid]:[activityId]],supplementary_offering_offeringid__4[[#This Row],[legacyid]:[activityId]])</f>
        <v>{"legacyid":"200011-23","name":"Data WhatsFace","mode":"N"}</v>
      </c>
      <c r="K358" t="str">
        <f>ToJsonArray(supplementary_offering_offeringid__4[[#This Row],[produccion]],supplementary_offering_offeringid__4[[#This Row],[json]])</f>
        <v>{"920001123":{"legacyid":"200011-23","name":"Data WhatsFace","mode":"N"}}</v>
      </c>
    </row>
    <row r="359" spans="1:11" x14ac:dyDescent="0.25">
      <c r="A359" s="61" t="s">
        <v>2895</v>
      </c>
      <c r="B359" t="s">
        <v>2894</v>
      </c>
      <c r="C359" t="str">
        <f>findKey(supplementary_offering_offeringid__4[[#This Row],[Value.legacyid]])</f>
        <v>200011-26</v>
      </c>
      <c r="D359" t="s">
        <v>5869</v>
      </c>
      <c r="E359" t="s">
        <v>2329</v>
      </c>
      <c r="H359" s="61"/>
      <c r="J359" t="str">
        <f>ToJsonArray(supplementary_offering_offeringid__4[[#Headers],[legacyid]:[activityId]],supplementary_offering_offeringid__4[[#This Row],[legacyid]:[activityId]])</f>
        <v>{"legacyid":"200011-26","name":"Data Unlimited","mode":"N"}</v>
      </c>
      <c r="K359" t="str">
        <f>ToJsonArray(supplementary_offering_offeringid__4[[#This Row],[produccion]],supplementary_offering_offeringid__4[[#This Row],[json]])</f>
        <v>{"920001126":{"legacyid":"200011-26","name":"Data Unlimited","mode":"N"}}</v>
      </c>
    </row>
    <row r="360" spans="1:11" x14ac:dyDescent="0.25">
      <c r="A360" s="61" t="s">
        <v>2898</v>
      </c>
      <c r="B360" t="s">
        <v>2897</v>
      </c>
      <c r="C360" t="str">
        <f>findKey(supplementary_offering_offeringid__4[[#This Row],[Value.legacyid]])</f>
        <v>200011-29</v>
      </c>
      <c r="D360" t="s">
        <v>5917</v>
      </c>
      <c r="E360" t="s">
        <v>2329</v>
      </c>
      <c r="H360" s="61"/>
      <c r="J360" t="str">
        <f>ToJsonArray(supplementary_offering_offeringid__4[[#Headers],[legacyid]:[activityId]],supplementary_offering_offeringid__4[[#This Row],[legacyid]:[activityId]])</f>
        <v>{"legacyid":"200011-29","name":"Data 2.5GB WhatsFace","mode":"N"}</v>
      </c>
      <c r="K360" t="str">
        <f>ToJsonArray(supplementary_offering_offeringid__4[[#This Row],[produccion]],supplementary_offering_offeringid__4[[#This Row],[json]])</f>
        <v>{"920001129":{"legacyid":"200011-29","name":"Data 2.5GB WhatsFace","mode":"N"}}</v>
      </c>
    </row>
    <row r="361" spans="1:11" x14ac:dyDescent="0.25">
      <c r="A361" s="61" t="s">
        <v>2901</v>
      </c>
      <c r="B361" t="s">
        <v>2900</v>
      </c>
      <c r="C361" t="str">
        <f>findKey(supplementary_offering_offeringid__4[[#This Row],[Value.legacyid]])</f>
        <v>200011-30</v>
      </c>
      <c r="D361" t="s">
        <v>5918</v>
      </c>
      <c r="E361" t="s">
        <v>2329</v>
      </c>
      <c r="H361" s="61"/>
      <c r="J361" t="str">
        <f>ToJsonArray(supplementary_offering_offeringid__4[[#Headers],[legacyid]:[activityId]],supplementary_offering_offeringid__4[[#This Row],[legacyid]:[activityId]])</f>
        <v>{"legacyid":"200011-30","name":"Data 3.5GB WhatsFace","mode":"N"}</v>
      </c>
      <c r="K361" t="str">
        <f>ToJsonArray(supplementary_offering_offeringid__4[[#This Row],[produccion]],supplementary_offering_offeringid__4[[#This Row],[json]])</f>
        <v>{"920001130":{"legacyid":"200011-30","name":"Data 3.5GB WhatsFace","mode":"N"}}</v>
      </c>
    </row>
    <row r="362" spans="1:11" x14ac:dyDescent="0.25">
      <c r="A362" s="61" t="s">
        <v>2904</v>
      </c>
      <c r="B362" t="s">
        <v>2903</v>
      </c>
      <c r="C362" t="str">
        <f>findKey(supplementary_offering_offeringid__4[[#This Row],[Value.legacyid]])</f>
        <v>200011-31</v>
      </c>
      <c r="D362" t="s">
        <v>5919</v>
      </c>
      <c r="E362" t="s">
        <v>2329</v>
      </c>
      <c r="H362" s="61"/>
      <c r="J362" t="str">
        <f>ToJsonArray(supplementary_offering_offeringid__4[[#Headers],[legacyid]:[activityId]],supplementary_offering_offeringid__4[[#This Row],[legacyid]:[activityId]])</f>
        <v>{"legacyid":"200011-31","name":"Data 7GB WhatsFace","mode":"N"}</v>
      </c>
      <c r="K362" t="str">
        <f>ToJsonArray(supplementary_offering_offeringid__4[[#This Row],[produccion]],supplementary_offering_offeringid__4[[#This Row],[json]])</f>
        <v>{"920001131":{"legacyid":"200011-31","name":"Data 7GB WhatsFace","mode":"N"}}</v>
      </c>
    </row>
    <row r="363" spans="1:11" x14ac:dyDescent="0.25">
      <c r="A363" s="61" t="s">
        <v>2907</v>
      </c>
      <c r="B363" t="s">
        <v>2906</v>
      </c>
      <c r="C363" t="str">
        <f>findKey(supplementary_offering_offeringid__4[[#This Row],[Value.legacyid]])</f>
        <v>200011-48</v>
      </c>
      <c r="D363" t="s">
        <v>5879</v>
      </c>
      <c r="E363" t="s">
        <v>2329</v>
      </c>
      <c r="H363" s="61"/>
      <c r="J363" t="str">
        <f>ToJsonArray(supplementary_offering_offeringid__4[[#Headers],[legacyid]:[activityId]],supplementary_offering_offeringid__4[[#This Row],[legacyid]:[activityId]])</f>
        <v>{"legacyid":"200011-48","name":"Data 800MB","mode":"N"}</v>
      </c>
      <c r="K363" t="str">
        <f>ToJsonArray(supplementary_offering_offeringid__4[[#This Row],[produccion]],supplementary_offering_offeringid__4[[#This Row],[json]])</f>
        <v>{"920001148":{"legacyid":"200011-48","name":"Data 800MB","mode":"N"}}</v>
      </c>
    </row>
    <row r="364" spans="1:11" x14ac:dyDescent="0.25">
      <c r="A364" s="61" t="s">
        <v>2910</v>
      </c>
      <c r="B364" t="s">
        <v>2909</v>
      </c>
      <c r="C364" t="str">
        <f>findKey(supplementary_offering_offeringid__4[[#This Row],[Value.legacyid]])</f>
        <v>200011-49</v>
      </c>
      <c r="D364" t="s">
        <v>5858</v>
      </c>
      <c r="E364" t="s">
        <v>2329</v>
      </c>
      <c r="H364" s="61"/>
      <c r="J364" t="str">
        <f>ToJsonArray(supplementary_offering_offeringid__4[[#Headers],[legacyid]:[activityId]],supplementary_offering_offeringid__4[[#This Row],[legacyid]:[activityId]])</f>
        <v>{"legacyid":"200011-49","name":"Data 1.5GB","mode":"N"}</v>
      </c>
      <c r="K364" t="str">
        <f>ToJsonArray(supplementary_offering_offeringid__4[[#This Row],[produccion]],supplementary_offering_offeringid__4[[#This Row],[json]])</f>
        <v>{"920001149":{"legacyid":"200011-49","name":"Data 1.5GB","mode":"N"}}</v>
      </c>
    </row>
    <row r="365" spans="1:11" x14ac:dyDescent="0.25">
      <c r="A365" s="61" t="s">
        <v>2913</v>
      </c>
      <c r="B365" t="s">
        <v>2912</v>
      </c>
      <c r="C365" t="str">
        <f>findKey(supplementary_offering_offeringid__4[[#This Row],[Value.legacyid]])</f>
        <v>200011-50</v>
      </c>
      <c r="D365" t="s">
        <v>5859</v>
      </c>
      <c r="E365" t="s">
        <v>2329</v>
      </c>
      <c r="H365" s="61"/>
      <c r="J365" t="str">
        <f>ToJsonArray(supplementary_offering_offeringid__4[[#Headers],[legacyid]:[activityId]],supplementary_offering_offeringid__4[[#This Row],[legacyid]:[activityId]])</f>
        <v>{"legacyid":"200011-50","name":"Data 2.5GB","mode":"N"}</v>
      </c>
      <c r="K365" t="str">
        <f>ToJsonArray(supplementary_offering_offeringid__4[[#This Row],[produccion]],supplementary_offering_offeringid__4[[#This Row],[json]])</f>
        <v>{"920001150":{"legacyid":"200011-50","name":"Data 2.5GB","mode":"N"}}</v>
      </c>
    </row>
    <row r="366" spans="1:11" x14ac:dyDescent="0.25">
      <c r="A366" s="61" t="s">
        <v>2916</v>
      </c>
      <c r="B366" t="s">
        <v>2915</v>
      </c>
      <c r="C366" t="str">
        <f>findKey(supplementary_offering_offeringid__4[[#This Row],[Value.legacyid]])</f>
        <v>200011-51</v>
      </c>
      <c r="D366" t="s">
        <v>5863</v>
      </c>
      <c r="E366" t="s">
        <v>2329</v>
      </c>
      <c r="H366" s="61"/>
      <c r="J366" t="str">
        <f>ToJsonArray(supplementary_offering_offeringid__4[[#Headers],[legacyid]:[activityId]],supplementary_offering_offeringid__4[[#This Row],[legacyid]:[activityId]])</f>
        <v>{"legacyid":"200011-51","name":"Data 3.5GB","mode":"N"}</v>
      </c>
      <c r="K366" t="str">
        <f>ToJsonArray(supplementary_offering_offeringid__4[[#This Row],[produccion]],supplementary_offering_offeringid__4[[#This Row],[json]])</f>
        <v>{"920001151":{"legacyid":"200011-51","name":"Data 3.5GB","mode":"N"}}</v>
      </c>
    </row>
    <row r="367" spans="1:11" x14ac:dyDescent="0.25">
      <c r="A367" s="61" t="s">
        <v>2919</v>
      </c>
      <c r="B367" t="s">
        <v>2918</v>
      </c>
      <c r="C367" t="str">
        <f>findKey(supplementary_offering_offeringid__4[[#This Row],[Value.legacyid]])</f>
        <v>200011-52</v>
      </c>
      <c r="D367" t="s">
        <v>5875</v>
      </c>
      <c r="E367" t="s">
        <v>2329</v>
      </c>
      <c r="H367" s="61"/>
      <c r="J367" t="str">
        <f>ToJsonArray(supplementary_offering_offeringid__4[[#Headers],[legacyid]:[activityId]],supplementary_offering_offeringid__4[[#This Row],[legacyid]:[activityId]])</f>
        <v>{"legacyid":"200011-52","name":"Data 4GB","mode":"N"}</v>
      </c>
      <c r="K367" t="str">
        <f>ToJsonArray(supplementary_offering_offeringid__4[[#This Row],[produccion]],supplementary_offering_offeringid__4[[#This Row],[json]])</f>
        <v>{"920001152":{"legacyid":"200011-52","name":"Data 4GB","mode":"N"}}</v>
      </c>
    </row>
    <row r="368" spans="1:11" x14ac:dyDescent="0.25">
      <c r="A368" s="61" t="s">
        <v>2922</v>
      </c>
      <c r="B368" t="s">
        <v>2921</v>
      </c>
      <c r="C368" t="str">
        <f>findKey(supplementary_offering_offeringid__4[[#This Row],[Value.legacyid]])</f>
        <v>200011-53</v>
      </c>
      <c r="D368" t="s">
        <v>5882</v>
      </c>
      <c r="E368" t="s">
        <v>2329</v>
      </c>
      <c r="H368" s="61"/>
      <c r="J368" t="str">
        <f>ToJsonArray(supplementary_offering_offeringid__4[[#Headers],[legacyid]:[activityId]],supplementary_offering_offeringid__4[[#This Row],[legacyid]:[activityId]])</f>
        <v>{"legacyid":"200011-53","name":"Data 7GB","mode":"N"}</v>
      </c>
      <c r="K368" t="str">
        <f>ToJsonArray(supplementary_offering_offeringid__4[[#This Row],[produccion]],supplementary_offering_offeringid__4[[#This Row],[json]])</f>
        <v>{"920001153":{"legacyid":"200011-53","name":"Data 7GB","mode":"N"}}</v>
      </c>
    </row>
    <row r="369" spans="1:11" x14ac:dyDescent="0.25">
      <c r="A369" s="61" t="s">
        <v>2925</v>
      </c>
      <c r="B369" t="s">
        <v>2924</v>
      </c>
      <c r="C369" t="str">
        <f>findKey(supplementary_offering_offeringid__4[[#This Row],[Value.legacyid]])</f>
        <v>200011-54</v>
      </c>
      <c r="D369" t="s">
        <v>5857</v>
      </c>
      <c r="E369" t="s">
        <v>2329</v>
      </c>
      <c r="H369" s="61"/>
      <c r="J369" t="str">
        <f>ToJsonArray(supplementary_offering_offeringid__4[[#Headers],[legacyid]:[activityId]],supplementary_offering_offeringid__4[[#This Row],[legacyid]:[activityId]])</f>
        <v>{"legacyid":"200011-54","name":"Data 1GB","mode":"N"}</v>
      </c>
      <c r="K369" t="str">
        <f>ToJsonArray(supplementary_offering_offeringid__4[[#This Row],[produccion]],supplementary_offering_offeringid__4[[#This Row],[json]])</f>
        <v>{"920001154":{"legacyid":"200011-54","name":"Data 1GB","mode":"N"}}</v>
      </c>
    </row>
    <row r="370" spans="1:11" x14ac:dyDescent="0.25">
      <c r="A370" s="61" t="s">
        <v>2928</v>
      </c>
      <c r="B370" t="s">
        <v>2927</v>
      </c>
      <c r="C370" t="str">
        <f>findKey(supplementary_offering_offeringid__4[[#This Row],[Value.legacyid]])</f>
        <v>200011-55</v>
      </c>
      <c r="D370" t="s">
        <v>5857</v>
      </c>
      <c r="E370" t="s">
        <v>2329</v>
      </c>
      <c r="H370" s="61"/>
      <c r="J370" t="str">
        <f>ToJsonArray(supplementary_offering_offeringid__4[[#Headers],[legacyid]:[activityId]],supplementary_offering_offeringid__4[[#This Row],[legacyid]:[activityId]])</f>
        <v>{"legacyid":"200011-55","name":"Data 1GB","mode":"N"}</v>
      </c>
      <c r="K370" t="str">
        <f>ToJsonArray(supplementary_offering_offeringid__4[[#This Row],[produccion]],supplementary_offering_offeringid__4[[#This Row],[json]])</f>
        <v>{"920001155":{"legacyid":"200011-55","name":"Data 1GB","mode":"N"}}</v>
      </c>
    </row>
    <row r="371" spans="1:11" x14ac:dyDescent="0.25">
      <c r="A371" s="61" t="s">
        <v>2931</v>
      </c>
      <c r="B371" t="s">
        <v>2930</v>
      </c>
      <c r="C371" t="str">
        <f>findKey(supplementary_offering_offeringid__4[[#This Row],[Value.legacyid]])</f>
        <v>200011-56</v>
      </c>
      <c r="D371" t="s">
        <v>5874</v>
      </c>
      <c r="E371" t="s">
        <v>2329</v>
      </c>
      <c r="H371" s="61"/>
      <c r="J371" t="str">
        <f>ToJsonArray(supplementary_offering_offeringid__4[[#Headers],[legacyid]:[activityId]],supplementary_offering_offeringid__4[[#This Row],[legacyid]:[activityId]])</f>
        <v>{"legacyid":"200011-56","name":"Data 3GB","mode":"N"}</v>
      </c>
      <c r="K371" t="str">
        <f>ToJsonArray(supplementary_offering_offeringid__4[[#This Row],[produccion]],supplementary_offering_offeringid__4[[#This Row],[json]])</f>
        <v>{"920001156":{"legacyid":"200011-56","name":"Data 3GB","mode":"N"}}</v>
      </c>
    </row>
    <row r="372" spans="1:11" x14ac:dyDescent="0.25">
      <c r="A372" s="61" t="s">
        <v>2934</v>
      </c>
      <c r="B372" t="s">
        <v>2933</v>
      </c>
      <c r="C372" t="str">
        <f>findKey(supplementary_offering_offeringid__4[[#This Row],[Value.legacyid]])</f>
        <v>200011-57</v>
      </c>
      <c r="D372" t="s">
        <v>5874</v>
      </c>
      <c r="E372" t="s">
        <v>2329</v>
      </c>
      <c r="H372" s="61"/>
      <c r="J372" t="str">
        <f>ToJsonArray(supplementary_offering_offeringid__4[[#Headers],[legacyid]:[activityId]],supplementary_offering_offeringid__4[[#This Row],[legacyid]:[activityId]])</f>
        <v>{"legacyid":"200011-57","name":"Data 3GB","mode":"N"}</v>
      </c>
      <c r="K372" t="str">
        <f>ToJsonArray(supplementary_offering_offeringid__4[[#This Row],[produccion]],supplementary_offering_offeringid__4[[#This Row],[json]])</f>
        <v>{"920001157":{"legacyid":"200011-57","name":"Data 3GB","mode":"N"}}</v>
      </c>
    </row>
    <row r="373" spans="1:11" x14ac:dyDescent="0.25">
      <c r="A373" s="61" t="s">
        <v>2937</v>
      </c>
      <c r="B373" t="s">
        <v>2936</v>
      </c>
      <c r="C373" t="str">
        <f>findKey(supplementary_offering_offeringid__4[[#This Row],[Value.legacyid]])</f>
        <v>200011-58</v>
      </c>
      <c r="D373" t="s">
        <v>5876</v>
      </c>
      <c r="E373" t="s">
        <v>2329</v>
      </c>
      <c r="H373" s="61"/>
      <c r="J373" t="str">
        <f>ToJsonArray(supplementary_offering_offeringid__4[[#Headers],[legacyid]:[activityId]],supplementary_offering_offeringid__4[[#This Row],[legacyid]:[activityId]])</f>
        <v>{"legacyid":"200011-58","name":"Data 5GB","mode":"N"}</v>
      </c>
      <c r="K373" t="str">
        <f>ToJsonArray(supplementary_offering_offeringid__4[[#This Row],[produccion]],supplementary_offering_offeringid__4[[#This Row],[json]])</f>
        <v>{"920001158":{"legacyid":"200011-58","name":"Data 5GB","mode":"N"}}</v>
      </c>
    </row>
    <row r="374" spans="1:11" x14ac:dyDescent="0.25">
      <c r="A374" s="61" t="s">
        <v>2940</v>
      </c>
      <c r="B374" t="s">
        <v>2939</v>
      </c>
      <c r="C374" t="str">
        <f>findKey(supplementary_offering_offeringid__4[[#This Row],[Value.legacyid]])</f>
        <v>200011-59</v>
      </c>
      <c r="D374" t="s">
        <v>5876</v>
      </c>
      <c r="E374" t="s">
        <v>2329</v>
      </c>
      <c r="H374" s="61"/>
      <c r="J374" t="str">
        <f>ToJsonArray(supplementary_offering_offeringid__4[[#Headers],[legacyid]:[activityId]],supplementary_offering_offeringid__4[[#This Row],[legacyid]:[activityId]])</f>
        <v>{"legacyid":"200011-59","name":"Data 5GB","mode":"N"}</v>
      </c>
      <c r="K374" t="str">
        <f>ToJsonArray(supplementary_offering_offeringid__4[[#This Row],[produccion]],supplementary_offering_offeringid__4[[#This Row],[json]])</f>
        <v>{"920001159":{"legacyid":"200011-59","name":"Data 5GB","mode":"N"}}</v>
      </c>
    </row>
    <row r="375" spans="1:11" x14ac:dyDescent="0.25">
      <c r="A375" s="61" t="s">
        <v>2943</v>
      </c>
      <c r="B375" t="s">
        <v>2942</v>
      </c>
      <c r="C375" t="str">
        <f>findKey(supplementary_offering_offeringid__4[[#This Row],[Value.legacyid]])</f>
        <v>200011-60</v>
      </c>
      <c r="D375" t="s">
        <v>5912</v>
      </c>
      <c r="E375" t="s">
        <v>2329</v>
      </c>
      <c r="H375" s="61"/>
      <c r="J375" t="str">
        <f>ToJsonArray(supplementary_offering_offeringid__4[[#Headers],[legacyid]:[activityId]],supplementary_offering_offeringid__4[[#This Row],[legacyid]:[activityId]])</f>
        <v>{"legacyid":"200011-60","name":"Data 8GB","mode":"N"}</v>
      </c>
      <c r="K375" t="str">
        <f>ToJsonArray(supplementary_offering_offeringid__4[[#This Row],[produccion]],supplementary_offering_offeringid__4[[#This Row],[json]])</f>
        <v>{"920001160":{"legacyid":"200011-60","name":"Data 8GB","mode":"N"}}</v>
      </c>
    </row>
    <row r="376" spans="1:11" x14ac:dyDescent="0.25">
      <c r="A376" s="61" t="s">
        <v>2946</v>
      </c>
      <c r="B376" t="s">
        <v>2945</v>
      </c>
      <c r="C376" t="str">
        <f>findKey(supplementary_offering_offeringid__4[[#This Row],[Value.legacyid]])</f>
        <v>200011-61</v>
      </c>
      <c r="D376" t="s">
        <v>5913</v>
      </c>
      <c r="E376" t="s">
        <v>2329</v>
      </c>
      <c r="H376" s="61"/>
      <c r="J376" t="str">
        <f>ToJsonArray(supplementary_offering_offeringid__4[[#Headers],[legacyid]:[activityId]],supplementary_offering_offeringid__4[[#This Row],[legacyid]:[activityId]])</f>
        <v>{"legacyid":"200011-61","name":"Data 10GB","mode":"N"}</v>
      </c>
      <c r="K376" t="str">
        <f>ToJsonArray(supplementary_offering_offeringid__4[[#This Row],[produccion]],supplementary_offering_offeringid__4[[#This Row],[json]])</f>
        <v>{"920001161":{"legacyid":"200011-61","name":"Data 10GB","mode":"N"}}</v>
      </c>
    </row>
    <row r="377" spans="1:11" x14ac:dyDescent="0.25">
      <c r="A377" s="61" t="s">
        <v>2949</v>
      </c>
      <c r="B377" t="s">
        <v>2948</v>
      </c>
      <c r="C377" t="str">
        <f>findKey(supplementary_offering_offeringid__4[[#This Row],[Value.legacyid]])</f>
        <v>200011-62</v>
      </c>
      <c r="D377" t="s">
        <v>5920</v>
      </c>
      <c r="E377" t="s">
        <v>2329</v>
      </c>
      <c r="H377" s="61"/>
      <c r="J377" t="str">
        <f>ToJsonArray(supplementary_offering_offeringid__4[[#Headers],[legacyid]:[activityId]],supplementary_offering_offeringid__4[[#This Row],[legacyid]:[activityId]])</f>
        <v>{"legacyid":"200011-62","name":"Data 15GB","mode":"N"}</v>
      </c>
      <c r="K377" t="str">
        <f>ToJsonArray(supplementary_offering_offeringid__4[[#This Row],[produccion]],supplementary_offering_offeringid__4[[#This Row],[json]])</f>
        <v>{"920001162":{"legacyid":"200011-62","name":"Data 15GB","mode":"N"}}</v>
      </c>
    </row>
    <row r="378" spans="1:11" x14ac:dyDescent="0.25">
      <c r="A378" s="61" t="s">
        <v>2952</v>
      </c>
      <c r="B378" t="s">
        <v>2951</v>
      </c>
      <c r="C378" t="str">
        <f>findKey(supplementary_offering_offeringid__4[[#This Row],[Value.legacyid]])</f>
        <v>200011-63</v>
      </c>
      <c r="D378" t="s">
        <v>5921</v>
      </c>
      <c r="E378" t="s">
        <v>2329</v>
      </c>
      <c r="H378" s="61"/>
      <c r="J378" t="str">
        <f>ToJsonArray(supplementary_offering_offeringid__4[[#Headers],[legacyid]:[activityId]],supplementary_offering_offeringid__4[[#This Row],[legacyid]:[activityId]])</f>
        <v>{"legacyid":"200011-63","name":"Data 20GB","mode":"N"}</v>
      </c>
      <c r="K378" t="str">
        <f>ToJsonArray(supplementary_offering_offeringid__4[[#This Row],[produccion]],supplementary_offering_offeringid__4[[#This Row],[json]])</f>
        <v>{"920001163":{"legacyid":"200011-63","name":"Data 20GB","mode":"N"}}</v>
      </c>
    </row>
    <row r="379" spans="1:11" x14ac:dyDescent="0.25">
      <c r="A379" s="61" t="s">
        <v>4579</v>
      </c>
      <c r="B379" t="s">
        <v>4578</v>
      </c>
      <c r="C379" t="str">
        <f>findKey(supplementary_offering_offeringid__4[[#This Row],[Value.legacyid]])</f>
        <v>200011-64</v>
      </c>
      <c r="D379" t="s">
        <v>5869</v>
      </c>
      <c r="E379" t="s">
        <v>2329</v>
      </c>
      <c r="H379" s="61"/>
      <c r="J379" t="str">
        <f>ToJsonArray(supplementary_offering_offeringid__4[[#Headers],[legacyid]:[activityId]],supplementary_offering_offeringid__4[[#This Row],[legacyid]:[activityId]])</f>
        <v>{"legacyid":"200011-64","name":"Data Unlimited","mode":"N"}</v>
      </c>
      <c r="K379" t="str">
        <f>ToJsonArray(supplementary_offering_offeringid__4[[#This Row],[produccion]],supplementary_offering_offeringid__4[[#This Row],[json]])</f>
        <v>{"920001164":{"legacyid":"200011-64","name":"Data Unlimited","mode":"N"}}</v>
      </c>
    </row>
    <row r="380" spans="1:11" x14ac:dyDescent="0.25">
      <c r="A380" s="61" t="s">
        <v>2955</v>
      </c>
      <c r="B380" t="s">
        <v>2954</v>
      </c>
      <c r="C380" t="str">
        <f>findKey(supplementary_offering_offeringid__4[[#This Row],[Value.legacyid]])</f>
        <v>200011-65</v>
      </c>
      <c r="D380" t="s">
        <v>5922</v>
      </c>
      <c r="E380" t="s">
        <v>2329</v>
      </c>
      <c r="H380" s="61"/>
      <c r="J380" t="str">
        <f>ToJsonArray(supplementary_offering_offeringid__4[[#Headers],[legacyid]:[activityId]],supplementary_offering_offeringid__4[[#This Row],[legacyid]:[activityId]])</f>
        <v>{"legacyid":"200011-65","name":"Data 1TB","mode":"N"}</v>
      </c>
      <c r="K380" t="str">
        <f>ToJsonArray(supplementary_offering_offeringid__4[[#This Row],[produccion]],supplementary_offering_offeringid__4[[#This Row],[json]])</f>
        <v>{"920001165":{"legacyid":"200011-65","name":"Data 1TB","mode":"N"}}</v>
      </c>
    </row>
    <row r="381" spans="1:11" x14ac:dyDescent="0.25">
      <c r="A381" s="61" t="s">
        <v>2958</v>
      </c>
      <c r="B381" t="s">
        <v>2957</v>
      </c>
      <c r="C381" t="str">
        <f>findKey(supplementary_offering_offeringid__4[[#This Row],[Value.legacyid]])</f>
        <v>200011-66</v>
      </c>
      <c r="D381" t="s">
        <v>5923</v>
      </c>
      <c r="E381" t="s">
        <v>2329</v>
      </c>
      <c r="H381" s="61"/>
      <c r="J381" t="str">
        <f>ToJsonArray(supplementary_offering_offeringid__4[[#Headers],[legacyid]:[activityId]],supplementary_offering_offeringid__4[[#This Row],[legacyid]:[activityId]])</f>
        <v>{"legacyid":"200011-66","name":"Data 0.8GB","mode":"N"}</v>
      </c>
      <c r="K381" t="str">
        <f>ToJsonArray(supplementary_offering_offeringid__4[[#This Row],[produccion]],supplementary_offering_offeringid__4[[#This Row],[json]])</f>
        <v>{"920001166":{"legacyid":"200011-66","name":"Data 0.8GB","mode":"N"}}</v>
      </c>
    </row>
    <row r="382" spans="1:11" x14ac:dyDescent="0.25">
      <c r="A382" s="61" t="s">
        <v>2961</v>
      </c>
      <c r="B382" t="s">
        <v>2960</v>
      </c>
      <c r="C382" t="str">
        <f>findKey(supplementary_offering_offeringid__4[[#This Row],[Value.legacyid]])</f>
        <v>200011-67</v>
      </c>
      <c r="D382" t="s">
        <v>5858</v>
      </c>
      <c r="E382" t="s">
        <v>2329</v>
      </c>
      <c r="H382" s="61"/>
      <c r="J382" t="str">
        <f>ToJsonArray(supplementary_offering_offeringid__4[[#Headers],[legacyid]:[activityId]],supplementary_offering_offeringid__4[[#This Row],[legacyid]:[activityId]])</f>
        <v>{"legacyid":"200011-67","name":"Data 1.5GB","mode":"N"}</v>
      </c>
      <c r="K382" t="str">
        <f>ToJsonArray(supplementary_offering_offeringid__4[[#This Row],[produccion]],supplementary_offering_offeringid__4[[#This Row],[json]])</f>
        <v>{"920001167":{"legacyid":"200011-67","name":"Data 1.5GB","mode":"N"}}</v>
      </c>
    </row>
    <row r="383" spans="1:11" x14ac:dyDescent="0.25">
      <c r="A383" s="61" t="s">
        <v>2964</v>
      </c>
      <c r="B383" t="s">
        <v>2963</v>
      </c>
      <c r="C383" t="str">
        <f>findKey(supplementary_offering_offeringid__4[[#This Row],[Value.legacyid]])</f>
        <v>200011-68</v>
      </c>
      <c r="D383" t="s">
        <v>5859</v>
      </c>
      <c r="E383" t="s">
        <v>2329</v>
      </c>
      <c r="H383" s="61"/>
      <c r="J383" t="str">
        <f>ToJsonArray(supplementary_offering_offeringid__4[[#Headers],[legacyid]:[activityId]],supplementary_offering_offeringid__4[[#This Row],[legacyid]:[activityId]])</f>
        <v>{"legacyid":"200011-68","name":"Data 2.5GB","mode":"N"}</v>
      </c>
      <c r="K383" t="str">
        <f>ToJsonArray(supplementary_offering_offeringid__4[[#This Row],[produccion]],supplementary_offering_offeringid__4[[#This Row],[json]])</f>
        <v>{"920001168":{"legacyid":"200011-68","name":"Data 2.5GB","mode":"N"}}</v>
      </c>
    </row>
    <row r="384" spans="1:11" x14ac:dyDescent="0.25">
      <c r="A384" s="61" t="s">
        <v>2967</v>
      </c>
      <c r="B384" t="s">
        <v>2966</v>
      </c>
      <c r="C384" t="str">
        <f>findKey(supplementary_offering_offeringid__4[[#This Row],[Value.legacyid]])</f>
        <v>200011-69</v>
      </c>
      <c r="D384" t="s">
        <v>5874</v>
      </c>
      <c r="E384" t="s">
        <v>2329</v>
      </c>
      <c r="H384" s="61"/>
      <c r="J384" t="str">
        <f>ToJsonArray(supplementary_offering_offeringid__4[[#Headers],[legacyid]:[activityId]],supplementary_offering_offeringid__4[[#This Row],[legacyid]:[activityId]])</f>
        <v>{"legacyid":"200011-69","name":"Data 3GB","mode":"N"}</v>
      </c>
      <c r="K384" t="str">
        <f>ToJsonArray(supplementary_offering_offeringid__4[[#This Row],[produccion]],supplementary_offering_offeringid__4[[#This Row],[json]])</f>
        <v>{"920001169":{"legacyid":"200011-69","name":"Data 3GB","mode":"N"}}</v>
      </c>
    </row>
    <row r="385" spans="1:11" x14ac:dyDescent="0.25">
      <c r="A385" s="61" t="s">
        <v>2970</v>
      </c>
      <c r="B385" t="s">
        <v>2969</v>
      </c>
      <c r="C385" t="str">
        <f>findKey(supplementary_offering_offeringid__4[[#This Row],[Value.legacyid]])</f>
        <v>200011-70</v>
      </c>
      <c r="D385" t="s">
        <v>5863</v>
      </c>
      <c r="E385" t="s">
        <v>2329</v>
      </c>
      <c r="H385" s="61"/>
      <c r="J385" t="str">
        <f>ToJsonArray(supplementary_offering_offeringid__4[[#Headers],[legacyid]:[activityId]],supplementary_offering_offeringid__4[[#This Row],[legacyid]:[activityId]])</f>
        <v>{"legacyid":"200011-70","name":"Data 3.5GB","mode":"N"}</v>
      </c>
      <c r="K385" t="str">
        <f>ToJsonArray(supplementary_offering_offeringid__4[[#This Row],[produccion]],supplementary_offering_offeringid__4[[#This Row],[json]])</f>
        <v>{"920001170":{"legacyid":"200011-70","name":"Data 3.5GB","mode":"N"}}</v>
      </c>
    </row>
    <row r="386" spans="1:11" x14ac:dyDescent="0.25">
      <c r="A386" s="61" t="s">
        <v>2973</v>
      </c>
      <c r="B386" t="s">
        <v>2972</v>
      </c>
      <c r="C386" t="str">
        <f>findKey(supplementary_offering_offeringid__4[[#This Row],[Value.legacyid]])</f>
        <v>200011-71</v>
      </c>
      <c r="D386" t="s">
        <v>5875</v>
      </c>
      <c r="E386" t="s">
        <v>2329</v>
      </c>
      <c r="H386" s="61"/>
      <c r="J386" t="str">
        <f>ToJsonArray(supplementary_offering_offeringid__4[[#Headers],[legacyid]:[activityId]],supplementary_offering_offeringid__4[[#This Row],[legacyid]:[activityId]])</f>
        <v>{"legacyid":"200011-71","name":"Data 4GB","mode":"N"}</v>
      </c>
      <c r="K386" t="str">
        <f>ToJsonArray(supplementary_offering_offeringid__4[[#This Row],[produccion]],supplementary_offering_offeringid__4[[#This Row],[json]])</f>
        <v>{"920001171":{"legacyid":"200011-71","name":"Data 4GB","mode":"N"}}</v>
      </c>
    </row>
    <row r="387" spans="1:11" x14ac:dyDescent="0.25">
      <c r="A387" s="61" t="s">
        <v>2976</v>
      </c>
      <c r="B387" t="s">
        <v>2975</v>
      </c>
      <c r="C387" t="str">
        <f>findKey(supplementary_offering_offeringid__4[[#This Row],[Value.legacyid]])</f>
        <v>200011-72</v>
      </c>
      <c r="D387" t="s">
        <v>5876</v>
      </c>
      <c r="E387" t="s">
        <v>2329</v>
      </c>
      <c r="H387" s="61"/>
      <c r="J387" t="str">
        <f>ToJsonArray(supplementary_offering_offeringid__4[[#Headers],[legacyid]:[activityId]],supplementary_offering_offeringid__4[[#This Row],[legacyid]:[activityId]])</f>
        <v>{"legacyid":"200011-72","name":"Data 5GB","mode":"N"}</v>
      </c>
      <c r="K387" t="str">
        <f>ToJsonArray(supplementary_offering_offeringid__4[[#This Row],[produccion]],supplementary_offering_offeringid__4[[#This Row],[json]])</f>
        <v>{"920001172":{"legacyid":"200011-72","name":"Data 5GB","mode":"N"}}</v>
      </c>
    </row>
    <row r="388" spans="1:11" x14ac:dyDescent="0.25">
      <c r="A388" s="61" t="s">
        <v>2979</v>
      </c>
      <c r="B388" t="s">
        <v>2978</v>
      </c>
      <c r="C388" t="str">
        <f>findKey(supplementary_offering_offeringid__4[[#This Row],[Value.legacyid]])</f>
        <v>200011-73</v>
      </c>
      <c r="D388" t="s">
        <v>5878</v>
      </c>
      <c r="E388" t="s">
        <v>2329</v>
      </c>
      <c r="H388" s="61"/>
      <c r="J388" t="str">
        <f>ToJsonArray(supplementary_offering_offeringid__4[[#Headers],[legacyid]:[activityId]],supplementary_offering_offeringid__4[[#This Row],[legacyid]:[activityId]])</f>
        <v>{"legacyid":"200011-73","name":"Data 6.5GB","mode":"N"}</v>
      </c>
      <c r="K388" t="str">
        <f>ToJsonArray(supplementary_offering_offeringid__4[[#This Row],[produccion]],supplementary_offering_offeringid__4[[#This Row],[json]])</f>
        <v>{"920001173":{"legacyid":"200011-73","name":"Data 6.5GB","mode":"N"}}</v>
      </c>
    </row>
    <row r="389" spans="1:11" x14ac:dyDescent="0.25">
      <c r="A389" s="61" t="s">
        <v>2982</v>
      </c>
      <c r="B389" t="s">
        <v>2981</v>
      </c>
      <c r="C389" t="str">
        <f>findKey(supplementary_offering_offeringid__4[[#This Row],[Value.legacyid]])</f>
        <v>200011-74</v>
      </c>
      <c r="D389" t="s">
        <v>5882</v>
      </c>
      <c r="E389" t="s">
        <v>2329</v>
      </c>
      <c r="H389" s="61"/>
      <c r="J389" t="str">
        <f>ToJsonArray(supplementary_offering_offeringid__4[[#Headers],[legacyid]:[activityId]],supplementary_offering_offeringid__4[[#This Row],[legacyid]:[activityId]])</f>
        <v>{"legacyid":"200011-74","name":"Data 7GB","mode":"N"}</v>
      </c>
      <c r="K389" t="str">
        <f>ToJsonArray(supplementary_offering_offeringid__4[[#This Row],[produccion]],supplementary_offering_offeringid__4[[#This Row],[json]])</f>
        <v>{"920001174":{"legacyid":"200011-74","name":"Data 7GB","mode":"N"}}</v>
      </c>
    </row>
    <row r="390" spans="1:11" x14ac:dyDescent="0.25">
      <c r="A390" s="61" t="s">
        <v>2985</v>
      </c>
      <c r="B390" t="s">
        <v>2984</v>
      </c>
      <c r="C390" t="str">
        <f>findKey(supplementary_offering_offeringid__4[[#This Row],[Value.legacyid]])</f>
        <v>200011-75</v>
      </c>
      <c r="D390" t="s">
        <v>5912</v>
      </c>
      <c r="E390" t="s">
        <v>2329</v>
      </c>
      <c r="H390" s="61"/>
      <c r="J390" t="str">
        <f>ToJsonArray(supplementary_offering_offeringid__4[[#Headers],[legacyid]:[activityId]],supplementary_offering_offeringid__4[[#This Row],[legacyid]:[activityId]])</f>
        <v>{"legacyid":"200011-75","name":"Data 8GB","mode":"N"}</v>
      </c>
      <c r="K390" t="str">
        <f>ToJsonArray(supplementary_offering_offeringid__4[[#This Row],[produccion]],supplementary_offering_offeringid__4[[#This Row],[json]])</f>
        <v>{"920001175":{"legacyid":"200011-75","name":"Data 8GB","mode":"N"}}</v>
      </c>
    </row>
    <row r="391" spans="1:11" x14ac:dyDescent="0.25">
      <c r="A391" s="61" t="s">
        <v>2988</v>
      </c>
      <c r="B391" t="s">
        <v>2987</v>
      </c>
      <c r="C391" t="str">
        <f>findKey(supplementary_offering_offeringid__4[[#This Row],[Value.legacyid]])</f>
        <v>200011-76</v>
      </c>
      <c r="D391" t="s">
        <v>5924</v>
      </c>
      <c r="E391" t="s">
        <v>2329</v>
      </c>
      <c r="H391" s="61"/>
      <c r="J391" t="str">
        <f>ToJsonArray(supplementary_offering_offeringid__4[[#Headers],[legacyid]:[activityId]],supplementary_offering_offeringid__4[[#This Row],[legacyid]:[activityId]])</f>
        <v>{"legacyid":"200011-76","name":"Data 9GB","mode":"N"}</v>
      </c>
      <c r="K391" t="str">
        <f>ToJsonArray(supplementary_offering_offeringid__4[[#This Row],[produccion]],supplementary_offering_offeringid__4[[#This Row],[json]])</f>
        <v>{"920001176":{"legacyid":"200011-76","name":"Data 9GB","mode":"N"}}</v>
      </c>
    </row>
    <row r="392" spans="1:11" x14ac:dyDescent="0.25">
      <c r="A392" s="61" t="s">
        <v>2991</v>
      </c>
      <c r="B392" t="s">
        <v>2990</v>
      </c>
      <c r="C392" t="str">
        <f>findKey(supplementary_offering_offeringid__4[[#This Row],[Value.legacyid]])</f>
        <v>200011-77</v>
      </c>
      <c r="D392" t="s">
        <v>5913</v>
      </c>
      <c r="E392" t="s">
        <v>2329</v>
      </c>
      <c r="H392" s="61"/>
      <c r="J392" t="str">
        <f>ToJsonArray(supplementary_offering_offeringid__4[[#Headers],[legacyid]:[activityId]],supplementary_offering_offeringid__4[[#This Row],[legacyid]:[activityId]])</f>
        <v>{"legacyid":"200011-77","name":"Data 10GB","mode":"N"}</v>
      </c>
      <c r="K392" t="str">
        <f>ToJsonArray(supplementary_offering_offeringid__4[[#This Row],[produccion]],supplementary_offering_offeringid__4[[#This Row],[json]])</f>
        <v>{"920001177":{"legacyid":"200011-77","name":"Data 10GB","mode":"N"}}</v>
      </c>
    </row>
    <row r="393" spans="1:11" x14ac:dyDescent="0.25">
      <c r="A393" s="61" t="s">
        <v>2994</v>
      </c>
      <c r="B393" t="s">
        <v>2993</v>
      </c>
      <c r="C393" t="str">
        <f>findKey(supplementary_offering_offeringid__4[[#This Row],[Value.legacyid]])</f>
        <v>200011-78</v>
      </c>
      <c r="D393" t="s">
        <v>5925</v>
      </c>
      <c r="E393" t="s">
        <v>2329</v>
      </c>
      <c r="H393" s="61"/>
      <c r="J393" t="str">
        <f>ToJsonArray(supplementary_offering_offeringid__4[[#Headers],[legacyid]:[activityId]],supplementary_offering_offeringid__4[[#This Row],[legacyid]:[activityId]])</f>
        <v>{"legacyid":"200011-78","name":"Data 11GB","mode":"N"}</v>
      </c>
      <c r="K393" t="str">
        <f>ToJsonArray(supplementary_offering_offeringid__4[[#This Row],[produccion]],supplementary_offering_offeringid__4[[#This Row],[json]])</f>
        <v>{"920001178":{"legacyid":"200011-78","name":"Data 11GB","mode":"N"}}</v>
      </c>
    </row>
    <row r="394" spans="1:11" x14ac:dyDescent="0.25">
      <c r="A394" s="61" t="s">
        <v>2997</v>
      </c>
      <c r="B394" t="s">
        <v>2996</v>
      </c>
      <c r="C394" t="str">
        <f>findKey(supplementary_offering_offeringid__4[[#This Row],[Value.legacyid]])</f>
        <v>200011-79</v>
      </c>
      <c r="D394" t="s">
        <v>5914</v>
      </c>
      <c r="E394" t="s">
        <v>2329</v>
      </c>
      <c r="H394" s="61"/>
      <c r="J394" t="str">
        <f>ToJsonArray(supplementary_offering_offeringid__4[[#Headers],[legacyid]:[activityId]],supplementary_offering_offeringid__4[[#This Row],[legacyid]:[activityId]])</f>
        <v>{"legacyid":"200011-79","name":"Data 12GB","mode":"N"}</v>
      </c>
      <c r="K394" t="str">
        <f>ToJsonArray(supplementary_offering_offeringid__4[[#This Row],[produccion]],supplementary_offering_offeringid__4[[#This Row],[json]])</f>
        <v>{"920001179":{"legacyid":"200011-79","name":"Data 12GB","mode":"N"}}</v>
      </c>
    </row>
    <row r="395" spans="1:11" x14ac:dyDescent="0.25">
      <c r="A395" s="61" t="s">
        <v>3000</v>
      </c>
      <c r="B395" t="s">
        <v>2999</v>
      </c>
      <c r="C395" t="str">
        <f>findKey(supplementary_offering_offeringid__4[[#This Row],[Value.legacyid]])</f>
        <v>200011-80</v>
      </c>
      <c r="D395" t="s">
        <v>5920</v>
      </c>
      <c r="E395" t="s">
        <v>2329</v>
      </c>
      <c r="H395" s="61"/>
      <c r="J395" t="str">
        <f>ToJsonArray(supplementary_offering_offeringid__4[[#Headers],[legacyid]:[activityId]],supplementary_offering_offeringid__4[[#This Row],[legacyid]:[activityId]])</f>
        <v>{"legacyid":"200011-80","name":"Data 15GB","mode":"N"}</v>
      </c>
      <c r="K395" t="str">
        <f>ToJsonArray(supplementary_offering_offeringid__4[[#This Row],[produccion]],supplementary_offering_offeringid__4[[#This Row],[json]])</f>
        <v>{"920001180":{"legacyid":"200011-80","name":"Data 15GB","mode":"N"}}</v>
      </c>
    </row>
    <row r="396" spans="1:11" x14ac:dyDescent="0.25">
      <c r="A396" s="61" t="s">
        <v>4582</v>
      </c>
      <c r="B396" t="s">
        <v>4581</v>
      </c>
      <c r="C396" t="str">
        <f>findKey(supplementary_offering_offeringid__4[[#This Row],[Value.legacyid]])</f>
        <v>200011-81</v>
      </c>
      <c r="D396" t="s">
        <v>5926</v>
      </c>
      <c r="E396" t="s">
        <v>2329</v>
      </c>
      <c r="H396" s="61"/>
      <c r="J396" t="str">
        <f>ToJsonArray(supplementary_offering_offeringid__4[[#Headers],[legacyid]:[activityId]],supplementary_offering_offeringid__4[[#This Row],[legacyid]:[activityId]])</f>
        <v>{"legacyid":"200011-81","name":"Data 16GB","mode":"N"}</v>
      </c>
      <c r="K396" t="str">
        <f>ToJsonArray(supplementary_offering_offeringid__4[[#This Row],[produccion]],supplementary_offering_offeringid__4[[#This Row],[json]])</f>
        <v>{"920001181":{"legacyid":"200011-81","name":"Data 16GB","mode":"N"}}</v>
      </c>
    </row>
    <row r="397" spans="1:11" x14ac:dyDescent="0.25">
      <c r="A397" s="61" t="s">
        <v>4585</v>
      </c>
      <c r="B397" t="s">
        <v>4584</v>
      </c>
      <c r="C397" t="str">
        <f>findKey(supplementary_offering_offeringid__4[[#This Row],[Value.legacyid]])</f>
        <v>200011-82</v>
      </c>
      <c r="D397" t="s">
        <v>5927</v>
      </c>
      <c r="E397" t="s">
        <v>2329</v>
      </c>
      <c r="H397" s="61"/>
      <c r="J397" t="str">
        <f>ToJsonArray(supplementary_offering_offeringid__4[[#Headers],[legacyid]:[activityId]],supplementary_offering_offeringid__4[[#This Row],[legacyid]:[activityId]])</f>
        <v>{"legacyid":"200011-82","name":"Data 17GB","mode":"N"}</v>
      </c>
      <c r="K397" t="str">
        <f>ToJsonArray(supplementary_offering_offeringid__4[[#This Row],[produccion]],supplementary_offering_offeringid__4[[#This Row],[json]])</f>
        <v>{"920001182":{"legacyid":"200011-82","name":"Data 17GB","mode":"N"}}</v>
      </c>
    </row>
    <row r="398" spans="1:11" x14ac:dyDescent="0.25">
      <c r="A398" s="61" t="s">
        <v>3003</v>
      </c>
      <c r="B398" t="s">
        <v>3002</v>
      </c>
      <c r="C398" t="str">
        <f>findKey(supplementary_offering_offeringid__4[[#This Row],[Value.legacyid]])</f>
        <v>200011-83</v>
      </c>
      <c r="D398" t="s">
        <v>5928</v>
      </c>
      <c r="E398" t="s">
        <v>2329</v>
      </c>
      <c r="H398" s="61"/>
      <c r="J398" t="str">
        <f>ToJsonArray(supplementary_offering_offeringid__4[[#Headers],[legacyid]:[activityId]],supplementary_offering_offeringid__4[[#This Row],[legacyid]:[activityId]])</f>
        <v>{"legacyid":"200011-83","name":"Data 22GB","mode":"N"}</v>
      </c>
      <c r="K398" t="str">
        <f>ToJsonArray(supplementary_offering_offeringid__4[[#This Row],[produccion]],supplementary_offering_offeringid__4[[#This Row],[json]])</f>
        <v>{"920001183":{"legacyid":"200011-83","name":"Data 22GB","mode":"N"}}</v>
      </c>
    </row>
    <row r="399" spans="1:11" x14ac:dyDescent="0.25">
      <c r="A399" s="61" t="s">
        <v>3006</v>
      </c>
      <c r="B399" t="s">
        <v>3005</v>
      </c>
      <c r="C399" t="str">
        <f>findKey(supplementary_offering_offeringid__4[[#This Row],[Value.legacyid]])</f>
        <v>200011-84</v>
      </c>
      <c r="D399" t="s">
        <v>5857</v>
      </c>
      <c r="E399" t="s">
        <v>2329</v>
      </c>
      <c r="H399" s="61"/>
      <c r="J399" t="str">
        <f>ToJsonArray(supplementary_offering_offeringid__4[[#Headers],[legacyid]:[activityId]],supplementary_offering_offeringid__4[[#This Row],[legacyid]:[activityId]])</f>
        <v>{"legacyid":"200011-84","name":"Data 1GB","mode":"N"}</v>
      </c>
      <c r="K399" t="str">
        <f>ToJsonArray(supplementary_offering_offeringid__4[[#This Row],[produccion]],supplementary_offering_offeringid__4[[#This Row],[json]])</f>
        <v>{"920001184":{"legacyid":"200011-84","name":"Data 1GB","mode":"N"}}</v>
      </c>
    </row>
    <row r="400" spans="1:11" x14ac:dyDescent="0.25">
      <c r="A400" s="61" t="s">
        <v>3009</v>
      </c>
      <c r="B400" t="s">
        <v>3008</v>
      </c>
      <c r="C400" t="str">
        <f>findKey(supplementary_offering_offeringid__4[[#This Row],[Value.legacyid]])</f>
        <v>200011-85</v>
      </c>
      <c r="D400" t="s">
        <v>5929</v>
      </c>
      <c r="E400" t="s">
        <v>2329</v>
      </c>
      <c r="H400" s="61"/>
      <c r="J400" t="str">
        <f>ToJsonArray(supplementary_offering_offeringid__4[[#Headers],[legacyid]:[activityId]],supplementary_offering_offeringid__4[[#This Row],[legacyid]:[activityId]])</f>
        <v>{"legacyid":"200011-85","name":"Data 1.2GB","mode":"N"}</v>
      </c>
      <c r="K400" t="str">
        <f>ToJsonArray(supplementary_offering_offeringid__4[[#This Row],[produccion]],supplementary_offering_offeringid__4[[#This Row],[json]])</f>
        <v>{"920001185":{"legacyid":"200011-85","name":"Data 1.2GB","mode":"N"}}</v>
      </c>
    </row>
    <row r="401" spans="1:11" x14ac:dyDescent="0.25">
      <c r="A401" s="61" t="s">
        <v>3012</v>
      </c>
      <c r="B401" t="s">
        <v>3011</v>
      </c>
      <c r="C401" t="str">
        <f>findKey(supplementary_offering_offeringid__4[[#This Row],[Value.legacyid]])</f>
        <v>200011-86</v>
      </c>
      <c r="D401" t="s">
        <v>5859</v>
      </c>
      <c r="E401" t="s">
        <v>2329</v>
      </c>
      <c r="H401" s="61"/>
      <c r="J401" t="str">
        <f>ToJsonArray(supplementary_offering_offeringid__4[[#Headers],[legacyid]:[activityId]],supplementary_offering_offeringid__4[[#This Row],[legacyid]:[activityId]])</f>
        <v>{"legacyid":"200011-86","name":"Data 2.5GB","mode":"N"}</v>
      </c>
      <c r="K401" t="str">
        <f>ToJsonArray(supplementary_offering_offeringid__4[[#This Row],[produccion]],supplementary_offering_offeringid__4[[#This Row],[json]])</f>
        <v>{"920001186":{"legacyid":"200011-86","name":"Data 2.5GB","mode":"N"}}</v>
      </c>
    </row>
    <row r="402" spans="1:11" x14ac:dyDescent="0.25">
      <c r="A402" s="61" t="s">
        <v>3015</v>
      </c>
      <c r="B402" t="s">
        <v>3014</v>
      </c>
      <c r="C402" t="str">
        <f>findKey(supplementary_offering_offeringid__4[[#This Row],[Value.legacyid]])</f>
        <v>200011-87</v>
      </c>
      <c r="D402" t="s">
        <v>5863</v>
      </c>
      <c r="E402" t="s">
        <v>2329</v>
      </c>
      <c r="H402" s="61"/>
      <c r="J402" t="str">
        <f>ToJsonArray(supplementary_offering_offeringid__4[[#Headers],[legacyid]:[activityId]],supplementary_offering_offeringid__4[[#This Row],[legacyid]:[activityId]])</f>
        <v>{"legacyid":"200011-87","name":"Data 3.5GB","mode":"N"}</v>
      </c>
      <c r="K402" t="str">
        <f>ToJsonArray(supplementary_offering_offeringid__4[[#This Row],[produccion]],supplementary_offering_offeringid__4[[#This Row],[json]])</f>
        <v>{"920001187":{"legacyid":"200011-87","name":"Data 3.5GB","mode":"N"}}</v>
      </c>
    </row>
    <row r="403" spans="1:11" x14ac:dyDescent="0.25">
      <c r="A403" s="61" t="s">
        <v>3018</v>
      </c>
      <c r="B403" t="s">
        <v>3017</v>
      </c>
      <c r="C403" t="str">
        <f>findKey(supplementary_offering_offeringid__4[[#This Row],[Value.legacyid]])</f>
        <v>200011-88</v>
      </c>
      <c r="D403" t="s">
        <v>5875</v>
      </c>
      <c r="E403" t="s">
        <v>2329</v>
      </c>
      <c r="H403" s="61"/>
      <c r="J403" t="str">
        <f>ToJsonArray(supplementary_offering_offeringid__4[[#Headers],[legacyid]:[activityId]],supplementary_offering_offeringid__4[[#This Row],[legacyid]:[activityId]])</f>
        <v>{"legacyid":"200011-88","name":"Data 4GB","mode":"N"}</v>
      </c>
      <c r="K403" t="str">
        <f>ToJsonArray(supplementary_offering_offeringid__4[[#This Row],[produccion]],supplementary_offering_offeringid__4[[#This Row],[json]])</f>
        <v>{"920001188":{"legacyid":"200011-88","name":"Data 4GB","mode":"N"}}</v>
      </c>
    </row>
    <row r="404" spans="1:11" x14ac:dyDescent="0.25">
      <c r="A404" s="61" t="s">
        <v>3021</v>
      </c>
      <c r="B404" t="s">
        <v>3020</v>
      </c>
      <c r="C404" t="str">
        <f>findKey(supplementary_offering_offeringid__4[[#This Row],[Value.legacyid]])</f>
        <v>200011-89</v>
      </c>
      <c r="D404" t="s">
        <v>5880</v>
      </c>
      <c r="E404" t="s">
        <v>2329</v>
      </c>
      <c r="H404" s="61"/>
      <c r="J404" t="str">
        <f>ToJsonArray(supplementary_offering_offeringid__4[[#Headers],[legacyid]:[activityId]],supplementary_offering_offeringid__4[[#This Row],[legacyid]:[activityId]])</f>
        <v>{"legacyid":"200011-89","name":"Data 4.5GB","mode":"N"}</v>
      </c>
      <c r="K404" t="str">
        <f>ToJsonArray(supplementary_offering_offeringid__4[[#This Row],[produccion]],supplementary_offering_offeringid__4[[#This Row],[json]])</f>
        <v>{"920001189":{"legacyid":"200011-89","name":"Data 4.5GB","mode":"N"}}</v>
      </c>
    </row>
    <row r="405" spans="1:11" x14ac:dyDescent="0.25">
      <c r="A405" s="61" t="s">
        <v>3024</v>
      </c>
      <c r="B405" t="s">
        <v>3023</v>
      </c>
      <c r="C405" t="str">
        <f>findKey(supplementary_offering_offeringid__4[[#This Row],[Value.legacyid]])</f>
        <v>200011-90</v>
      </c>
      <c r="D405" t="s">
        <v>5877</v>
      </c>
      <c r="E405" t="s">
        <v>2329</v>
      </c>
      <c r="H405" s="61"/>
      <c r="J405" t="str">
        <f>ToJsonArray(supplementary_offering_offeringid__4[[#Headers],[legacyid]:[activityId]],supplementary_offering_offeringid__4[[#This Row],[legacyid]:[activityId]])</f>
        <v>{"legacyid":"200011-90","name":"Data 5.5GB","mode":"N"}</v>
      </c>
      <c r="K405" t="str">
        <f>ToJsonArray(supplementary_offering_offeringid__4[[#This Row],[produccion]],supplementary_offering_offeringid__4[[#This Row],[json]])</f>
        <v>{"920001190":{"legacyid":"200011-90","name":"Data 5.5GB","mode":"N"}}</v>
      </c>
    </row>
    <row r="406" spans="1:11" x14ac:dyDescent="0.25">
      <c r="A406" s="61" t="s">
        <v>3027</v>
      </c>
      <c r="B406" t="s">
        <v>3026</v>
      </c>
      <c r="C406" t="str">
        <f>findKey(supplementary_offering_offeringid__4[[#This Row],[Value.legacyid]])</f>
        <v>200011-91</v>
      </c>
      <c r="D406" t="s">
        <v>5882</v>
      </c>
      <c r="E406" t="s">
        <v>2329</v>
      </c>
      <c r="H406" s="61"/>
      <c r="J406" t="str">
        <f>ToJsonArray(supplementary_offering_offeringid__4[[#Headers],[legacyid]:[activityId]],supplementary_offering_offeringid__4[[#This Row],[legacyid]:[activityId]])</f>
        <v>{"legacyid":"200011-91","name":"Data 7GB","mode":"N"}</v>
      </c>
      <c r="K406" t="str">
        <f>ToJsonArray(supplementary_offering_offeringid__4[[#This Row],[produccion]],supplementary_offering_offeringid__4[[#This Row],[json]])</f>
        <v>{"920001191":{"legacyid":"200011-91","name":"Data 7GB","mode":"N"}}</v>
      </c>
    </row>
    <row r="407" spans="1:11" x14ac:dyDescent="0.25">
      <c r="A407" s="61" t="s">
        <v>3030</v>
      </c>
      <c r="B407" t="s">
        <v>3029</v>
      </c>
      <c r="C407" t="str">
        <f>findKey(supplementary_offering_offeringid__4[[#This Row],[Value.legacyid]])</f>
        <v>200011-92</v>
      </c>
      <c r="D407" t="s">
        <v>5930</v>
      </c>
      <c r="E407" t="s">
        <v>2329</v>
      </c>
      <c r="H407" s="61"/>
      <c r="J407" t="str">
        <f>ToJsonArray(supplementary_offering_offeringid__4[[#Headers],[legacyid]:[activityId]],supplementary_offering_offeringid__4[[#This Row],[legacyid]:[activityId]])</f>
        <v>{"legacyid":"200011-92","name":"Data 7.5GB","mode":"N"}</v>
      </c>
      <c r="K407" t="str">
        <f>ToJsonArray(supplementary_offering_offeringid__4[[#This Row],[produccion]],supplementary_offering_offeringid__4[[#This Row],[json]])</f>
        <v>{"920001192":{"legacyid":"200011-92","name":"Data 7.5GB","mode":"N"}}</v>
      </c>
    </row>
    <row r="408" spans="1:11" x14ac:dyDescent="0.25">
      <c r="A408" s="61" t="s">
        <v>3033</v>
      </c>
      <c r="B408" t="s">
        <v>3032</v>
      </c>
      <c r="C408" t="str">
        <f>findKey(supplementary_offering_offeringid__4[[#This Row],[Value.legacyid]])</f>
        <v>200011-93</v>
      </c>
      <c r="D408" t="s">
        <v>5931</v>
      </c>
      <c r="E408" t="s">
        <v>2329</v>
      </c>
      <c r="H408" s="61"/>
      <c r="J408" t="str">
        <f>ToJsonArray(supplementary_offering_offeringid__4[[#Headers],[legacyid]:[activityId]],supplementary_offering_offeringid__4[[#This Row],[legacyid]:[activityId]])</f>
        <v>{"legacyid":"200011-93","name":"Data 8.5GB","mode":"N"}</v>
      </c>
      <c r="K408" t="str">
        <f>ToJsonArray(supplementary_offering_offeringid__4[[#This Row],[produccion]],supplementary_offering_offeringid__4[[#This Row],[json]])</f>
        <v>{"920001193":{"legacyid":"200011-93","name":"Data 8.5GB","mode":"N"}}</v>
      </c>
    </row>
    <row r="409" spans="1:11" x14ac:dyDescent="0.25">
      <c r="A409" s="61" t="s">
        <v>3036</v>
      </c>
      <c r="B409" t="s">
        <v>3035</v>
      </c>
      <c r="C409" t="str">
        <f>findKey(supplementary_offering_offeringid__4[[#This Row],[Value.legacyid]])</f>
        <v>200011-94</v>
      </c>
      <c r="D409" t="s">
        <v>5932</v>
      </c>
      <c r="E409" t="s">
        <v>2329</v>
      </c>
      <c r="H409" s="61"/>
      <c r="J409" t="str">
        <f>ToJsonArray(supplementary_offering_offeringid__4[[#Headers],[legacyid]:[activityId]],supplementary_offering_offeringid__4[[#This Row],[legacyid]:[activityId]])</f>
        <v>{"legacyid":"200011-94","name":"Data 9.5GB","mode":"N"}</v>
      </c>
      <c r="K409" t="str">
        <f>ToJsonArray(supplementary_offering_offeringid__4[[#This Row],[produccion]],supplementary_offering_offeringid__4[[#This Row],[json]])</f>
        <v>{"920001194":{"legacyid":"200011-94","name":"Data 9.5GB","mode":"N"}}</v>
      </c>
    </row>
    <row r="410" spans="1:11" x14ac:dyDescent="0.25">
      <c r="A410" s="61" t="s">
        <v>3039</v>
      </c>
      <c r="B410" t="s">
        <v>3038</v>
      </c>
      <c r="C410" t="str">
        <f>findKey(supplementary_offering_offeringid__4[[#This Row],[Value.legacyid]])</f>
        <v>200011-95</v>
      </c>
      <c r="D410" t="s">
        <v>5933</v>
      </c>
      <c r="E410" t="s">
        <v>2329</v>
      </c>
      <c r="H410" s="61"/>
      <c r="J410" t="str">
        <f>ToJsonArray(supplementary_offering_offeringid__4[[#Headers],[legacyid]:[activityId]],supplementary_offering_offeringid__4[[#This Row],[legacyid]:[activityId]])</f>
        <v>{"legacyid":"200011-95","name":"Data 10.5GB","mode":"N"}</v>
      </c>
      <c r="K410" t="str">
        <f>ToJsonArray(supplementary_offering_offeringid__4[[#This Row],[produccion]],supplementary_offering_offeringid__4[[#This Row],[json]])</f>
        <v>{"920001195":{"legacyid":"200011-95","name":"Data 10.5GB","mode":"N"}}</v>
      </c>
    </row>
    <row r="411" spans="1:11" x14ac:dyDescent="0.25">
      <c r="A411" s="61" t="s">
        <v>3042</v>
      </c>
      <c r="B411" t="s">
        <v>3041</v>
      </c>
      <c r="C411" t="str">
        <f>findKey(supplementary_offering_offeringid__4[[#This Row],[Value.legacyid]])</f>
        <v>200011-96</v>
      </c>
      <c r="D411" t="s">
        <v>5934</v>
      </c>
      <c r="E411" t="s">
        <v>2329</v>
      </c>
      <c r="H411" s="61"/>
      <c r="J411" t="str">
        <f>ToJsonArray(supplementary_offering_offeringid__4[[#Headers],[legacyid]:[activityId]],supplementary_offering_offeringid__4[[#This Row],[legacyid]:[activityId]])</f>
        <v>{"legacyid":"200011-96","name":"Data 11.5GB","mode":"N"}</v>
      </c>
      <c r="K411" t="str">
        <f>ToJsonArray(supplementary_offering_offeringid__4[[#This Row],[produccion]],supplementary_offering_offeringid__4[[#This Row],[json]])</f>
        <v>{"920001196":{"legacyid":"200011-96","name":"Data 11.5GB","mode":"N"}}</v>
      </c>
    </row>
    <row r="412" spans="1:11" x14ac:dyDescent="0.25">
      <c r="A412" s="61" t="s">
        <v>3045</v>
      </c>
      <c r="B412" t="s">
        <v>3044</v>
      </c>
      <c r="C412" t="str">
        <f>findKey(supplementary_offering_offeringid__4[[#This Row],[Value.legacyid]])</f>
        <v>200011-97</v>
      </c>
      <c r="D412" t="s">
        <v>5935</v>
      </c>
      <c r="E412" t="s">
        <v>2329</v>
      </c>
      <c r="H412" s="61"/>
      <c r="J412" t="str">
        <f>ToJsonArray(supplementary_offering_offeringid__4[[#Headers],[legacyid]:[activityId]],supplementary_offering_offeringid__4[[#This Row],[legacyid]:[activityId]])</f>
        <v>{"legacyid":"200011-97","name":"Data 12.5GB","mode":"N"}</v>
      </c>
      <c r="K412" t="str">
        <f>ToJsonArray(supplementary_offering_offeringid__4[[#This Row],[produccion]],supplementary_offering_offeringid__4[[#This Row],[json]])</f>
        <v>{"920001197":{"legacyid":"200011-97","name":"Data 12.5GB","mode":"N"}}</v>
      </c>
    </row>
    <row r="413" spans="1:11" x14ac:dyDescent="0.25">
      <c r="A413" s="61" t="s">
        <v>3048</v>
      </c>
      <c r="B413" t="s">
        <v>3047</v>
      </c>
      <c r="C413" t="str">
        <f>findKey(supplementary_offering_offeringid__4[[#This Row],[Value.legacyid]])</f>
        <v>200011-98</v>
      </c>
      <c r="D413" t="s">
        <v>5936</v>
      </c>
      <c r="E413" t="s">
        <v>2329</v>
      </c>
      <c r="H413" s="61"/>
      <c r="J413" t="str">
        <f>ToJsonArray(supplementary_offering_offeringid__4[[#Headers],[legacyid]:[activityId]],supplementary_offering_offeringid__4[[#This Row],[legacyid]:[activityId]])</f>
        <v>{"legacyid":"200011-98","name":"Data 15.5GB","mode":"N"}</v>
      </c>
      <c r="K413" t="str">
        <f>ToJsonArray(supplementary_offering_offeringid__4[[#This Row],[produccion]],supplementary_offering_offeringid__4[[#This Row],[json]])</f>
        <v>{"920001198":{"legacyid":"200011-98","name":"Data 15.5GB","mode":"N"}}</v>
      </c>
    </row>
    <row r="414" spans="1:11" x14ac:dyDescent="0.25">
      <c r="A414" s="61" t="s">
        <v>4588</v>
      </c>
      <c r="B414" t="s">
        <v>4587</v>
      </c>
      <c r="C414" t="str">
        <f>findKey(supplementary_offering_offeringid__4[[#This Row],[Value.legacyid]])</f>
        <v>200011-99</v>
      </c>
      <c r="D414" t="s">
        <v>5937</v>
      </c>
      <c r="E414" t="s">
        <v>2329</v>
      </c>
      <c r="H414" s="61"/>
      <c r="J414" t="str">
        <f>ToJsonArray(supplementary_offering_offeringid__4[[#Headers],[legacyid]:[activityId]],supplementary_offering_offeringid__4[[#This Row],[legacyid]:[activityId]])</f>
        <v>{"legacyid":"200011-99","name":"Data 16.5GB","mode":"N"}</v>
      </c>
      <c r="K414" t="str">
        <f>ToJsonArray(supplementary_offering_offeringid__4[[#This Row],[produccion]],supplementary_offering_offeringid__4[[#This Row],[json]])</f>
        <v>{"920001199":{"legacyid":"200011-99","name":"Data 16.5GB","mode":"N"}}</v>
      </c>
    </row>
    <row r="415" spans="1:11" x14ac:dyDescent="0.25">
      <c r="A415" s="61" t="s">
        <v>4591</v>
      </c>
      <c r="B415" t="s">
        <v>4590</v>
      </c>
      <c r="C415" t="str">
        <f>findKey(supplementary_offering_offeringid__4[[#This Row],[Value.legacyid]])</f>
        <v>200021-01</v>
      </c>
      <c r="D415" t="s">
        <v>5938</v>
      </c>
      <c r="E415" t="s">
        <v>2329</v>
      </c>
      <c r="H415" s="61"/>
      <c r="J415" t="str">
        <f>ToJsonArray(supplementary_offering_offeringid__4[[#Headers],[legacyid]:[activityId]],supplementary_offering_offeringid__4[[#This Row],[legacyid]:[activityId]])</f>
        <v>{"legacyid":"200021-01","name":"Data 17.5GB","mode":"N"}</v>
      </c>
      <c r="K415" t="str">
        <f>ToJsonArray(supplementary_offering_offeringid__4[[#This Row],[produccion]],supplementary_offering_offeringid__4[[#This Row],[json]])</f>
        <v>{"920002101":{"legacyid":"200021-01","name":"Data 17.5GB","mode":"N"}}</v>
      </c>
    </row>
    <row r="416" spans="1:11" x14ac:dyDescent="0.25">
      <c r="A416" s="61" t="s">
        <v>3051</v>
      </c>
      <c r="B416" t="s">
        <v>3050</v>
      </c>
      <c r="C416" t="str">
        <f>findKey(supplementary_offering_offeringid__4[[#This Row],[Value.legacyid]])</f>
        <v>200021-03</v>
      </c>
      <c r="D416" t="s">
        <v>5923</v>
      </c>
      <c r="E416" t="s">
        <v>2329</v>
      </c>
      <c r="H416" s="61"/>
      <c r="J416" t="str">
        <f>ToJsonArray(supplementary_offering_offeringid__4[[#Headers],[legacyid]:[activityId]],supplementary_offering_offeringid__4[[#This Row],[legacyid]:[activityId]])</f>
        <v>{"legacyid":"200021-03","name":"Data 0.8GB","mode":"N"}</v>
      </c>
      <c r="K416" t="str">
        <f>ToJsonArray(supplementary_offering_offeringid__4[[#This Row],[produccion]],supplementary_offering_offeringid__4[[#This Row],[json]])</f>
        <v>{"920002103":{"legacyid":"200021-03","name":"Data 0.8GB","mode":"N"}}</v>
      </c>
    </row>
    <row r="417" spans="1:11" x14ac:dyDescent="0.25">
      <c r="A417" s="61" t="s">
        <v>3054</v>
      </c>
      <c r="B417" t="s">
        <v>3053</v>
      </c>
      <c r="C417" t="str">
        <f>findKey(supplementary_offering_offeringid__4[[#This Row],[Value.legacyid]])</f>
        <v>200021-04</v>
      </c>
      <c r="D417" t="s">
        <v>5929</v>
      </c>
      <c r="E417" t="s">
        <v>2329</v>
      </c>
      <c r="H417" s="61"/>
      <c r="J417" t="str">
        <f>ToJsonArray(supplementary_offering_offeringid__4[[#Headers],[legacyid]:[activityId]],supplementary_offering_offeringid__4[[#This Row],[legacyid]:[activityId]])</f>
        <v>{"legacyid":"200021-04","name":"Data 1.2GB","mode":"N"}</v>
      </c>
      <c r="K417" t="str">
        <f>ToJsonArray(supplementary_offering_offeringid__4[[#This Row],[produccion]],supplementary_offering_offeringid__4[[#This Row],[json]])</f>
        <v>{"920002104":{"legacyid":"200021-04","name":"Data 1.2GB","mode":"N"}}</v>
      </c>
    </row>
    <row r="418" spans="1:11" x14ac:dyDescent="0.25">
      <c r="A418" s="61" t="s">
        <v>3057</v>
      </c>
      <c r="B418" t="s">
        <v>3056</v>
      </c>
      <c r="C418" t="str">
        <f>findKey(supplementary_offering_offeringid__4[[#This Row],[Value.legacyid]])</f>
        <v>200021-05</v>
      </c>
      <c r="D418" t="s">
        <v>5859</v>
      </c>
      <c r="E418" t="s">
        <v>2329</v>
      </c>
      <c r="H418" s="61"/>
      <c r="J418" t="str">
        <f>ToJsonArray(supplementary_offering_offeringid__4[[#Headers],[legacyid]:[activityId]],supplementary_offering_offeringid__4[[#This Row],[legacyid]:[activityId]])</f>
        <v>{"legacyid":"200021-05","name":"Data 2.5GB","mode":"N"}</v>
      </c>
      <c r="K418" t="str">
        <f>ToJsonArray(supplementary_offering_offeringid__4[[#This Row],[produccion]],supplementary_offering_offeringid__4[[#This Row],[json]])</f>
        <v>{"920002105":{"legacyid":"200021-05","name":"Data 2.5GB","mode":"N"}}</v>
      </c>
    </row>
    <row r="419" spans="1:11" x14ac:dyDescent="0.25">
      <c r="A419" s="61" t="s">
        <v>3060</v>
      </c>
      <c r="B419" t="s">
        <v>3059</v>
      </c>
      <c r="C419" t="str">
        <f>findKey(supplementary_offering_offeringid__4[[#This Row],[Value.legacyid]])</f>
        <v>200021-06</v>
      </c>
      <c r="D419" t="s">
        <v>5863</v>
      </c>
      <c r="E419" t="s">
        <v>2329</v>
      </c>
      <c r="H419" s="61"/>
      <c r="J419" t="str">
        <f>ToJsonArray(supplementary_offering_offeringid__4[[#Headers],[legacyid]:[activityId]],supplementary_offering_offeringid__4[[#This Row],[legacyid]:[activityId]])</f>
        <v>{"legacyid":"200021-06","name":"Data 3.5GB","mode":"N"}</v>
      </c>
      <c r="K419" t="str">
        <f>ToJsonArray(supplementary_offering_offeringid__4[[#This Row],[produccion]],supplementary_offering_offeringid__4[[#This Row],[json]])</f>
        <v>{"920002106":{"legacyid":"200021-06","name":"Data 3.5GB","mode":"N"}}</v>
      </c>
    </row>
    <row r="420" spans="1:11" x14ac:dyDescent="0.25">
      <c r="A420" s="61" t="s">
        <v>3063</v>
      </c>
      <c r="B420" t="s">
        <v>3062</v>
      </c>
      <c r="C420" t="str">
        <f>findKey(supplementary_offering_offeringid__4[[#This Row],[Value.legacyid]])</f>
        <v>200021-07</v>
      </c>
      <c r="D420" t="s">
        <v>5875</v>
      </c>
      <c r="E420" t="s">
        <v>2329</v>
      </c>
      <c r="H420" s="61"/>
      <c r="J420" t="str">
        <f>ToJsonArray(supplementary_offering_offeringid__4[[#Headers],[legacyid]:[activityId]],supplementary_offering_offeringid__4[[#This Row],[legacyid]:[activityId]])</f>
        <v>{"legacyid":"200021-07","name":"Data 4GB","mode":"N"}</v>
      </c>
      <c r="K420" t="str">
        <f>ToJsonArray(supplementary_offering_offeringid__4[[#This Row],[produccion]],supplementary_offering_offeringid__4[[#This Row],[json]])</f>
        <v>{"920002107":{"legacyid":"200021-07","name":"Data 4GB","mode":"N"}}</v>
      </c>
    </row>
    <row r="421" spans="1:11" x14ac:dyDescent="0.25">
      <c r="A421" s="61" t="s">
        <v>3066</v>
      </c>
      <c r="B421" t="s">
        <v>3065</v>
      </c>
      <c r="C421" t="str">
        <f>findKey(supplementary_offering_offeringid__4[[#This Row],[Value.legacyid]])</f>
        <v>200021-08</v>
      </c>
      <c r="D421" t="s">
        <v>5880</v>
      </c>
      <c r="E421" t="s">
        <v>2329</v>
      </c>
      <c r="H421" s="61"/>
      <c r="J421" t="str">
        <f>ToJsonArray(supplementary_offering_offeringid__4[[#Headers],[legacyid]:[activityId]],supplementary_offering_offeringid__4[[#This Row],[legacyid]:[activityId]])</f>
        <v>{"legacyid":"200021-08","name":"Data 4.5GB","mode":"N"}</v>
      </c>
      <c r="K421" t="str">
        <f>ToJsonArray(supplementary_offering_offeringid__4[[#This Row],[produccion]],supplementary_offering_offeringid__4[[#This Row],[json]])</f>
        <v>{"920002108":{"legacyid":"200021-08","name":"Data 4.5GB","mode":"N"}}</v>
      </c>
    </row>
    <row r="422" spans="1:11" x14ac:dyDescent="0.25">
      <c r="A422" s="61" t="s">
        <v>3069</v>
      </c>
      <c r="B422" t="s">
        <v>3068</v>
      </c>
      <c r="C422" t="str">
        <f>findKey(supplementary_offering_offeringid__4[[#This Row],[Value.legacyid]])</f>
        <v>200021-09</v>
      </c>
      <c r="D422" t="s">
        <v>5877</v>
      </c>
      <c r="E422" t="s">
        <v>2329</v>
      </c>
      <c r="H422" s="61"/>
      <c r="J422" t="str">
        <f>ToJsonArray(supplementary_offering_offeringid__4[[#Headers],[legacyid]:[activityId]],supplementary_offering_offeringid__4[[#This Row],[legacyid]:[activityId]])</f>
        <v>{"legacyid":"200021-09","name":"Data 5.5GB","mode":"N"}</v>
      </c>
      <c r="K422" t="str">
        <f>ToJsonArray(supplementary_offering_offeringid__4[[#This Row],[produccion]],supplementary_offering_offeringid__4[[#This Row],[json]])</f>
        <v>{"920002109":{"legacyid":"200021-09","name":"Data 5.5GB","mode":"N"}}</v>
      </c>
    </row>
    <row r="423" spans="1:11" x14ac:dyDescent="0.25">
      <c r="A423" s="61" t="s">
        <v>3072</v>
      </c>
      <c r="B423" t="s">
        <v>3071</v>
      </c>
      <c r="C423" t="str">
        <f>findKey(supplementary_offering_offeringid__4[[#This Row],[Value.legacyid]])</f>
        <v>200021-10</v>
      </c>
      <c r="D423" t="s">
        <v>5878</v>
      </c>
      <c r="E423" t="s">
        <v>2329</v>
      </c>
      <c r="H423" s="61"/>
      <c r="J423" t="str">
        <f>ToJsonArray(supplementary_offering_offeringid__4[[#Headers],[legacyid]:[activityId]],supplementary_offering_offeringid__4[[#This Row],[legacyid]:[activityId]])</f>
        <v>{"legacyid":"200021-10","name":"Data 6.5GB","mode":"N"}</v>
      </c>
      <c r="K423" t="str">
        <f>ToJsonArray(supplementary_offering_offeringid__4[[#This Row],[produccion]],supplementary_offering_offeringid__4[[#This Row],[json]])</f>
        <v>{"920002110":{"legacyid":"200021-10","name":"Data 6.5GB","mode":"N"}}</v>
      </c>
    </row>
    <row r="424" spans="1:11" x14ac:dyDescent="0.25">
      <c r="A424" s="61" t="s">
        <v>3075</v>
      </c>
      <c r="B424" t="s">
        <v>3074</v>
      </c>
      <c r="C424" t="str">
        <f>findKey(supplementary_offering_offeringid__4[[#This Row],[Value.legacyid]])</f>
        <v>200021-11</v>
      </c>
      <c r="D424" t="s">
        <v>5930</v>
      </c>
      <c r="E424" t="s">
        <v>2329</v>
      </c>
      <c r="H424" s="61"/>
      <c r="J424" t="str">
        <f>ToJsonArray(supplementary_offering_offeringid__4[[#Headers],[legacyid]:[activityId]],supplementary_offering_offeringid__4[[#This Row],[legacyid]:[activityId]])</f>
        <v>{"legacyid":"200021-11","name":"Data 7.5GB","mode":"N"}</v>
      </c>
      <c r="K424" t="str">
        <f>ToJsonArray(supplementary_offering_offeringid__4[[#This Row],[produccion]],supplementary_offering_offeringid__4[[#This Row],[json]])</f>
        <v>{"920002111":{"legacyid":"200021-11","name":"Data 7.5GB","mode":"N"}}</v>
      </c>
    </row>
    <row r="425" spans="1:11" x14ac:dyDescent="0.25">
      <c r="A425" s="61" t="s">
        <v>3078</v>
      </c>
      <c r="B425" t="s">
        <v>3077</v>
      </c>
      <c r="C425" t="str">
        <f>findKey(supplementary_offering_offeringid__4[[#This Row],[Value.legacyid]])</f>
        <v>200021-12</v>
      </c>
      <c r="D425" t="s">
        <v>5931</v>
      </c>
      <c r="E425" t="s">
        <v>2329</v>
      </c>
      <c r="H425" s="61"/>
      <c r="J425" t="str">
        <f>ToJsonArray(supplementary_offering_offeringid__4[[#Headers],[legacyid]:[activityId]],supplementary_offering_offeringid__4[[#This Row],[legacyid]:[activityId]])</f>
        <v>{"legacyid":"200021-12","name":"Data 8.5GB","mode":"N"}</v>
      </c>
      <c r="K425" t="str">
        <f>ToJsonArray(supplementary_offering_offeringid__4[[#This Row],[produccion]],supplementary_offering_offeringid__4[[#This Row],[json]])</f>
        <v>{"920002112":{"legacyid":"200021-12","name":"Data 8.5GB","mode":"N"}}</v>
      </c>
    </row>
    <row r="426" spans="1:11" x14ac:dyDescent="0.25">
      <c r="A426" s="61" t="s">
        <v>3081</v>
      </c>
      <c r="B426" t="s">
        <v>3080</v>
      </c>
      <c r="C426" t="str">
        <f>findKey(supplementary_offering_offeringid__4[[#This Row],[Value.legacyid]])</f>
        <v>200021-13</v>
      </c>
      <c r="D426" t="s">
        <v>5924</v>
      </c>
      <c r="E426" t="s">
        <v>2329</v>
      </c>
      <c r="H426" s="61"/>
      <c r="J426" t="str">
        <f>ToJsonArray(supplementary_offering_offeringid__4[[#Headers],[legacyid]:[activityId]],supplementary_offering_offeringid__4[[#This Row],[legacyid]:[activityId]])</f>
        <v>{"legacyid":"200021-13","name":"Data 9GB","mode":"N"}</v>
      </c>
      <c r="K426" t="str">
        <f>ToJsonArray(supplementary_offering_offeringid__4[[#This Row],[produccion]],supplementary_offering_offeringid__4[[#This Row],[json]])</f>
        <v>{"920002113":{"legacyid":"200021-13","name":"Data 9GB","mode":"N"}}</v>
      </c>
    </row>
    <row r="427" spans="1:11" x14ac:dyDescent="0.25">
      <c r="A427" s="61" t="s">
        <v>3084</v>
      </c>
      <c r="B427" t="s">
        <v>3083</v>
      </c>
      <c r="C427" t="str">
        <f>findKey(supplementary_offering_offeringid__4[[#This Row],[Value.legacyid]])</f>
        <v>200021-14</v>
      </c>
      <c r="D427" t="s">
        <v>5913</v>
      </c>
      <c r="E427" t="s">
        <v>2329</v>
      </c>
      <c r="H427" s="61"/>
      <c r="J427" t="str">
        <f>ToJsonArray(supplementary_offering_offeringid__4[[#Headers],[legacyid]:[activityId]],supplementary_offering_offeringid__4[[#This Row],[legacyid]:[activityId]])</f>
        <v>{"legacyid":"200021-14","name":"Data 10GB","mode":"N"}</v>
      </c>
      <c r="K427" t="str">
        <f>ToJsonArray(supplementary_offering_offeringid__4[[#This Row],[produccion]],supplementary_offering_offeringid__4[[#This Row],[json]])</f>
        <v>{"920002114":{"legacyid":"200021-14","name":"Data 10GB","mode":"N"}}</v>
      </c>
    </row>
    <row r="428" spans="1:11" x14ac:dyDescent="0.25">
      <c r="A428" s="61" t="s">
        <v>3087</v>
      </c>
      <c r="B428" t="s">
        <v>3086</v>
      </c>
      <c r="C428" t="str">
        <f>findKey(supplementary_offering_offeringid__4[[#This Row],[Value.legacyid]])</f>
        <v>200021-15</v>
      </c>
      <c r="D428" t="s">
        <v>5933</v>
      </c>
      <c r="E428" t="s">
        <v>2329</v>
      </c>
      <c r="H428" s="61"/>
      <c r="J428" t="str">
        <f>ToJsonArray(supplementary_offering_offeringid__4[[#Headers],[legacyid]:[activityId]],supplementary_offering_offeringid__4[[#This Row],[legacyid]:[activityId]])</f>
        <v>{"legacyid":"200021-15","name":"Data 10.5GB","mode":"N"}</v>
      </c>
      <c r="K428" t="str">
        <f>ToJsonArray(supplementary_offering_offeringid__4[[#This Row],[produccion]],supplementary_offering_offeringid__4[[#This Row],[json]])</f>
        <v>{"920002115":{"legacyid":"200021-15","name":"Data 10.5GB","mode":"N"}}</v>
      </c>
    </row>
    <row r="429" spans="1:11" x14ac:dyDescent="0.25">
      <c r="A429" s="61" t="s">
        <v>3090</v>
      </c>
      <c r="B429" t="s">
        <v>3089</v>
      </c>
      <c r="C429" t="str">
        <f>findKey(supplementary_offering_offeringid__4[[#This Row],[Value.legacyid]])</f>
        <v>200021-16</v>
      </c>
      <c r="D429" t="s">
        <v>5934</v>
      </c>
      <c r="E429" t="s">
        <v>2329</v>
      </c>
      <c r="H429" s="61"/>
      <c r="J429" t="str">
        <f>ToJsonArray(supplementary_offering_offeringid__4[[#Headers],[legacyid]:[activityId]],supplementary_offering_offeringid__4[[#This Row],[legacyid]:[activityId]])</f>
        <v>{"legacyid":"200021-16","name":"Data 11.5GB","mode":"N"}</v>
      </c>
      <c r="K429" t="str">
        <f>ToJsonArray(supplementary_offering_offeringid__4[[#This Row],[produccion]],supplementary_offering_offeringid__4[[#This Row],[json]])</f>
        <v>{"920002116":{"legacyid":"200021-16","name":"Data 11.5GB","mode":"N"}}</v>
      </c>
    </row>
    <row r="430" spans="1:11" x14ac:dyDescent="0.25">
      <c r="A430" s="61" t="s">
        <v>3093</v>
      </c>
      <c r="B430" t="s">
        <v>3092</v>
      </c>
      <c r="C430" t="str">
        <f>findKey(supplementary_offering_offeringid__4[[#This Row],[Value.legacyid]])</f>
        <v>200021-17</v>
      </c>
      <c r="D430" t="s">
        <v>5920</v>
      </c>
      <c r="E430" t="s">
        <v>2329</v>
      </c>
      <c r="H430" s="61"/>
      <c r="J430" t="str">
        <f>ToJsonArray(supplementary_offering_offeringid__4[[#Headers],[legacyid]:[activityId]],supplementary_offering_offeringid__4[[#This Row],[legacyid]:[activityId]])</f>
        <v>{"legacyid":"200021-17","name":"Data 15GB","mode":"N"}</v>
      </c>
      <c r="K430" t="str">
        <f>ToJsonArray(supplementary_offering_offeringid__4[[#This Row],[produccion]],supplementary_offering_offeringid__4[[#This Row],[json]])</f>
        <v>{"920002117":{"legacyid":"200021-17","name":"Data 15GB","mode":"N"}}</v>
      </c>
    </row>
    <row r="431" spans="1:11" x14ac:dyDescent="0.25">
      <c r="A431" s="61" t="s">
        <v>3096</v>
      </c>
      <c r="B431" t="s">
        <v>3095</v>
      </c>
      <c r="C431" t="str">
        <f>findKey(supplementary_offering_offeringid__4[[#This Row],[Value.legacyid]])</f>
        <v>200021-18</v>
      </c>
      <c r="D431" t="s">
        <v>5926</v>
      </c>
      <c r="E431" t="s">
        <v>2329</v>
      </c>
      <c r="H431" s="61"/>
      <c r="J431" t="str">
        <f>ToJsonArray(supplementary_offering_offeringid__4[[#Headers],[legacyid]:[activityId]],supplementary_offering_offeringid__4[[#This Row],[legacyid]:[activityId]])</f>
        <v>{"legacyid":"200021-18","name":"Data 16GB","mode":"N"}</v>
      </c>
      <c r="K431" t="str">
        <f>ToJsonArray(supplementary_offering_offeringid__4[[#This Row],[produccion]],supplementary_offering_offeringid__4[[#This Row],[json]])</f>
        <v>{"920002118":{"legacyid":"200021-18","name":"Data 16GB","mode":"N"}}</v>
      </c>
    </row>
    <row r="432" spans="1:11" x14ac:dyDescent="0.25">
      <c r="A432" s="61" t="s">
        <v>3099</v>
      </c>
      <c r="B432" t="s">
        <v>3098</v>
      </c>
      <c r="C432" t="str">
        <f>findKey(supplementary_offering_offeringid__4[[#This Row],[Value.legacyid]])</f>
        <v>200021-19</v>
      </c>
      <c r="D432" t="s">
        <v>5927</v>
      </c>
      <c r="E432" t="s">
        <v>2329</v>
      </c>
      <c r="H432" s="61"/>
      <c r="J432" t="str">
        <f>ToJsonArray(supplementary_offering_offeringid__4[[#Headers],[legacyid]:[activityId]],supplementary_offering_offeringid__4[[#This Row],[legacyid]:[activityId]])</f>
        <v>{"legacyid":"200021-19","name":"Data 17GB","mode":"N"}</v>
      </c>
      <c r="K432" t="str">
        <f>ToJsonArray(supplementary_offering_offeringid__4[[#This Row],[produccion]],supplementary_offering_offeringid__4[[#This Row],[json]])</f>
        <v>{"920002119":{"legacyid":"200021-19","name":"Data 17GB","mode":"N"}}</v>
      </c>
    </row>
    <row r="433" spans="1:11" x14ac:dyDescent="0.25">
      <c r="A433" s="61" t="s">
        <v>3102</v>
      </c>
      <c r="B433" t="s">
        <v>3101</v>
      </c>
      <c r="C433" t="str">
        <f>findKey(supplementary_offering_offeringid__4[[#This Row],[Value.legacyid]])</f>
        <v>200021-20</v>
      </c>
      <c r="D433" t="s">
        <v>5928</v>
      </c>
      <c r="E433" t="s">
        <v>2329</v>
      </c>
      <c r="H433" s="61"/>
      <c r="J433" t="str">
        <f>ToJsonArray(supplementary_offering_offeringid__4[[#Headers],[legacyid]:[activityId]],supplementary_offering_offeringid__4[[#This Row],[legacyid]:[activityId]])</f>
        <v>{"legacyid":"200021-20","name":"Data 22GB","mode":"N"}</v>
      </c>
      <c r="K433" t="str">
        <f>ToJsonArray(supplementary_offering_offeringid__4[[#This Row],[produccion]],supplementary_offering_offeringid__4[[#This Row],[json]])</f>
        <v>{"920002120":{"legacyid":"200021-20","name":"Data 22GB","mode":"N"}}</v>
      </c>
    </row>
    <row r="434" spans="1:11" x14ac:dyDescent="0.25">
      <c r="A434" s="61" t="s">
        <v>3105</v>
      </c>
      <c r="B434" t="s">
        <v>3104</v>
      </c>
      <c r="C434" t="str">
        <f>findKey(supplementary_offering_offeringid__4[[#This Row],[Value.legacyid]])</f>
        <v>200021-21</v>
      </c>
      <c r="D434" t="s">
        <v>5857</v>
      </c>
      <c r="E434" t="s">
        <v>2329</v>
      </c>
      <c r="H434" s="61"/>
      <c r="J434" t="str">
        <f>ToJsonArray(supplementary_offering_offeringid__4[[#Headers],[legacyid]:[activityId]],supplementary_offering_offeringid__4[[#This Row],[legacyid]:[activityId]])</f>
        <v>{"legacyid":"200021-21","name":"Data 1GB","mode":"N"}</v>
      </c>
      <c r="K434" t="str">
        <f>ToJsonArray(supplementary_offering_offeringid__4[[#This Row],[produccion]],supplementary_offering_offeringid__4[[#This Row],[json]])</f>
        <v>{"920002121":{"legacyid":"200021-21","name":"Data 1GB","mode":"N"}}</v>
      </c>
    </row>
    <row r="435" spans="1:11" x14ac:dyDescent="0.25">
      <c r="A435" s="61" t="s">
        <v>3108</v>
      </c>
      <c r="B435" t="s">
        <v>3107</v>
      </c>
      <c r="C435" t="str">
        <f>findKey(supplementary_offering_offeringid__4[[#This Row],[Value.legacyid]])</f>
        <v>200021-22</v>
      </c>
      <c r="D435" t="s">
        <v>5939</v>
      </c>
      <c r="E435" t="s">
        <v>2329</v>
      </c>
      <c r="H435" s="61"/>
      <c r="J435" t="str">
        <f>ToJsonArray(supplementary_offering_offeringid__4[[#Headers],[legacyid]:[activityId]],supplementary_offering_offeringid__4[[#This Row],[legacyid]:[activityId]])</f>
        <v>{"legacyid":"200021-22","name":"Data 1.7GB","mode":"N"}</v>
      </c>
      <c r="K435" t="str">
        <f>ToJsonArray(supplementary_offering_offeringid__4[[#This Row],[produccion]],supplementary_offering_offeringid__4[[#This Row],[json]])</f>
        <v>{"920002122":{"legacyid":"200021-22","name":"Data 1.7GB","mode":"N"}}</v>
      </c>
    </row>
    <row r="436" spans="1:11" x14ac:dyDescent="0.25">
      <c r="A436" s="61" t="s">
        <v>3111</v>
      </c>
      <c r="B436" t="s">
        <v>3110</v>
      </c>
      <c r="C436" t="str">
        <f>findKey(supplementary_offering_offeringid__4[[#This Row],[Value.legacyid]])</f>
        <v>200021-23</v>
      </c>
      <c r="D436" t="s">
        <v>5863</v>
      </c>
      <c r="E436" t="s">
        <v>2329</v>
      </c>
      <c r="H436" s="61"/>
      <c r="J436" t="str">
        <f>ToJsonArray(supplementary_offering_offeringid__4[[#Headers],[legacyid]:[activityId]],supplementary_offering_offeringid__4[[#This Row],[legacyid]:[activityId]])</f>
        <v>{"legacyid":"200021-23","name":"Data 3.5GB","mode":"N"}</v>
      </c>
      <c r="K436" t="str">
        <f>ToJsonArray(supplementary_offering_offeringid__4[[#This Row],[produccion]],supplementary_offering_offeringid__4[[#This Row],[json]])</f>
        <v>{"920002123":{"legacyid":"200021-23","name":"Data 3.5GB","mode":"N"}}</v>
      </c>
    </row>
    <row r="437" spans="1:11" x14ac:dyDescent="0.25">
      <c r="A437" s="61" t="s">
        <v>3114</v>
      </c>
      <c r="B437" t="s">
        <v>3113</v>
      </c>
      <c r="C437" t="str">
        <f>findKey(supplementary_offering_offeringid__4[[#This Row],[Value.legacyid]])</f>
        <v>200021-24</v>
      </c>
      <c r="D437" t="s">
        <v>5880</v>
      </c>
      <c r="E437" t="s">
        <v>2329</v>
      </c>
      <c r="H437" s="61"/>
      <c r="J437" t="str">
        <f>ToJsonArray(supplementary_offering_offeringid__4[[#Headers],[legacyid]:[activityId]],supplementary_offering_offeringid__4[[#This Row],[legacyid]:[activityId]])</f>
        <v>{"legacyid":"200021-24","name":"Data 4.5GB","mode":"N"}</v>
      </c>
      <c r="K437" t="str">
        <f>ToJsonArray(supplementary_offering_offeringid__4[[#This Row],[produccion]],supplementary_offering_offeringid__4[[#This Row],[json]])</f>
        <v>{"920002124":{"legacyid":"200021-24","name":"Data 4.5GB","mode":"N"}}</v>
      </c>
    </row>
    <row r="438" spans="1:11" x14ac:dyDescent="0.25">
      <c r="A438" s="61" t="s">
        <v>3117</v>
      </c>
      <c r="B438" t="s">
        <v>3116</v>
      </c>
      <c r="C438" t="str">
        <f>findKey(supplementary_offering_offeringid__4[[#This Row],[Value.legacyid]])</f>
        <v>200021-25</v>
      </c>
      <c r="D438" t="s">
        <v>5880</v>
      </c>
      <c r="E438" t="s">
        <v>2329</v>
      </c>
      <c r="H438" s="61"/>
      <c r="J438" t="str">
        <f>ToJsonArray(supplementary_offering_offeringid__4[[#Headers],[legacyid]:[activityId]],supplementary_offering_offeringid__4[[#This Row],[legacyid]:[activityId]])</f>
        <v>{"legacyid":"200021-25","name":"Data 4.5GB","mode":"N"}</v>
      </c>
      <c r="K438" t="str">
        <f>ToJsonArray(supplementary_offering_offeringid__4[[#This Row],[produccion]],supplementary_offering_offeringid__4[[#This Row],[json]])</f>
        <v>{"920002125":{"legacyid":"200021-25","name":"Data 4.5GB","mode":"N"}}</v>
      </c>
    </row>
    <row r="439" spans="1:11" x14ac:dyDescent="0.25">
      <c r="A439" s="61" t="s">
        <v>3120</v>
      </c>
      <c r="B439" t="s">
        <v>3119</v>
      </c>
      <c r="C439" t="str">
        <f>findKey(supplementary_offering_offeringid__4[[#This Row],[Value.legacyid]])</f>
        <v>200021-26</v>
      </c>
      <c r="D439" t="s">
        <v>5877</v>
      </c>
      <c r="E439" t="s">
        <v>2329</v>
      </c>
      <c r="H439" s="61"/>
      <c r="J439" t="str">
        <f>ToJsonArray(supplementary_offering_offeringid__4[[#Headers],[legacyid]:[activityId]],supplementary_offering_offeringid__4[[#This Row],[legacyid]:[activityId]])</f>
        <v>{"legacyid":"200021-26","name":"Data 5.5GB","mode":"N"}</v>
      </c>
      <c r="K439" t="str">
        <f>ToJsonArray(supplementary_offering_offeringid__4[[#This Row],[produccion]],supplementary_offering_offeringid__4[[#This Row],[json]])</f>
        <v>{"920002126":{"legacyid":"200021-26","name":"Data 5.5GB","mode":"N"}}</v>
      </c>
    </row>
    <row r="440" spans="1:11" x14ac:dyDescent="0.25">
      <c r="A440" s="61" t="s">
        <v>3123</v>
      </c>
      <c r="B440" t="s">
        <v>3122</v>
      </c>
      <c r="C440" t="str">
        <f>findKey(supplementary_offering_offeringid__4[[#This Row],[Value.legacyid]])</f>
        <v>200021-27</v>
      </c>
      <c r="D440" t="s">
        <v>5878</v>
      </c>
      <c r="E440" t="s">
        <v>2329</v>
      </c>
      <c r="H440" s="61"/>
      <c r="J440" t="str">
        <f>ToJsonArray(supplementary_offering_offeringid__4[[#Headers],[legacyid]:[activityId]],supplementary_offering_offeringid__4[[#This Row],[legacyid]:[activityId]])</f>
        <v>{"legacyid":"200021-27","name":"Data 6.5GB","mode":"N"}</v>
      </c>
      <c r="K440" t="str">
        <f>ToJsonArray(supplementary_offering_offeringid__4[[#This Row],[produccion]],supplementary_offering_offeringid__4[[#This Row],[json]])</f>
        <v>{"920002127":{"legacyid":"200021-27","name":"Data 6.5GB","mode":"N"}}</v>
      </c>
    </row>
    <row r="441" spans="1:11" x14ac:dyDescent="0.25">
      <c r="A441" s="61" t="s">
        <v>3126</v>
      </c>
      <c r="B441" t="s">
        <v>3125</v>
      </c>
      <c r="C441" t="str">
        <f>findKey(supplementary_offering_offeringid__4[[#This Row],[Value.legacyid]])</f>
        <v>200021-28</v>
      </c>
      <c r="D441" t="s">
        <v>5930</v>
      </c>
      <c r="E441" t="s">
        <v>2329</v>
      </c>
      <c r="H441" s="61"/>
      <c r="J441" t="str">
        <f>ToJsonArray(supplementary_offering_offeringid__4[[#Headers],[legacyid]:[activityId]],supplementary_offering_offeringid__4[[#This Row],[legacyid]:[activityId]])</f>
        <v>{"legacyid":"200021-28","name":"Data 7.5GB","mode":"N"}</v>
      </c>
      <c r="K441" t="str">
        <f>ToJsonArray(supplementary_offering_offeringid__4[[#This Row],[produccion]],supplementary_offering_offeringid__4[[#This Row],[json]])</f>
        <v>{"920002128":{"legacyid":"200021-28","name":"Data 7.5GB","mode":"N"}}</v>
      </c>
    </row>
    <row r="442" spans="1:11" x14ac:dyDescent="0.25">
      <c r="A442" s="61" t="s">
        <v>3129</v>
      </c>
      <c r="B442" t="s">
        <v>3128</v>
      </c>
      <c r="C442" t="str">
        <f>findKey(supplementary_offering_offeringid__4[[#This Row],[Value.legacyid]])</f>
        <v>200021-29</v>
      </c>
      <c r="D442" t="s">
        <v>5931</v>
      </c>
      <c r="E442" t="s">
        <v>2329</v>
      </c>
      <c r="H442" s="61"/>
      <c r="J442" t="str">
        <f>ToJsonArray(supplementary_offering_offeringid__4[[#Headers],[legacyid]:[activityId]],supplementary_offering_offeringid__4[[#This Row],[legacyid]:[activityId]])</f>
        <v>{"legacyid":"200021-29","name":"Data 8.5GB","mode":"N"}</v>
      </c>
      <c r="K442" t="str">
        <f>ToJsonArray(supplementary_offering_offeringid__4[[#This Row],[produccion]],supplementary_offering_offeringid__4[[#This Row],[json]])</f>
        <v>{"920002129":{"legacyid":"200021-29","name":"Data 8.5GB","mode":"N"}}</v>
      </c>
    </row>
    <row r="443" spans="1:11" x14ac:dyDescent="0.25">
      <c r="A443" s="61" t="s">
        <v>3132</v>
      </c>
      <c r="B443" t="s">
        <v>3131</v>
      </c>
      <c r="C443" t="str">
        <f>findKey(supplementary_offering_offeringid__4[[#This Row],[Value.legacyid]])</f>
        <v>200021-30</v>
      </c>
      <c r="D443" t="s">
        <v>5932</v>
      </c>
      <c r="E443" t="s">
        <v>2329</v>
      </c>
      <c r="H443" s="61"/>
      <c r="J443" t="str">
        <f>ToJsonArray(supplementary_offering_offeringid__4[[#Headers],[legacyid]:[activityId]],supplementary_offering_offeringid__4[[#This Row],[legacyid]:[activityId]])</f>
        <v>{"legacyid":"200021-30","name":"Data 9.5GB","mode":"N"}</v>
      </c>
      <c r="K443" t="str">
        <f>ToJsonArray(supplementary_offering_offeringid__4[[#This Row],[produccion]],supplementary_offering_offeringid__4[[#This Row],[json]])</f>
        <v>{"920002130":{"legacyid":"200021-30","name":"Data 9.5GB","mode":"N"}}</v>
      </c>
    </row>
    <row r="444" spans="1:11" x14ac:dyDescent="0.25">
      <c r="A444" s="61" t="s">
        <v>3135</v>
      </c>
      <c r="B444" t="s">
        <v>3134</v>
      </c>
      <c r="C444" t="str">
        <f>findKey(supplementary_offering_offeringid__4[[#This Row],[Value.legacyid]])</f>
        <v>200021-31</v>
      </c>
      <c r="D444" t="s">
        <v>5913</v>
      </c>
      <c r="E444" t="s">
        <v>2329</v>
      </c>
      <c r="H444" s="61"/>
      <c r="J444" t="str">
        <f>ToJsonArray(supplementary_offering_offeringid__4[[#Headers],[legacyid]:[activityId]],supplementary_offering_offeringid__4[[#This Row],[legacyid]:[activityId]])</f>
        <v>{"legacyid":"200021-31","name":"Data 10GB","mode":"N"}</v>
      </c>
      <c r="K444" t="str">
        <f>ToJsonArray(supplementary_offering_offeringid__4[[#This Row],[produccion]],supplementary_offering_offeringid__4[[#This Row],[json]])</f>
        <v>{"920002131":{"legacyid":"200021-31","name":"Data 10GB","mode":"N"}}</v>
      </c>
    </row>
    <row r="445" spans="1:11" x14ac:dyDescent="0.25">
      <c r="A445" s="61" t="s">
        <v>3138</v>
      </c>
      <c r="B445" t="s">
        <v>3137</v>
      </c>
      <c r="C445" t="str">
        <f>findKey(supplementary_offering_offeringid__4[[#This Row],[Value.legacyid]])</f>
        <v>200021-32</v>
      </c>
      <c r="D445" t="s">
        <v>5925</v>
      </c>
      <c r="E445" t="s">
        <v>2329</v>
      </c>
      <c r="H445" s="61"/>
      <c r="J445" t="str">
        <f>ToJsonArray(supplementary_offering_offeringid__4[[#Headers],[legacyid]:[activityId]],supplementary_offering_offeringid__4[[#This Row],[legacyid]:[activityId]])</f>
        <v>{"legacyid":"200021-32","name":"Data 11GB","mode":"N"}</v>
      </c>
      <c r="K445" t="str">
        <f>ToJsonArray(supplementary_offering_offeringid__4[[#This Row],[produccion]],supplementary_offering_offeringid__4[[#This Row],[json]])</f>
        <v>{"920002132":{"legacyid":"200021-32","name":"Data 11GB","mode":"N"}}</v>
      </c>
    </row>
    <row r="446" spans="1:11" x14ac:dyDescent="0.25">
      <c r="A446" s="61" t="s">
        <v>3141</v>
      </c>
      <c r="B446" t="s">
        <v>3140</v>
      </c>
      <c r="C446" t="str">
        <f>findKey(supplementary_offering_offeringid__4[[#This Row],[Value.legacyid]])</f>
        <v>200021-33</v>
      </c>
      <c r="D446" t="s">
        <v>5934</v>
      </c>
      <c r="E446" t="s">
        <v>2329</v>
      </c>
      <c r="H446" s="61"/>
      <c r="J446" t="str">
        <f>ToJsonArray(supplementary_offering_offeringid__4[[#Headers],[legacyid]:[activityId]],supplementary_offering_offeringid__4[[#This Row],[legacyid]:[activityId]])</f>
        <v>{"legacyid":"200021-33","name":"Data 11.5GB","mode":"N"}</v>
      </c>
      <c r="K446" t="str">
        <f>ToJsonArray(supplementary_offering_offeringid__4[[#This Row],[produccion]],supplementary_offering_offeringid__4[[#This Row],[json]])</f>
        <v>{"920002133":{"legacyid":"200021-33","name":"Data 11.5GB","mode":"N"}}</v>
      </c>
    </row>
    <row r="447" spans="1:11" x14ac:dyDescent="0.25">
      <c r="A447" s="61" t="s">
        <v>3144</v>
      </c>
      <c r="B447" t="s">
        <v>3143</v>
      </c>
      <c r="C447" t="str">
        <f>findKey(supplementary_offering_offeringid__4[[#This Row],[Value.legacyid]])</f>
        <v>200021-34</v>
      </c>
      <c r="D447" t="s">
        <v>5935</v>
      </c>
      <c r="E447" t="s">
        <v>2329</v>
      </c>
      <c r="H447" s="61"/>
      <c r="J447" t="str">
        <f>ToJsonArray(supplementary_offering_offeringid__4[[#Headers],[legacyid]:[activityId]],supplementary_offering_offeringid__4[[#This Row],[legacyid]:[activityId]])</f>
        <v>{"legacyid":"200021-34","name":"Data 12.5GB","mode":"N"}</v>
      </c>
      <c r="K447" t="str">
        <f>ToJsonArray(supplementary_offering_offeringid__4[[#This Row],[produccion]],supplementary_offering_offeringid__4[[#This Row],[json]])</f>
        <v>{"920002134":{"legacyid":"200021-34","name":"Data 12.5GB","mode":"N"}}</v>
      </c>
    </row>
    <row r="448" spans="1:11" x14ac:dyDescent="0.25">
      <c r="A448" s="61" t="s">
        <v>4594</v>
      </c>
      <c r="B448" t="s">
        <v>4593</v>
      </c>
      <c r="C448" t="str">
        <f>findKey(supplementary_offering_offeringid__4[[#This Row],[Value.legacyid]])</f>
        <v>200021-35</v>
      </c>
      <c r="D448" t="s">
        <v>5937</v>
      </c>
      <c r="E448" t="s">
        <v>2329</v>
      </c>
      <c r="H448" s="61"/>
      <c r="J448" t="str">
        <f>ToJsonArray(supplementary_offering_offeringid__4[[#Headers],[legacyid]:[activityId]],supplementary_offering_offeringid__4[[#This Row],[legacyid]:[activityId]])</f>
        <v>{"legacyid":"200021-35","name":"Data 16.5GB","mode":"N"}</v>
      </c>
      <c r="K448" t="str">
        <f>ToJsonArray(supplementary_offering_offeringid__4[[#This Row],[produccion]],supplementary_offering_offeringid__4[[#This Row],[json]])</f>
        <v>{"920002135":{"legacyid":"200021-35","name":"Data 16.5GB","mode":"N"}}</v>
      </c>
    </row>
    <row r="449" spans="1:11" x14ac:dyDescent="0.25">
      <c r="A449" s="61" t="s">
        <v>4597</v>
      </c>
      <c r="B449" t="s">
        <v>4596</v>
      </c>
      <c r="C449" t="str">
        <f>findKey(supplementary_offering_offeringid__4[[#This Row],[Value.legacyid]])</f>
        <v>200021-36</v>
      </c>
      <c r="D449" t="s">
        <v>5938</v>
      </c>
      <c r="E449" t="s">
        <v>2329</v>
      </c>
      <c r="H449" s="61"/>
      <c r="J449" t="str">
        <f>ToJsonArray(supplementary_offering_offeringid__4[[#Headers],[legacyid]:[activityId]],supplementary_offering_offeringid__4[[#This Row],[legacyid]:[activityId]])</f>
        <v>{"legacyid":"200021-36","name":"Data 17.5GB","mode":"N"}</v>
      </c>
      <c r="K449" t="str">
        <f>ToJsonArray(supplementary_offering_offeringid__4[[#This Row],[produccion]],supplementary_offering_offeringid__4[[#This Row],[json]])</f>
        <v>{"920002136":{"legacyid":"200021-36","name":"Data 17.5GB","mode":"N"}}</v>
      </c>
    </row>
    <row r="450" spans="1:11" x14ac:dyDescent="0.25">
      <c r="A450" s="61" t="s">
        <v>4600</v>
      </c>
      <c r="B450" t="s">
        <v>4599</v>
      </c>
      <c r="C450" t="str">
        <f>findKey(supplementary_offering_offeringid__4[[#This Row],[Value.legacyid]])</f>
        <v>200021-37</v>
      </c>
      <c r="D450" t="s">
        <v>5940</v>
      </c>
      <c r="E450" t="s">
        <v>2329</v>
      </c>
      <c r="H450" s="61"/>
      <c r="J450" t="str">
        <f>ToJsonArray(supplementary_offering_offeringid__4[[#Headers],[legacyid]:[activityId]],supplementary_offering_offeringid__4[[#This Row],[legacyid]:[activityId]])</f>
        <v>{"legacyid":"200021-37","name":"Data 18.5GB","mode":"N"}</v>
      </c>
      <c r="K450" t="str">
        <f>ToJsonArray(supplementary_offering_offeringid__4[[#This Row],[produccion]],supplementary_offering_offeringid__4[[#This Row],[json]])</f>
        <v>{"920002137":{"legacyid":"200021-37","name":"Data 18.5GB","mode":"N"}}</v>
      </c>
    </row>
    <row r="451" spans="1:11" x14ac:dyDescent="0.25">
      <c r="A451" s="61" t="s">
        <v>4603</v>
      </c>
      <c r="B451" t="s">
        <v>4602</v>
      </c>
      <c r="C451" t="str">
        <f>findKey(supplementary_offering_offeringid__4[[#This Row],[Value.legacyid]])</f>
        <v>200021-38</v>
      </c>
      <c r="D451" t="s">
        <v>5941</v>
      </c>
      <c r="E451" t="s">
        <v>2329</v>
      </c>
      <c r="H451" s="61"/>
      <c r="J451" t="str">
        <f>ToJsonArray(supplementary_offering_offeringid__4[[#Headers],[legacyid]:[activityId]],supplementary_offering_offeringid__4[[#This Row],[legacyid]:[activityId]])</f>
        <v>{"legacyid":"200021-38","name":"Data 23.5GB","mode":"N"}</v>
      </c>
      <c r="K451" t="str">
        <f>ToJsonArray(supplementary_offering_offeringid__4[[#This Row],[produccion]],supplementary_offering_offeringid__4[[#This Row],[json]])</f>
        <v>{"920002138":{"legacyid":"200021-38","name":"Data 23.5GB","mode":"N"}}</v>
      </c>
    </row>
    <row r="452" spans="1:11" x14ac:dyDescent="0.25">
      <c r="A452" s="61" t="s">
        <v>4606</v>
      </c>
      <c r="B452" t="s">
        <v>4605</v>
      </c>
      <c r="C452" t="str">
        <f>findKey(supplementary_offering_offeringid__4[[#This Row],[Value.legacyid]])</f>
        <v>200021-39</v>
      </c>
      <c r="D452" t="s">
        <v>5942</v>
      </c>
      <c r="E452" t="s">
        <v>2329</v>
      </c>
      <c r="H452" s="61"/>
      <c r="J452" t="str">
        <f>ToJsonArray(supplementary_offering_offeringid__4[[#Headers],[legacyid]:[activityId]],supplementary_offering_offeringid__4[[#This Row],[legacyid]:[activityId]])</f>
        <v>{"legacyid":"200021-39","name":"Data 0.5GB","mode":"N"}</v>
      </c>
      <c r="K452" t="str">
        <f>ToJsonArray(supplementary_offering_offeringid__4[[#This Row],[produccion]],supplementary_offering_offeringid__4[[#This Row],[json]])</f>
        <v>{"920002139":{"legacyid":"200021-39","name":"Data 0.5GB","mode":"N"}}</v>
      </c>
    </row>
    <row r="453" spans="1:11" x14ac:dyDescent="0.25">
      <c r="A453" s="61" t="s">
        <v>4609</v>
      </c>
      <c r="B453" t="s">
        <v>4608</v>
      </c>
      <c r="C453" t="str">
        <f>findKey(supplementary_offering_offeringid__4[[#This Row],[Value.legacyid]])</f>
        <v>200021-40</v>
      </c>
      <c r="D453" t="s">
        <v>5923</v>
      </c>
      <c r="E453" t="s">
        <v>2329</v>
      </c>
      <c r="H453" s="61"/>
      <c r="J453" t="str">
        <f>ToJsonArray(supplementary_offering_offeringid__4[[#Headers],[legacyid]:[activityId]],supplementary_offering_offeringid__4[[#This Row],[legacyid]:[activityId]])</f>
        <v>{"legacyid":"200021-40","name":"Data 0.8GB","mode":"N"}</v>
      </c>
      <c r="K453" t="str">
        <f>ToJsonArray(supplementary_offering_offeringid__4[[#This Row],[produccion]],supplementary_offering_offeringid__4[[#This Row],[json]])</f>
        <v>{"920002140":{"legacyid":"200021-40","name":"Data 0.8GB","mode":"N"}}</v>
      </c>
    </row>
    <row r="454" spans="1:11" x14ac:dyDescent="0.25">
      <c r="A454" s="61" t="s">
        <v>4612</v>
      </c>
      <c r="B454" t="s">
        <v>4611</v>
      </c>
      <c r="C454" t="str">
        <f>findKey(supplementary_offering_offeringid__4[[#This Row],[Value.legacyid]])</f>
        <v>200021-41</v>
      </c>
      <c r="D454" t="s">
        <v>5857</v>
      </c>
      <c r="E454" t="s">
        <v>2329</v>
      </c>
      <c r="H454" s="61"/>
      <c r="J454" t="str">
        <f>ToJsonArray(supplementary_offering_offeringid__4[[#Headers],[legacyid]:[activityId]],supplementary_offering_offeringid__4[[#This Row],[legacyid]:[activityId]])</f>
        <v>{"legacyid":"200021-41","name":"Data 1GB","mode":"N"}</v>
      </c>
      <c r="K454" t="str">
        <f>ToJsonArray(supplementary_offering_offeringid__4[[#This Row],[produccion]],supplementary_offering_offeringid__4[[#This Row],[json]])</f>
        <v>{"920002141":{"legacyid":"200021-41","name":"Data 1GB","mode":"N"}}</v>
      </c>
    </row>
    <row r="455" spans="1:11" x14ac:dyDescent="0.25">
      <c r="A455" s="61" t="s">
        <v>3147</v>
      </c>
      <c r="B455" t="s">
        <v>3146</v>
      </c>
      <c r="C455" t="str">
        <f>findKey(supplementary_offering_offeringid__4[[#This Row],[Value.legacyid]])</f>
        <v>200021-46</v>
      </c>
      <c r="D455" t="s">
        <v>5880</v>
      </c>
      <c r="E455" t="s">
        <v>2329</v>
      </c>
      <c r="H455" s="61"/>
      <c r="J455" t="str">
        <f>ToJsonArray(supplementary_offering_offeringid__4[[#Headers],[legacyid]:[activityId]],supplementary_offering_offeringid__4[[#This Row],[legacyid]:[activityId]])</f>
        <v>{"legacyid":"200021-46","name":"Data 4.5GB","mode":"N"}</v>
      </c>
      <c r="K455" t="str">
        <f>ToJsonArray(supplementary_offering_offeringid__4[[#This Row],[produccion]],supplementary_offering_offeringid__4[[#This Row],[json]])</f>
        <v>{"920002146":{"legacyid":"200021-46","name":"Data 4.5GB","mode":"N"}}</v>
      </c>
    </row>
    <row r="456" spans="1:11" x14ac:dyDescent="0.25">
      <c r="A456" s="61" t="s">
        <v>4063</v>
      </c>
      <c r="B456" t="s">
        <v>4062</v>
      </c>
      <c r="C456" t="str">
        <f>findKey(supplementary_offering_offeringid__4[[#This Row],[Value.legacyid]])</f>
        <v>200021-50</v>
      </c>
      <c r="D456" t="s">
        <v>5923</v>
      </c>
      <c r="E456" t="s">
        <v>2329</v>
      </c>
      <c r="H456" s="61"/>
      <c r="J456" t="str">
        <f>ToJsonArray(supplementary_offering_offeringid__4[[#Headers],[legacyid]:[activityId]],supplementary_offering_offeringid__4[[#This Row],[legacyid]:[activityId]])</f>
        <v>{"legacyid":"200021-50","name":"Data 0.8GB","mode":"N"}</v>
      </c>
      <c r="K456" t="str">
        <f>ToJsonArray(supplementary_offering_offeringid__4[[#This Row],[produccion]],supplementary_offering_offeringid__4[[#This Row],[json]])</f>
        <v>{"920002150":{"legacyid":"200021-50","name":"Data 0.8GB","mode":"N"}}</v>
      </c>
    </row>
    <row r="457" spans="1:11" x14ac:dyDescent="0.25">
      <c r="A457" s="61" t="s">
        <v>4066</v>
      </c>
      <c r="B457" t="s">
        <v>4065</v>
      </c>
      <c r="C457" t="str">
        <f>findKey(supplementary_offering_offeringid__4[[#This Row],[Value.legacyid]])</f>
        <v>200021-51</v>
      </c>
      <c r="D457" t="s">
        <v>5929</v>
      </c>
      <c r="E457" t="s">
        <v>2329</v>
      </c>
      <c r="H457" s="61"/>
      <c r="J457" t="str">
        <f>ToJsonArray(supplementary_offering_offeringid__4[[#Headers],[legacyid]:[activityId]],supplementary_offering_offeringid__4[[#This Row],[legacyid]:[activityId]])</f>
        <v>{"legacyid":"200021-51","name":"Data 1.2GB","mode":"N"}</v>
      </c>
      <c r="K457" t="str">
        <f>ToJsonArray(supplementary_offering_offeringid__4[[#This Row],[produccion]],supplementary_offering_offeringid__4[[#This Row],[json]])</f>
        <v>{"920002151":{"legacyid":"200021-51","name":"Data 1.2GB","mode":"N"}}</v>
      </c>
    </row>
    <row r="458" spans="1:11" x14ac:dyDescent="0.25">
      <c r="A458" s="61" t="s">
        <v>4069</v>
      </c>
      <c r="B458" t="s">
        <v>4068</v>
      </c>
      <c r="C458" t="str">
        <f>findKey(supplementary_offering_offeringid__4[[#This Row],[Value.legacyid]])</f>
        <v>200021-52</v>
      </c>
      <c r="D458" t="s">
        <v>5859</v>
      </c>
      <c r="E458" t="s">
        <v>2329</v>
      </c>
      <c r="H458" s="61"/>
      <c r="J458" t="str">
        <f>ToJsonArray(supplementary_offering_offeringid__4[[#Headers],[legacyid]:[activityId]],supplementary_offering_offeringid__4[[#This Row],[legacyid]:[activityId]])</f>
        <v>{"legacyid":"200021-52","name":"Data 2.5GB","mode":"N"}</v>
      </c>
      <c r="K458" t="str">
        <f>ToJsonArray(supplementary_offering_offeringid__4[[#This Row],[produccion]],supplementary_offering_offeringid__4[[#This Row],[json]])</f>
        <v>{"920002152":{"legacyid":"200021-52","name":"Data 2.5GB","mode":"N"}}</v>
      </c>
    </row>
    <row r="459" spans="1:11" x14ac:dyDescent="0.25">
      <c r="A459" s="61" t="s">
        <v>4072</v>
      </c>
      <c r="B459" t="s">
        <v>4071</v>
      </c>
      <c r="C459" t="str">
        <f>findKey(supplementary_offering_offeringid__4[[#This Row],[Value.legacyid]])</f>
        <v>200021-53</v>
      </c>
      <c r="D459" t="s">
        <v>5863</v>
      </c>
      <c r="E459" t="s">
        <v>2329</v>
      </c>
      <c r="H459" s="61"/>
      <c r="J459" t="str">
        <f>ToJsonArray(supplementary_offering_offeringid__4[[#Headers],[legacyid]:[activityId]],supplementary_offering_offeringid__4[[#This Row],[legacyid]:[activityId]])</f>
        <v>{"legacyid":"200021-53","name":"Data 3.5GB","mode":"N"}</v>
      </c>
      <c r="K459" t="str">
        <f>ToJsonArray(supplementary_offering_offeringid__4[[#This Row],[produccion]],supplementary_offering_offeringid__4[[#This Row],[json]])</f>
        <v>{"920002153":{"legacyid":"200021-53","name":"Data 3.5GB","mode":"N"}}</v>
      </c>
    </row>
    <row r="460" spans="1:11" x14ac:dyDescent="0.25">
      <c r="A460" s="61" t="s">
        <v>4075</v>
      </c>
      <c r="B460" t="s">
        <v>4074</v>
      </c>
      <c r="C460" t="str">
        <f>findKey(supplementary_offering_offeringid__4[[#This Row],[Value.legacyid]])</f>
        <v>200021-54</v>
      </c>
      <c r="D460" t="s">
        <v>5875</v>
      </c>
      <c r="E460" t="s">
        <v>2329</v>
      </c>
      <c r="H460" s="61"/>
      <c r="J460" t="str">
        <f>ToJsonArray(supplementary_offering_offeringid__4[[#Headers],[legacyid]:[activityId]],supplementary_offering_offeringid__4[[#This Row],[legacyid]:[activityId]])</f>
        <v>{"legacyid":"200021-54","name":"Data 4GB","mode":"N"}</v>
      </c>
      <c r="K460" t="str">
        <f>ToJsonArray(supplementary_offering_offeringid__4[[#This Row],[produccion]],supplementary_offering_offeringid__4[[#This Row],[json]])</f>
        <v>{"920002154":{"legacyid":"200021-54","name":"Data 4GB","mode":"N"}}</v>
      </c>
    </row>
    <row r="461" spans="1:11" x14ac:dyDescent="0.25">
      <c r="A461" s="61" t="s">
        <v>4078</v>
      </c>
      <c r="B461" t="s">
        <v>4077</v>
      </c>
      <c r="C461" t="str">
        <f>findKey(supplementary_offering_offeringid__4[[#This Row],[Value.legacyid]])</f>
        <v>200021-55</v>
      </c>
      <c r="D461" t="s">
        <v>5880</v>
      </c>
      <c r="E461" t="s">
        <v>2329</v>
      </c>
      <c r="H461" s="61"/>
      <c r="J461" t="str">
        <f>ToJsonArray(supplementary_offering_offeringid__4[[#Headers],[legacyid]:[activityId]],supplementary_offering_offeringid__4[[#This Row],[legacyid]:[activityId]])</f>
        <v>{"legacyid":"200021-55","name":"Data 4.5GB","mode":"N"}</v>
      </c>
      <c r="K461" t="str">
        <f>ToJsonArray(supplementary_offering_offeringid__4[[#This Row],[produccion]],supplementary_offering_offeringid__4[[#This Row],[json]])</f>
        <v>{"920002155":{"legacyid":"200021-55","name":"Data 4.5GB","mode":"N"}}</v>
      </c>
    </row>
    <row r="462" spans="1:11" x14ac:dyDescent="0.25">
      <c r="A462" s="61" t="s">
        <v>4081</v>
      </c>
      <c r="B462" t="s">
        <v>4080</v>
      </c>
      <c r="C462" t="str">
        <f>findKey(supplementary_offering_offeringid__4[[#This Row],[Value.legacyid]])</f>
        <v>200021-56</v>
      </c>
      <c r="D462" t="s">
        <v>5877</v>
      </c>
      <c r="E462" t="s">
        <v>2329</v>
      </c>
      <c r="H462" s="61"/>
      <c r="J462" t="str">
        <f>ToJsonArray(supplementary_offering_offeringid__4[[#Headers],[legacyid]:[activityId]],supplementary_offering_offeringid__4[[#This Row],[legacyid]:[activityId]])</f>
        <v>{"legacyid":"200021-56","name":"Data 5.5GB","mode":"N"}</v>
      </c>
      <c r="K462" t="str">
        <f>ToJsonArray(supplementary_offering_offeringid__4[[#This Row],[produccion]],supplementary_offering_offeringid__4[[#This Row],[json]])</f>
        <v>{"920002156":{"legacyid":"200021-56","name":"Data 5.5GB","mode":"N"}}</v>
      </c>
    </row>
    <row r="463" spans="1:11" x14ac:dyDescent="0.25">
      <c r="A463" s="61" t="s">
        <v>4084</v>
      </c>
      <c r="B463" t="s">
        <v>4083</v>
      </c>
      <c r="C463" t="str">
        <f>findKey(supplementary_offering_offeringid__4[[#This Row],[Value.legacyid]])</f>
        <v>200021-57</v>
      </c>
      <c r="D463" t="s">
        <v>5878</v>
      </c>
      <c r="E463" t="s">
        <v>2329</v>
      </c>
      <c r="H463" s="61"/>
      <c r="J463" t="str">
        <f>ToJsonArray(supplementary_offering_offeringid__4[[#Headers],[legacyid]:[activityId]],supplementary_offering_offeringid__4[[#This Row],[legacyid]:[activityId]])</f>
        <v>{"legacyid":"200021-57","name":"Data 6.5GB","mode":"N"}</v>
      </c>
      <c r="K463" t="str">
        <f>ToJsonArray(supplementary_offering_offeringid__4[[#This Row],[produccion]],supplementary_offering_offeringid__4[[#This Row],[json]])</f>
        <v>{"920002157":{"legacyid":"200021-57","name":"Data 6.5GB","mode":"N"}}</v>
      </c>
    </row>
    <row r="464" spans="1:11" x14ac:dyDescent="0.25">
      <c r="A464" s="61" t="s">
        <v>4087</v>
      </c>
      <c r="B464" t="s">
        <v>4086</v>
      </c>
      <c r="C464" t="str">
        <f>findKey(supplementary_offering_offeringid__4[[#This Row],[Value.legacyid]])</f>
        <v>200021-58</v>
      </c>
      <c r="D464" t="s">
        <v>5931</v>
      </c>
      <c r="E464" t="s">
        <v>2329</v>
      </c>
      <c r="H464" s="61"/>
      <c r="J464" t="str">
        <f>ToJsonArray(supplementary_offering_offeringid__4[[#Headers],[legacyid]:[activityId]],supplementary_offering_offeringid__4[[#This Row],[legacyid]:[activityId]])</f>
        <v>{"legacyid":"200021-58","name":"Data 8.5GB","mode":"N"}</v>
      </c>
      <c r="K464" t="str">
        <f>ToJsonArray(supplementary_offering_offeringid__4[[#This Row],[produccion]],supplementary_offering_offeringid__4[[#This Row],[json]])</f>
        <v>{"920002158":{"legacyid":"200021-58","name":"Data 8.5GB","mode":"N"}}</v>
      </c>
    </row>
    <row r="465" spans="1:11" x14ac:dyDescent="0.25">
      <c r="A465" s="61" t="s">
        <v>4090</v>
      </c>
      <c r="B465" t="s">
        <v>4089</v>
      </c>
      <c r="C465" t="str">
        <f>findKey(supplementary_offering_offeringid__4[[#This Row],[Value.legacyid]])</f>
        <v>200021-59</v>
      </c>
      <c r="D465" t="s">
        <v>5927</v>
      </c>
      <c r="E465" t="s">
        <v>2329</v>
      </c>
      <c r="H465" s="61"/>
      <c r="J465" t="str">
        <f>ToJsonArray(supplementary_offering_offeringid__4[[#Headers],[legacyid]:[activityId]],supplementary_offering_offeringid__4[[#This Row],[legacyid]:[activityId]])</f>
        <v>{"legacyid":"200021-59","name":"Data 17GB","mode":"N"}</v>
      </c>
      <c r="K465" t="str">
        <f>ToJsonArray(supplementary_offering_offeringid__4[[#This Row],[produccion]],supplementary_offering_offeringid__4[[#This Row],[json]])</f>
        <v>{"920002159":{"legacyid":"200021-59","name":"Data 17GB","mode":"N"}}</v>
      </c>
    </row>
    <row r="466" spans="1:11" x14ac:dyDescent="0.25">
      <c r="A466" s="61" t="s">
        <v>4093</v>
      </c>
      <c r="B466" t="s">
        <v>4092</v>
      </c>
      <c r="C466" t="str">
        <f>findKey(supplementary_offering_offeringid__4[[#This Row],[Value.legacyid]])</f>
        <v>200021-60</v>
      </c>
      <c r="D466" t="s">
        <v>5928</v>
      </c>
      <c r="E466" t="s">
        <v>2329</v>
      </c>
      <c r="H466" s="61"/>
      <c r="J466" t="str">
        <f>ToJsonArray(supplementary_offering_offeringid__4[[#Headers],[legacyid]:[activityId]],supplementary_offering_offeringid__4[[#This Row],[legacyid]:[activityId]])</f>
        <v>{"legacyid":"200021-60","name":"Data 22GB","mode":"N"}</v>
      </c>
      <c r="K466" t="str">
        <f>ToJsonArray(supplementary_offering_offeringid__4[[#This Row],[produccion]],supplementary_offering_offeringid__4[[#This Row],[json]])</f>
        <v>{"920002160":{"legacyid":"200021-60","name":"Data 22GB","mode":"N"}}</v>
      </c>
    </row>
    <row r="467" spans="1:11" x14ac:dyDescent="0.25">
      <c r="A467" s="61" t="s">
        <v>4096</v>
      </c>
      <c r="B467" t="s">
        <v>4095</v>
      </c>
      <c r="C467" t="str">
        <f>findKey(supplementary_offering_offeringid__4[[#This Row],[Value.legacyid]])</f>
        <v>200021-61</v>
      </c>
      <c r="D467" t="s">
        <v>5857</v>
      </c>
      <c r="E467" t="s">
        <v>2329</v>
      </c>
      <c r="H467" s="61"/>
      <c r="J467" t="str">
        <f>ToJsonArray(supplementary_offering_offeringid__4[[#Headers],[legacyid]:[activityId]],supplementary_offering_offeringid__4[[#This Row],[legacyid]:[activityId]])</f>
        <v>{"legacyid":"200021-61","name":"Data 1GB","mode":"N"}</v>
      </c>
      <c r="K467" t="str">
        <f>ToJsonArray(supplementary_offering_offeringid__4[[#This Row],[produccion]],supplementary_offering_offeringid__4[[#This Row],[json]])</f>
        <v>{"920002161":{"legacyid":"200021-61","name":"Data 1GB","mode":"N"}}</v>
      </c>
    </row>
    <row r="468" spans="1:11" x14ac:dyDescent="0.25">
      <c r="A468" s="61" t="s">
        <v>4099</v>
      </c>
      <c r="B468" t="s">
        <v>4098</v>
      </c>
      <c r="C468" t="str">
        <f>findKey(supplementary_offering_offeringid__4[[#This Row],[Value.legacyid]])</f>
        <v>200021-62</v>
      </c>
      <c r="D468" t="s">
        <v>5939</v>
      </c>
      <c r="E468" t="s">
        <v>2329</v>
      </c>
      <c r="H468" s="61"/>
      <c r="J468" t="str">
        <f>ToJsonArray(supplementary_offering_offeringid__4[[#Headers],[legacyid]:[activityId]],supplementary_offering_offeringid__4[[#This Row],[legacyid]:[activityId]])</f>
        <v>{"legacyid":"200021-62","name":"Data 1.7GB","mode":"N"}</v>
      </c>
      <c r="K468" t="str">
        <f>ToJsonArray(supplementary_offering_offeringid__4[[#This Row],[produccion]],supplementary_offering_offeringid__4[[#This Row],[json]])</f>
        <v>{"920002162":{"legacyid":"200021-62","name":"Data 1.7GB","mode":"N"}}</v>
      </c>
    </row>
    <row r="469" spans="1:11" x14ac:dyDescent="0.25">
      <c r="A469" s="61" t="s">
        <v>4102</v>
      </c>
      <c r="B469" t="s">
        <v>4101</v>
      </c>
      <c r="C469" t="str">
        <f>findKey(supplementary_offering_offeringid__4[[#This Row],[Value.legacyid]])</f>
        <v>200021-63</v>
      </c>
      <c r="D469" t="s">
        <v>5863</v>
      </c>
      <c r="E469" t="s">
        <v>2329</v>
      </c>
      <c r="H469" s="61"/>
      <c r="J469" t="str">
        <f>ToJsonArray(supplementary_offering_offeringid__4[[#Headers],[legacyid]:[activityId]],supplementary_offering_offeringid__4[[#This Row],[legacyid]:[activityId]])</f>
        <v>{"legacyid":"200021-63","name":"Data 3.5GB","mode":"N"}</v>
      </c>
      <c r="K469" t="str">
        <f>ToJsonArray(supplementary_offering_offeringid__4[[#This Row],[produccion]],supplementary_offering_offeringid__4[[#This Row],[json]])</f>
        <v>{"920002163":{"legacyid":"200021-63","name":"Data 3.5GB","mode":"N"}}</v>
      </c>
    </row>
    <row r="470" spans="1:11" x14ac:dyDescent="0.25">
      <c r="A470" s="61" t="s">
        <v>4105</v>
      </c>
      <c r="B470" t="s">
        <v>4104</v>
      </c>
      <c r="C470" t="str">
        <f>findKey(supplementary_offering_offeringid__4[[#This Row],[Value.legacyid]])</f>
        <v>200021-64</v>
      </c>
      <c r="D470" t="s">
        <v>5880</v>
      </c>
      <c r="E470" t="s">
        <v>2329</v>
      </c>
      <c r="H470" s="61"/>
      <c r="J470" t="str">
        <f>ToJsonArray(supplementary_offering_offeringid__4[[#Headers],[legacyid]:[activityId]],supplementary_offering_offeringid__4[[#This Row],[legacyid]:[activityId]])</f>
        <v>{"legacyid":"200021-64","name":"Data 4.5GB","mode":"N"}</v>
      </c>
      <c r="K470" t="str">
        <f>ToJsonArray(supplementary_offering_offeringid__4[[#This Row],[produccion]],supplementary_offering_offeringid__4[[#This Row],[json]])</f>
        <v>{"920002164":{"legacyid":"200021-64","name":"Data 4.5GB","mode":"N"}}</v>
      </c>
    </row>
    <row r="471" spans="1:11" x14ac:dyDescent="0.25">
      <c r="A471" s="61" t="s">
        <v>4108</v>
      </c>
      <c r="B471" t="s">
        <v>4107</v>
      </c>
      <c r="C471" t="str">
        <f>findKey(supplementary_offering_offeringid__4[[#This Row],[Value.legacyid]])</f>
        <v>200021-65</v>
      </c>
      <c r="D471" t="s">
        <v>5880</v>
      </c>
      <c r="E471" t="s">
        <v>2329</v>
      </c>
      <c r="H471" s="61"/>
      <c r="J471" t="str">
        <f>ToJsonArray(supplementary_offering_offeringid__4[[#Headers],[legacyid]:[activityId]],supplementary_offering_offeringid__4[[#This Row],[legacyid]:[activityId]])</f>
        <v>{"legacyid":"200021-65","name":"Data 4.5GB","mode":"N"}</v>
      </c>
      <c r="K471" t="str">
        <f>ToJsonArray(supplementary_offering_offeringid__4[[#This Row],[produccion]],supplementary_offering_offeringid__4[[#This Row],[json]])</f>
        <v>{"920002165":{"legacyid":"200021-65","name":"Data 4.5GB","mode":"N"}}</v>
      </c>
    </row>
    <row r="472" spans="1:11" x14ac:dyDescent="0.25">
      <c r="A472" s="61" t="s">
        <v>4111</v>
      </c>
      <c r="B472" t="s">
        <v>4110</v>
      </c>
      <c r="C472" t="str">
        <f>findKey(supplementary_offering_offeringid__4[[#This Row],[Value.legacyid]])</f>
        <v>200021-66</v>
      </c>
      <c r="D472" t="s">
        <v>5877</v>
      </c>
      <c r="E472" t="s">
        <v>2329</v>
      </c>
      <c r="H472" s="61"/>
      <c r="J472" t="str">
        <f>ToJsonArray(supplementary_offering_offeringid__4[[#Headers],[legacyid]:[activityId]],supplementary_offering_offeringid__4[[#This Row],[legacyid]:[activityId]])</f>
        <v>{"legacyid":"200021-66","name":"Data 5.5GB","mode":"N"}</v>
      </c>
      <c r="K472" t="str">
        <f>ToJsonArray(supplementary_offering_offeringid__4[[#This Row],[produccion]],supplementary_offering_offeringid__4[[#This Row],[json]])</f>
        <v>{"920002166":{"legacyid":"200021-66","name":"Data 5.5GB","mode":"N"}}</v>
      </c>
    </row>
    <row r="473" spans="1:11" x14ac:dyDescent="0.25">
      <c r="A473" s="61" t="s">
        <v>4114</v>
      </c>
      <c r="B473" t="s">
        <v>4113</v>
      </c>
      <c r="C473" t="str">
        <f>findKey(supplementary_offering_offeringid__4[[#This Row],[Value.legacyid]])</f>
        <v>200021-67</v>
      </c>
      <c r="D473" t="s">
        <v>5878</v>
      </c>
      <c r="E473" t="s">
        <v>2329</v>
      </c>
      <c r="H473" s="61"/>
      <c r="J473" t="str">
        <f>ToJsonArray(supplementary_offering_offeringid__4[[#Headers],[legacyid]:[activityId]],supplementary_offering_offeringid__4[[#This Row],[legacyid]:[activityId]])</f>
        <v>{"legacyid":"200021-67","name":"Data 6.5GB","mode":"N"}</v>
      </c>
      <c r="K473" t="str">
        <f>ToJsonArray(supplementary_offering_offeringid__4[[#This Row],[produccion]],supplementary_offering_offeringid__4[[#This Row],[json]])</f>
        <v>{"920002167":{"legacyid":"200021-67","name":"Data 6.5GB","mode":"N"}}</v>
      </c>
    </row>
    <row r="474" spans="1:11" x14ac:dyDescent="0.25">
      <c r="A474" s="61" t="s">
        <v>4117</v>
      </c>
      <c r="B474" t="s">
        <v>4116</v>
      </c>
      <c r="C474" t="str">
        <f>findKey(supplementary_offering_offeringid__4[[#This Row],[Value.legacyid]])</f>
        <v>200021-68</v>
      </c>
      <c r="D474" t="s">
        <v>5930</v>
      </c>
      <c r="E474" t="s">
        <v>2329</v>
      </c>
      <c r="H474" s="61"/>
      <c r="J474" t="str">
        <f>ToJsonArray(supplementary_offering_offeringid__4[[#Headers],[legacyid]:[activityId]],supplementary_offering_offeringid__4[[#This Row],[legacyid]:[activityId]])</f>
        <v>{"legacyid":"200021-68","name":"Data 7.5GB","mode":"N"}</v>
      </c>
      <c r="K474" t="str">
        <f>ToJsonArray(supplementary_offering_offeringid__4[[#This Row],[produccion]],supplementary_offering_offeringid__4[[#This Row],[json]])</f>
        <v>{"920002168":{"legacyid":"200021-68","name":"Data 7.5GB","mode":"N"}}</v>
      </c>
    </row>
    <row r="475" spans="1:11" x14ac:dyDescent="0.25">
      <c r="A475" s="61" t="s">
        <v>4120</v>
      </c>
      <c r="B475" t="s">
        <v>4119</v>
      </c>
      <c r="C475" t="str">
        <f>findKey(supplementary_offering_offeringid__4[[#This Row],[Value.legacyid]])</f>
        <v>200021-69</v>
      </c>
      <c r="D475" t="s">
        <v>5932</v>
      </c>
      <c r="E475" t="s">
        <v>2329</v>
      </c>
      <c r="H475" s="61"/>
      <c r="J475" t="str">
        <f>ToJsonArray(supplementary_offering_offeringid__4[[#Headers],[legacyid]:[activityId]],supplementary_offering_offeringid__4[[#This Row],[legacyid]:[activityId]])</f>
        <v>{"legacyid":"200021-69","name":"Data 9.5GB","mode":"N"}</v>
      </c>
      <c r="K475" t="str">
        <f>ToJsonArray(supplementary_offering_offeringid__4[[#This Row],[produccion]],supplementary_offering_offeringid__4[[#This Row],[json]])</f>
        <v>{"920002169":{"legacyid":"200021-69","name":"Data 9.5GB","mode":"N"}}</v>
      </c>
    </row>
    <row r="476" spans="1:11" x14ac:dyDescent="0.25">
      <c r="A476" s="61" t="s">
        <v>4123</v>
      </c>
      <c r="B476" t="s">
        <v>4122</v>
      </c>
      <c r="C476" t="str">
        <f>findKey(supplementary_offering_offeringid__4[[#This Row],[Value.legacyid]])</f>
        <v>200021-70</v>
      </c>
      <c r="D476" t="s">
        <v>5940</v>
      </c>
      <c r="E476" t="s">
        <v>2329</v>
      </c>
      <c r="H476" s="61"/>
      <c r="J476" t="str">
        <f>ToJsonArray(supplementary_offering_offeringid__4[[#Headers],[legacyid]:[activityId]],supplementary_offering_offeringid__4[[#This Row],[legacyid]:[activityId]])</f>
        <v>{"legacyid":"200021-70","name":"Data 18.5GB","mode":"N"}</v>
      </c>
      <c r="K476" t="str">
        <f>ToJsonArray(supplementary_offering_offeringid__4[[#This Row],[produccion]],supplementary_offering_offeringid__4[[#This Row],[json]])</f>
        <v>{"920002170":{"legacyid":"200021-70","name":"Data 18.5GB","mode":"N"}}</v>
      </c>
    </row>
    <row r="477" spans="1:11" x14ac:dyDescent="0.25">
      <c r="A477" s="61" t="s">
        <v>4126</v>
      </c>
      <c r="B477" t="s">
        <v>4125</v>
      </c>
      <c r="C477" t="str">
        <f>findKey(supplementary_offering_offeringid__4[[#This Row],[Value.legacyid]])</f>
        <v>200021-71</v>
      </c>
      <c r="D477" t="s">
        <v>5941</v>
      </c>
      <c r="E477" t="s">
        <v>2329</v>
      </c>
      <c r="H477" s="61"/>
      <c r="J477" t="str">
        <f>ToJsonArray(supplementary_offering_offeringid__4[[#Headers],[legacyid]:[activityId]],supplementary_offering_offeringid__4[[#This Row],[legacyid]:[activityId]])</f>
        <v>{"legacyid":"200021-71","name":"Data 23.5GB","mode":"N"}</v>
      </c>
      <c r="K477" t="str">
        <f>ToJsonArray(supplementary_offering_offeringid__4[[#This Row],[produccion]],supplementary_offering_offeringid__4[[#This Row],[json]])</f>
        <v>{"920002171":{"legacyid":"200021-71","name":"Data 23.5GB","mode":"N"}}</v>
      </c>
    </row>
    <row r="478" spans="1:11" x14ac:dyDescent="0.25">
      <c r="A478" s="61" t="s">
        <v>4129</v>
      </c>
      <c r="B478" t="s">
        <v>4128</v>
      </c>
      <c r="C478" t="str">
        <f>findKey(supplementary_offering_offeringid__4[[#This Row],[Value.legacyid]])</f>
        <v>200021-72</v>
      </c>
      <c r="D478" t="s">
        <v>5863</v>
      </c>
      <c r="E478" t="s">
        <v>2329</v>
      </c>
      <c r="H478" s="61"/>
      <c r="J478" t="str">
        <f>ToJsonArray(supplementary_offering_offeringid__4[[#Headers],[legacyid]:[activityId]],supplementary_offering_offeringid__4[[#This Row],[legacyid]:[activityId]])</f>
        <v>{"legacyid":"200021-72","name":"Data 3.5GB","mode":"N"}</v>
      </c>
      <c r="K478" t="str">
        <f>ToJsonArray(supplementary_offering_offeringid__4[[#This Row],[produccion]],supplementary_offering_offeringid__4[[#This Row],[json]])</f>
        <v>{"920002172":{"legacyid":"200021-72","name":"Data 3.5GB","mode":"N"}}</v>
      </c>
    </row>
    <row r="479" spans="1:11" x14ac:dyDescent="0.25">
      <c r="A479" s="61" t="s">
        <v>4132</v>
      </c>
      <c r="B479" t="s">
        <v>4131</v>
      </c>
      <c r="C479" t="str">
        <f>findKey(supplementary_offering_offeringid__4[[#This Row],[Value.legacyid]])</f>
        <v>200021-73</v>
      </c>
      <c r="D479" t="s">
        <v>5880</v>
      </c>
      <c r="E479" t="s">
        <v>2329</v>
      </c>
      <c r="H479" s="61"/>
      <c r="J479" t="str">
        <f>ToJsonArray(supplementary_offering_offeringid__4[[#Headers],[legacyid]:[activityId]],supplementary_offering_offeringid__4[[#This Row],[legacyid]:[activityId]])</f>
        <v>{"legacyid":"200021-73","name":"Data 4.5GB","mode":"N"}</v>
      </c>
      <c r="K479" t="str">
        <f>ToJsonArray(supplementary_offering_offeringid__4[[#This Row],[produccion]],supplementary_offering_offeringid__4[[#This Row],[json]])</f>
        <v>{"920002173":{"legacyid":"200021-73","name":"Data 4.5GB","mode":"N"}}</v>
      </c>
    </row>
    <row r="480" spans="1:11" x14ac:dyDescent="0.25">
      <c r="A480" s="61" t="s">
        <v>4135</v>
      </c>
      <c r="B480" t="s">
        <v>4134</v>
      </c>
      <c r="C480" t="str">
        <f>findKey(supplementary_offering_offeringid__4[[#This Row],[Value.legacyid]])</f>
        <v>200021-74</v>
      </c>
      <c r="D480" t="s">
        <v>5877</v>
      </c>
      <c r="E480" t="s">
        <v>2329</v>
      </c>
      <c r="H480" s="61"/>
      <c r="J480" t="str">
        <f>ToJsonArray(supplementary_offering_offeringid__4[[#Headers],[legacyid]:[activityId]],supplementary_offering_offeringid__4[[#This Row],[legacyid]:[activityId]])</f>
        <v>{"legacyid":"200021-74","name":"Data 5.5GB","mode":"N"}</v>
      </c>
      <c r="K480" t="str">
        <f>ToJsonArray(supplementary_offering_offeringid__4[[#This Row],[produccion]],supplementary_offering_offeringid__4[[#This Row],[json]])</f>
        <v>{"920002174":{"legacyid":"200021-74","name":"Data 5.5GB","mode":"N"}}</v>
      </c>
    </row>
    <row r="481" spans="1:11" x14ac:dyDescent="0.25">
      <c r="A481" s="61" t="s">
        <v>4138</v>
      </c>
      <c r="B481" t="s">
        <v>4137</v>
      </c>
      <c r="C481" t="str">
        <f>findKey(supplementary_offering_offeringid__4[[#This Row],[Value.legacyid]])</f>
        <v>200021-75</v>
      </c>
      <c r="D481" t="s">
        <v>5878</v>
      </c>
      <c r="E481" t="s">
        <v>2329</v>
      </c>
      <c r="H481" s="61"/>
      <c r="J481" t="str">
        <f>ToJsonArray(supplementary_offering_offeringid__4[[#Headers],[legacyid]:[activityId]],supplementary_offering_offeringid__4[[#This Row],[legacyid]:[activityId]])</f>
        <v>{"legacyid":"200021-75","name":"Data 6.5GB","mode":"N"}</v>
      </c>
      <c r="K481" t="str">
        <f>ToJsonArray(supplementary_offering_offeringid__4[[#This Row],[produccion]],supplementary_offering_offeringid__4[[#This Row],[json]])</f>
        <v>{"920002175":{"legacyid":"200021-75","name":"Data 6.5GB","mode":"N"}}</v>
      </c>
    </row>
    <row r="482" spans="1:11" x14ac:dyDescent="0.25">
      <c r="A482" s="61" t="s">
        <v>4141</v>
      </c>
      <c r="B482" t="s">
        <v>4140</v>
      </c>
      <c r="C482" t="str">
        <f>findKey(supplementary_offering_offeringid__4[[#This Row],[Value.legacyid]])</f>
        <v>200021-76</v>
      </c>
      <c r="D482" t="s">
        <v>5930</v>
      </c>
      <c r="E482" t="s">
        <v>2329</v>
      </c>
      <c r="H482" s="61"/>
      <c r="J482" t="str">
        <f>ToJsonArray(supplementary_offering_offeringid__4[[#Headers],[legacyid]:[activityId]],supplementary_offering_offeringid__4[[#This Row],[legacyid]:[activityId]])</f>
        <v>{"legacyid":"200021-76","name":"Data 7.5GB","mode":"N"}</v>
      </c>
      <c r="K482" t="str">
        <f>ToJsonArray(supplementary_offering_offeringid__4[[#This Row],[produccion]],supplementary_offering_offeringid__4[[#This Row],[json]])</f>
        <v>{"920002176":{"legacyid":"200021-76","name":"Data 7.5GB","mode":"N"}}</v>
      </c>
    </row>
    <row r="483" spans="1:11" x14ac:dyDescent="0.25">
      <c r="A483" s="61" t="s">
        <v>4144</v>
      </c>
      <c r="B483" t="s">
        <v>4143</v>
      </c>
      <c r="C483" t="str">
        <f>findKey(supplementary_offering_offeringid__4[[#This Row],[Value.legacyid]])</f>
        <v>200021-77</v>
      </c>
      <c r="D483" t="s">
        <v>5932</v>
      </c>
      <c r="E483" t="s">
        <v>2329</v>
      </c>
      <c r="H483" s="61"/>
      <c r="J483" t="str">
        <f>ToJsonArray(supplementary_offering_offeringid__4[[#Headers],[legacyid]:[activityId]],supplementary_offering_offeringid__4[[#This Row],[legacyid]:[activityId]])</f>
        <v>{"legacyid":"200021-77","name":"Data 9.5GB","mode":"N"}</v>
      </c>
      <c r="K483" t="str">
        <f>ToJsonArray(supplementary_offering_offeringid__4[[#This Row],[produccion]],supplementary_offering_offeringid__4[[#This Row],[json]])</f>
        <v>{"920002177":{"legacyid":"200021-77","name":"Data 9.5GB","mode":"N"}}</v>
      </c>
    </row>
    <row r="484" spans="1:11" x14ac:dyDescent="0.25">
      <c r="A484" s="61" t="s">
        <v>4147</v>
      </c>
      <c r="B484" t="s">
        <v>4146</v>
      </c>
      <c r="C484" t="str">
        <f>findKey(supplementary_offering_offeringid__4[[#This Row],[Value.legacyid]])</f>
        <v>200021-78</v>
      </c>
      <c r="D484" t="s">
        <v>5942</v>
      </c>
      <c r="E484" t="s">
        <v>2329</v>
      </c>
      <c r="H484" s="61"/>
      <c r="J484" t="str">
        <f>ToJsonArray(supplementary_offering_offeringid__4[[#Headers],[legacyid]:[activityId]],supplementary_offering_offeringid__4[[#This Row],[legacyid]:[activityId]])</f>
        <v>{"legacyid":"200021-78","name":"Data 0.5GB","mode":"N"}</v>
      </c>
      <c r="K484" t="str">
        <f>ToJsonArray(supplementary_offering_offeringid__4[[#This Row],[produccion]],supplementary_offering_offeringid__4[[#This Row],[json]])</f>
        <v>{"920002178":{"legacyid":"200021-78","name":"Data 0.5GB","mode":"N"}}</v>
      </c>
    </row>
    <row r="485" spans="1:11" x14ac:dyDescent="0.25">
      <c r="A485" s="61" t="s">
        <v>4150</v>
      </c>
      <c r="B485" t="s">
        <v>4149</v>
      </c>
      <c r="C485" t="str">
        <f>findKey(supplementary_offering_offeringid__4[[#This Row],[Value.legacyid]])</f>
        <v>200021-79</v>
      </c>
      <c r="D485" t="s">
        <v>5923</v>
      </c>
      <c r="E485" t="s">
        <v>2329</v>
      </c>
      <c r="H485" s="61"/>
      <c r="J485" t="str">
        <f>ToJsonArray(supplementary_offering_offeringid__4[[#Headers],[legacyid]:[activityId]],supplementary_offering_offeringid__4[[#This Row],[legacyid]:[activityId]])</f>
        <v>{"legacyid":"200021-79","name":"Data 0.8GB","mode":"N"}</v>
      </c>
      <c r="K485" t="str">
        <f>ToJsonArray(supplementary_offering_offeringid__4[[#This Row],[produccion]],supplementary_offering_offeringid__4[[#This Row],[json]])</f>
        <v>{"920002179":{"legacyid":"200021-79","name":"Data 0.8GB","mode":"N"}}</v>
      </c>
    </row>
    <row r="486" spans="1:11" x14ac:dyDescent="0.25">
      <c r="A486" s="61" t="s">
        <v>4153</v>
      </c>
      <c r="B486" t="s">
        <v>4152</v>
      </c>
      <c r="C486" t="str">
        <f>findKey(supplementary_offering_offeringid__4[[#This Row],[Value.legacyid]])</f>
        <v>200021-80</v>
      </c>
      <c r="D486" t="s">
        <v>5857</v>
      </c>
      <c r="E486" t="s">
        <v>2329</v>
      </c>
      <c r="H486" s="61"/>
      <c r="J486" t="str">
        <f>ToJsonArray(supplementary_offering_offeringid__4[[#Headers],[legacyid]:[activityId]],supplementary_offering_offeringid__4[[#This Row],[legacyid]:[activityId]])</f>
        <v>{"legacyid":"200021-80","name":"Data 1GB","mode":"N"}</v>
      </c>
      <c r="K486" t="str">
        <f>ToJsonArray(supplementary_offering_offeringid__4[[#This Row],[produccion]],supplementary_offering_offeringid__4[[#This Row],[json]])</f>
        <v>{"920002180":{"legacyid":"200021-80","name":"Data 1GB","mode":"N"}}</v>
      </c>
    </row>
    <row r="487" spans="1:11" x14ac:dyDescent="0.25">
      <c r="A487" s="61" t="s">
        <v>4156</v>
      </c>
      <c r="B487" t="s">
        <v>4155</v>
      </c>
      <c r="C487" t="str">
        <f>findKey(supplementary_offering_offeringid__4[[#This Row],[Value.legacyid]])</f>
        <v>200021-81</v>
      </c>
      <c r="D487" t="s">
        <v>5914</v>
      </c>
      <c r="E487" t="s">
        <v>2329</v>
      </c>
      <c r="H487" s="61"/>
      <c r="J487" t="str">
        <f>ToJsonArray(supplementary_offering_offeringid__4[[#Headers],[legacyid]:[activityId]],supplementary_offering_offeringid__4[[#This Row],[legacyid]:[activityId]])</f>
        <v>{"legacyid":"200021-81","name":"Data 12GB","mode":"N"}</v>
      </c>
      <c r="K487" t="str">
        <f>ToJsonArray(supplementary_offering_offeringid__4[[#This Row],[produccion]],supplementary_offering_offeringid__4[[#This Row],[json]])</f>
        <v>{"920002181":{"legacyid":"200021-81","name":"Data 12GB","mode":"N"}}</v>
      </c>
    </row>
    <row r="488" spans="1:11" x14ac:dyDescent="0.25">
      <c r="A488" s="61" t="s">
        <v>4159</v>
      </c>
      <c r="B488" t="s">
        <v>4158</v>
      </c>
      <c r="C488" t="str">
        <f>findKey(supplementary_offering_offeringid__4[[#This Row],[Value.legacyid]])</f>
        <v>200021-82</v>
      </c>
      <c r="D488" t="s">
        <v>5921</v>
      </c>
      <c r="E488" t="s">
        <v>2329</v>
      </c>
      <c r="H488" s="61"/>
      <c r="J488" t="str">
        <f>ToJsonArray(supplementary_offering_offeringid__4[[#Headers],[legacyid]:[activityId]],supplementary_offering_offeringid__4[[#This Row],[legacyid]:[activityId]])</f>
        <v>{"legacyid":"200021-82","name":"Data 20GB","mode":"N"}</v>
      </c>
      <c r="K488" t="str">
        <f>ToJsonArray(supplementary_offering_offeringid__4[[#This Row],[produccion]],supplementary_offering_offeringid__4[[#This Row],[json]])</f>
        <v>{"920002182":{"legacyid":"200021-82","name":"Data 20GB","mode":"N"}}</v>
      </c>
    </row>
    <row r="489" spans="1:11" x14ac:dyDescent="0.25">
      <c r="A489" s="61" t="s">
        <v>5014</v>
      </c>
      <c r="B489" t="s">
        <v>5013</v>
      </c>
      <c r="C489" t="str">
        <f>findKey(supplementary_offering_offeringid__4[[#This Row],[Value.legacyid]])</f>
        <v>200021-83</v>
      </c>
      <c r="D489" t="s">
        <v>5863</v>
      </c>
      <c r="E489" t="s">
        <v>2329</v>
      </c>
      <c r="H489" s="61"/>
      <c r="J489" t="str">
        <f>ToJsonArray(supplementary_offering_offeringid__4[[#Headers],[legacyid]:[activityId]],supplementary_offering_offeringid__4[[#This Row],[legacyid]:[activityId]])</f>
        <v>{"legacyid":"200021-83","name":"Data 3.5GB","mode":"N"}</v>
      </c>
      <c r="K489" t="str">
        <f>ToJsonArray(supplementary_offering_offeringid__4[[#This Row],[produccion]],supplementary_offering_offeringid__4[[#This Row],[json]])</f>
        <v>{"920002183":{"legacyid":"200021-83","name":"Data 3.5GB","mode":"N"}}</v>
      </c>
    </row>
    <row r="490" spans="1:11" x14ac:dyDescent="0.25">
      <c r="A490" s="61" t="s">
        <v>5023</v>
      </c>
      <c r="B490" t="s">
        <v>5022</v>
      </c>
      <c r="C490" t="str">
        <f>findKey(supplementary_offering_offeringid__4[[#This Row],[Value.legacyid]])</f>
        <v>200021-84</v>
      </c>
      <c r="D490" t="s">
        <v>5875</v>
      </c>
      <c r="E490" t="s">
        <v>2329</v>
      </c>
      <c r="H490" s="61"/>
      <c r="J490" t="str">
        <f>ToJsonArray(supplementary_offering_offeringid__4[[#Headers],[legacyid]:[activityId]],supplementary_offering_offeringid__4[[#This Row],[legacyid]:[activityId]])</f>
        <v>{"legacyid":"200021-84","name":"Data 4GB","mode":"N"}</v>
      </c>
      <c r="K490" t="str">
        <f>ToJsonArray(supplementary_offering_offeringid__4[[#This Row],[produccion]],supplementary_offering_offeringid__4[[#This Row],[json]])</f>
        <v>{"920002184":{"legacyid":"200021-84","name":"Data 4GB","mode":"N"}}</v>
      </c>
    </row>
    <row r="491" spans="1:11" x14ac:dyDescent="0.25">
      <c r="A491" s="61" t="s">
        <v>4162</v>
      </c>
      <c r="B491" t="s">
        <v>4161</v>
      </c>
      <c r="C491" t="str">
        <f>findKey(supplementary_offering_offeringid__4[[#This Row],[Value.legacyid]])</f>
        <v>200021-85</v>
      </c>
      <c r="D491" t="s">
        <v>5880</v>
      </c>
      <c r="E491" t="s">
        <v>2329</v>
      </c>
      <c r="H491" s="61"/>
      <c r="J491" t="str">
        <f>ToJsonArray(supplementary_offering_offeringid__4[[#Headers],[legacyid]:[activityId]],supplementary_offering_offeringid__4[[#This Row],[legacyid]:[activityId]])</f>
        <v>{"legacyid":"200021-85","name":"Data 4.5GB","mode":"N"}</v>
      </c>
      <c r="K491" t="str">
        <f>ToJsonArray(supplementary_offering_offeringid__4[[#This Row],[produccion]],supplementary_offering_offeringid__4[[#This Row],[json]])</f>
        <v>{"920002185":{"legacyid":"200021-85","name":"Data 4.5GB","mode":"N"}}</v>
      </c>
    </row>
    <row r="492" spans="1:11" x14ac:dyDescent="0.25">
      <c r="A492" s="61" t="s">
        <v>3150</v>
      </c>
      <c r="B492" t="s">
        <v>3149</v>
      </c>
      <c r="C492" t="str">
        <f>findKey(supplementary_offering_offeringid__4[[#This Row],[Value.legacyid]])</f>
        <v>200101-01</v>
      </c>
      <c r="D492" t="s">
        <v>5943</v>
      </c>
      <c r="E492" t="s">
        <v>2189</v>
      </c>
      <c r="H492" s="61"/>
      <c r="J492" t="str">
        <f>ToJsonArray(supplementary_offering_offeringid__4[[#Headers],[legacyid]:[activityId]],supplementary_offering_offeringid__4[[#This Row],[legacyid]:[activityId]])</f>
        <v>{"legacyid":"200101-01","name":"Data - Regalo","mode":"I"}</v>
      </c>
      <c r="K492" t="str">
        <f>ToJsonArray(supplementary_offering_offeringid__4[[#This Row],[produccion]],supplementary_offering_offeringid__4[[#This Row],[json]])</f>
        <v>{"920010101":{"legacyid":"200101-01","name":"Data - Regalo","mode":"I"}}</v>
      </c>
    </row>
    <row r="493" spans="1:11" x14ac:dyDescent="0.25">
      <c r="A493" s="61" t="s">
        <v>3153</v>
      </c>
      <c r="B493" t="s">
        <v>3152</v>
      </c>
      <c r="C493" t="str">
        <f>findKey(supplementary_offering_offeringid__4[[#This Row],[Value.legacyid]])</f>
        <v>200103-01</v>
      </c>
      <c r="D493" t="s">
        <v>5944</v>
      </c>
      <c r="E493" t="s">
        <v>2189</v>
      </c>
      <c r="H493" s="61"/>
      <c r="J493" t="str">
        <f>ToJsonArray(supplementary_offering_offeringid__4[[#Headers],[legacyid]:[activityId]],supplementary_offering_offeringid__4[[#This Row],[legacyid]:[activityId]])</f>
        <v>{"legacyid":"200103-01","name":"BlackBerry Regalo","mode":"I"}</v>
      </c>
      <c r="K493" t="str">
        <f>ToJsonArray(supplementary_offering_offeringid__4[[#This Row],[produccion]],supplementary_offering_offeringid__4[[#This Row],[json]])</f>
        <v>{"920010301":{"legacyid":"200103-01","name":"BlackBerry Regalo","mode":"I"}}</v>
      </c>
    </row>
    <row r="494" spans="1:11" x14ac:dyDescent="0.25">
      <c r="A494" s="61" t="s">
        <v>4615</v>
      </c>
      <c r="B494" t="s">
        <v>4614</v>
      </c>
      <c r="C494" t="str">
        <f>findKey(supplementary_offering_offeringid__4[[#This Row],[Value.legacyid]])</f>
        <v>300301-01</v>
      </c>
      <c r="D494" t="s">
        <v>5945</v>
      </c>
      <c r="E494" t="s">
        <v>2329</v>
      </c>
      <c r="H494" s="61"/>
      <c r="J494" t="str">
        <f>ToJsonArray(supplementary_offering_offeringid__4[[#Headers],[legacyid]:[activityId]],supplementary_offering_offeringid__4[[#This Row],[legacyid]:[activityId]])</f>
        <v>{"legacyid":"300301-01","name":"Sms - OnNet - Bajo","mode":"N"}</v>
      </c>
      <c r="K494" t="str">
        <f>ToJsonArray(supplementary_offering_offeringid__4[[#This Row],[produccion]],supplementary_offering_offeringid__4[[#This Row],[json]])</f>
        <v>{"930030101":{"legacyid":"300301-01","name":"Sms - OnNet - Bajo","mode":"N"}}</v>
      </c>
    </row>
    <row r="495" spans="1:11" x14ac:dyDescent="0.25">
      <c r="A495" s="61" t="s">
        <v>4618</v>
      </c>
      <c r="B495" t="s">
        <v>4617</v>
      </c>
      <c r="C495" t="str">
        <f>findKey(supplementary_offering_offeringid__4[[#This Row],[Value.legacyid]])</f>
        <v>300301-03</v>
      </c>
      <c r="D495" t="s">
        <v>5946</v>
      </c>
      <c r="E495" t="s">
        <v>2329</v>
      </c>
      <c r="H495" s="61"/>
      <c r="J495" t="str">
        <f>ToJsonArray(supplementary_offering_offeringid__4[[#Headers],[legacyid]:[activityId]],supplementary_offering_offeringid__4[[#This Row],[legacyid]:[activityId]])</f>
        <v>{"legacyid":"300301-03","name":"Sms - OnNet - Medio","mode":"N"}</v>
      </c>
      <c r="K495" t="str">
        <f>ToJsonArray(supplementary_offering_offeringid__4[[#This Row],[produccion]],supplementary_offering_offeringid__4[[#This Row],[json]])</f>
        <v>{"930030103":{"legacyid":"300301-03","name":"Sms - OnNet - Medio","mode":"N"}}</v>
      </c>
    </row>
    <row r="496" spans="1:11" x14ac:dyDescent="0.25">
      <c r="A496" s="61" t="s">
        <v>4621</v>
      </c>
      <c r="B496" t="s">
        <v>4620</v>
      </c>
      <c r="C496" t="str">
        <f>findKey(supplementary_offering_offeringid__4[[#This Row],[Value.legacyid]])</f>
        <v>300301-04</v>
      </c>
      <c r="D496" t="s">
        <v>5947</v>
      </c>
      <c r="E496" t="s">
        <v>2329</v>
      </c>
      <c r="H496" s="61"/>
      <c r="J496" t="str">
        <f>ToJsonArray(supplementary_offering_offeringid__4[[#Headers],[legacyid]:[activityId]],supplementary_offering_offeringid__4[[#This Row],[legacyid]:[activityId]])</f>
        <v>{"legacyid":"300301-04","name":"Sms-OnNet-1000","mode":"N"}</v>
      </c>
      <c r="K496" t="str">
        <f>ToJsonArray(supplementary_offering_offeringid__4[[#This Row],[produccion]],supplementary_offering_offeringid__4[[#This Row],[json]])</f>
        <v>{"930030104":{"legacyid":"300301-04","name":"Sms-OnNet-1000","mode":"N"}}</v>
      </c>
    </row>
    <row r="497" spans="1:11" x14ac:dyDescent="0.25">
      <c r="A497" s="61" t="s">
        <v>4624</v>
      </c>
      <c r="B497" t="s">
        <v>4623</v>
      </c>
      <c r="C497" t="str">
        <f>findKey(supplementary_offering_offeringid__4[[#This Row],[Value.legacyid]])</f>
        <v>300301-08</v>
      </c>
      <c r="D497" t="s">
        <v>5948</v>
      </c>
      <c r="E497" t="s">
        <v>2329</v>
      </c>
      <c r="H497" s="61"/>
      <c r="J497" t="str">
        <f>ToJsonArray(supplementary_offering_offeringid__4[[#Headers],[legacyid]:[activityId]],supplementary_offering_offeringid__4[[#This Row],[legacyid]:[activityId]])</f>
        <v>{"legacyid":"300301-08","name":"Sms-OnNet-100s","mode":"N"}</v>
      </c>
      <c r="K497" t="str">
        <f>ToJsonArray(supplementary_offering_offeringid__4[[#This Row],[produccion]],supplementary_offering_offeringid__4[[#This Row],[json]])</f>
        <v>{"930030108":{"legacyid":"300301-08","name":"Sms-OnNet-100s","mode":"N"}}</v>
      </c>
    </row>
    <row r="498" spans="1:11" x14ac:dyDescent="0.25">
      <c r="A498" s="61" t="s">
        <v>3156</v>
      </c>
      <c r="B498" t="s">
        <v>3155</v>
      </c>
      <c r="C498" t="str">
        <f>findKey(supplementary_offering_offeringid__4[[#This Row],[Value.legacyid]])</f>
        <v>300301-15</v>
      </c>
      <c r="D498" t="s">
        <v>5949</v>
      </c>
      <c r="E498" t="s">
        <v>2329</v>
      </c>
      <c r="H498" s="61"/>
      <c r="J498" t="str">
        <f>ToJsonArray(supplementary_offering_offeringid__4[[#Headers],[legacyid]:[activityId]],supplementary_offering_offeringid__4[[#This Row],[legacyid]:[activityId]])</f>
        <v>{"legacyid":"300301-15","name":"Sms-OnNet-5000D","mode":"N"}</v>
      </c>
      <c r="K498" t="str">
        <f>ToJsonArray(supplementary_offering_offeringid__4[[#This Row],[produccion]],supplementary_offering_offeringid__4[[#This Row],[json]])</f>
        <v>{"930030115":{"legacyid":"300301-15","name":"Sms-OnNet-5000D","mode":"N"}}</v>
      </c>
    </row>
    <row r="499" spans="1:11" x14ac:dyDescent="0.25">
      <c r="A499" s="61" t="s">
        <v>4627</v>
      </c>
      <c r="B499" t="s">
        <v>4626</v>
      </c>
      <c r="C499" t="str">
        <f>findKey(supplementary_offering_offeringid__4[[#This Row],[Value.legacyid]])</f>
        <v>300302-00</v>
      </c>
      <c r="D499" t="s">
        <v>5950</v>
      </c>
      <c r="E499" t="s">
        <v>2329</v>
      </c>
      <c r="H499" s="61"/>
      <c r="J499" t="str">
        <f>ToJsonArray(supplementary_offering_offeringid__4[[#Headers],[legacyid]:[activityId]],supplementary_offering_offeringid__4[[#This Row],[legacyid]:[activityId]])</f>
        <v>{"legacyid":"300302-00","name":"Sms - Todo destino - Bajo 0","mode":"N"}</v>
      </c>
      <c r="K499" t="str">
        <f>ToJsonArray(supplementary_offering_offeringid__4[[#This Row],[produccion]],supplementary_offering_offeringid__4[[#This Row],[json]])</f>
        <v>{"930030200":{"legacyid":"300302-00","name":"Sms - Todo destino - Bajo 0","mode":"N"}}</v>
      </c>
    </row>
    <row r="500" spans="1:11" x14ac:dyDescent="0.25">
      <c r="A500" s="61" t="s">
        <v>4630</v>
      </c>
      <c r="B500" t="s">
        <v>4629</v>
      </c>
      <c r="C500" t="str">
        <f>findKey(supplementary_offering_offeringid__4[[#This Row],[Value.legacyid]])</f>
        <v>300302-01</v>
      </c>
      <c r="D500" t="s">
        <v>5951</v>
      </c>
      <c r="E500" t="s">
        <v>2329</v>
      </c>
      <c r="H500" s="61"/>
      <c r="J500" t="str">
        <f>ToJsonArray(supplementary_offering_offeringid__4[[#Headers],[legacyid]:[activityId]],supplementary_offering_offeringid__4[[#This Row],[legacyid]:[activityId]])</f>
        <v>{"legacyid":"300302-01","name":"Sms - Todo destino - Bajo 1","mode":"N"}</v>
      </c>
      <c r="K500" t="str">
        <f>ToJsonArray(supplementary_offering_offeringid__4[[#This Row],[produccion]],supplementary_offering_offeringid__4[[#This Row],[json]])</f>
        <v>{"930030201":{"legacyid":"300302-01","name":"Sms - Todo destino - Bajo 1","mode":"N"}}</v>
      </c>
    </row>
    <row r="501" spans="1:11" x14ac:dyDescent="0.25">
      <c r="A501" s="61" t="s">
        <v>4633</v>
      </c>
      <c r="B501" t="s">
        <v>4632</v>
      </c>
      <c r="C501" t="str">
        <f>findKey(supplementary_offering_offeringid__4[[#This Row],[Value.legacyid]])</f>
        <v>300302-02</v>
      </c>
      <c r="D501" t="s">
        <v>5952</v>
      </c>
      <c r="E501" t="s">
        <v>2329</v>
      </c>
      <c r="H501" s="61"/>
      <c r="J501" t="str">
        <f>ToJsonArray(supplementary_offering_offeringid__4[[#Headers],[legacyid]:[activityId]],supplementary_offering_offeringid__4[[#This Row],[legacyid]:[activityId]])</f>
        <v>{"legacyid":"300302-02","name":"Sms-TD-Bajo 2-50sms","mode":"N"}</v>
      </c>
      <c r="K501" t="str">
        <f>ToJsonArray(supplementary_offering_offeringid__4[[#This Row],[produccion]],supplementary_offering_offeringid__4[[#This Row],[json]])</f>
        <v>{"930030202":{"legacyid":"300302-02","name":"Sms-TD-Bajo 2-50sms","mode":"N"}}</v>
      </c>
    </row>
    <row r="502" spans="1:11" x14ac:dyDescent="0.25">
      <c r="A502" s="61" t="s">
        <v>4636</v>
      </c>
      <c r="B502" t="s">
        <v>4635</v>
      </c>
      <c r="C502" t="str">
        <f>findKey(supplementary_offering_offeringid__4[[#This Row],[Value.legacyid]])</f>
        <v>300302-04</v>
      </c>
      <c r="D502" t="s">
        <v>5953</v>
      </c>
      <c r="E502" t="s">
        <v>2329</v>
      </c>
      <c r="H502" s="61"/>
      <c r="J502" t="str">
        <f>ToJsonArray(supplementary_offering_offeringid__4[[#Headers],[legacyid]:[activityId]],supplementary_offering_offeringid__4[[#This Row],[legacyid]:[activityId]])</f>
        <v>{"legacyid":"300302-04","name":"Sms-TD-Medio 2-100sms","mode":"N"}</v>
      </c>
      <c r="K502" t="str">
        <f>ToJsonArray(supplementary_offering_offeringid__4[[#This Row],[produccion]],supplementary_offering_offeringid__4[[#This Row],[json]])</f>
        <v>{"930030204":{"legacyid":"300302-04","name":"Sms-TD-Medio 2-100sms","mode":"N"}}</v>
      </c>
    </row>
    <row r="503" spans="1:11" x14ac:dyDescent="0.25">
      <c r="A503" s="61" t="s">
        <v>4639</v>
      </c>
      <c r="B503" t="s">
        <v>4638</v>
      </c>
      <c r="C503" t="str">
        <f>findKey(supplementary_offering_offeringid__4[[#This Row],[Value.legacyid]])</f>
        <v>300302-06</v>
      </c>
      <c r="D503" t="s">
        <v>5954</v>
      </c>
      <c r="E503" t="s">
        <v>2329</v>
      </c>
      <c r="H503" s="61"/>
      <c r="J503" t="str">
        <f>ToJsonArray(supplementary_offering_offeringid__4[[#Headers],[legacyid]:[activityId]],supplementary_offering_offeringid__4[[#This Row],[legacyid]:[activityId]])</f>
        <v>{"legacyid":"300302-06","name":"Sms-TD-10s","mode":"N"}</v>
      </c>
      <c r="K503" t="str">
        <f>ToJsonArray(supplementary_offering_offeringid__4[[#This Row],[produccion]],supplementary_offering_offeringid__4[[#This Row],[json]])</f>
        <v>{"930030206":{"legacyid":"300302-06","name":"Sms-TD-10s","mode":"N"}}</v>
      </c>
    </row>
    <row r="504" spans="1:11" x14ac:dyDescent="0.25">
      <c r="A504" s="61" t="s">
        <v>4642</v>
      </c>
      <c r="B504" t="s">
        <v>4641</v>
      </c>
      <c r="C504" t="str">
        <f>findKey(supplementary_offering_offeringid__4[[#This Row],[Value.legacyid]])</f>
        <v>300302-07</v>
      </c>
      <c r="D504" t="s">
        <v>5955</v>
      </c>
      <c r="E504" t="s">
        <v>2329</v>
      </c>
      <c r="H504" s="61"/>
      <c r="J504" t="str">
        <f>ToJsonArray(supplementary_offering_offeringid__4[[#Headers],[legacyid]:[activityId]],supplementary_offering_offeringid__4[[#This Row],[legacyid]:[activityId]])</f>
        <v>{"legacyid":"300302-07","name":"Sms-TD-20s","mode":"N"}</v>
      </c>
      <c r="K504" t="str">
        <f>ToJsonArray(supplementary_offering_offeringid__4[[#This Row],[produccion]],supplementary_offering_offeringid__4[[#This Row],[json]])</f>
        <v>{"930030207":{"legacyid":"300302-07","name":"Sms-TD-20s","mode":"N"}}</v>
      </c>
    </row>
    <row r="505" spans="1:11" x14ac:dyDescent="0.25">
      <c r="A505" s="61" t="s">
        <v>4645</v>
      </c>
      <c r="B505" t="s">
        <v>4644</v>
      </c>
      <c r="C505" t="str">
        <f>findKey(supplementary_offering_offeringid__4[[#This Row],[Value.legacyid]])</f>
        <v>300302-08</v>
      </c>
      <c r="D505" t="s">
        <v>5956</v>
      </c>
      <c r="E505" t="s">
        <v>2329</v>
      </c>
      <c r="H505" s="61"/>
      <c r="J505" t="str">
        <f>ToJsonArray(supplementary_offering_offeringid__4[[#Headers],[legacyid]:[activityId]],supplementary_offering_offeringid__4[[#This Row],[legacyid]:[activityId]])</f>
        <v>{"legacyid":"300302-08","name":"Sms-TD-40s","mode":"N"}</v>
      </c>
      <c r="K505" t="str">
        <f>ToJsonArray(supplementary_offering_offeringid__4[[#This Row],[produccion]],supplementary_offering_offeringid__4[[#This Row],[json]])</f>
        <v>{"930030208":{"legacyid":"300302-08","name":"Sms-TD-40s","mode":"N"}}</v>
      </c>
    </row>
    <row r="506" spans="1:11" x14ac:dyDescent="0.25">
      <c r="A506" s="61" t="s">
        <v>4648</v>
      </c>
      <c r="B506" t="s">
        <v>4647</v>
      </c>
      <c r="C506" t="str">
        <f>findKey(supplementary_offering_offeringid__4[[#This Row],[Value.legacyid]])</f>
        <v>300302-09</v>
      </c>
      <c r="D506" t="s">
        <v>5957</v>
      </c>
      <c r="E506" t="s">
        <v>2329</v>
      </c>
      <c r="H506" s="61"/>
      <c r="J506" t="str">
        <f>ToJsonArray(supplementary_offering_offeringid__4[[#Headers],[legacyid]:[activityId]],supplementary_offering_offeringid__4[[#This Row],[legacyid]:[activityId]])</f>
        <v>{"legacyid":"300302-09","name":"Sms-TD-60s","mode":"N"}</v>
      </c>
      <c r="K506" t="str">
        <f>ToJsonArray(supplementary_offering_offeringid__4[[#This Row],[produccion]],supplementary_offering_offeringid__4[[#This Row],[json]])</f>
        <v>{"930030209":{"legacyid":"300302-09","name":"Sms-TD-60s","mode":"N"}}</v>
      </c>
    </row>
    <row r="507" spans="1:11" x14ac:dyDescent="0.25">
      <c r="A507" s="61" t="s">
        <v>3159</v>
      </c>
      <c r="B507" t="s">
        <v>3158</v>
      </c>
      <c r="C507" t="str">
        <f>findKey(supplementary_offering_offeringid__4[[#This Row],[Value.legacyid]])</f>
        <v>300302-18</v>
      </c>
      <c r="D507" t="s">
        <v>5958</v>
      </c>
      <c r="E507" t="s">
        <v>2329</v>
      </c>
      <c r="H507" s="61"/>
      <c r="J507" t="str">
        <f>ToJsonArray(supplementary_offering_offeringid__4[[#Headers],[legacyid]:[activityId]],supplementary_offering_offeringid__4[[#This Row],[legacyid]:[activityId]])</f>
        <v>{"legacyid":"300302-18","name":"Sms-TD-100","mode":"N"}</v>
      </c>
      <c r="K507" t="str">
        <f>ToJsonArray(supplementary_offering_offeringid__4[[#This Row],[produccion]],supplementary_offering_offeringid__4[[#This Row],[json]])</f>
        <v>{"930030218":{"legacyid":"300302-18","name":"Sms-TD-100","mode":"N"}}</v>
      </c>
    </row>
    <row r="508" spans="1:11" x14ac:dyDescent="0.25">
      <c r="A508" s="61" t="s">
        <v>4651</v>
      </c>
      <c r="B508" t="s">
        <v>4650</v>
      </c>
      <c r="C508" t="str">
        <f>findKey(supplementary_offering_offeringid__4[[#This Row],[Value.legacyid]])</f>
        <v>300302-19</v>
      </c>
      <c r="D508" t="s">
        <v>5959</v>
      </c>
      <c r="E508" t="s">
        <v>2329</v>
      </c>
      <c r="H508" s="61"/>
      <c r="J508" t="str">
        <f>ToJsonArray(supplementary_offering_offeringid__4[[#Headers],[legacyid]:[activityId]],supplementary_offering_offeringid__4[[#This Row],[legacyid]:[activityId]])</f>
        <v>{"legacyid":"300302-19","name":"Sms-TD-200","mode":"N"}</v>
      </c>
      <c r="K508" t="str">
        <f>ToJsonArray(supplementary_offering_offeringid__4[[#This Row],[produccion]],supplementary_offering_offeringid__4[[#This Row],[json]])</f>
        <v>{"930030219":{"legacyid":"300302-19","name":"Sms-TD-200","mode":"N"}}</v>
      </c>
    </row>
    <row r="509" spans="1:11" x14ac:dyDescent="0.25">
      <c r="A509" s="61" t="s">
        <v>4654</v>
      </c>
      <c r="B509" t="s">
        <v>4653</v>
      </c>
      <c r="C509" t="str">
        <f>findKey(supplementary_offering_offeringid__4[[#This Row],[Value.legacyid]])</f>
        <v>300302-20</v>
      </c>
      <c r="D509" t="s">
        <v>5960</v>
      </c>
      <c r="E509" t="s">
        <v>2329</v>
      </c>
      <c r="H509" s="61"/>
      <c r="J509" t="str">
        <f>ToJsonArray(supplementary_offering_offeringid__4[[#Headers],[legacyid]:[activityId]],supplementary_offering_offeringid__4[[#This Row],[legacyid]:[activityId]])</f>
        <v>{"legacyid":"300302-20","name":"Sms-TD-20","mode":"N"}</v>
      </c>
      <c r="K509" t="str">
        <f>ToJsonArray(supplementary_offering_offeringid__4[[#This Row],[produccion]],supplementary_offering_offeringid__4[[#This Row],[json]])</f>
        <v>{"930030220":{"legacyid":"300302-20","name":"Sms-TD-20","mode":"N"}}</v>
      </c>
    </row>
    <row r="510" spans="1:11" x14ac:dyDescent="0.25">
      <c r="A510" s="61" t="s">
        <v>3162</v>
      </c>
      <c r="B510" t="s">
        <v>3161</v>
      </c>
      <c r="C510" t="str">
        <f>findKey(supplementary_offering_offeringid__4[[#This Row],[Value.legacyid]])</f>
        <v>300302-21</v>
      </c>
      <c r="D510" t="s">
        <v>5960</v>
      </c>
      <c r="E510" t="s">
        <v>2329</v>
      </c>
      <c r="H510" s="61"/>
      <c r="J510" t="str">
        <f>ToJsonArray(supplementary_offering_offeringid__4[[#Headers],[legacyid]:[activityId]],supplementary_offering_offeringid__4[[#This Row],[legacyid]:[activityId]])</f>
        <v>{"legacyid":"300302-21","name":"Sms-TD-20","mode":"N"}</v>
      </c>
      <c r="K510" t="str">
        <f>ToJsonArray(supplementary_offering_offeringid__4[[#This Row],[produccion]],supplementary_offering_offeringid__4[[#This Row],[json]])</f>
        <v>{"930030221":{"legacyid":"300302-21","name":"Sms-TD-20","mode":"N"}}</v>
      </c>
    </row>
    <row r="511" spans="1:11" x14ac:dyDescent="0.25">
      <c r="A511" s="61" t="s">
        <v>4657</v>
      </c>
      <c r="B511" t="s">
        <v>4656</v>
      </c>
      <c r="C511" t="str">
        <f>findKey(supplementary_offering_offeringid__4[[#This Row],[Value.legacyid]])</f>
        <v>300302-22</v>
      </c>
      <c r="D511" t="s">
        <v>5961</v>
      </c>
      <c r="E511" t="s">
        <v>2329</v>
      </c>
      <c r="H511" s="61"/>
      <c r="J511" t="str">
        <f>ToJsonArray(supplementary_offering_offeringid__4[[#Headers],[legacyid]:[activityId]],supplementary_offering_offeringid__4[[#This Row],[legacyid]:[activityId]])</f>
        <v>{"legacyid":"300302-22","name":"Sms-TD-50","mode":"N"}</v>
      </c>
      <c r="K511" t="str">
        <f>ToJsonArray(supplementary_offering_offeringid__4[[#This Row],[produccion]],supplementary_offering_offeringid__4[[#This Row],[json]])</f>
        <v>{"930030222":{"legacyid":"300302-22","name":"Sms-TD-50","mode":"N"}}</v>
      </c>
    </row>
    <row r="512" spans="1:11" x14ac:dyDescent="0.25">
      <c r="A512" s="61" t="s">
        <v>4660</v>
      </c>
      <c r="B512" t="s">
        <v>4659</v>
      </c>
      <c r="C512" t="str">
        <f>findKey(supplementary_offering_offeringid__4[[#This Row],[Value.legacyid]])</f>
        <v>300302-24</v>
      </c>
      <c r="D512" t="s">
        <v>5958</v>
      </c>
      <c r="E512" t="s">
        <v>2329</v>
      </c>
      <c r="H512" s="61"/>
      <c r="J512" t="str">
        <f>ToJsonArray(supplementary_offering_offeringid__4[[#Headers],[legacyid]:[activityId]],supplementary_offering_offeringid__4[[#This Row],[legacyid]:[activityId]])</f>
        <v>{"legacyid":"300302-24","name":"Sms-TD-100","mode":"N"}</v>
      </c>
      <c r="K512" t="str">
        <f>ToJsonArray(supplementary_offering_offeringid__4[[#This Row],[produccion]],supplementary_offering_offeringid__4[[#This Row],[json]])</f>
        <v>{"930030224":{"legacyid":"300302-24","name":"Sms-TD-100","mode":"N"}}</v>
      </c>
    </row>
    <row r="513" spans="1:11" x14ac:dyDescent="0.25">
      <c r="A513" s="61" t="s">
        <v>3165</v>
      </c>
      <c r="B513" t="s">
        <v>3164</v>
      </c>
      <c r="C513" t="str">
        <f>findKey(supplementary_offering_offeringid__4[[#This Row],[Value.legacyid]])</f>
        <v>300302-25</v>
      </c>
      <c r="D513" t="s">
        <v>5962</v>
      </c>
      <c r="E513" t="s">
        <v>2329</v>
      </c>
      <c r="H513" s="61"/>
      <c r="J513" t="str">
        <f>ToJsonArray(supplementary_offering_offeringid__4[[#Headers],[legacyid]:[activityId]],supplementary_offering_offeringid__4[[#This Row],[legacyid]:[activityId]])</f>
        <v>{"legacyid":"300302-25","name":"Sms-TD-Ilimitado","mode":"N"}</v>
      </c>
      <c r="K513" t="str">
        <f>ToJsonArray(supplementary_offering_offeringid__4[[#This Row],[produccion]],supplementary_offering_offeringid__4[[#This Row],[json]])</f>
        <v>{"930030225":{"legacyid":"300302-25","name":"Sms-TD-Ilimitado","mode":"N"}}</v>
      </c>
    </row>
    <row r="514" spans="1:11" x14ac:dyDescent="0.25">
      <c r="A514" s="61" t="s">
        <v>3168</v>
      </c>
      <c r="B514" t="s">
        <v>3167</v>
      </c>
      <c r="C514" t="str">
        <f>findKey(supplementary_offering_offeringid__4[[#This Row],[Value.legacyid]])</f>
        <v>300302-26</v>
      </c>
      <c r="D514" t="s">
        <v>5962</v>
      </c>
      <c r="E514" t="s">
        <v>2329</v>
      </c>
      <c r="H514" s="61"/>
      <c r="J514" t="str">
        <f>ToJsonArray(supplementary_offering_offeringid__4[[#Headers],[legacyid]:[activityId]],supplementary_offering_offeringid__4[[#This Row],[legacyid]:[activityId]])</f>
        <v>{"legacyid":"300302-26","name":"Sms-TD-Ilimitado","mode":"N"}</v>
      </c>
      <c r="K514" t="str">
        <f>ToJsonArray(supplementary_offering_offeringid__4[[#This Row],[produccion]],supplementary_offering_offeringid__4[[#This Row],[json]])</f>
        <v>{"930030226":{"legacyid":"300302-26","name":"Sms-TD-Ilimitado","mode":"N"}}</v>
      </c>
    </row>
    <row r="515" spans="1:11" x14ac:dyDescent="0.25">
      <c r="A515" s="61" t="s">
        <v>4663</v>
      </c>
      <c r="B515" t="s">
        <v>4662</v>
      </c>
      <c r="C515" t="str">
        <f>findKey(supplementary_offering_offeringid__4[[#This Row],[Value.legacyid]])</f>
        <v>300302-27</v>
      </c>
      <c r="D515" t="s">
        <v>5962</v>
      </c>
      <c r="E515" t="s">
        <v>2329</v>
      </c>
      <c r="H515" s="61"/>
      <c r="J515" t="str">
        <f>ToJsonArray(supplementary_offering_offeringid__4[[#Headers],[legacyid]:[activityId]],supplementary_offering_offeringid__4[[#This Row],[legacyid]:[activityId]])</f>
        <v>{"legacyid":"300302-27","name":"Sms-TD-Ilimitado","mode":"N"}</v>
      </c>
      <c r="K515" t="str">
        <f>ToJsonArray(supplementary_offering_offeringid__4[[#This Row],[produccion]],supplementary_offering_offeringid__4[[#This Row],[json]])</f>
        <v>{"930030227":{"legacyid":"300302-27","name":"Sms-TD-Ilimitado","mode":"N"}}</v>
      </c>
    </row>
    <row r="516" spans="1:11" x14ac:dyDescent="0.25">
      <c r="A516" s="61" t="s">
        <v>3171</v>
      </c>
      <c r="B516" t="s">
        <v>3170</v>
      </c>
      <c r="C516" t="str">
        <f>findKey(supplementary_offering_offeringid__4[[#This Row],[Value.legacyid]])</f>
        <v>300302-28</v>
      </c>
      <c r="D516" t="s">
        <v>5963</v>
      </c>
      <c r="E516" t="s">
        <v>2329</v>
      </c>
      <c r="H516" s="61"/>
      <c r="J516" t="str">
        <f>ToJsonArray(supplementary_offering_offeringid__4[[#Headers],[legacyid]:[activityId]],supplementary_offering_offeringid__4[[#This Row],[legacyid]:[activityId]])</f>
        <v>{"legacyid":"300302-28","name":"Sms - Todo destino - 100","mode":"N"}</v>
      </c>
      <c r="K516" t="str">
        <f>ToJsonArray(supplementary_offering_offeringid__4[[#This Row],[produccion]],supplementary_offering_offeringid__4[[#This Row],[json]])</f>
        <v>{"930030228":{"legacyid":"300302-28","name":"Sms - Todo destino - 100","mode":"N"}}</v>
      </c>
    </row>
    <row r="517" spans="1:11" x14ac:dyDescent="0.25">
      <c r="A517" s="61" t="s">
        <v>3174</v>
      </c>
      <c r="B517" t="s">
        <v>3173</v>
      </c>
      <c r="C517" t="str">
        <f>findKey(supplementary_offering_offeringid__4[[#This Row],[Value.legacyid]])</f>
        <v>300302-29</v>
      </c>
      <c r="D517" t="s">
        <v>5964</v>
      </c>
      <c r="E517" t="s">
        <v>2329</v>
      </c>
      <c r="H517" s="61"/>
      <c r="J517" t="str">
        <f>ToJsonArray(supplementary_offering_offeringid__4[[#Headers],[legacyid]:[activityId]],supplementary_offering_offeringid__4[[#This Row],[legacyid]:[activityId]])</f>
        <v>{"legacyid":"300302-29","name":"Sms - Todo destino - 200","mode":"N"}</v>
      </c>
      <c r="K517" t="str">
        <f>ToJsonArray(supplementary_offering_offeringid__4[[#This Row],[produccion]],supplementary_offering_offeringid__4[[#This Row],[json]])</f>
        <v>{"930030229":{"legacyid":"300302-29","name":"Sms - Todo destino - 200","mode":"N"}}</v>
      </c>
    </row>
    <row r="518" spans="1:11" x14ac:dyDescent="0.25">
      <c r="A518" s="61" t="s">
        <v>3177</v>
      </c>
      <c r="B518" t="s">
        <v>3176</v>
      </c>
      <c r="C518" t="str">
        <f>findKey(supplementary_offering_offeringid__4[[#This Row],[Value.legacyid]])</f>
        <v>300302-30</v>
      </c>
      <c r="D518" t="s">
        <v>5962</v>
      </c>
      <c r="E518" t="s">
        <v>2329</v>
      </c>
      <c r="H518" s="61"/>
      <c r="J518" t="str">
        <f>ToJsonArray(supplementary_offering_offeringid__4[[#Headers],[legacyid]:[activityId]],supplementary_offering_offeringid__4[[#This Row],[legacyid]:[activityId]])</f>
        <v>{"legacyid":"300302-30","name":"Sms-TD-Ilimitado","mode":"N"}</v>
      </c>
      <c r="K518" t="str">
        <f>ToJsonArray(supplementary_offering_offeringid__4[[#This Row],[produccion]],supplementary_offering_offeringid__4[[#This Row],[json]])</f>
        <v>{"930030230":{"legacyid":"300302-30","name":"Sms-TD-Ilimitado","mode":"N"}}</v>
      </c>
    </row>
    <row r="519" spans="1:11" x14ac:dyDescent="0.25">
      <c r="A519" s="61" t="s">
        <v>4666</v>
      </c>
      <c r="B519" t="s">
        <v>4665</v>
      </c>
      <c r="C519" t="str">
        <f>findKey(supplementary_offering_offeringid__4[[#This Row],[Value.legacyid]])</f>
        <v>300302-31</v>
      </c>
      <c r="D519" t="s">
        <v>5962</v>
      </c>
      <c r="E519" t="s">
        <v>2329</v>
      </c>
      <c r="H519" s="61"/>
      <c r="J519" t="str">
        <f>ToJsonArray(supplementary_offering_offeringid__4[[#Headers],[legacyid]:[activityId]],supplementary_offering_offeringid__4[[#This Row],[legacyid]:[activityId]])</f>
        <v>{"legacyid":"300302-31","name":"Sms-TD-Ilimitado","mode":"N"}</v>
      </c>
      <c r="K519" t="str">
        <f>ToJsonArray(supplementary_offering_offeringid__4[[#This Row],[produccion]],supplementary_offering_offeringid__4[[#This Row],[json]])</f>
        <v>{"930030231":{"legacyid":"300302-31","name":"Sms-TD-Ilimitado","mode":"N"}}</v>
      </c>
    </row>
    <row r="520" spans="1:11" x14ac:dyDescent="0.25">
      <c r="A520" s="61" t="s">
        <v>3180</v>
      </c>
      <c r="B520" t="s">
        <v>3179</v>
      </c>
      <c r="C520" t="str">
        <f>findKey(supplementary_offering_offeringid__4[[#This Row],[Value.legacyid]])</f>
        <v>300302-32</v>
      </c>
      <c r="D520" t="s">
        <v>5958</v>
      </c>
      <c r="E520" t="s">
        <v>2329</v>
      </c>
      <c r="H520" s="61"/>
      <c r="J520" t="str">
        <f>ToJsonArray(supplementary_offering_offeringid__4[[#Headers],[legacyid]:[activityId]],supplementary_offering_offeringid__4[[#This Row],[legacyid]:[activityId]])</f>
        <v>{"legacyid":"300302-32","name":"Sms-TD-100","mode":"N"}</v>
      </c>
      <c r="K520" t="str">
        <f>ToJsonArray(supplementary_offering_offeringid__4[[#This Row],[produccion]],supplementary_offering_offeringid__4[[#This Row],[json]])</f>
        <v>{"930030232":{"legacyid":"300302-32","name":"Sms-TD-100","mode":"N"}}</v>
      </c>
    </row>
    <row r="521" spans="1:11" x14ac:dyDescent="0.25">
      <c r="A521" s="61" t="s">
        <v>3183</v>
      </c>
      <c r="B521" t="s">
        <v>3182</v>
      </c>
      <c r="C521" t="str">
        <f>findKey(supplementary_offering_offeringid__4[[#This Row],[Value.legacyid]])</f>
        <v>300302-33</v>
      </c>
      <c r="D521" t="s">
        <v>5959</v>
      </c>
      <c r="E521" t="s">
        <v>2329</v>
      </c>
      <c r="H521" s="61"/>
      <c r="J521" t="str">
        <f>ToJsonArray(supplementary_offering_offeringid__4[[#Headers],[legacyid]:[activityId]],supplementary_offering_offeringid__4[[#This Row],[legacyid]:[activityId]])</f>
        <v>{"legacyid":"300302-33","name":"Sms-TD-200","mode":"N"}</v>
      </c>
      <c r="K521" t="str">
        <f>ToJsonArray(supplementary_offering_offeringid__4[[#This Row],[produccion]],supplementary_offering_offeringid__4[[#This Row],[json]])</f>
        <v>{"930030233":{"legacyid":"300302-33","name":"Sms-TD-200","mode":"N"}}</v>
      </c>
    </row>
    <row r="522" spans="1:11" x14ac:dyDescent="0.25">
      <c r="A522" s="61" t="s">
        <v>3186</v>
      </c>
      <c r="B522" t="s">
        <v>3185</v>
      </c>
      <c r="C522" t="str">
        <f>findKey(supplementary_offering_offeringid__4[[#This Row],[Value.legacyid]])</f>
        <v>300302-34</v>
      </c>
      <c r="D522" t="s">
        <v>5962</v>
      </c>
      <c r="E522" t="s">
        <v>2329</v>
      </c>
      <c r="H522" s="61"/>
      <c r="J522" t="str">
        <f>ToJsonArray(supplementary_offering_offeringid__4[[#Headers],[legacyid]:[activityId]],supplementary_offering_offeringid__4[[#This Row],[legacyid]:[activityId]])</f>
        <v>{"legacyid":"300302-34","name":"Sms-TD-Ilimitado","mode":"N"}</v>
      </c>
      <c r="K522" t="str">
        <f>ToJsonArray(supplementary_offering_offeringid__4[[#This Row],[produccion]],supplementary_offering_offeringid__4[[#This Row],[json]])</f>
        <v>{"930030234":{"legacyid":"300302-34","name":"Sms-TD-Ilimitado","mode":"N"}}</v>
      </c>
    </row>
    <row r="523" spans="1:11" x14ac:dyDescent="0.25">
      <c r="A523" s="61" t="s">
        <v>3189</v>
      </c>
      <c r="B523" t="s">
        <v>3188</v>
      </c>
      <c r="C523" t="str">
        <f>findKey(supplementary_offering_offeringid__4[[#This Row],[Value.legacyid]])</f>
        <v>300302-35</v>
      </c>
      <c r="D523" t="s">
        <v>5962</v>
      </c>
      <c r="E523" t="s">
        <v>2329</v>
      </c>
      <c r="H523" s="61"/>
      <c r="J523" t="str">
        <f>ToJsonArray(supplementary_offering_offeringid__4[[#Headers],[legacyid]:[activityId]],supplementary_offering_offeringid__4[[#This Row],[legacyid]:[activityId]])</f>
        <v>{"legacyid":"300302-35","name":"Sms-TD-Ilimitado","mode":"N"}</v>
      </c>
      <c r="K523" t="str">
        <f>ToJsonArray(supplementary_offering_offeringid__4[[#This Row],[produccion]],supplementary_offering_offeringid__4[[#This Row],[json]])</f>
        <v>{"930030235":{"legacyid":"300302-35","name":"Sms-TD-Ilimitado","mode":"N"}}</v>
      </c>
    </row>
    <row r="524" spans="1:11" x14ac:dyDescent="0.25">
      <c r="A524" s="61" t="s">
        <v>3192</v>
      </c>
      <c r="B524" t="s">
        <v>3191</v>
      </c>
      <c r="C524" t="str">
        <f>findKey(supplementary_offering_offeringid__4[[#This Row],[Value.legacyid]])</f>
        <v>300302-36</v>
      </c>
      <c r="D524" t="s">
        <v>5962</v>
      </c>
      <c r="E524" t="s">
        <v>2329</v>
      </c>
      <c r="H524" s="61"/>
      <c r="J524" t="str">
        <f>ToJsonArray(supplementary_offering_offeringid__4[[#Headers],[legacyid]:[activityId]],supplementary_offering_offeringid__4[[#This Row],[legacyid]:[activityId]])</f>
        <v>{"legacyid":"300302-36","name":"Sms-TD-Ilimitado","mode":"N"}</v>
      </c>
      <c r="K524" t="str">
        <f>ToJsonArray(supplementary_offering_offeringid__4[[#This Row],[produccion]],supplementary_offering_offeringid__4[[#This Row],[json]])</f>
        <v>{"930030236":{"legacyid":"300302-36","name":"Sms-TD-Ilimitado","mode":"N"}}</v>
      </c>
    </row>
    <row r="525" spans="1:11" x14ac:dyDescent="0.25">
      <c r="A525" s="61" t="s">
        <v>3195</v>
      </c>
      <c r="B525" t="s">
        <v>3194</v>
      </c>
      <c r="C525" t="str">
        <f>findKey(supplementary_offering_offeringid__4[[#This Row],[Value.legacyid]])</f>
        <v>300302-37</v>
      </c>
      <c r="D525" t="s">
        <v>5962</v>
      </c>
      <c r="E525" t="s">
        <v>2329</v>
      </c>
      <c r="H525" s="61"/>
      <c r="J525" t="str">
        <f>ToJsonArray(supplementary_offering_offeringid__4[[#Headers],[legacyid]:[activityId]],supplementary_offering_offeringid__4[[#This Row],[legacyid]:[activityId]])</f>
        <v>{"legacyid":"300302-37","name":"Sms-TD-Ilimitado","mode":"N"}</v>
      </c>
      <c r="K525" t="str">
        <f>ToJsonArray(supplementary_offering_offeringid__4[[#This Row],[produccion]],supplementary_offering_offeringid__4[[#This Row],[json]])</f>
        <v>{"930030237":{"legacyid":"300302-37","name":"Sms-TD-Ilimitado","mode":"N"}}</v>
      </c>
    </row>
    <row r="526" spans="1:11" x14ac:dyDescent="0.25">
      <c r="A526" s="61" t="s">
        <v>3198</v>
      </c>
      <c r="B526" t="s">
        <v>3197</v>
      </c>
      <c r="C526" t="str">
        <f>findKey(supplementary_offering_offeringid__4[[#This Row],[Value.legacyid]])</f>
        <v>300302-40</v>
      </c>
      <c r="D526" t="s">
        <v>5959</v>
      </c>
      <c r="E526" t="s">
        <v>2329</v>
      </c>
      <c r="H526" s="61"/>
      <c r="J526" t="str">
        <f>ToJsonArray(supplementary_offering_offeringid__4[[#Headers],[legacyid]:[activityId]],supplementary_offering_offeringid__4[[#This Row],[legacyid]:[activityId]])</f>
        <v>{"legacyid":"300302-40","name":"Sms-TD-200","mode":"N"}</v>
      </c>
      <c r="K526" t="str">
        <f>ToJsonArray(supplementary_offering_offeringid__4[[#This Row],[produccion]],supplementary_offering_offeringid__4[[#This Row],[json]])</f>
        <v>{"930030240":{"legacyid":"300302-40","name":"Sms-TD-200","mode":"N"}}</v>
      </c>
    </row>
    <row r="527" spans="1:11" x14ac:dyDescent="0.25">
      <c r="A527" s="61" t="s">
        <v>3201</v>
      </c>
      <c r="B527" t="s">
        <v>3200</v>
      </c>
      <c r="C527" t="str">
        <f>findKey(supplementary_offering_offeringid__4[[#This Row],[Value.legacyid]])</f>
        <v>300302-41</v>
      </c>
      <c r="D527" t="s">
        <v>5962</v>
      </c>
      <c r="E527" t="s">
        <v>2329</v>
      </c>
      <c r="H527" s="61"/>
      <c r="J527" t="str">
        <f>ToJsonArray(supplementary_offering_offeringid__4[[#Headers],[legacyid]:[activityId]],supplementary_offering_offeringid__4[[#This Row],[legacyid]:[activityId]])</f>
        <v>{"legacyid":"300302-41","name":"Sms-TD-Ilimitado","mode":"N"}</v>
      </c>
      <c r="K527" t="str">
        <f>ToJsonArray(supplementary_offering_offeringid__4[[#This Row],[produccion]],supplementary_offering_offeringid__4[[#This Row],[json]])</f>
        <v>{"930030241":{"legacyid":"300302-41","name":"Sms-TD-Ilimitado","mode":"N"}}</v>
      </c>
    </row>
    <row r="528" spans="1:11" x14ac:dyDescent="0.25">
      <c r="A528" s="61" t="s">
        <v>3204</v>
      </c>
      <c r="B528" t="s">
        <v>3203</v>
      </c>
      <c r="C528" t="str">
        <f>findKey(supplementary_offering_offeringid__4[[#This Row],[Value.legacyid]])</f>
        <v>300302-42</v>
      </c>
      <c r="D528" t="s">
        <v>5959</v>
      </c>
      <c r="E528" t="s">
        <v>2329</v>
      </c>
      <c r="H528" s="61"/>
      <c r="J528" t="str">
        <f>ToJsonArray(supplementary_offering_offeringid__4[[#Headers],[legacyid]:[activityId]],supplementary_offering_offeringid__4[[#This Row],[legacyid]:[activityId]])</f>
        <v>{"legacyid":"300302-42","name":"Sms-TD-200","mode":"N"}</v>
      </c>
      <c r="K528" t="str">
        <f>ToJsonArray(supplementary_offering_offeringid__4[[#This Row],[produccion]],supplementary_offering_offeringid__4[[#This Row],[json]])</f>
        <v>{"930030242":{"legacyid":"300302-42","name":"Sms-TD-200","mode":"N"}}</v>
      </c>
    </row>
    <row r="529" spans="1:11" x14ac:dyDescent="0.25">
      <c r="A529" s="61" t="s">
        <v>3207</v>
      </c>
      <c r="B529" t="s">
        <v>3206</v>
      </c>
      <c r="C529" t="str">
        <f>findKey(supplementary_offering_offeringid__4[[#This Row],[Value.legacyid]])</f>
        <v>300302-43</v>
      </c>
      <c r="D529" t="s">
        <v>5962</v>
      </c>
      <c r="E529" t="s">
        <v>2329</v>
      </c>
      <c r="H529" s="61"/>
      <c r="J529" t="str">
        <f>ToJsonArray(supplementary_offering_offeringid__4[[#Headers],[legacyid]:[activityId]],supplementary_offering_offeringid__4[[#This Row],[legacyid]:[activityId]])</f>
        <v>{"legacyid":"300302-43","name":"Sms-TD-Ilimitado","mode":"N"}</v>
      </c>
      <c r="K529" t="str">
        <f>ToJsonArray(supplementary_offering_offeringid__4[[#This Row],[produccion]],supplementary_offering_offeringid__4[[#This Row],[json]])</f>
        <v>{"930030243":{"legacyid":"300302-43","name":"Sms-TD-Ilimitado","mode":"N"}}</v>
      </c>
    </row>
    <row r="530" spans="1:11" x14ac:dyDescent="0.25">
      <c r="A530" s="61" t="s">
        <v>3210</v>
      </c>
      <c r="B530" t="s">
        <v>3209</v>
      </c>
      <c r="C530" t="str">
        <f>findKey(supplementary_offering_offeringid__4[[#This Row],[Value.legacyid]])</f>
        <v>300302-44</v>
      </c>
      <c r="D530" t="s">
        <v>5962</v>
      </c>
      <c r="E530" t="s">
        <v>2329</v>
      </c>
      <c r="H530" s="61"/>
      <c r="J530" t="str">
        <f>ToJsonArray(supplementary_offering_offeringid__4[[#Headers],[legacyid]:[activityId]],supplementary_offering_offeringid__4[[#This Row],[legacyid]:[activityId]])</f>
        <v>{"legacyid":"300302-44","name":"Sms-TD-Ilimitado","mode":"N"}</v>
      </c>
      <c r="K530" t="str">
        <f>ToJsonArray(supplementary_offering_offeringid__4[[#This Row],[produccion]],supplementary_offering_offeringid__4[[#This Row],[json]])</f>
        <v>{"930030244":{"legacyid":"300302-44","name":"Sms-TD-Ilimitado","mode":"N"}}</v>
      </c>
    </row>
    <row r="531" spans="1:11" x14ac:dyDescent="0.25">
      <c r="A531" s="61" t="s">
        <v>3213</v>
      </c>
      <c r="B531" t="s">
        <v>3212</v>
      </c>
      <c r="C531" t="str">
        <f>findKey(supplementary_offering_offeringid__4[[#This Row],[Value.legacyid]])</f>
        <v>300302-45</v>
      </c>
      <c r="D531" t="s">
        <v>5962</v>
      </c>
      <c r="E531" t="s">
        <v>2329</v>
      </c>
      <c r="H531" s="61"/>
      <c r="J531" t="str">
        <f>ToJsonArray(supplementary_offering_offeringid__4[[#Headers],[legacyid]:[activityId]],supplementary_offering_offeringid__4[[#This Row],[legacyid]:[activityId]])</f>
        <v>{"legacyid":"300302-45","name":"Sms-TD-Ilimitado","mode":"N"}</v>
      </c>
      <c r="K531" t="str">
        <f>ToJsonArray(supplementary_offering_offeringid__4[[#This Row],[produccion]],supplementary_offering_offeringid__4[[#This Row],[json]])</f>
        <v>{"930030245":{"legacyid":"300302-45","name":"Sms-TD-Ilimitado","mode":"N"}}</v>
      </c>
    </row>
    <row r="532" spans="1:11" x14ac:dyDescent="0.25">
      <c r="A532" s="61" t="s">
        <v>3216</v>
      </c>
      <c r="B532" t="s">
        <v>3215</v>
      </c>
      <c r="C532" t="str">
        <f>findKey(supplementary_offering_offeringid__4[[#This Row],[Value.legacyid]])</f>
        <v>300302-46</v>
      </c>
      <c r="D532" t="s">
        <v>5962</v>
      </c>
      <c r="E532" t="s">
        <v>2329</v>
      </c>
      <c r="H532" s="61"/>
      <c r="J532" t="str">
        <f>ToJsonArray(supplementary_offering_offeringid__4[[#Headers],[legacyid]:[activityId]],supplementary_offering_offeringid__4[[#This Row],[legacyid]:[activityId]])</f>
        <v>{"legacyid":"300302-46","name":"Sms-TD-Ilimitado","mode":"N"}</v>
      </c>
      <c r="K532" t="str">
        <f>ToJsonArray(supplementary_offering_offeringid__4[[#This Row],[produccion]],supplementary_offering_offeringid__4[[#This Row],[json]])</f>
        <v>{"930030246":{"legacyid":"300302-46","name":"Sms-TD-Ilimitado","mode":"N"}}</v>
      </c>
    </row>
    <row r="533" spans="1:11" x14ac:dyDescent="0.25">
      <c r="A533" s="61" t="s">
        <v>3219</v>
      </c>
      <c r="B533" t="s">
        <v>3218</v>
      </c>
      <c r="C533" t="str">
        <f>findKey(supplementary_offering_offeringid__4[[#This Row],[Value.legacyid]])</f>
        <v>300302-47</v>
      </c>
      <c r="D533" t="s">
        <v>5962</v>
      </c>
      <c r="E533" t="s">
        <v>2329</v>
      </c>
      <c r="H533" s="61"/>
      <c r="J533" t="str">
        <f>ToJsonArray(supplementary_offering_offeringid__4[[#Headers],[legacyid]:[activityId]],supplementary_offering_offeringid__4[[#This Row],[legacyid]:[activityId]])</f>
        <v>{"legacyid":"300302-47","name":"Sms-TD-Ilimitado","mode":"N"}</v>
      </c>
      <c r="K533" t="str">
        <f>ToJsonArray(supplementary_offering_offeringid__4[[#This Row],[produccion]],supplementary_offering_offeringid__4[[#This Row],[json]])</f>
        <v>{"930030247":{"legacyid":"300302-47","name":"Sms-TD-Ilimitado","mode":"N"}}</v>
      </c>
    </row>
    <row r="534" spans="1:11" x14ac:dyDescent="0.25">
      <c r="A534" s="61" t="s">
        <v>3222</v>
      </c>
      <c r="B534" t="s">
        <v>3221</v>
      </c>
      <c r="C534" t="str">
        <f>findKey(supplementary_offering_offeringid__4[[#This Row],[Value.legacyid]])</f>
        <v>300302-48</v>
      </c>
      <c r="D534" t="s">
        <v>5962</v>
      </c>
      <c r="E534" t="s">
        <v>2329</v>
      </c>
      <c r="H534" s="61"/>
      <c r="J534" t="str">
        <f>ToJsonArray(supplementary_offering_offeringid__4[[#Headers],[legacyid]:[activityId]],supplementary_offering_offeringid__4[[#This Row],[legacyid]:[activityId]])</f>
        <v>{"legacyid":"300302-48","name":"Sms-TD-Ilimitado","mode":"N"}</v>
      </c>
      <c r="K534" t="str">
        <f>ToJsonArray(supplementary_offering_offeringid__4[[#This Row],[produccion]],supplementary_offering_offeringid__4[[#This Row],[json]])</f>
        <v>{"930030248":{"legacyid":"300302-48","name":"Sms-TD-Ilimitado","mode":"N"}}</v>
      </c>
    </row>
    <row r="535" spans="1:11" x14ac:dyDescent="0.25">
      <c r="A535" s="61" t="s">
        <v>3225</v>
      </c>
      <c r="B535" t="s">
        <v>3224</v>
      </c>
      <c r="C535" t="str">
        <f>findKey(supplementary_offering_offeringid__4[[#This Row],[Value.legacyid]])</f>
        <v>300302-49</v>
      </c>
      <c r="D535" t="s">
        <v>5962</v>
      </c>
      <c r="E535" t="s">
        <v>2329</v>
      </c>
      <c r="H535" s="61"/>
      <c r="J535" t="str">
        <f>ToJsonArray(supplementary_offering_offeringid__4[[#Headers],[legacyid]:[activityId]],supplementary_offering_offeringid__4[[#This Row],[legacyid]:[activityId]])</f>
        <v>{"legacyid":"300302-49","name":"Sms-TD-Ilimitado","mode":"N"}</v>
      </c>
      <c r="K535" t="str">
        <f>ToJsonArray(supplementary_offering_offeringid__4[[#This Row],[produccion]],supplementary_offering_offeringid__4[[#This Row],[json]])</f>
        <v>{"930030249":{"legacyid":"300302-49","name":"Sms-TD-Ilimitado","mode":"N"}}</v>
      </c>
    </row>
    <row r="536" spans="1:11" x14ac:dyDescent="0.25">
      <c r="A536" s="61" t="s">
        <v>3228</v>
      </c>
      <c r="B536" t="s">
        <v>3227</v>
      </c>
      <c r="C536" t="str">
        <f>findKey(supplementary_offering_offeringid__4[[#This Row],[Value.legacyid]])</f>
        <v>300302-50</v>
      </c>
      <c r="D536" t="s">
        <v>5962</v>
      </c>
      <c r="E536" t="s">
        <v>2329</v>
      </c>
      <c r="H536" s="61"/>
      <c r="J536" t="str">
        <f>ToJsonArray(supplementary_offering_offeringid__4[[#Headers],[legacyid]:[activityId]],supplementary_offering_offeringid__4[[#This Row],[legacyid]:[activityId]])</f>
        <v>{"legacyid":"300302-50","name":"Sms-TD-Ilimitado","mode":"N"}</v>
      </c>
      <c r="K536" t="str">
        <f>ToJsonArray(supplementary_offering_offeringid__4[[#This Row],[produccion]],supplementary_offering_offeringid__4[[#This Row],[json]])</f>
        <v>{"930030250":{"legacyid":"300302-50","name":"Sms-TD-Ilimitado","mode":"N"}}</v>
      </c>
    </row>
    <row r="537" spans="1:11" x14ac:dyDescent="0.25">
      <c r="A537" s="61" t="s">
        <v>3231</v>
      </c>
      <c r="B537" t="s">
        <v>3230</v>
      </c>
      <c r="C537" t="str">
        <f>findKey(supplementary_offering_offeringid__4[[#This Row],[Value.legacyid]])</f>
        <v>300302-51</v>
      </c>
      <c r="D537" t="s">
        <v>5962</v>
      </c>
      <c r="E537" t="s">
        <v>2329</v>
      </c>
      <c r="H537" s="61"/>
      <c r="J537" t="str">
        <f>ToJsonArray(supplementary_offering_offeringid__4[[#Headers],[legacyid]:[activityId]],supplementary_offering_offeringid__4[[#This Row],[legacyid]:[activityId]])</f>
        <v>{"legacyid":"300302-51","name":"Sms-TD-Ilimitado","mode":"N"}</v>
      </c>
      <c r="K537" t="str">
        <f>ToJsonArray(supplementary_offering_offeringid__4[[#This Row],[produccion]],supplementary_offering_offeringid__4[[#This Row],[json]])</f>
        <v>{"930030251":{"legacyid":"300302-51","name":"Sms-TD-Ilimitado","mode":"N"}}</v>
      </c>
    </row>
    <row r="538" spans="1:11" x14ac:dyDescent="0.25">
      <c r="A538" s="61" t="s">
        <v>3234</v>
      </c>
      <c r="B538" t="s">
        <v>3233</v>
      </c>
      <c r="C538" t="str">
        <f>findKey(supplementary_offering_offeringid__4[[#This Row],[Value.legacyid]])</f>
        <v>300302-52</v>
      </c>
      <c r="D538" t="s">
        <v>5962</v>
      </c>
      <c r="E538" t="s">
        <v>2329</v>
      </c>
      <c r="H538" s="61"/>
      <c r="J538" t="str">
        <f>ToJsonArray(supplementary_offering_offeringid__4[[#Headers],[legacyid]:[activityId]],supplementary_offering_offeringid__4[[#This Row],[legacyid]:[activityId]])</f>
        <v>{"legacyid":"300302-52","name":"Sms-TD-Ilimitado","mode":"N"}</v>
      </c>
      <c r="K538" t="str">
        <f>ToJsonArray(supplementary_offering_offeringid__4[[#This Row],[produccion]],supplementary_offering_offeringid__4[[#This Row],[json]])</f>
        <v>{"930030252":{"legacyid":"300302-52","name":"Sms-TD-Ilimitado","mode":"N"}}</v>
      </c>
    </row>
    <row r="539" spans="1:11" x14ac:dyDescent="0.25">
      <c r="A539" s="61" t="s">
        <v>3237</v>
      </c>
      <c r="B539" t="s">
        <v>3236</v>
      </c>
      <c r="C539" t="str">
        <f>findKey(supplementary_offering_offeringid__4[[#This Row],[Value.legacyid]])</f>
        <v>300302-53</v>
      </c>
      <c r="D539" t="s">
        <v>5962</v>
      </c>
      <c r="E539" t="s">
        <v>2329</v>
      </c>
      <c r="H539" s="61"/>
      <c r="J539" t="str">
        <f>ToJsonArray(supplementary_offering_offeringid__4[[#Headers],[legacyid]:[activityId]],supplementary_offering_offeringid__4[[#This Row],[legacyid]:[activityId]])</f>
        <v>{"legacyid":"300302-53","name":"Sms-TD-Ilimitado","mode":"N"}</v>
      </c>
      <c r="K539" t="str">
        <f>ToJsonArray(supplementary_offering_offeringid__4[[#This Row],[produccion]],supplementary_offering_offeringid__4[[#This Row],[json]])</f>
        <v>{"930030253":{"legacyid":"300302-53","name":"Sms-TD-Ilimitado","mode":"N"}}</v>
      </c>
    </row>
    <row r="540" spans="1:11" x14ac:dyDescent="0.25">
      <c r="A540" s="61" t="s">
        <v>3240</v>
      </c>
      <c r="B540" t="s">
        <v>3239</v>
      </c>
      <c r="C540" t="str">
        <f>findKey(supplementary_offering_offeringid__4[[#This Row],[Value.legacyid]])</f>
        <v>300302-54</v>
      </c>
      <c r="D540" t="s">
        <v>5962</v>
      </c>
      <c r="E540" t="s">
        <v>2329</v>
      </c>
      <c r="H540" s="61"/>
      <c r="J540" t="str">
        <f>ToJsonArray(supplementary_offering_offeringid__4[[#Headers],[legacyid]:[activityId]],supplementary_offering_offeringid__4[[#This Row],[legacyid]:[activityId]])</f>
        <v>{"legacyid":"300302-54","name":"Sms-TD-Ilimitado","mode":"N"}</v>
      </c>
      <c r="K540" t="str">
        <f>ToJsonArray(supplementary_offering_offeringid__4[[#This Row],[produccion]],supplementary_offering_offeringid__4[[#This Row],[json]])</f>
        <v>{"930030254":{"legacyid":"300302-54","name":"Sms-TD-Ilimitado","mode":"N"}}</v>
      </c>
    </row>
    <row r="541" spans="1:11" x14ac:dyDescent="0.25">
      <c r="A541" s="61" t="s">
        <v>3243</v>
      </c>
      <c r="B541" t="s">
        <v>3242</v>
      </c>
      <c r="C541" t="str">
        <f>findKey(supplementary_offering_offeringid__4[[#This Row],[Value.legacyid]])</f>
        <v>300302-55</v>
      </c>
      <c r="D541" t="s">
        <v>5962</v>
      </c>
      <c r="E541" t="s">
        <v>2329</v>
      </c>
      <c r="H541" s="61"/>
      <c r="J541" t="str">
        <f>ToJsonArray(supplementary_offering_offeringid__4[[#Headers],[legacyid]:[activityId]],supplementary_offering_offeringid__4[[#This Row],[legacyid]:[activityId]])</f>
        <v>{"legacyid":"300302-55","name":"Sms-TD-Ilimitado","mode":"N"}</v>
      </c>
      <c r="K541" t="str">
        <f>ToJsonArray(supplementary_offering_offeringid__4[[#This Row],[produccion]],supplementary_offering_offeringid__4[[#This Row],[json]])</f>
        <v>{"930030255":{"legacyid":"300302-55","name":"Sms-TD-Ilimitado","mode":"N"}}</v>
      </c>
    </row>
    <row r="542" spans="1:11" x14ac:dyDescent="0.25">
      <c r="A542" s="61" t="s">
        <v>3246</v>
      </c>
      <c r="B542" t="s">
        <v>3245</v>
      </c>
      <c r="C542" t="str">
        <f>findKey(supplementary_offering_offeringid__4[[#This Row],[Value.legacyid]])</f>
        <v>300302-56</v>
      </c>
      <c r="D542" t="s">
        <v>5962</v>
      </c>
      <c r="E542" t="s">
        <v>2329</v>
      </c>
      <c r="H542" s="61"/>
      <c r="J542" t="str">
        <f>ToJsonArray(supplementary_offering_offeringid__4[[#Headers],[legacyid]:[activityId]],supplementary_offering_offeringid__4[[#This Row],[legacyid]:[activityId]])</f>
        <v>{"legacyid":"300302-56","name":"Sms-TD-Ilimitado","mode":"N"}</v>
      </c>
      <c r="K542" t="str">
        <f>ToJsonArray(supplementary_offering_offeringid__4[[#This Row],[produccion]],supplementary_offering_offeringid__4[[#This Row],[json]])</f>
        <v>{"930030256":{"legacyid":"300302-56","name":"Sms-TD-Ilimitado","mode":"N"}}</v>
      </c>
    </row>
    <row r="543" spans="1:11" x14ac:dyDescent="0.25">
      <c r="A543" s="61" t="s">
        <v>3249</v>
      </c>
      <c r="B543" t="s">
        <v>3248</v>
      </c>
      <c r="C543" t="str">
        <f>findKey(supplementary_offering_offeringid__4[[#This Row],[Value.legacyid]])</f>
        <v>300302-57</v>
      </c>
      <c r="D543" t="s">
        <v>5962</v>
      </c>
      <c r="E543" t="s">
        <v>2329</v>
      </c>
      <c r="H543" s="61"/>
      <c r="J543" t="str">
        <f>ToJsonArray(supplementary_offering_offeringid__4[[#Headers],[legacyid]:[activityId]],supplementary_offering_offeringid__4[[#This Row],[legacyid]:[activityId]])</f>
        <v>{"legacyid":"300302-57","name":"Sms-TD-Ilimitado","mode":"N"}</v>
      </c>
      <c r="K543" t="str">
        <f>ToJsonArray(supplementary_offering_offeringid__4[[#This Row],[produccion]],supplementary_offering_offeringid__4[[#This Row],[json]])</f>
        <v>{"930030257":{"legacyid":"300302-57","name":"Sms-TD-Ilimitado","mode":"N"}}</v>
      </c>
    </row>
    <row r="544" spans="1:11" x14ac:dyDescent="0.25">
      <c r="A544" s="61" t="s">
        <v>3252</v>
      </c>
      <c r="B544" t="s">
        <v>3251</v>
      </c>
      <c r="C544" t="str">
        <f>findKey(supplementary_offering_offeringid__4[[#This Row],[Value.legacyid]])</f>
        <v>300302-58</v>
      </c>
      <c r="D544" t="s">
        <v>5962</v>
      </c>
      <c r="E544" t="s">
        <v>2329</v>
      </c>
      <c r="H544" s="61"/>
      <c r="J544" t="str">
        <f>ToJsonArray(supplementary_offering_offeringid__4[[#Headers],[legacyid]:[activityId]],supplementary_offering_offeringid__4[[#This Row],[legacyid]:[activityId]])</f>
        <v>{"legacyid":"300302-58","name":"Sms-TD-Ilimitado","mode":"N"}</v>
      </c>
      <c r="K544" t="str">
        <f>ToJsonArray(supplementary_offering_offeringid__4[[#This Row],[produccion]],supplementary_offering_offeringid__4[[#This Row],[json]])</f>
        <v>{"930030258":{"legacyid":"300302-58","name":"Sms-TD-Ilimitado","mode":"N"}}</v>
      </c>
    </row>
    <row r="545" spans="1:11" x14ac:dyDescent="0.25">
      <c r="A545" s="61" t="s">
        <v>3255</v>
      </c>
      <c r="B545" t="s">
        <v>3254</v>
      </c>
      <c r="C545" t="str">
        <f>findKey(supplementary_offering_offeringid__4[[#This Row],[Value.legacyid]])</f>
        <v>300302-59</v>
      </c>
      <c r="D545" t="s">
        <v>5959</v>
      </c>
      <c r="E545" t="s">
        <v>2329</v>
      </c>
      <c r="H545" s="61"/>
      <c r="J545" t="str">
        <f>ToJsonArray(supplementary_offering_offeringid__4[[#Headers],[legacyid]:[activityId]],supplementary_offering_offeringid__4[[#This Row],[legacyid]:[activityId]])</f>
        <v>{"legacyid":"300302-59","name":"Sms-TD-200","mode":"N"}</v>
      </c>
      <c r="K545" t="str">
        <f>ToJsonArray(supplementary_offering_offeringid__4[[#This Row],[produccion]],supplementary_offering_offeringid__4[[#This Row],[json]])</f>
        <v>{"930030259":{"legacyid":"300302-59","name":"Sms-TD-200","mode":"N"}}</v>
      </c>
    </row>
    <row r="546" spans="1:11" x14ac:dyDescent="0.25">
      <c r="A546" s="61" t="s">
        <v>4165</v>
      </c>
      <c r="B546" t="s">
        <v>4164</v>
      </c>
      <c r="C546" t="str">
        <f>findKey(supplementary_offering_offeringid__4[[#This Row],[Value.legacyid]])</f>
        <v>300302-65</v>
      </c>
      <c r="D546" t="s">
        <v>5962</v>
      </c>
      <c r="E546" t="s">
        <v>2329</v>
      </c>
      <c r="H546" s="61"/>
      <c r="J546" t="str">
        <f>ToJsonArray(supplementary_offering_offeringid__4[[#Headers],[legacyid]:[activityId]],supplementary_offering_offeringid__4[[#This Row],[legacyid]:[activityId]])</f>
        <v>{"legacyid":"300302-65","name":"Sms-TD-Ilimitado","mode":"N"}</v>
      </c>
      <c r="K546" t="str">
        <f>ToJsonArray(supplementary_offering_offeringid__4[[#This Row],[produccion]],supplementary_offering_offeringid__4[[#This Row],[json]])</f>
        <v>{"930030265":{"legacyid":"300302-65","name":"Sms-TD-Ilimitado","mode":"N"}}</v>
      </c>
    </row>
    <row r="547" spans="1:11" x14ac:dyDescent="0.25">
      <c r="A547" s="61" t="s">
        <v>4168</v>
      </c>
      <c r="B547" t="s">
        <v>4167</v>
      </c>
      <c r="C547" t="str">
        <f>findKey(supplementary_offering_offeringid__4[[#This Row],[Value.legacyid]])</f>
        <v>300302-66</v>
      </c>
      <c r="D547" t="s">
        <v>5962</v>
      </c>
      <c r="E547" t="s">
        <v>2329</v>
      </c>
      <c r="H547" s="61"/>
      <c r="J547" t="str">
        <f>ToJsonArray(supplementary_offering_offeringid__4[[#Headers],[legacyid]:[activityId]],supplementary_offering_offeringid__4[[#This Row],[legacyid]:[activityId]])</f>
        <v>{"legacyid":"300302-66","name":"Sms-TD-Ilimitado","mode":"N"}</v>
      </c>
      <c r="K547" t="str">
        <f>ToJsonArray(supplementary_offering_offeringid__4[[#This Row],[produccion]],supplementary_offering_offeringid__4[[#This Row],[json]])</f>
        <v>{"930030266":{"legacyid":"300302-66","name":"Sms-TD-Ilimitado","mode":"N"}}</v>
      </c>
    </row>
    <row r="548" spans="1:11" x14ac:dyDescent="0.25">
      <c r="A548" s="61" t="s">
        <v>4171</v>
      </c>
      <c r="B548" t="s">
        <v>4170</v>
      </c>
      <c r="C548" t="str">
        <f>findKey(supplementary_offering_offeringid__4[[#This Row],[Value.legacyid]])</f>
        <v>300302-67</v>
      </c>
      <c r="D548" t="s">
        <v>5962</v>
      </c>
      <c r="E548" t="s">
        <v>2329</v>
      </c>
      <c r="H548" s="61"/>
      <c r="J548" t="str">
        <f>ToJsonArray(supplementary_offering_offeringid__4[[#Headers],[legacyid]:[activityId]],supplementary_offering_offeringid__4[[#This Row],[legacyid]:[activityId]])</f>
        <v>{"legacyid":"300302-67","name":"Sms-TD-Ilimitado","mode":"N"}</v>
      </c>
      <c r="K548" t="str">
        <f>ToJsonArray(supplementary_offering_offeringid__4[[#This Row],[produccion]],supplementary_offering_offeringid__4[[#This Row],[json]])</f>
        <v>{"930030267":{"legacyid":"300302-67","name":"Sms-TD-Ilimitado","mode":"N"}}</v>
      </c>
    </row>
    <row r="549" spans="1:11" x14ac:dyDescent="0.25">
      <c r="A549" s="61" t="s">
        <v>4174</v>
      </c>
      <c r="B549" t="s">
        <v>4173</v>
      </c>
      <c r="C549" t="str">
        <f>findKey(supplementary_offering_offeringid__4[[#This Row],[Value.legacyid]])</f>
        <v>300302-68</v>
      </c>
      <c r="D549" t="s">
        <v>5962</v>
      </c>
      <c r="E549" t="s">
        <v>2329</v>
      </c>
      <c r="H549" s="61"/>
      <c r="J549" t="str">
        <f>ToJsonArray(supplementary_offering_offeringid__4[[#Headers],[legacyid]:[activityId]],supplementary_offering_offeringid__4[[#This Row],[legacyid]:[activityId]])</f>
        <v>{"legacyid":"300302-68","name":"Sms-TD-Ilimitado","mode":"N"}</v>
      </c>
      <c r="K549" t="str">
        <f>ToJsonArray(supplementary_offering_offeringid__4[[#This Row],[produccion]],supplementary_offering_offeringid__4[[#This Row],[json]])</f>
        <v>{"930030268":{"legacyid":"300302-68","name":"Sms-TD-Ilimitado","mode":"N"}}</v>
      </c>
    </row>
    <row r="550" spans="1:11" x14ac:dyDescent="0.25">
      <c r="A550" s="61" t="s">
        <v>4177</v>
      </c>
      <c r="B550" t="s">
        <v>4176</v>
      </c>
      <c r="C550" t="str">
        <f>findKey(supplementary_offering_offeringid__4[[#This Row],[Value.legacyid]])</f>
        <v>300302-69</v>
      </c>
      <c r="D550" t="s">
        <v>5962</v>
      </c>
      <c r="E550" t="s">
        <v>2329</v>
      </c>
      <c r="H550" s="61"/>
      <c r="J550" t="str">
        <f>ToJsonArray(supplementary_offering_offeringid__4[[#Headers],[legacyid]:[activityId]],supplementary_offering_offeringid__4[[#This Row],[legacyid]:[activityId]])</f>
        <v>{"legacyid":"300302-69","name":"Sms-TD-Ilimitado","mode":"N"}</v>
      </c>
      <c r="K550" t="str">
        <f>ToJsonArray(supplementary_offering_offeringid__4[[#This Row],[produccion]],supplementary_offering_offeringid__4[[#This Row],[json]])</f>
        <v>{"930030269":{"legacyid":"300302-69","name":"Sms-TD-Ilimitado","mode":"N"}}</v>
      </c>
    </row>
    <row r="551" spans="1:11" x14ac:dyDescent="0.25">
      <c r="A551" s="61" t="s">
        <v>4180</v>
      </c>
      <c r="B551" t="s">
        <v>4179</v>
      </c>
      <c r="C551" t="str">
        <f>findKey(supplementary_offering_offeringid__4[[#This Row],[Value.legacyid]])</f>
        <v>300302-70</v>
      </c>
      <c r="D551" t="s">
        <v>5962</v>
      </c>
      <c r="E551" t="s">
        <v>2329</v>
      </c>
      <c r="H551" s="61"/>
      <c r="J551" t="str">
        <f>ToJsonArray(supplementary_offering_offeringid__4[[#Headers],[legacyid]:[activityId]],supplementary_offering_offeringid__4[[#This Row],[legacyid]:[activityId]])</f>
        <v>{"legacyid":"300302-70","name":"Sms-TD-Ilimitado","mode":"N"}</v>
      </c>
      <c r="K551" t="str">
        <f>ToJsonArray(supplementary_offering_offeringid__4[[#This Row],[produccion]],supplementary_offering_offeringid__4[[#This Row],[json]])</f>
        <v>{"930030270":{"legacyid":"300302-70","name":"Sms-TD-Ilimitado","mode":"N"}}</v>
      </c>
    </row>
    <row r="552" spans="1:11" x14ac:dyDescent="0.25">
      <c r="A552" s="61" t="s">
        <v>4183</v>
      </c>
      <c r="B552" t="s">
        <v>4182</v>
      </c>
      <c r="C552" t="str">
        <f>findKey(supplementary_offering_offeringid__4[[#This Row],[Value.legacyid]])</f>
        <v>300302-71</v>
      </c>
      <c r="D552" t="s">
        <v>5962</v>
      </c>
      <c r="E552" t="s">
        <v>2329</v>
      </c>
      <c r="H552" s="61"/>
      <c r="J552" t="str">
        <f>ToJsonArray(supplementary_offering_offeringid__4[[#Headers],[legacyid]:[activityId]],supplementary_offering_offeringid__4[[#This Row],[legacyid]:[activityId]])</f>
        <v>{"legacyid":"300302-71","name":"Sms-TD-Ilimitado","mode":"N"}</v>
      </c>
      <c r="K552" t="str">
        <f>ToJsonArray(supplementary_offering_offeringid__4[[#This Row],[produccion]],supplementary_offering_offeringid__4[[#This Row],[json]])</f>
        <v>{"930030271":{"legacyid":"300302-71","name":"Sms-TD-Ilimitado","mode":"N"}}</v>
      </c>
    </row>
    <row r="553" spans="1:11" x14ac:dyDescent="0.25">
      <c r="A553" s="61" t="s">
        <v>4186</v>
      </c>
      <c r="B553" t="s">
        <v>4185</v>
      </c>
      <c r="C553" t="str">
        <f>findKey(supplementary_offering_offeringid__4[[#This Row],[Value.legacyid]])</f>
        <v>300302-72</v>
      </c>
      <c r="D553" t="s">
        <v>5962</v>
      </c>
      <c r="E553" t="s">
        <v>2329</v>
      </c>
      <c r="H553" s="61"/>
      <c r="J553" t="str">
        <f>ToJsonArray(supplementary_offering_offeringid__4[[#Headers],[legacyid]:[activityId]],supplementary_offering_offeringid__4[[#This Row],[legacyid]:[activityId]])</f>
        <v>{"legacyid":"300302-72","name":"Sms-TD-Ilimitado","mode":"N"}</v>
      </c>
      <c r="K553" t="str">
        <f>ToJsonArray(supplementary_offering_offeringid__4[[#This Row],[produccion]],supplementary_offering_offeringid__4[[#This Row],[json]])</f>
        <v>{"930030272":{"legacyid":"300302-72","name":"Sms-TD-Ilimitado","mode":"N"}}</v>
      </c>
    </row>
    <row r="554" spans="1:11" x14ac:dyDescent="0.25">
      <c r="A554" s="61" t="s">
        <v>4189</v>
      </c>
      <c r="B554" t="s">
        <v>4188</v>
      </c>
      <c r="C554" t="str">
        <f>findKey(supplementary_offering_offeringid__4[[#This Row],[Value.legacyid]])</f>
        <v>300302-73</v>
      </c>
      <c r="D554" t="s">
        <v>5962</v>
      </c>
      <c r="E554" t="s">
        <v>2329</v>
      </c>
      <c r="H554" s="61"/>
      <c r="J554" t="str">
        <f>ToJsonArray(supplementary_offering_offeringid__4[[#Headers],[legacyid]:[activityId]],supplementary_offering_offeringid__4[[#This Row],[legacyid]:[activityId]])</f>
        <v>{"legacyid":"300302-73","name":"Sms-TD-Ilimitado","mode":"N"}</v>
      </c>
      <c r="K554" t="str">
        <f>ToJsonArray(supplementary_offering_offeringid__4[[#This Row],[produccion]],supplementary_offering_offeringid__4[[#This Row],[json]])</f>
        <v>{"930030273":{"legacyid":"300302-73","name":"Sms-TD-Ilimitado","mode":"N"}}</v>
      </c>
    </row>
    <row r="555" spans="1:11" x14ac:dyDescent="0.25">
      <c r="A555" s="61" t="s">
        <v>4192</v>
      </c>
      <c r="B555" t="s">
        <v>4191</v>
      </c>
      <c r="C555" t="str">
        <f>findKey(supplementary_offering_offeringid__4[[#This Row],[Value.legacyid]])</f>
        <v>300302-74</v>
      </c>
      <c r="D555" t="s">
        <v>5962</v>
      </c>
      <c r="E555" t="s">
        <v>2329</v>
      </c>
      <c r="H555" s="61"/>
      <c r="J555" t="str">
        <f>ToJsonArray(supplementary_offering_offeringid__4[[#Headers],[legacyid]:[activityId]],supplementary_offering_offeringid__4[[#This Row],[legacyid]:[activityId]])</f>
        <v>{"legacyid":"300302-74","name":"Sms-TD-Ilimitado","mode":"N"}</v>
      </c>
      <c r="K555" t="str">
        <f>ToJsonArray(supplementary_offering_offeringid__4[[#This Row],[produccion]],supplementary_offering_offeringid__4[[#This Row],[json]])</f>
        <v>{"930030274":{"legacyid":"300302-74","name":"Sms-TD-Ilimitado","mode":"N"}}</v>
      </c>
    </row>
    <row r="556" spans="1:11" x14ac:dyDescent="0.25">
      <c r="A556" s="61" t="s">
        <v>4195</v>
      </c>
      <c r="B556" t="s">
        <v>4194</v>
      </c>
      <c r="C556" t="str">
        <f>findKey(supplementary_offering_offeringid__4[[#This Row],[Value.legacyid]])</f>
        <v>300302-75</v>
      </c>
      <c r="D556" t="s">
        <v>5962</v>
      </c>
      <c r="E556" t="s">
        <v>2329</v>
      </c>
      <c r="H556" s="61"/>
      <c r="J556" t="str">
        <f>ToJsonArray(supplementary_offering_offeringid__4[[#Headers],[legacyid]:[activityId]],supplementary_offering_offeringid__4[[#This Row],[legacyid]:[activityId]])</f>
        <v>{"legacyid":"300302-75","name":"Sms-TD-Ilimitado","mode":"N"}</v>
      </c>
      <c r="K556" t="str">
        <f>ToJsonArray(supplementary_offering_offeringid__4[[#This Row],[produccion]],supplementary_offering_offeringid__4[[#This Row],[json]])</f>
        <v>{"930030275":{"legacyid":"300302-75","name":"Sms-TD-Ilimitado","mode":"N"}}</v>
      </c>
    </row>
    <row r="557" spans="1:11" x14ac:dyDescent="0.25">
      <c r="A557" s="61" t="s">
        <v>4198</v>
      </c>
      <c r="B557" t="s">
        <v>4197</v>
      </c>
      <c r="C557" t="str">
        <f>findKey(supplementary_offering_offeringid__4[[#This Row],[Value.legacyid]])</f>
        <v>300302-76</v>
      </c>
      <c r="D557" t="s">
        <v>5962</v>
      </c>
      <c r="E557" t="s">
        <v>2329</v>
      </c>
      <c r="H557" s="61"/>
      <c r="J557" t="str">
        <f>ToJsonArray(supplementary_offering_offeringid__4[[#Headers],[legacyid]:[activityId]],supplementary_offering_offeringid__4[[#This Row],[legacyid]:[activityId]])</f>
        <v>{"legacyid":"300302-76","name":"Sms-TD-Ilimitado","mode":"N"}</v>
      </c>
      <c r="K557" t="str">
        <f>ToJsonArray(supplementary_offering_offeringid__4[[#This Row],[produccion]],supplementary_offering_offeringid__4[[#This Row],[json]])</f>
        <v>{"930030276":{"legacyid":"300302-76","name":"Sms-TD-Ilimitado","mode":"N"}}</v>
      </c>
    </row>
    <row r="558" spans="1:11" x14ac:dyDescent="0.25">
      <c r="A558" s="61" t="s">
        <v>4201</v>
      </c>
      <c r="B558" t="s">
        <v>4200</v>
      </c>
      <c r="C558" t="str">
        <f>findKey(supplementary_offering_offeringid__4[[#This Row],[Value.legacyid]])</f>
        <v>300302-77</v>
      </c>
      <c r="D558" t="s">
        <v>5962</v>
      </c>
      <c r="E558" t="s">
        <v>2329</v>
      </c>
      <c r="H558" s="61"/>
      <c r="J558" t="str">
        <f>ToJsonArray(supplementary_offering_offeringid__4[[#Headers],[legacyid]:[activityId]],supplementary_offering_offeringid__4[[#This Row],[legacyid]:[activityId]])</f>
        <v>{"legacyid":"300302-77","name":"Sms-TD-Ilimitado","mode":"N"}</v>
      </c>
      <c r="K558" t="str">
        <f>ToJsonArray(supplementary_offering_offeringid__4[[#This Row],[produccion]],supplementary_offering_offeringid__4[[#This Row],[json]])</f>
        <v>{"930030277":{"legacyid":"300302-77","name":"Sms-TD-Ilimitado","mode":"N"}}</v>
      </c>
    </row>
    <row r="559" spans="1:11" x14ac:dyDescent="0.25">
      <c r="A559" s="61" t="s">
        <v>4204</v>
      </c>
      <c r="B559" t="s">
        <v>4203</v>
      </c>
      <c r="C559" t="str">
        <f>findKey(supplementary_offering_offeringid__4[[#This Row],[Value.legacyid]])</f>
        <v>300302-78</v>
      </c>
      <c r="D559" t="s">
        <v>5962</v>
      </c>
      <c r="E559" t="s">
        <v>2329</v>
      </c>
      <c r="H559" s="61"/>
      <c r="J559" t="str">
        <f>ToJsonArray(supplementary_offering_offeringid__4[[#Headers],[legacyid]:[activityId]],supplementary_offering_offeringid__4[[#This Row],[legacyid]:[activityId]])</f>
        <v>{"legacyid":"300302-78","name":"Sms-TD-Ilimitado","mode":"N"}</v>
      </c>
      <c r="K559" t="str">
        <f>ToJsonArray(supplementary_offering_offeringid__4[[#This Row],[produccion]],supplementary_offering_offeringid__4[[#This Row],[json]])</f>
        <v>{"930030278":{"legacyid":"300302-78","name":"Sms-TD-Ilimitado","mode":"N"}}</v>
      </c>
    </row>
    <row r="560" spans="1:11" x14ac:dyDescent="0.25">
      <c r="A560" s="61" t="s">
        <v>4207</v>
      </c>
      <c r="B560" t="s">
        <v>4206</v>
      </c>
      <c r="C560" t="str">
        <f>findKey(supplementary_offering_offeringid__4[[#This Row],[Value.legacyid]])</f>
        <v>300302-79</v>
      </c>
      <c r="D560" t="s">
        <v>5962</v>
      </c>
      <c r="E560" t="s">
        <v>2329</v>
      </c>
      <c r="H560" s="61"/>
      <c r="J560" t="str">
        <f>ToJsonArray(supplementary_offering_offeringid__4[[#Headers],[legacyid]:[activityId]],supplementary_offering_offeringid__4[[#This Row],[legacyid]:[activityId]])</f>
        <v>{"legacyid":"300302-79","name":"Sms-TD-Ilimitado","mode":"N"}</v>
      </c>
      <c r="K560" t="str">
        <f>ToJsonArray(supplementary_offering_offeringid__4[[#This Row],[produccion]],supplementary_offering_offeringid__4[[#This Row],[json]])</f>
        <v>{"930030279":{"legacyid":"300302-79","name":"Sms-TD-Ilimitado","mode":"N"}}</v>
      </c>
    </row>
    <row r="561" spans="1:11" x14ac:dyDescent="0.25">
      <c r="A561" s="61" t="s">
        <v>4210</v>
      </c>
      <c r="B561" t="s">
        <v>4209</v>
      </c>
      <c r="C561" t="str">
        <f>findKey(supplementary_offering_offeringid__4[[#This Row],[Value.legacyid]])</f>
        <v>300302-80</v>
      </c>
      <c r="D561" t="s">
        <v>5962</v>
      </c>
      <c r="E561" t="s">
        <v>2329</v>
      </c>
      <c r="H561" s="61"/>
      <c r="J561" t="str">
        <f>ToJsonArray(supplementary_offering_offeringid__4[[#Headers],[legacyid]:[activityId]],supplementary_offering_offeringid__4[[#This Row],[legacyid]:[activityId]])</f>
        <v>{"legacyid":"300302-80","name":"Sms-TD-Ilimitado","mode":"N"}</v>
      </c>
      <c r="K561" t="str">
        <f>ToJsonArray(supplementary_offering_offeringid__4[[#This Row],[produccion]],supplementary_offering_offeringid__4[[#This Row],[json]])</f>
        <v>{"930030280":{"legacyid":"300302-80","name":"Sms-TD-Ilimitado","mode":"N"}}</v>
      </c>
    </row>
    <row r="562" spans="1:11" x14ac:dyDescent="0.25">
      <c r="A562" s="61" t="s">
        <v>4213</v>
      </c>
      <c r="B562" t="s">
        <v>4212</v>
      </c>
      <c r="C562" t="str">
        <f>findKey(supplementary_offering_offeringid__4[[#This Row],[Value.legacyid]])</f>
        <v>300302-81</v>
      </c>
      <c r="D562" t="s">
        <v>5962</v>
      </c>
      <c r="E562" t="s">
        <v>2329</v>
      </c>
      <c r="H562" s="61"/>
      <c r="J562" t="str">
        <f>ToJsonArray(supplementary_offering_offeringid__4[[#Headers],[legacyid]:[activityId]],supplementary_offering_offeringid__4[[#This Row],[legacyid]:[activityId]])</f>
        <v>{"legacyid":"300302-81","name":"Sms-TD-Ilimitado","mode":"N"}</v>
      </c>
      <c r="K562" t="str">
        <f>ToJsonArray(supplementary_offering_offeringid__4[[#This Row],[produccion]],supplementary_offering_offeringid__4[[#This Row],[json]])</f>
        <v>{"930030281":{"legacyid":"300302-81","name":"Sms-TD-Ilimitado","mode":"N"}}</v>
      </c>
    </row>
    <row r="563" spans="1:11" x14ac:dyDescent="0.25">
      <c r="A563" s="61" t="s">
        <v>4216</v>
      </c>
      <c r="B563" t="s">
        <v>4215</v>
      </c>
      <c r="C563" t="str">
        <f>findKey(supplementary_offering_offeringid__4[[#This Row],[Value.legacyid]])</f>
        <v>300302-82</v>
      </c>
      <c r="D563" t="s">
        <v>5962</v>
      </c>
      <c r="E563" t="s">
        <v>2329</v>
      </c>
      <c r="H563" s="61"/>
      <c r="J563" t="str">
        <f>ToJsonArray(supplementary_offering_offeringid__4[[#Headers],[legacyid]:[activityId]],supplementary_offering_offeringid__4[[#This Row],[legacyid]:[activityId]])</f>
        <v>{"legacyid":"300302-82","name":"Sms-TD-Ilimitado","mode":"N"}</v>
      </c>
      <c r="K563" t="str">
        <f>ToJsonArray(supplementary_offering_offeringid__4[[#This Row],[produccion]],supplementary_offering_offeringid__4[[#This Row],[json]])</f>
        <v>{"930030282":{"legacyid":"300302-82","name":"Sms-TD-Ilimitado","mode":"N"}}</v>
      </c>
    </row>
    <row r="564" spans="1:11" x14ac:dyDescent="0.25">
      <c r="A564" s="61" t="s">
        <v>4219</v>
      </c>
      <c r="B564" t="s">
        <v>4218</v>
      </c>
      <c r="C564" t="str">
        <f>findKey(supplementary_offering_offeringid__4[[#This Row],[Value.legacyid]])</f>
        <v>300302-83</v>
      </c>
      <c r="D564" t="s">
        <v>5962</v>
      </c>
      <c r="E564" t="s">
        <v>2329</v>
      </c>
      <c r="H564" s="61"/>
      <c r="J564" t="str">
        <f>ToJsonArray(supplementary_offering_offeringid__4[[#Headers],[legacyid]:[activityId]],supplementary_offering_offeringid__4[[#This Row],[legacyid]:[activityId]])</f>
        <v>{"legacyid":"300302-83","name":"Sms-TD-Ilimitado","mode":"N"}</v>
      </c>
      <c r="K564" t="str">
        <f>ToJsonArray(supplementary_offering_offeringid__4[[#This Row],[produccion]],supplementary_offering_offeringid__4[[#This Row],[json]])</f>
        <v>{"930030283":{"legacyid":"300302-83","name":"Sms-TD-Ilimitado","mode":"N"}}</v>
      </c>
    </row>
    <row r="565" spans="1:11" x14ac:dyDescent="0.25">
      <c r="A565" s="61" t="s">
        <v>4222</v>
      </c>
      <c r="B565" t="s">
        <v>4221</v>
      </c>
      <c r="C565" t="str">
        <f>findKey(supplementary_offering_offeringid__4[[#This Row],[Value.legacyid]])</f>
        <v>300302-84</v>
      </c>
      <c r="D565" t="s">
        <v>5962</v>
      </c>
      <c r="E565" t="s">
        <v>2329</v>
      </c>
      <c r="H565" s="61"/>
      <c r="J565" t="str">
        <f>ToJsonArray(supplementary_offering_offeringid__4[[#Headers],[legacyid]:[activityId]],supplementary_offering_offeringid__4[[#This Row],[legacyid]:[activityId]])</f>
        <v>{"legacyid":"300302-84","name":"Sms-TD-Ilimitado","mode":"N"}</v>
      </c>
      <c r="K565" t="str">
        <f>ToJsonArray(supplementary_offering_offeringid__4[[#This Row],[produccion]],supplementary_offering_offeringid__4[[#This Row],[json]])</f>
        <v>{"930030284":{"legacyid":"300302-84","name":"Sms-TD-Ilimitado","mode":"N"}}</v>
      </c>
    </row>
    <row r="566" spans="1:11" x14ac:dyDescent="0.25">
      <c r="A566" s="61" t="s">
        <v>4225</v>
      </c>
      <c r="B566" t="s">
        <v>4224</v>
      </c>
      <c r="C566" t="str">
        <f>findKey(supplementary_offering_offeringid__4[[#This Row],[Value.legacyid]])</f>
        <v>300302-85</v>
      </c>
      <c r="D566" t="s">
        <v>5962</v>
      </c>
      <c r="E566" t="s">
        <v>2329</v>
      </c>
      <c r="H566" s="61"/>
      <c r="J566" t="str">
        <f>ToJsonArray(supplementary_offering_offeringid__4[[#Headers],[legacyid]:[activityId]],supplementary_offering_offeringid__4[[#This Row],[legacyid]:[activityId]])</f>
        <v>{"legacyid":"300302-85","name":"Sms-TD-Ilimitado","mode":"N"}</v>
      </c>
      <c r="K566" t="str">
        <f>ToJsonArray(supplementary_offering_offeringid__4[[#This Row],[produccion]],supplementary_offering_offeringid__4[[#This Row],[json]])</f>
        <v>{"930030285":{"legacyid":"300302-85","name":"Sms-TD-Ilimitado","mode":"N"}}</v>
      </c>
    </row>
    <row r="567" spans="1:11" x14ac:dyDescent="0.25">
      <c r="A567" s="61" t="s">
        <v>4228</v>
      </c>
      <c r="B567" t="s">
        <v>4227</v>
      </c>
      <c r="C567" t="str">
        <f>findKey(supplementary_offering_offeringid__4[[#This Row],[Value.legacyid]])</f>
        <v>300302-86</v>
      </c>
      <c r="D567" t="s">
        <v>5962</v>
      </c>
      <c r="E567" t="s">
        <v>2329</v>
      </c>
      <c r="H567" s="61"/>
      <c r="J567" t="str">
        <f>ToJsonArray(supplementary_offering_offeringid__4[[#Headers],[legacyid]:[activityId]],supplementary_offering_offeringid__4[[#This Row],[legacyid]:[activityId]])</f>
        <v>{"legacyid":"300302-86","name":"Sms-TD-Ilimitado","mode":"N"}</v>
      </c>
      <c r="K567" t="str">
        <f>ToJsonArray(supplementary_offering_offeringid__4[[#This Row],[produccion]],supplementary_offering_offeringid__4[[#This Row],[json]])</f>
        <v>{"930030286":{"legacyid":"300302-86","name":"Sms-TD-Ilimitado","mode":"N"}}</v>
      </c>
    </row>
    <row r="568" spans="1:11" x14ac:dyDescent="0.25">
      <c r="A568" s="61" t="s">
        <v>4231</v>
      </c>
      <c r="B568" t="s">
        <v>4230</v>
      </c>
      <c r="C568" t="str">
        <f>findKey(supplementary_offering_offeringid__4[[#This Row],[Value.legacyid]])</f>
        <v>300302-87</v>
      </c>
      <c r="D568" t="s">
        <v>5962</v>
      </c>
      <c r="E568" t="s">
        <v>2329</v>
      </c>
      <c r="H568" s="61"/>
      <c r="J568" t="str">
        <f>ToJsonArray(supplementary_offering_offeringid__4[[#Headers],[legacyid]:[activityId]],supplementary_offering_offeringid__4[[#This Row],[legacyid]:[activityId]])</f>
        <v>{"legacyid":"300302-87","name":"Sms-TD-Ilimitado","mode":"N"}</v>
      </c>
      <c r="K568" t="str">
        <f>ToJsonArray(supplementary_offering_offeringid__4[[#This Row],[produccion]],supplementary_offering_offeringid__4[[#This Row],[json]])</f>
        <v>{"930030287":{"legacyid":"300302-87","name":"Sms-TD-Ilimitado","mode":"N"}}</v>
      </c>
    </row>
    <row r="569" spans="1:11" x14ac:dyDescent="0.25">
      <c r="A569" s="61" t="s">
        <v>4234</v>
      </c>
      <c r="B569" t="s">
        <v>4233</v>
      </c>
      <c r="C569" t="str">
        <f>findKey(supplementary_offering_offeringid__4[[#This Row],[Value.legacyid]])</f>
        <v>300302-88</v>
      </c>
      <c r="D569" t="s">
        <v>5962</v>
      </c>
      <c r="E569" t="s">
        <v>2329</v>
      </c>
      <c r="H569" s="61"/>
      <c r="J569" t="str">
        <f>ToJsonArray(supplementary_offering_offeringid__4[[#Headers],[legacyid]:[activityId]],supplementary_offering_offeringid__4[[#This Row],[legacyid]:[activityId]])</f>
        <v>{"legacyid":"300302-88","name":"Sms-TD-Ilimitado","mode":"N"}</v>
      </c>
      <c r="K569" t="str">
        <f>ToJsonArray(supplementary_offering_offeringid__4[[#This Row],[produccion]],supplementary_offering_offeringid__4[[#This Row],[json]])</f>
        <v>{"930030288":{"legacyid":"300302-88","name":"Sms-TD-Ilimitado","mode":"N"}}</v>
      </c>
    </row>
    <row r="570" spans="1:11" x14ac:dyDescent="0.25">
      <c r="A570" s="61" t="s">
        <v>4237</v>
      </c>
      <c r="B570" t="s">
        <v>4236</v>
      </c>
      <c r="C570" t="str">
        <f>findKey(supplementary_offering_offeringid__4[[#This Row],[Value.legacyid]])</f>
        <v>300302-89</v>
      </c>
      <c r="D570" t="s">
        <v>5962</v>
      </c>
      <c r="E570" t="s">
        <v>2329</v>
      </c>
      <c r="H570" s="61"/>
      <c r="J570" t="str">
        <f>ToJsonArray(supplementary_offering_offeringid__4[[#Headers],[legacyid]:[activityId]],supplementary_offering_offeringid__4[[#This Row],[legacyid]:[activityId]])</f>
        <v>{"legacyid":"300302-89","name":"Sms-TD-Ilimitado","mode":"N"}</v>
      </c>
      <c r="K570" t="str">
        <f>ToJsonArray(supplementary_offering_offeringid__4[[#This Row],[produccion]],supplementary_offering_offeringid__4[[#This Row],[json]])</f>
        <v>{"930030289":{"legacyid":"300302-89","name":"Sms-TD-Ilimitado","mode":"N"}}</v>
      </c>
    </row>
    <row r="571" spans="1:11" x14ac:dyDescent="0.25">
      <c r="A571" s="61" t="s">
        <v>4240</v>
      </c>
      <c r="B571" t="s">
        <v>4239</v>
      </c>
      <c r="C571" t="str">
        <f>findKey(supplementary_offering_offeringid__4[[#This Row],[Value.legacyid]])</f>
        <v>300302-90</v>
      </c>
      <c r="D571" t="s">
        <v>5962</v>
      </c>
      <c r="E571" t="s">
        <v>2329</v>
      </c>
      <c r="H571" s="61"/>
      <c r="J571" t="str">
        <f>ToJsonArray(supplementary_offering_offeringid__4[[#Headers],[legacyid]:[activityId]],supplementary_offering_offeringid__4[[#This Row],[legacyid]:[activityId]])</f>
        <v>{"legacyid":"300302-90","name":"Sms-TD-Ilimitado","mode":"N"}</v>
      </c>
      <c r="K571" t="str">
        <f>ToJsonArray(supplementary_offering_offeringid__4[[#This Row],[produccion]],supplementary_offering_offeringid__4[[#This Row],[json]])</f>
        <v>{"930030290":{"legacyid":"300302-90","name":"Sms-TD-Ilimitado","mode":"N"}}</v>
      </c>
    </row>
    <row r="572" spans="1:11" x14ac:dyDescent="0.25">
      <c r="A572" s="61" t="s">
        <v>4243</v>
      </c>
      <c r="B572" t="s">
        <v>4242</v>
      </c>
      <c r="C572" t="str">
        <f>findKey(supplementary_offering_offeringid__4[[#This Row],[Value.legacyid]])</f>
        <v>300302-91</v>
      </c>
      <c r="D572" t="s">
        <v>5962</v>
      </c>
      <c r="E572" t="s">
        <v>2329</v>
      </c>
      <c r="H572" s="61"/>
      <c r="J572" t="str">
        <f>ToJsonArray(supplementary_offering_offeringid__4[[#Headers],[legacyid]:[activityId]],supplementary_offering_offeringid__4[[#This Row],[legacyid]:[activityId]])</f>
        <v>{"legacyid":"300302-91","name":"Sms-TD-Ilimitado","mode":"N"}</v>
      </c>
      <c r="K572" t="str">
        <f>ToJsonArray(supplementary_offering_offeringid__4[[#This Row],[produccion]],supplementary_offering_offeringid__4[[#This Row],[json]])</f>
        <v>{"930030291":{"legacyid":"300302-91","name":"Sms-TD-Ilimitado","mode":"N"}}</v>
      </c>
    </row>
    <row r="573" spans="1:11" x14ac:dyDescent="0.25">
      <c r="A573" s="61" t="s">
        <v>4246</v>
      </c>
      <c r="B573" t="s">
        <v>4245</v>
      </c>
      <c r="C573" t="str">
        <f>findKey(supplementary_offering_offeringid__4[[#This Row],[Value.legacyid]])</f>
        <v>300302-92</v>
      </c>
      <c r="D573" t="s">
        <v>5962</v>
      </c>
      <c r="E573" t="s">
        <v>2329</v>
      </c>
      <c r="H573" s="61"/>
      <c r="J573" t="str">
        <f>ToJsonArray(supplementary_offering_offeringid__4[[#Headers],[legacyid]:[activityId]],supplementary_offering_offeringid__4[[#This Row],[legacyid]:[activityId]])</f>
        <v>{"legacyid":"300302-92","name":"Sms-TD-Ilimitado","mode":"N"}</v>
      </c>
      <c r="K573" t="str">
        <f>ToJsonArray(supplementary_offering_offeringid__4[[#This Row],[produccion]],supplementary_offering_offeringid__4[[#This Row],[json]])</f>
        <v>{"930030292":{"legacyid":"300302-92","name":"Sms-TD-Ilimitado","mode":"N"}}</v>
      </c>
    </row>
    <row r="574" spans="1:11" x14ac:dyDescent="0.25">
      <c r="A574" s="61" t="s">
        <v>4249</v>
      </c>
      <c r="B574" t="s">
        <v>4248</v>
      </c>
      <c r="C574" t="str">
        <f>findKey(supplementary_offering_offeringid__4[[#This Row],[Value.legacyid]])</f>
        <v>300302-93</v>
      </c>
      <c r="D574" t="s">
        <v>5962</v>
      </c>
      <c r="E574" t="s">
        <v>2329</v>
      </c>
      <c r="H574" s="61"/>
      <c r="J574" t="str">
        <f>ToJsonArray(supplementary_offering_offeringid__4[[#Headers],[legacyid]:[activityId]],supplementary_offering_offeringid__4[[#This Row],[legacyid]:[activityId]])</f>
        <v>{"legacyid":"300302-93","name":"Sms-TD-Ilimitado","mode":"N"}</v>
      </c>
      <c r="K574" t="str">
        <f>ToJsonArray(supplementary_offering_offeringid__4[[#This Row],[produccion]],supplementary_offering_offeringid__4[[#This Row],[json]])</f>
        <v>{"930030293":{"legacyid":"300302-93","name":"Sms-TD-Ilimitado","mode":"N"}}</v>
      </c>
    </row>
    <row r="575" spans="1:11" x14ac:dyDescent="0.25">
      <c r="A575" s="61" t="s">
        <v>4252</v>
      </c>
      <c r="B575" t="s">
        <v>4251</v>
      </c>
      <c r="C575" t="str">
        <f>findKey(supplementary_offering_offeringid__4[[#This Row],[Value.legacyid]])</f>
        <v>300302-94</v>
      </c>
      <c r="D575" t="s">
        <v>5962</v>
      </c>
      <c r="E575" t="s">
        <v>2329</v>
      </c>
      <c r="H575" s="61"/>
      <c r="J575" t="str">
        <f>ToJsonArray(supplementary_offering_offeringid__4[[#Headers],[legacyid]:[activityId]],supplementary_offering_offeringid__4[[#This Row],[legacyid]:[activityId]])</f>
        <v>{"legacyid":"300302-94","name":"Sms-TD-Ilimitado","mode":"N"}</v>
      </c>
      <c r="K575" t="str">
        <f>ToJsonArray(supplementary_offering_offeringid__4[[#This Row],[produccion]],supplementary_offering_offeringid__4[[#This Row],[json]])</f>
        <v>{"930030294":{"legacyid":"300302-94","name":"Sms-TD-Ilimitado","mode":"N"}}</v>
      </c>
    </row>
    <row r="576" spans="1:11" x14ac:dyDescent="0.25">
      <c r="A576" s="61" t="s">
        <v>4255</v>
      </c>
      <c r="B576" t="s">
        <v>4254</v>
      </c>
      <c r="C576" t="str">
        <f>findKey(supplementary_offering_offeringid__4[[#This Row],[Value.legacyid]])</f>
        <v>300302-95</v>
      </c>
      <c r="D576" t="s">
        <v>5962</v>
      </c>
      <c r="E576" t="s">
        <v>2329</v>
      </c>
      <c r="H576" s="61"/>
      <c r="J576" t="str">
        <f>ToJsonArray(supplementary_offering_offeringid__4[[#Headers],[legacyid]:[activityId]],supplementary_offering_offeringid__4[[#This Row],[legacyid]:[activityId]])</f>
        <v>{"legacyid":"300302-95","name":"Sms-TD-Ilimitado","mode":"N"}</v>
      </c>
      <c r="K576" t="str">
        <f>ToJsonArray(supplementary_offering_offeringid__4[[#This Row],[produccion]],supplementary_offering_offeringid__4[[#This Row],[json]])</f>
        <v>{"930030295":{"legacyid":"300302-95","name":"Sms-TD-Ilimitado","mode":"N"}}</v>
      </c>
    </row>
    <row r="577" spans="1:11" x14ac:dyDescent="0.25">
      <c r="A577" s="61" t="s">
        <v>4258</v>
      </c>
      <c r="B577" t="s">
        <v>4257</v>
      </c>
      <c r="C577" t="str">
        <f>findKey(supplementary_offering_offeringid__4[[#This Row],[Value.legacyid]])</f>
        <v>300302-96</v>
      </c>
      <c r="D577" t="s">
        <v>5962</v>
      </c>
      <c r="E577" t="s">
        <v>2329</v>
      </c>
      <c r="H577" s="61"/>
      <c r="J577" t="str">
        <f>ToJsonArray(supplementary_offering_offeringid__4[[#Headers],[legacyid]:[activityId]],supplementary_offering_offeringid__4[[#This Row],[legacyid]:[activityId]])</f>
        <v>{"legacyid":"300302-96","name":"Sms-TD-Ilimitado","mode":"N"}</v>
      </c>
      <c r="K577" t="str">
        <f>ToJsonArray(supplementary_offering_offeringid__4[[#This Row],[produccion]],supplementary_offering_offeringid__4[[#This Row],[json]])</f>
        <v>{"930030296":{"legacyid":"300302-96","name":"Sms-TD-Ilimitado","mode":"N"}}</v>
      </c>
    </row>
    <row r="578" spans="1:11" x14ac:dyDescent="0.25">
      <c r="A578" s="61" t="s">
        <v>4261</v>
      </c>
      <c r="B578" t="s">
        <v>4260</v>
      </c>
      <c r="C578" t="str">
        <f>findKey(supplementary_offering_offeringid__4[[#This Row],[Value.legacyid]])</f>
        <v>300302-97</v>
      </c>
      <c r="D578" t="s">
        <v>5962</v>
      </c>
      <c r="E578" t="s">
        <v>2329</v>
      </c>
      <c r="H578" s="61"/>
      <c r="J578" t="str">
        <f>ToJsonArray(supplementary_offering_offeringid__4[[#Headers],[legacyid]:[activityId]],supplementary_offering_offeringid__4[[#This Row],[legacyid]:[activityId]])</f>
        <v>{"legacyid":"300302-97","name":"Sms-TD-Ilimitado","mode":"N"}</v>
      </c>
      <c r="K578" t="str">
        <f>ToJsonArray(supplementary_offering_offeringid__4[[#This Row],[produccion]],supplementary_offering_offeringid__4[[#This Row],[json]])</f>
        <v>{"930030297":{"legacyid":"300302-97","name":"Sms-TD-Ilimitado","mode":"N"}}</v>
      </c>
    </row>
    <row r="579" spans="1:11" x14ac:dyDescent="0.25">
      <c r="A579" s="61" t="s">
        <v>5017</v>
      </c>
      <c r="B579" t="s">
        <v>5016</v>
      </c>
      <c r="C579" t="str">
        <f>findKey(supplementary_offering_offeringid__4[[#This Row],[Value.legacyid]])</f>
        <v>300302-98</v>
      </c>
      <c r="D579" t="s">
        <v>5962</v>
      </c>
      <c r="E579" t="s">
        <v>2329</v>
      </c>
      <c r="H579" s="61"/>
      <c r="J579" t="str">
        <f>ToJsonArray(supplementary_offering_offeringid__4[[#Headers],[legacyid]:[activityId]],supplementary_offering_offeringid__4[[#This Row],[legacyid]:[activityId]])</f>
        <v>{"legacyid":"300302-98","name":"Sms-TD-Ilimitado","mode":"N"}</v>
      </c>
      <c r="K579" t="str">
        <f>ToJsonArray(supplementary_offering_offeringid__4[[#This Row],[produccion]],supplementary_offering_offeringid__4[[#This Row],[json]])</f>
        <v>{"930030298":{"legacyid":"300302-98","name":"Sms-TD-Ilimitado","mode":"N"}}</v>
      </c>
    </row>
    <row r="580" spans="1:11" x14ac:dyDescent="0.25">
      <c r="A580" s="61" t="s">
        <v>5020</v>
      </c>
      <c r="B580" t="s">
        <v>5019</v>
      </c>
      <c r="C580" t="str">
        <f>findKey(supplementary_offering_offeringid__4[[#This Row],[Value.legacyid]])</f>
        <v>300302-99</v>
      </c>
      <c r="D580" t="s">
        <v>5962</v>
      </c>
      <c r="E580" t="s">
        <v>2329</v>
      </c>
      <c r="H580" s="61"/>
      <c r="J580" t="str">
        <f>ToJsonArray(supplementary_offering_offeringid__4[[#Headers],[legacyid]:[activityId]],supplementary_offering_offeringid__4[[#This Row],[legacyid]:[activityId]])</f>
        <v>{"legacyid":"300302-99","name":"Sms-TD-Ilimitado","mode":"N"}</v>
      </c>
      <c r="K580" t="str">
        <f>ToJsonArray(supplementary_offering_offeringid__4[[#This Row],[produccion]],supplementary_offering_offeringid__4[[#This Row],[json]])</f>
        <v>{"930030299":{"legacyid":"300302-99","name":"Sms-TD-Ilimitado","mode":"N"}}</v>
      </c>
    </row>
    <row r="581" spans="1:11" x14ac:dyDescent="0.25">
      <c r="A581" s="61" t="s">
        <v>4264</v>
      </c>
      <c r="B581" t="s">
        <v>4263</v>
      </c>
      <c r="C581" t="str">
        <f>findKey(supplementary_offering_offeringid__4[[#This Row],[Value.legacyid]])</f>
        <v>300312-00</v>
      </c>
      <c r="D581" t="s">
        <v>5962</v>
      </c>
      <c r="E581" t="s">
        <v>2329</v>
      </c>
      <c r="H581" s="61"/>
      <c r="J581" t="str">
        <f>ToJsonArray(supplementary_offering_offeringid__4[[#Headers],[legacyid]:[activityId]],supplementary_offering_offeringid__4[[#This Row],[legacyid]:[activityId]])</f>
        <v>{"legacyid":"300312-00","name":"Sms-TD-Ilimitado","mode":"N"}</v>
      </c>
      <c r="K581" t="str">
        <f>ToJsonArray(supplementary_offering_offeringid__4[[#This Row],[produccion]],supplementary_offering_offeringid__4[[#This Row],[json]])</f>
        <v>{"930031200":{"legacyid":"300312-00","name":"Sms-TD-Ilimitado","mode":"N"}}</v>
      </c>
    </row>
    <row r="582" spans="1:11" x14ac:dyDescent="0.25">
      <c r="A582" s="61" t="s">
        <v>4669</v>
      </c>
      <c r="B582" t="s">
        <v>4668</v>
      </c>
      <c r="C582" t="str">
        <f>findKey(supplementary_offering_offeringid__4[[#This Row],[Value.legacyid]])</f>
        <v>301302-03</v>
      </c>
      <c r="D582" t="s">
        <v>5965</v>
      </c>
      <c r="E582" t="s">
        <v>2329</v>
      </c>
      <c r="H582" s="61"/>
      <c r="J582" t="str">
        <f>ToJsonArray(supplementary_offering_offeringid__4[[#Headers],[legacyid]:[activityId]],supplementary_offering_offeringid__4[[#This Row],[legacyid]:[activityId]])</f>
        <v>{"legacyid":"301302-03","name":"Sms - Todo destino - Regalo 1","mode":"N"}</v>
      </c>
      <c r="K582" t="str">
        <f>ToJsonArray(supplementary_offering_offeringid__4[[#This Row],[produccion]],supplementary_offering_offeringid__4[[#This Row],[json]])</f>
        <v>{"930130203":{"legacyid":"301302-03","name":"Sms - Todo destino - Regalo 1","mode":"N"}}</v>
      </c>
    </row>
    <row r="583" spans="1:11" x14ac:dyDescent="0.25">
      <c r="A583" s="61" t="s">
        <v>4672</v>
      </c>
      <c r="B583" t="s">
        <v>4671</v>
      </c>
      <c r="C583" t="str">
        <f>findKey(supplementary_offering_offeringid__4[[#This Row],[Value.legacyid]])</f>
        <v>500000-01</v>
      </c>
      <c r="D583" t="s">
        <v>5966</v>
      </c>
      <c r="E583" t="s">
        <v>2329</v>
      </c>
      <c r="H583" s="61"/>
      <c r="J583" t="str">
        <f>ToJsonArray(supplementary_offering_offeringid__4[[#Headers],[legacyid]:[activityId]],supplementary_offering_offeringid__4[[#This Row],[legacyid]:[activityId]])</f>
        <v>{"legacyid":"500000-01","name":"Favorito 1","mode":"N"}</v>
      </c>
      <c r="K583" t="str">
        <f>ToJsonArray(supplementary_offering_offeringid__4[[#This Row],[produccion]],supplementary_offering_offeringid__4[[#This Row],[json]])</f>
        <v>{"950000001":{"legacyid":"500000-01","name":"Favorito 1","mode":"N"}}</v>
      </c>
    </row>
    <row r="584" spans="1:11" x14ac:dyDescent="0.25">
      <c r="A584" s="61" t="s">
        <v>4675</v>
      </c>
      <c r="B584" t="s">
        <v>4674</v>
      </c>
      <c r="C584" t="str">
        <f>findKey(supplementary_offering_offeringid__4[[#This Row],[Value.legacyid]])</f>
        <v>500000-02</v>
      </c>
      <c r="D584" t="s">
        <v>5967</v>
      </c>
      <c r="E584" t="s">
        <v>2329</v>
      </c>
      <c r="H584" s="61"/>
      <c r="J584" t="str">
        <f>ToJsonArray(supplementary_offering_offeringid__4[[#Headers],[legacyid]:[activityId]],supplementary_offering_offeringid__4[[#This Row],[legacyid]:[activityId]])</f>
        <v>{"legacyid":"500000-02","name":"Favorito 2","mode":"N"}</v>
      </c>
      <c r="K584" t="str">
        <f>ToJsonArray(supplementary_offering_offeringid__4[[#This Row],[produccion]],supplementary_offering_offeringid__4[[#This Row],[json]])</f>
        <v>{"950000002":{"legacyid":"500000-02","name":"Favorito 2","mode":"N"}}</v>
      </c>
    </row>
    <row r="585" spans="1:11" x14ac:dyDescent="0.25">
      <c r="A585" s="61" t="s">
        <v>4678</v>
      </c>
      <c r="B585" t="s">
        <v>4677</v>
      </c>
      <c r="C585" t="str">
        <f>findKey(supplementary_offering_offeringid__4[[#This Row],[Value.legacyid]])</f>
        <v>500000-03</v>
      </c>
      <c r="D585" t="s">
        <v>5968</v>
      </c>
      <c r="E585" t="s">
        <v>2329</v>
      </c>
      <c r="H585" s="61"/>
      <c r="J585" t="str">
        <f>ToJsonArray(supplementary_offering_offeringid__4[[#Headers],[legacyid]:[activityId]],supplementary_offering_offeringid__4[[#This Row],[legacyid]:[activityId]])</f>
        <v>{"legacyid":"500000-03","name":"Favorito 3","mode":"N"}</v>
      </c>
      <c r="K585" t="str">
        <f>ToJsonArray(supplementary_offering_offeringid__4[[#This Row],[produccion]],supplementary_offering_offeringid__4[[#This Row],[json]])</f>
        <v>{"950000003":{"legacyid":"500000-03","name":"Favorito 3","mode":"N"}}</v>
      </c>
    </row>
    <row r="586" spans="1:11" x14ac:dyDescent="0.25">
      <c r="A586" s="61" t="s">
        <v>4681</v>
      </c>
      <c r="B586" t="s">
        <v>4680</v>
      </c>
      <c r="C586" t="str">
        <f>findKey(supplementary_offering_offeringid__4[[#This Row],[Value.legacyid]])</f>
        <v>500000-05</v>
      </c>
      <c r="D586" t="s">
        <v>5969</v>
      </c>
      <c r="E586" t="s">
        <v>2329</v>
      </c>
      <c r="H586" s="61"/>
      <c r="J586" t="str">
        <f>ToJsonArray(supplementary_offering_offeringid__4[[#Headers],[legacyid]:[activityId]],supplementary_offering_offeringid__4[[#This Row],[legacyid]:[activityId]])</f>
        <v>{"legacyid":"500000-05","name":"Favorito 5","mode":"N"}</v>
      </c>
      <c r="K586" t="str">
        <f>ToJsonArray(supplementary_offering_offeringid__4[[#This Row],[produccion]],supplementary_offering_offeringid__4[[#This Row],[json]])</f>
        <v>{"950000005":{"legacyid":"500000-05","name":"Favorito 5","mode":"N"}}</v>
      </c>
    </row>
    <row r="587" spans="1:11" x14ac:dyDescent="0.25">
      <c r="A587" s="61" t="s">
        <v>4684</v>
      </c>
      <c r="B587" t="s">
        <v>4683</v>
      </c>
      <c r="C587" t="str">
        <f>findKey(supplementary_offering_offeringid__4[[#This Row],[Value.legacyid]])</f>
        <v>500000-22</v>
      </c>
      <c r="D587" t="s">
        <v>5970</v>
      </c>
      <c r="E587" t="s">
        <v>2329</v>
      </c>
      <c r="H587" s="61"/>
      <c r="J587" t="str">
        <f>ToJsonArray(supplementary_offering_offeringid__4[[#Headers],[legacyid]:[activityId]],supplementary_offering_offeringid__4[[#This Row],[legacyid]:[activityId]])</f>
        <v>{"legacyid":"500000-22","name":"Favorito 2b","mode":"N"}</v>
      </c>
      <c r="K587" t="str">
        <f>ToJsonArray(supplementary_offering_offeringid__4[[#This Row],[produccion]],supplementary_offering_offeringid__4[[#This Row],[json]])</f>
        <v>{"950000022":{"legacyid":"500000-22","name":"Favorito 2b","mode":"N"}}</v>
      </c>
    </row>
    <row r="588" spans="1:11" x14ac:dyDescent="0.25">
      <c r="A588" s="61" t="s">
        <v>3258</v>
      </c>
      <c r="B588" t="s">
        <v>3257</v>
      </c>
      <c r="C588" t="str">
        <f>findKey(supplementary_offering_offeringid__4[[#This Row],[Value.legacyid]])</f>
        <v>500000-23</v>
      </c>
      <c r="D588" t="s">
        <v>5971</v>
      </c>
      <c r="E588" t="s">
        <v>2329</v>
      </c>
      <c r="H588" s="61"/>
      <c r="J588" t="str">
        <f>ToJsonArray(supplementary_offering_offeringid__4[[#Headers],[legacyid]:[activityId]],supplementary_offering_offeringid__4[[#This Row],[legacyid]:[activityId]])</f>
        <v>{"legacyid":"500000-23","name":"Favorito 3b","mode":"N"}</v>
      </c>
      <c r="K588" t="str">
        <f>ToJsonArray(supplementary_offering_offeringid__4[[#This Row],[produccion]],supplementary_offering_offeringid__4[[#This Row],[json]])</f>
        <v>{"950000023":{"legacyid":"500000-23","name":"Favorito 3b","mode":"N"}}</v>
      </c>
    </row>
    <row r="589" spans="1:11" x14ac:dyDescent="0.25">
      <c r="A589" s="61" t="s">
        <v>4687</v>
      </c>
      <c r="B589" t="s">
        <v>4686</v>
      </c>
      <c r="C589" t="str">
        <f>findKey(supplementary_offering_offeringid__4[[#This Row],[Value.legacyid]])</f>
        <v>500000-29</v>
      </c>
      <c r="D589" t="s">
        <v>5972</v>
      </c>
      <c r="E589" t="s">
        <v>2329</v>
      </c>
      <c r="H589" s="61"/>
      <c r="J589" t="str">
        <f>ToJsonArray(supplementary_offering_offeringid__4[[#Headers],[legacyid]:[activityId]],supplementary_offering_offeringid__4[[#This Row],[legacyid]:[activityId]])</f>
        <v>{"legacyid":"500000-29","name":"Favorito 2b 0","mode":"N"}</v>
      </c>
      <c r="K589" t="str">
        <f>ToJsonArray(supplementary_offering_offeringid__4[[#This Row],[produccion]],supplementary_offering_offeringid__4[[#This Row],[json]])</f>
        <v>{"950000029":{"legacyid":"500000-29","name":"Favorito 2b 0","mode":"N"}}</v>
      </c>
    </row>
    <row r="590" spans="1:11" x14ac:dyDescent="0.25">
      <c r="A590" s="61" t="s">
        <v>4690</v>
      </c>
      <c r="B590" t="s">
        <v>4689</v>
      </c>
      <c r="C590" t="str">
        <f>findKey(supplementary_offering_offeringid__4[[#This Row],[Value.legacyid]])</f>
        <v>500000-30</v>
      </c>
      <c r="D590" t="s">
        <v>5973</v>
      </c>
      <c r="E590" t="s">
        <v>2329</v>
      </c>
      <c r="H590" s="61"/>
      <c r="J590" t="str">
        <f>ToJsonArray(supplementary_offering_offeringid__4[[#Headers],[legacyid]:[activityId]],supplementary_offering_offeringid__4[[#This Row],[legacyid]:[activityId]])</f>
        <v>{"legacyid":"500000-30","name":"Favorito 30","mode":"N"}</v>
      </c>
      <c r="K590" t="str">
        <f>ToJsonArray(supplementary_offering_offeringid__4[[#This Row],[produccion]],supplementary_offering_offeringid__4[[#This Row],[json]])</f>
        <v>{"950000030":{"legacyid":"500000-30","name":"Favorito 30","mode":"N"}}</v>
      </c>
    </row>
    <row r="591" spans="1:11" x14ac:dyDescent="0.25">
      <c r="A591" s="61" t="s">
        <v>4693</v>
      </c>
      <c r="B591" t="s">
        <v>4692</v>
      </c>
      <c r="C591" t="str">
        <f>findKey(supplementary_offering_offeringid__4[[#This Row],[Value.legacyid]])</f>
        <v>500000-31</v>
      </c>
      <c r="D591" t="s">
        <v>5974</v>
      </c>
      <c r="E591" t="s">
        <v>2329</v>
      </c>
      <c r="H591" s="61"/>
      <c r="J591" t="str">
        <f>ToJsonArray(supplementary_offering_offeringid__4[[#Headers],[legacyid]:[activityId]],supplementary_offering_offeringid__4[[#This Row],[legacyid]:[activityId]])</f>
        <v>{"legacyid":"500000-31","name":"Favorito 31","mode":"N"}</v>
      </c>
      <c r="K591" t="str">
        <f>ToJsonArray(supplementary_offering_offeringid__4[[#This Row],[produccion]],supplementary_offering_offeringid__4[[#This Row],[json]])</f>
        <v>{"950000031":{"legacyid":"500000-31","name":"Favorito 31","mode":"N"}}</v>
      </c>
    </row>
    <row r="592" spans="1:11" x14ac:dyDescent="0.25">
      <c r="A592" s="61" t="s">
        <v>4696</v>
      </c>
      <c r="B592" t="s">
        <v>4695</v>
      </c>
      <c r="C592" t="str">
        <f>findKey(supplementary_offering_offeringid__4[[#This Row],[Value.legacyid]])</f>
        <v>500000-32</v>
      </c>
      <c r="D592" t="s">
        <v>5975</v>
      </c>
      <c r="E592" t="s">
        <v>2329</v>
      </c>
      <c r="H592" s="61"/>
      <c r="J592" t="str">
        <f>ToJsonArray(supplementary_offering_offeringid__4[[#Headers],[legacyid]:[activityId]],supplementary_offering_offeringid__4[[#This Row],[legacyid]:[activityId]])</f>
        <v>{"legacyid":"500000-32","name":"Favorito 32","mode":"N"}</v>
      </c>
      <c r="K592" t="str">
        <f>ToJsonArray(supplementary_offering_offeringid__4[[#This Row],[produccion]],supplementary_offering_offeringid__4[[#This Row],[json]])</f>
        <v>{"950000032":{"legacyid":"500000-32","name":"Favorito 32","mode":"N"}}</v>
      </c>
    </row>
    <row r="593" spans="1:11" x14ac:dyDescent="0.25">
      <c r="A593" s="61" t="s">
        <v>3261</v>
      </c>
      <c r="B593" t="s">
        <v>3260</v>
      </c>
      <c r="C593" t="str">
        <f>findKey(supplementary_offering_offeringid__4[[#This Row],[Value.legacyid]])</f>
        <v>500000-33</v>
      </c>
      <c r="D593" t="s">
        <v>5976</v>
      </c>
      <c r="E593" t="s">
        <v>2329</v>
      </c>
      <c r="H593" s="61"/>
      <c r="J593" t="str">
        <f>ToJsonArray(supplementary_offering_offeringid__4[[#Headers],[legacyid]:[activityId]],supplementary_offering_offeringid__4[[#This Row],[legacyid]:[activityId]])</f>
        <v>{"legacyid":"500000-33","name":"Favorito 33","mode":"N"}</v>
      </c>
      <c r="K593" t="str">
        <f>ToJsonArray(supplementary_offering_offeringid__4[[#This Row],[produccion]],supplementary_offering_offeringid__4[[#This Row],[json]])</f>
        <v>{"950000033":{"legacyid":"500000-33","name":"Favorito 33","mode":"N"}}</v>
      </c>
    </row>
    <row r="594" spans="1:11" x14ac:dyDescent="0.25">
      <c r="A594" s="61" t="s">
        <v>3264</v>
      </c>
      <c r="B594" t="s">
        <v>3263</v>
      </c>
      <c r="C594" t="str">
        <f>findKey(supplementary_offering_offeringid__4[[#This Row],[Value.legacyid]])</f>
        <v>500000-34</v>
      </c>
      <c r="D594" t="s">
        <v>5977</v>
      </c>
      <c r="E594" t="s">
        <v>2329</v>
      </c>
      <c r="H594" s="61"/>
      <c r="J594" t="str">
        <f>ToJsonArray(supplementary_offering_offeringid__4[[#Headers],[legacyid]:[activityId]],supplementary_offering_offeringid__4[[#This Row],[legacyid]:[activityId]])</f>
        <v>{"legacyid":"500000-34","name":"Favorito 34","mode":"N"}</v>
      </c>
      <c r="K594" t="str">
        <f>ToJsonArray(supplementary_offering_offeringid__4[[#This Row],[produccion]],supplementary_offering_offeringid__4[[#This Row],[json]])</f>
        <v>{"950000034":{"legacyid":"500000-34","name":"Favorito 34","mode":"N"}}</v>
      </c>
    </row>
    <row r="595" spans="1:11" x14ac:dyDescent="0.25">
      <c r="A595" s="61" t="s">
        <v>4699</v>
      </c>
      <c r="B595" t="s">
        <v>4698</v>
      </c>
      <c r="C595" t="str">
        <f>findKey(supplementary_offering_offeringid__4[[#This Row],[Value.legacyid]])</f>
        <v>500000-35</v>
      </c>
      <c r="D595" t="s">
        <v>5978</v>
      </c>
      <c r="E595" t="s">
        <v>2329</v>
      </c>
      <c r="H595" s="61"/>
      <c r="J595" t="str">
        <f>ToJsonArray(supplementary_offering_offeringid__4[[#Headers],[legacyid]:[activityId]],supplementary_offering_offeringid__4[[#This Row],[legacyid]:[activityId]])</f>
        <v>{"legacyid":"500000-35","name":"Favorito 35","mode":"N"}</v>
      </c>
      <c r="K595" t="str">
        <f>ToJsonArray(supplementary_offering_offeringid__4[[#This Row],[produccion]],supplementary_offering_offeringid__4[[#This Row],[json]])</f>
        <v>{"950000035":{"legacyid":"500000-35","name":"Favorito 35","mode":"N"}}</v>
      </c>
    </row>
    <row r="596" spans="1:11" x14ac:dyDescent="0.25">
      <c r="A596" s="61" t="s">
        <v>3267</v>
      </c>
      <c r="B596" t="s">
        <v>3266</v>
      </c>
      <c r="C596" t="str">
        <f>findKey(supplementary_offering_offeringid__4[[#This Row],[Value.legacyid]])</f>
        <v>500000-36</v>
      </c>
      <c r="D596" t="s">
        <v>5979</v>
      </c>
      <c r="E596" t="s">
        <v>2329</v>
      </c>
      <c r="H596" s="61"/>
      <c r="J596" t="str">
        <f>ToJsonArray(supplementary_offering_offeringid__4[[#Headers],[legacyid]:[activityId]],supplementary_offering_offeringid__4[[#This Row],[legacyid]:[activityId]])</f>
        <v>{"legacyid":"500000-36","name":"Favorito 36","mode":"N"}</v>
      </c>
      <c r="K596" t="str">
        <f>ToJsonArray(supplementary_offering_offeringid__4[[#This Row],[produccion]],supplementary_offering_offeringid__4[[#This Row],[json]])</f>
        <v>{"950000036":{"legacyid":"500000-36","name":"Favorito 36","mode":"N"}}</v>
      </c>
    </row>
    <row r="597" spans="1:11" x14ac:dyDescent="0.25">
      <c r="A597" s="61" t="s">
        <v>4702</v>
      </c>
      <c r="B597" t="s">
        <v>4701</v>
      </c>
      <c r="C597" t="str">
        <f>findKey(supplementary_offering_offeringid__4[[#This Row],[Value.legacyid]])</f>
        <v>500000-37</v>
      </c>
      <c r="D597" t="s">
        <v>5980</v>
      </c>
      <c r="E597" t="s">
        <v>2329</v>
      </c>
      <c r="H597" s="61"/>
      <c r="J597" t="str">
        <f>ToJsonArray(supplementary_offering_offeringid__4[[#Headers],[legacyid]:[activityId]],supplementary_offering_offeringid__4[[#This Row],[legacyid]:[activityId]])</f>
        <v>{"legacyid":"500000-37","name":"Favorito 37","mode":"N"}</v>
      </c>
      <c r="K597" t="str">
        <f>ToJsonArray(supplementary_offering_offeringid__4[[#This Row],[produccion]],supplementary_offering_offeringid__4[[#This Row],[json]])</f>
        <v>{"950000037":{"legacyid":"500000-37","name":"Favorito 37","mode":"N"}}</v>
      </c>
    </row>
    <row r="598" spans="1:11" x14ac:dyDescent="0.25">
      <c r="A598" s="61" t="s">
        <v>4705</v>
      </c>
      <c r="B598" t="s">
        <v>4704</v>
      </c>
      <c r="C598" t="str">
        <f>findKey(supplementary_offering_offeringid__4[[#This Row],[Value.legacyid]])</f>
        <v>500000-39</v>
      </c>
      <c r="D598" t="s">
        <v>5981</v>
      </c>
      <c r="E598" t="s">
        <v>2329</v>
      </c>
      <c r="H598" s="61"/>
      <c r="J598" t="str">
        <f>ToJsonArray(supplementary_offering_offeringid__4[[#Headers],[legacyid]:[activityId]],supplementary_offering_offeringid__4[[#This Row],[legacyid]:[activityId]])</f>
        <v>{"legacyid":"500000-39","name":"Favorito 39","mode":"N"}</v>
      </c>
      <c r="K598" t="str">
        <f>ToJsonArray(supplementary_offering_offeringid__4[[#This Row],[produccion]],supplementary_offering_offeringid__4[[#This Row],[json]])</f>
        <v>{"950000039":{"legacyid":"500000-39","name":"Favorito 39","mode":"N"}}</v>
      </c>
    </row>
    <row r="599" spans="1:11" x14ac:dyDescent="0.25">
      <c r="A599" s="61" t="s">
        <v>4708</v>
      </c>
      <c r="B599" t="s">
        <v>4707</v>
      </c>
      <c r="C599" t="str">
        <f>findKey(supplementary_offering_offeringid__4[[#This Row],[Value.legacyid]])</f>
        <v>500000-40</v>
      </c>
      <c r="D599" t="s">
        <v>5982</v>
      </c>
      <c r="E599" t="s">
        <v>2329</v>
      </c>
      <c r="H599" s="61"/>
      <c r="J599" t="str">
        <f>ToJsonArray(supplementary_offering_offeringid__4[[#Headers],[legacyid]:[activityId]],supplementary_offering_offeringid__4[[#This Row],[legacyid]:[activityId]])</f>
        <v>{"legacyid":"500000-40","name":"Favorito 40","mode":"N"}</v>
      </c>
      <c r="K599" t="str">
        <f>ToJsonArray(supplementary_offering_offeringid__4[[#This Row],[produccion]],supplementary_offering_offeringid__4[[#This Row],[json]])</f>
        <v>{"950000040":{"legacyid":"500000-40","name":"Favorito 40","mode":"N"}}</v>
      </c>
    </row>
    <row r="600" spans="1:11" x14ac:dyDescent="0.25">
      <c r="A600" s="61" t="s">
        <v>4711</v>
      </c>
      <c r="B600" t="s">
        <v>4710</v>
      </c>
      <c r="C600" t="str">
        <f>findKey(supplementary_offering_offeringid__4[[#This Row],[Value.legacyid]])</f>
        <v>500000-42</v>
      </c>
      <c r="D600" t="s">
        <v>5983</v>
      </c>
      <c r="E600" t="s">
        <v>2329</v>
      </c>
      <c r="H600" s="61"/>
      <c r="J600" t="str">
        <f>ToJsonArray(supplementary_offering_offeringid__4[[#Headers],[legacyid]:[activityId]],supplementary_offering_offeringid__4[[#This Row],[legacyid]:[activityId]])</f>
        <v>{"legacyid":"500000-42","name":"Favorito 42","mode":"N"}</v>
      </c>
      <c r="K600" t="str">
        <f>ToJsonArray(supplementary_offering_offeringid__4[[#This Row],[produccion]],supplementary_offering_offeringid__4[[#This Row],[json]])</f>
        <v>{"950000042":{"legacyid":"500000-42","name":"Favorito 42","mode":"N"}}</v>
      </c>
    </row>
    <row r="601" spans="1:11" x14ac:dyDescent="0.25">
      <c r="A601" s="61" t="s">
        <v>4714</v>
      </c>
      <c r="B601" t="s">
        <v>4713</v>
      </c>
      <c r="C601" t="str">
        <f>findKey(supplementary_offering_offeringid__4[[#This Row],[Value.legacyid]])</f>
        <v>500000-44</v>
      </c>
      <c r="D601" t="s">
        <v>5984</v>
      </c>
      <c r="E601" t="s">
        <v>2329</v>
      </c>
      <c r="H601" s="61"/>
      <c r="J601" t="str">
        <f>ToJsonArray(supplementary_offering_offeringid__4[[#Headers],[legacyid]:[activityId]],supplementary_offering_offeringid__4[[#This Row],[legacyid]:[activityId]])</f>
        <v>{"legacyid":"500000-44","name":"Favorito 44","mode":"N"}</v>
      </c>
      <c r="K601" t="str">
        <f>ToJsonArray(supplementary_offering_offeringid__4[[#This Row],[produccion]],supplementary_offering_offeringid__4[[#This Row],[json]])</f>
        <v>{"950000044":{"legacyid":"500000-44","name":"Favorito 44","mode":"N"}}</v>
      </c>
    </row>
    <row r="602" spans="1:11" x14ac:dyDescent="0.25">
      <c r="A602" s="61" t="s">
        <v>4717</v>
      </c>
      <c r="B602" t="s">
        <v>4716</v>
      </c>
      <c r="C602" t="str">
        <f>findKey(supplementary_offering_offeringid__4[[#This Row],[Value.legacyid]])</f>
        <v>500000-48</v>
      </c>
      <c r="D602" t="s">
        <v>5985</v>
      </c>
      <c r="E602" t="s">
        <v>2329</v>
      </c>
      <c r="H602" s="61"/>
      <c r="J602" t="str">
        <f>ToJsonArray(supplementary_offering_offeringid__4[[#Headers],[legacyid]:[activityId]],supplementary_offering_offeringid__4[[#This Row],[legacyid]:[activityId]])</f>
        <v>{"legacyid":"500000-48","name":"Favorito 48","mode":"N"}</v>
      </c>
      <c r="K602" t="str">
        <f>ToJsonArray(supplementary_offering_offeringid__4[[#This Row],[produccion]],supplementary_offering_offeringid__4[[#This Row],[json]])</f>
        <v>{"950000048":{"legacyid":"500000-48","name":"Favorito 48","mode":"N"}}</v>
      </c>
    </row>
    <row r="603" spans="1:11" x14ac:dyDescent="0.25">
      <c r="A603" s="61" t="s">
        <v>4720</v>
      </c>
      <c r="B603" t="s">
        <v>4719</v>
      </c>
      <c r="C603" t="str">
        <f>findKey(supplementary_offering_offeringid__4[[#This Row],[Value.legacyid]])</f>
        <v>500000-49</v>
      </c>
      <c r="D603" t="s">
        <v>5986</v>
      </c>
      <c r="E603" t="s">
        <v>2329</v>
      </c>
      <c r="H603" s="61"/>
      <c r="J603" t="str">
        <f>ToJsonArray(supplementary_offering_offeringid__4[[#Headers],[legacyid]:[activityId]],supplementary_offering_offeringid__4[[#This Row],[legacyid]:[activityId]])</f>
        <v>{"legacyid":"500000-49","name":"Favorito 49","mode":"N"}</v>
      </c>
      <c r="K603" t="str">
        <f>ToJsonArray(supplementary_offering_offeringid__4[[#This Row],[produccion]],supplementary_offering_offeringid__4[[#This Row],[json]])</f>
        <v>{"950000049":{"legacyid":"500000-49","name":"Favorito 49","mode":"N"}}</v>
      </c>
    </row>
    <row r="604" spans="1:11" x14ac:dyDescent="0.25">
      <c r="A604" s="61" t="s">
        <v>4723</v>
      </c>
      <c r="B604" t="s">
        <v>4722</v>
      </c>
      <c r="C604" t="str">
        <f>findKey(supplementary_offering_offeringid__4[[#This Row],[Value.legacyid]])</f>
        <v>500000-50</v>
      </c>
      <c r="D604" t="s">
        <v>5987</v>
      </c>
      <c r="E604" t="s">
        <v>2329</v>
      </c>
      <c r="H604" s="61"/>
      <c r="J604" t="str">
        <f>ToJsonArray(supplementary_offering_offeringid__4[[#Headers],[legacyid]:[activityId]],supplementary_offering_offeringid__4[[#This Row],[legacyid]:[activityId]])</f>
        <v>{"legacyid":"500000-50","name":"Favorito 50","mode":"N"}</v>
      </c>
      <c r="K604" t="str">
        <f>ToJsonArray(supplementary_offering_offeringid__4[[#This Row],[produccion]],supplementary_offering_offeringid__4[[#This Row],[json]])</f>
        <v>{"950000050":{"legacyid":"500000-50","name":"Favorito 50","mode":"N"}}</v>
      </c>
    </row>
    <row r="605" spans="1:11" x14ac:dyDescent="0.25">
      <c r="A605" s="61" t="s">
        <v>4726</v>
      </c>
      <c r="B605" t="s">
        <v>4725</v>
      </c>
      <c r="C605" t="str">
        <f>findKey(supplementary_offering_offeringid__4[[#This Row],[Value.legacyid]])</f>
        <v>500000-51</v>
      </c>
      <c r="D605" t="s">
        <v>5988</v>
      </c>
      <c r="E605" t="s">
        <v>2329</v>
      </c>
      <c r="H605" s="61"/>
      <c r="J605" t="str">
        <f>ToJsonArray(supplementary_offering_offeringid__4[[#Headers],[legacyid]:[activityId]],supplementary_offering_offeringid__4[[#This Row],[legacyid]:[activityId]])</f>
        <v>{"legacyid":"500000-51","name":"Favorito 51","mode":"N"}</v>
      </c>
      <c r="K605" t="str">
        <f>ToJsonArray(supplementary_offering_offeringid__4[[#This Row],[produccion]],supplementary_offering_offeringid__4[[#This Row],[json]])</f>
        <v>{"950000051":{"legacyid":"500000-51","name":"Favorito 51","mode":"N"}}</v>
      </c>
    </row>
    <row r="606" spans="1:11" x14ac:dyDescent="0.25">
      <c r="A606" s="61" t="s">
        <v>4729</v>
      </c>
      <c r="B606" t="s">
        <v>4728</v>
      </c>
      <c r="C606" t="str">
        <f>findKey(supplementary_offering_offeringid__4[[#This Row],[Value.legacyid]])</f>
        <v>500000-52</v>
      </c>
      <c r="D606" t="s">
        <v>5989</v>
      </c>
      <c r="E606" t="s">
        <v>2329</v>
      </c>
      <c r="H606" s="61"/>
      <c r="J606" t="str">
        <f>ToJsonArray(supplementary_offering_offeringid__4[[#Headers],[legacyid]:[activityId]],supplementary_offering_offeringid__4[[#This Row],[legacyid]:[activityId]])</f>
        <v>{"legacyid":"500000-52","name":"Favorito 52","mode":"N"}</v>
      </c>
      <c r="K606" t="str">
        <f>ToJsonArray(supplementary_offering_offeringid__4[[#This Row],[produccion]],supplementary_offering_offeringid__4[[#This Row],[json]])</f>
        <v>{"950000052":{"legacyid":"500000-52","name":"Favorito 52","mode":"N"}}</v>
      </c>
    </row>
    <row r="607" spans="1:11" x14ac:dyDescent="0.25">
      <c r="A607" s="61" t="s">
        <v>4732</v>
      </c>
      <c r="B607" t="s">
        <v>4731</v>
      </c>
      <c r="C607" t="str">
        <f>findKey(supplementary_offering_offeringid__4[[#This Row],[Value.legacyid]])</f>
        <v>500000-53</v>
      </c>
      <c r="D607" t="s">
        <v>5990</v>
      </c>
      <c r="E607" t="s">
        <v>2329</v>
      </c>
      <c r="H607" s="61"/>
      <c r="J607" t="str">
        <f>ToJsonArray(supplementary_offering_offeringid__4[[#Headers],[legacyid]:[activityId]],supplementary_offering_offeringid__4[[#This Row],[legacyid]:[activityId]])</f>
        <v>{"legacyid":"500000-53","name":"Favorito 53","mode":"N"}</v>
      </c>
      <c r="K607" t="str">
        <f>ToJsonArray(supplementary_offering_offeringid__4[[#This Row],[produccion]],supplementary_offering_offeringid__4[[#This Row],[json]])</f>
        <v>{"950000053":{"legacyid":"500000-53","name":"Favorito 53","mode":"N"}}</v>
      </c>
    </row>
    <row r="608" spans="1:11" x14ac:dyDescent="0.25">
      <c r="A608" s="61" t="s">
        <v>4735</v>
      </c>
      <c r="B608" t="s">
        <v>4734</v>
      </c>
      <c r="C608" t="str">
        <f>findKey(supplementary_offering_offeringid__4[[#This Row],[Value.legacyid]])</f>
        <v>500000-54</v>
      </c>
      <c r="D608" t="s">
        <v>5991</v>
      </c>
      <c r="E608" t="s">
        <v>2329</v>
      </c>
      <c r="H608" s="61"/>
      <c r="J608" t="str">
        <f>ToJsonArray(supplementary_offering_offeringid__4[[#Headers],[legacyid]:[activityId]],supplementary_offering_offeringid__4[[#This Row],[legacyid]:[activityId]])</f>
        <v>{"legacyid":"500000-54","name":"Favorito 54","mode":"N"}</v>
      </c>
      <c r="K608" t="str">
        <f>ToJsonArray(supplementary_offering_offeringid__4[[#This Row],[produccion]],supplementary_offering_offeringid__4[[#This Row],[json]])</f>
        <v>{"950000054":{"legacyid":"500000-54","name":"Favorito 54","mode":"N"}}</v>
      </c>
    </row>
    <row r="609" spans="1:11" x14ac:dyDescent="0.25">
      <c r="A609" s="61" t="s">
        <v>3270</v>
      </c>
      <c r="B609" t="s">
        <v>3269</v>
      </c>
      <c r="C609" t="str">
        <f>findKey(supplementary_offering_offeringid__4[[#This Row],[Value.legacyid]])</f>
        <v>500000-57</v>
      </c>
      <c r="D609" t="s">
        <v>5992</v>
      </c>
      <c r="E609" t="s">
        <v>2329</v>
      </c>
      <c r="H609" s="61"/>
      <c r="J609" t="str">
        <f>ToJsonArray(supplementary_offering_offeringid__4[[#Headers],[legacyid]:[activityId]],supplementary_offering_offeringid__4[[#This Row],[legacyid]:[activityId]])</f>
        <v>{"legacyid":"500000-57","name":"Favorito 57","mode":"N"}</v>
      </c>
      <c r="K609" t="str">
        <f>ToJsonArray(supplementary_offering_offeringid__4[[#This Row],[produccion]],supplementary_offering_offeringid__4[[#This Row],[json]])</f>
        <v>{"950000057":{"legacyid":"500000-57","name":"Favorito 57","mode":"N"}}</v>
      </c>
    </row>
    <row r="610" spans="1:11" x14ac:dyDescent="0.25">
      <c r="A610" s="61" t="s">
        <v>3273</v>
      </c>
      <c r="B610" t="s">
        <v>3272</v>
      </c>
      <c r="C610" t="str">
        <f>findKey(supplementary_offering_offeringid__4[[#This Row],[Value.legacyid]])</f>
        <v>500000-58</v>
      </c>
      <c r="D610" t="s">
        <v>5993</v>
      </c>
      <c r="E610" t="s">
        <v>2329</v>
      </c>
      <c r="H610" s="61"/>
      <c r="J610" t="str">
        <f>ToJsonArray(supplementary_offering_offeringid__4[[#Headers],[legacyid]:[activityId]],supplementary_offering_offeringid__4[[#This Row],[legacyid]:[activityId]])</f>
        <v>{"legacyid":"500000-58","name":"Favorito 58","mode":"N"}</v>
      </c>
      <c r="K610" t="str">
        <f>ToJsonArray(supplementary_offering_offeringid__4[[#This Row],[produccion]],supplementary_offering_offeringid__4[[#This Row],[json]])</f>
        <v>{"950000058":{"legacyid":"500000-58","name":"Favorito 58","mode":"N"}}</v>
      </c>
    </row>
    <row r="611" spans="1:11" x14ac:dyDescent="0.25">
      <c r="A611" s="61" t="s">
        <v>3276</v>
      </c>
      <c r="B611" t="s">
        <v>3275</v>
      </c>
      <c r="C611" t="str">
        <f>findKey(supplementary_offering_offeringid__4[[#This Row],[Value.legacyid]])</f>
        <v>500000-59</v>
      </c>
      <c r="D611" t="s">
        <v>5994</v>
      </c>
      <c r="E611" t="s">
        <v>2329</v>
      </c>
      <c r="H611" s="61"/>
      <c r="J611" t="str">
        <f>ToJsonArray(supplementary_offering_offeringid__4[[#Headers],[legacyid]:[activityId]],supplementary_offering_offeringid__4[[#This Row],[legacyid]:[activityId]])</f>
        <v>{"legacyid":"500000-59","name":"Favorito 59","mode":"N"}</v>
      </c>
      <c r="K611" t="str">
        <f>ToJsonArray(supplementary_offering_offeringid__4[[#This Row],[produccion]],supplementary_offering_offeringid__4[[#This Row],[json]])</f>
        <v>{"950000059":{"legacyid":"500000-59","name":"Favorito 59","mode":"N"}}</v>
      </c>
    </row>
    <row r="612" spans="1:11" x14ac:dyDescent="0.25">
      <c r="A612" s="61" t="s">
        <v>3279</v>
      </c>
      <c r="B612" t="s">
        <v>3278</v>
      </c>
      <c r="C612" t="str">
        <f>findKey(supplementary_offering_offeringid__4[[#This Row],[Value.legacyid]])</f>
        <v>500000-60</v>
      </c>
      <c r="D612" t="s">
        <v>5995</v>
      </c>
      <c r="E612" t="s">
        <v>2329</v>
      </c>
      <c r="H612" s="61"/>
      <c r="J612" t="str">
        <f>ToJsonArray(supplementary_offering_offeringid__4[[#Headers],[legacyid]:[activityId]],supplementary_offering_offeringid__4[[#This Row],[legacyid]:[activityId]])</f>
        <v>{"legacyid":"500000-60","name":"Favorito 60","mode":"N"}</v>
      </c>
      <c r="K612" t="str">
        <f>ToJsonArray(supplementary_offering_offeringid__4[[#This Row],[produccion]],supplementary_offering_offeringid__4[[#This Row],[json]])</f>
        <v>{"950000060":{"legacyid":"500000-60","name":"Favorito 60","mode":"N"}}</v>
      </c>
    </row>
    <row r="613" spans="1:11" x14ac:dyDescent="0.25">
      <c r="A613" s="61" t="s">
        <v>3282</v>
      </c>
      <c r="B613" t="s">
        <v>3281</v>
      </c>
      <c r="C613" t="str">
        <f>findKey(supplementary_offering_offeringid__4[[#This Row],[Value.legacyid]])</f>
        <v>500000-61</v>
      </c>
      <c r="D613" t="s">
        <v>5996</v>
      </c>
      <c r="E613" t="s">
        <v>2329</v>
      </c>
      <c r="H613" s="61"/>
      <c r="J613" t="str">
        <f>ToJsonArray(supplementary_offering_offeringid__4[[#Headers],[legacyid]:[activityId]],supplementary_offering_offeringid__4[[#This Row],[legacyid]:[activityId]])</f>
        <v>{"legacyid":"500000-61","name":"Favorito 61","mode":"N"}</v>
      </c>
      <c r="K613" t="str">
        <f>ToJsonArray(supplementary_offering_offeringid__4[[#This Row],[produccion]],supplementary_offering_offeringid__4[[#This Row],[json]])</f>
        <v>{"950000061":{"legacyid":"500000-61","name":"Favorito 61","mode":"N"}}</v>
      </c>
    </row>
    <row r="614" spans="1:11" x14ac:dyDescent="0.25">
      <c r="A614" s="61" t="s">
        <v>3285</v>
      </c>
      <c r="B614" t="s">
        <v>3284</v>
      </c>
      <c r="C614" t="str">
        <f>findKey(supplementary_offering_offeringid__4[[#This Row],[Value.legacyid]])</f>
        <v>500000-62</v>
      </c>
      <c r="D614" t="s">
        <v>5997</v>
      </c>
      <c r="E614" t="s">
        <v>2329</v>
      </c>
      <c r="H614" s="61"/>
      <c r="J614" t="str">
        <f>ToJsonArray(supplementary_offering_offeringid__4[[#Headers],[legacyid]:[activityId]],supplementary_offering_offeringid__4[[#This Row],[legacyid]:[activityId]])</f>
        <v>{"legacyid":"500000-62","name":"Favorito 62","mode":"N"}</v>
      </c>
      <c r="K614" t="str">
        <f>ToJsonArray(supplementary_offering_offeringid__4[[#This Row],[produccion]],supplementary_offering_offeringid__4[[#This Row],[json]])</f>
        <v>{"950000062":{"legacyid":"500000-62","name":"Favorito 62","mode":"N"}}</v>
      </c>
    </row>
    <row r="615" spans="1:11" x14ac:dyDescent="0.25">
      <c r="A615" s="61" t="s">
        <v>3288</v>
      </c>
      <c r="B615" t="s">
        <v>3287</v>
      </c>
      <c r="C615" t="str">
        <f>findKey(supplementary_offering_offeringid__4[[#This Row],[Value.legacyid]])</f>
        <v>500000-63</v>
      </c>
      <c r="D615" t="s">
        <v>5998</v>
      </c>
      <c r="E615" t="s">
        <v>2329</v>
      </c>
      <c r="H615" s="61"/>
      <c r="J615" t="str">
        <f>ToJsonArray(supplementary_offering_offeringid__4[[#Headers],[legacyid]:[activityId]],supplementary_offering_offeringid__4[[#This Row],[legacyid]:[activityId]])</f>
        <v>{"legacyid":"500000-63","name":"Favorito 63","mode":"N"}</v>
      </c>
      <c r="K615" t="str">
        <f>ToJsonArray(supplementary_offering_offeringid__4[[#This Row],[produccion]],supplementary_offering_offeringid__4[[#This Row],[json]])</f>
        <v>{"950000063":{"legacyid":"500000-63","name":"Favorito 63","mode":"N"}}</v>
      </c>
    </row>
    <row r="616" spans="1:11" x14ac:dyDescent="0.25">
      <c r="A616" s="61" t="s">
        <v>3291</v>
      </c>
      <c r="B616" t="s">
        <v>3290</v>
      </c>
      <c r="C616" t="str">
        <f>findKey(supplementary_offering_offeringid__4[[#This Row],[Value.legacyid]])</f>
        <v>500000-64</v>
      </c>
      <c r="D616" t="s">
        <v>5999</v>
      </c>
      <c r="E616" t="s">
        <v>2329</v>
      </c>
      <c r="H616" s="61"/>
      <c r="J616" t="str">
        <f>ToJsonArray(supplementary_offering_offeringid__4[[#Headers],[legacyid]:[activityId]],supplementary_offering_offeringid__4[[#This Row],[legacyid]:[activityId]])</f>
        <v>{"legacyid":"500000-64","name":"Favorito 64","mode":"N"}</v>
      </c>
      <c r="K616" t="str">
        <f>ToJsonArray(supplementary_offering_offeringid__4[[#This Row],[produccion]],supplementary_offering_offeringid__4[[#This Row],[json]])</f>
        <v>{"950000064":{"legacyid":"500000-64","name":"Favorito 64","mode":"N"}}</v>
      </c>
    </row>
    <row r="617" spans="1:11" x14ac:dyDescent="0.25">
      <c r="A617" s="61" t="s">
        <v>3294</v>
      </c>
      <c r="B617" t="s">
        <v>3293</v>
      </c>
      <c r="C617" t="str">
        <f>findKey(supplementary_offering_offeringid__4[[#This Row],[Value.legacyid]])</f>
        <v>500000-65</v>
      </c>
      <c r="D617" t="s">
        <v>6000</v>
      </c>
      <c r="E617" t="s">
        <v>2329</v>
      </c>
      <c r="H617" s="61"/>
      <c r="J617" t="str">
        <f>ToJsonArray(supplementary_offering_offeringid__4[[#Headers],[legacyid]:[activityId]],supplementary_offering_offeringid__4[[#This Row],[legacyid]:[activityId]])</f>
        <v>{"legacyid":"500000-65","name":"Favorito 65","mode":"N"}</v>
      </c>
      <c r="K617" t="str">
        <f>ToJsonArray(supplementary_offering_offeringid__4[[#This Row],[produccion]],supplementary_offering_offeringid__4[[#This Row],[json]])</f>
        <v>{"950000065":{"legacyid":"500000-65","name":"Favorito 65","mode":"N"}}</v>
      </c>
    </row>
    <row r="618" spans="1:11" x14ac:dyDescent="0.25">
      <c r="A618" s="61" t="s">
        <v>4738</v>
      </c>
      <c r="B618" t="s">
        <v>4737</v>
      </c>
      <c r="C618" t="str">
        <f>findKey(supplementary_offering_offeringid__4[[#This Row],[Value.legacyid]])</f>
        <v>500000-66</v>
      </c>
      <c r="D618" t="s">
        <v>6001</v>
      </c>
      <c r="E618" t="s">
        <v>2329</v>
      </c>
      <c r="H618" s="61"/>
      <c r="J618" t="str">
        <f>ToJsonArray(supplementary_offering_offeringid__4[[#Headers],[legacyid]:[activityId]],supplementary_offering_offeringid__4[[#This Row],[legacyid]:[activityId]])</f>
        <v>{"legacyid":"500000-66","name":"Favorito 66","mode":"N"}</v>
      </c>
      <c r="K618" t="str">
        <f>ToJsonArray(supplementary_offering_offeringid__4[[#This Row],[produccion]],supplementary_offering_offeringid__4[[#This Row],[json]])</f>
        <v>{"950000066":{"legacyid":"500000-66","name":"Favorito 66","mode":"N"}}</v>
      </c>
    </row>
    <row r="619" spans="1:11" x14ac:dyDescent="0.25">
      <c r="A619" s="61" t="s">
        <v>3297</v>
      </c>
      <c r="B619" t="s">
        <v>3296</v>
      </c>
      <c r="C619" t="str">
        <f>findKey(supplementary_offering_offeringid__4[[#This Row],[Value.legacyid]])</f>
        <v>500000-67</v>
      </c>
      <c r="D619" t="s">
        <v>6002</v>
      </c>
      <c r="E619" t="s">
        <v>2329</v>
      </c>
      <c r="H619" s="61"/>
      <c r="J619" t="str">
        <f>ToJsonArray(supplementary_offering_offeringid__4[[#Headers],[legacyid]:[activityId]],supplementary_offering_offeringid__4[[#This Row],[legacyid]:[activityId]])</f>
        <v>{"legacyid":"500000-67","name":"Favorito 67","mode":"N"}</v>
      </c>
      <c r="K619" t="str">
        <f>ToJsonArray(supplementary_offering_offeringid__4[[#This Row],[produccion]],supplementary_offering_offeringid__4[[#This Row],[json]])</f>
        <v>{"950000067":{"legacyid":"500000-67","name":"Favorito 67","mode":"N"}}</v>
      </c>
    </row>
    <row r="620" spans="1:11" x14ac:dyDescent="0.25">
      <c r="A620" s="61" t="s">
        <v>3300</v>
      </c>
      <c r="B620" t="s">
        <v>3299</v>
      </c>
      <c r="C620" t="str">
        <f>findKey(supplementary_offering_offeringid__4[[#This Row],[Value.legacyid]])</f>
        <v>500000-68</v>
      </c>
      <c r="D620" t="s">
        <v>6003</v>
      </c>
      <c r="E620" t="s">
        <v>2329</v>
      </c>
      <c r="H620" s="61"/>
      <c r="J620" t="str">
        <f>ToJsonArray(supplementary_offering_offeringid__4[[#Headers],[legacyid]:[activityId]],supplementary_offering_offeringid__4[[#This Row],[legacyid]:[activityId]])</f>
        <v>{"legacyid":"500000-68","name":"Favorito 68","mode":"N"}</v>
      </c>
      <c r="K620" t="str">
        <f>ToJsonArray(supplementary_offering_offeringid__4[[#This Row],[produccion]],supplementary_offering_offeringid__4[[#This Row],[json]])</f>
        <v>{"950000068":{"legacyid":"500000-68","name":"Favorito 68","mode":"N"}}</v>
      </c>
    </row>
    <row r="621" spans="1:11" x14ac:dyDescent="0.25">
      <c r="A621" s="61" t="s">
        <v>3303</v>
      </c>
      <c r="B621" t="s">
        <v>3302</v>
      </c>
      <c r="C621" t="str">
        <f>findKey(supplementary_offering_offeringid__4[[#This Row],[Value.legacyid]])</f>
        <v>500000-69</v>
      </c>
      <c r="D621" t="s">
        <v>6004</v>
      </c>
      <c r="E621" t="s">
        <v>2329</v>
      </c>
      <c r="H621" s="61"/>
      <c r="J621" t="str">
        <f>ToJsonArray(supplementary_offering_offeringid__4[[#Headers],[legacyid]:[activityId]],supplementary_offering_offeringid__4[[#This Row],[legacyid]:[activityId]])</f>
        <v>{"legacyid":"500000-69","name":"Favorito 69","mode":"N"}</v>
      </c>
      <c r="K621" t="str">
        <f>ToJsonArray(supplementary_offering_offeringid__4[[#This Row],[produccion]],supplementary_offering_offeringid__4[[#This Row],[json]])</f>
        <v>{"950000069":{"legacyid":"500000-69","name":"Favorito 69","mode":"N"}}</v>
      </c>
    </row>
    <row r="622" spans="1:11" x14ac:dyDescent="0.25">
      <c r="A622" s="61" t="s">
        <v>3306</v>
      </c>
      <c r="B622" t="s">
        <v>3305</v>
      </c>
      <c r="C622" t="str">
        <f>findKey(supplementary_offering_offeringid__4[[#This Row],[Value.legacyid]])</f>
        <v>500000-70</v>
      </c>
      <c r="D622" t="s">
        <v>6005</v>
      </c>
      <c r="E622" t="s">
        <v>2329</v>
      </c>
      <c r="H622" s="61"/>
      <c r="J622" t="str">
        <f>ToJsonArray(supplementary_offering_offeringid__4[[#Headers],[legacyid]:[activityId]],supplementary_offering_offeringid__4[[#This Row],[legacyid]:[activityId]])</f>
        <v>{"legacyid":"500000-70","name":"Favorito 70","mode":"N"}</v>
      </c>
      <c r="K622" t="str">
        <f>ToJsonArray(supplementary_offering_offeringid__4[[#This Row],[produccion]],supplementary_offering_offeringid__4[[#This Row],[json]])</f>
        <v>{"950000070":{"legacyid":"500000-70","name":"Favorito 70","mode":"N"}}</v>
      </c>
    </row>
    <row r="623" spans="1:11" x14ac:dyDescent="0.25">
      <c r="A623" s="61" t="s">
        <v>3309</v>
      </c>
      <c r="B623" t="s">
        <v>3308</v>
      </c>
      <c r="C623" t="str">
        <f>findKey(supplementary_offering_offeringid__4[[#This Row],[Value.legacyid]])</f>
        <v>500000-71</v>
      </c>
      <c r="D623" t="s">
        <v>6006</v>
      </c>
      <c r="E623" t="s">
        <v>2329</v>
      </c>
      <c r="H623" s="61"/>
      <c r="J623" t="str">
        <f>ToJsonArray(supplementary_offering_offeringid__4[[#Headers],[legacyid]:[activityId]],supplementary_offering_offeringid__4[[#This Row],[legacyid]:[activityId]])</f>
        <v>{"legacyid":"500000-71","name":"Favorito 71","mode":"N"}</v>
      </c>
      <c r="K623" t="str">
        <f>ToJsonArray(supplementary_offering_offeringid__4[[#This Row],[produccion]],supplementary_offering_offeringid__4[[#This Row],[json]])</f>
        <v>{"950000071":{"legacyid":"500000-71","name":"Favorito 71","mode":"N"}}</v>
      </c>
    </row>
    <row r="624" spans="1:11" x14ac:dyDescent="0.25">
      <c r="A624" s="61" t="s">
        <v>3312</v>
      </c>
      <c r="B624" t="s">
        <v>3311</v>
      </c>
      <c r="C624" t="str">
        <f>findKey(supplementary_offering_offeringid__4[[#This Row],[Value.legacyid]])</f>
        <v>500000-72</v>
      </c>
      <c r="D624" t="s">
        <v>6007</v>
      </c>
      <c r="E624" t="s">
        <v>2329</v>
      </c>
      <c r="H624" s="61"/>
      <c r="J624" t="str">
        <f>ToJsonArray(supplementary_offering_offeringid__4[[#Headers],[legacyid]:[activityId]],supplementary_offering_offeringid__4[[#This Row],[legacyid]:[activityId]])</f>
        <v>{"legacyid":"500000-72","name":"Favorito 72","mode":"N"}</v>
      </c>
      <c r="K624" t="str">
        <f>ToJsonArray(supplementary_offering_offeringid__4[[#This Row],[produccion]],supplementary_offering_offeringid__4[[#This Row],[json]])</f>
        <v>{"950000072":{"legacyid":"500000-72","name":"Favorito 72","mode":"N"}}</v>
      </c>
    </row>
    <row r="625" spans="1:11" x14ac:dyDescent="0.25">
      <c r="A625" s="61" t="s">
        <v>3315</v>
      </c>
      <c r="B625" t="s">
        <v>3314</v>
      </c>
      <c r="C625" t="str">
        <f>findKey(supplementary_offering_offeringid__4[[#This Row],[Value.legacyid]])</f>
        <v>500000-73</v>
      </c>
      <c r="D625" t="s">
        <v>6008</v>
      </c>
      <c r="E625" t="s">
        <v>2329</v>
      </c>
      <c r="H625" s="61"/>
      <c r="J625" t="str">
        <f>ToJsonArray(supplementary_offering_offeringid__4[[#Headers],[legacyid]:[activityId]],supplementary_offering_offeringid__4[[#This Row],[legacyid]:[activityId]])</f>
        <v>{"legacyid":"500000-73","name":"Favorito 73","mode":"N"}</v>
      </c>
      <c r="K625" t="str">
        <f>ToJsonArray(supplementary_offering_offeringid__4[[#This Row],[produccion]],supplementary_offering_offeringid__4[[#This Row],[json]])</f>
        <v>{"950000073":{"legacyid":"500000-73","name":"Favorito 73","mode":"N"}}</v>
      </c>
    </row>
    <row r="626" spans="1:11" x14ac:dyDescent="0.25">
      <c r="A626" s="61" t="s">
        <v>4741</v>
      </c>
      <c r="B626" t="s">
        <v>4740</v>
      </c>
      <c r="C626" t="str">
        <f>findKey(supplementary_offering_offeringid__4[[#This Row],[Value.legacyid]])</f>
        <v>500000-74</v>
      </c>
      <c r="D626" t="s">
        <v>6009</v>
      </c>
      <c r="E626" t="s">
        <v>2329</v>
      </c>
      <c r="H626" s="61"/>
      <c r="J626" t="str">
        <f>ToJsonArray(supplementary_offering_offeringid__4[[#Headers],[legacyid]:[activityId]],supplementary_offering_offeringid__4[[#This Row],[legacyid]:[activityId]])</f>
        <v>{"legacyid":"500000-74","name":"Favorito 74","mode":"N"}</v>
      </c>
      <c r="K626" t="str">
        <f>ToJsonArray(supplementary_offering_offeringid__4[[#This Row],[produccion]],supplementary_offering_offeringid__4[[#This Row],[json]])</f>
        <v>{"950000074":{"legacyid":"500000-74","name":"Favorito 74","mode":"N"}}</v>
      </c>
    </row>
    <row r="627" spans="1:11" x14ac:dyDescent="0.25">
      <c r="A627" s="61" t="s">
        <v>3318</v>
      </c>
      <c r="B627" t="s">
        <v>3317</v>
      </c>
      <c r="C627" t="str">
        <f>findKey(supplementary_offering_offeringid__4[[#This Row],[Value.legacyid]])</f>
        <v>500000-75</v>
      </c>
      <c r="D627" t="s">
        <v>6010</v>
      </c>
      <c r="E627" t="s">
        <v>2329</v>
      </c>
      <c r="H627" s="61"/>
      <c r="J627" t="str">
        <f>ToJsonArray(supplementary_offering_offeringid__4[[#Headers],[legacyid]:[activityId]],supplementary_offering_offeringid__4[[#This Row],[legacyid]:[activityId]])</f>
        <v>{"legacyid":"500000-75","name":"Favorito 75","mode":"N"}</v>
      </c>
      <c r="K627" t="str">
        <f>ToJsonArray(supplementary_offering_offeringid__4[[#This Row],[produccion]],supplementary_offering_offeringid__4[[#This Row],[json]])</f>
        <v>{"950000075":{"legacyid":"500000-75","name":"Favorito 75","mode":"N"}}</v>
      </c>
    </row>
    <row r="628" spans="1:11" x14ac:dyDescent="0.25">
      <c r="A628" s="61" t="s">
        <v>4744</v>
      </c>
      <c r="B628" t="s">
        <v>4743</v>
      </c>
      <c r="C628" t="str">
        <f>findKey(supplementary_offering_offeringid__4[[#This Row],[Value.legacyid]])</f>
        <v>500000-76</v>
      </c>
      <c r="D628" t="s">
        <v>6011</v>
      </c>
      <c r="E628" t="s">
        <v>2329</v>
      </c>
      <c r="H628" s="61"/>
      <c r="J628" t="str">
        <f>ToJsonArray(supplementary_offering_offeringid__4[[#Headers],[legacyid]:[activityId]],supplementary_offering_offeringid__4[[#This Row],[legacyid]:[activityId]])</f>
        <v>{"legacyid":"500000-76","name":"Favorito 76","mode":"N"}</v>
      </c>
      <c r="K628" t="str">
        <f>ToJsonArray(supplementary_offering_offeringid__4[[#This Row],[produccion]],supplementary_offering_offeringid__4[[#This Row],[json]])</f>
        <v>{"950000076":{"legacyid":"500000-76","name":"Favorito 76","mode":"N"}}</v>
      </c>
    </row>
    <row r="629" spans="1:11" x14ac:dyDescent="0.25">
      <c r="A629" s="61" t="s">
        <v>3321</v>
      </c>
      <c r="B629" t="s">
        <v>3320</v>
      </c>
      <c r="C629" t="str">
        <f>findKey(supplementary_offering_offeringid__4[[#This Row],[Value.legacyid]])</f>
        <v>500000-77</v>
      </c>
      <c r="D629" t="s">
        <v>6012</v>
      </c>
      <c r="E629" t="s">
        <v>2329</v>
      </c>
      <c r="H629" s="61"/>
      <c r="J629" t="str">
        <f>ToJsonArray(supplementary_offering_offeringid__4[[#Headers],[legacyid]:[activityId]],supplementary_offering_offeringid__4[[#This Row],[legacyid]:[activityId]])</f>
        <v>{"legacyid":"500000-77","name":"Favorito 77","mode":"N"}</v>
      </c>
      <c r="K629" t="str">
        <f>ToJsonArray(supplementary_offering_offeringid__4[[#This Row],[produccion]],supplementary_offering_offeringid__4[[#This Row],[json]])</f>
        <v>{"950000077":{"legacyid":"500000-77","name":"Favorito 77","mode":"N"}}</v>
      </c>
    </row>
    <row r="630" spans="1:11" x14ac:dyDescent="0.25">
      <c r="A630" s="61" t="s">
        <v>4747</v>
      </c>
      <c r="B630" t="s">
        <v>4746</v>
      </c>
      <c r="C630" t="str">
        <f>findKey(supplementary_offering_offeringid__4[[#This Row],[Value.legacyid]])</f>
        <v>500000-79</v>
      </c>
      <c r="D630" t="s">
        <v>6013</v>
      </c>
      <c r="E630" t="s">
        <v>2329</v>
      </c>
      <c r="H630" s="61"/>
      <c r="J630" t="str">
        <f>ToJsonArray(supplementary_offering_offeringid__4[[#Headers],[legacyid]:[activityId]],supplementary_offering_offeringid__4[[#This Row],[legacyid]:[activityId]])</f>
        <v>{"legacyid":"500000-79","name":"Favorito 79","mode":"N"}</v>
      </c>
      <c r="K630" t="str">
        <f>ToJsonArray(supplementary_offering_offeringid__4[[#This Row],[produccion]],supplementary_offering_offeringid__4[[#This Row],[json]])</f>
        <v>{"950000079":{"legacyid":"500000-79","name":"Favorito 79","mode":"N"}}</v>
      </c>
    </row>
    <row r="631" spans="1:11" x14ac:dyDescent="0.25">
      <c r="A631" s="61" t="s">
        <v>4750</v>
      </c>
      <c r="B631" t="s">
        <v>4749</v>
      </c>
      <c r="C631" t="str">
        <f>findKey(supplementary_offering_offeringid__4[[#This Row],[Value.legacyid]])</f>
        <v>500000-80</v>
      </c>
      <c r="D631" t="s">
        <v>6014</v>
      </c>
      <c r="E631" t="s">
        <v>2329</v>
      </c>
      <c r="H631" s="61"/>
      <c r="J631" t="str">
        <f>ToJsonArray(supplementary_offering_offeringid__4[[#Headers],[legacyid]:[activityId]],supplementary_offering_offeringid__4[[#This Row],[legacyid]:[activityId]])</f>
        <v>{"legacyid":"500000-80","name":"Favorito 80","mode":"N"}</v>
      </c>
      <c r="K631" t="str">
        <f>ToJsonArray(supplementary_offering_offeringid__4[[#This Row],[produccion]],supplementary_offering_offeringid__4[[#This Row],[json]])</f>
        <v>{"950000080":{"legacyid":"500000-80","name":"Favorito 80","mode":"N"}}</v>
      </c>
    </row>
    <row r="632" spans="1:11" x14ac:dyDescent="0.25">
      <c r="A632" s="61" t="s">
        <v>3324</v>
      </c>
      <c r="B632" t="s">
        <v>3323</v>
      </c>
      <c r="C632" t="str">
        <f>findKey(supplementary_offering_offeringid__4[[#This Row],[Value.legacyid]])</f>
        <v>500000-81</v>
      </c>
      <c r="D632" t="s">
        <v>6015</v>
      </c>
      <c r="E632" t="s">
        <v>2329</v>
      </c>
      <c r="H632" s="61"/>
      <c r="J632" t="str">
        <f>ToJsonArray(supplementary_offering_offeringid__4[[#Headers],[legacyid]:[activityId]],supplementary_offering_offeringid__4[[#This Row],[legacyid]:[activityId]])</f>
        <v>{"legacyid":"500000-81","name":"Favorito 81","mode":"N"}</v>
      </c>
      <c r="K632" t="str">
        <f>ToJsonArray(supplementary_offering_offeringid__4[[#This Row],[produccion]],supplementary_offering_offeringid__4[[#This Row],[json]])</f>
        <v>{"950000081":{"legacyid":"500000-81","name":"Favorito 81","mode":"N"}}</v>
      </c>
    </row>
    <row r="633" spans="1:11" x14ac:dyDescent="0.25">
      <c r="A633" s="61" t="s">
        <v>3327</v>
      </c>
      <c r="B633" t="s">
        <v>3326</v>
      </c>
      <c r="C633" t="str">
        <f>findKey(supplementary_offering_offeringid__4[[#This Row],[Value.legacyid]])</f>
        <v>500000-82</v>
      </c>
      <c r="D633" t="s">
        <v>6016</v>
      </c>
      <c r="E633" t="s">
        <v>2329</v>
      </c>
      <c r="H633" s="61"/>
      <c r="J633" t="str">
        <f>ToJsonArray(supplementary_offering_offeringid__4[[#Headers],[legacyid]:[activityId]],supplementary_offering_offeringid__4[[#This Row],[legacyid]:[activityId]])</f>
        <v>{"legacyid":"500000-82","name":"Favorito 82","mode":"N"}</v>
      </c>
      <c r="K633" t="str">
        <f>ToJsonArray(supplementary_offering_offeringid__4[[#This Row],[produccion]],supplementary_offering_offeringid__4[[#This Row],[json]])</f>
        <v>{"950000082":{"legacyid":"500000-82","name":"Favorito 82","mode":"N"}}</v>
      </c>
    </row>
    <row r="634" spans="1:11" x14ac:dyDescent="0.25">
      <c r="A634" s="61" t="s">
        <v>4753</v>
      </c>
      <c r="B634" t="s">
        <v>4752</v>
      </c>
      <c r="C634" t="str">
        <f>findKey(supplementary_offering_offeringid__4[[#This Row],[Value.legacyid]])</f>
        <v>500000-83</v>
      </c>
      <c r="D634" t="s">
        <v>6017</v>
      </c>
      <c r="E634" t="s">
        <v>2329</v>
      </c>
      <c r="H634" s="61"/>
      <c r="J634" t="str">
        <f>ToJsonArray(supplementary_offering_offeringid__4[[#Headers],[legacyid]:[activityId]],supplementary_offering_offeringid__4[[#This Row],[legacyid]:[activityId]])</f>
        <v>{"legacyid":"500000-83","name":"Favorito 83","mode":"N"}</v>
      </c>
      <c r="K634" t="str">
        <f>ToJsonArray(supplementary_offering_offeringid__4[[#This Row],[produccion]],supplementary_offering_offeringid__4[[#This Row],[json]])</f>
        <v>{"950000083":{"legacyid":"500000-83","name":"Favorito 83","mode":"N"}}</v>
      </c>
    </row>
    <row r="635" spans="1:11" x14ac:dyDescent="0.25">
      <c r="A635" s="61" t="s">
        <v>3330</v>
      </c>
      <c r="B635" t="s">
        <v>3329</v>
      </c>
      <c r="C635" t="str">
        <f>findKey(supplementary_offering_offeringid__4[[#This Row],[Value.legacyid]])</f>
        <v>500000-85</v>
      </c>
      <c r="D635" t="s">
        <v>6018</v>
      </c>
      <c r="E635" t="s">
        <v>2329</v>
      </c>
      <c r="H635" s="61"/>
      <c r="J635" t="str">
        <f>ToJsonArray(supplementary_offering_offeringid__4[[#Headers],[legacyid]:[activityId]],supplementary_offering_offeringid__4[[#This Row],[legacyid]:[activityId]])</f>
        <v>{"legacyid":"500000-85","name":"Favorito 85","mode":"N"}</v>
      </c>
      <c r="K635" t="str">
        <f>ToJsonArray(supplementary_offering_offeringid__4[[#This Row],[produccion]],supplementary_offering_offeringid__4[[#This Row],[json]])</f>
        <v>{"950000085":{"legacyid":"500000-85","name":"Favorito 85","mode":"N"}}</v>
      </c>
    </row>
    <row r="636" spans="1:11" x14ac:dyDescent="0.25">
      <c r="A636" s="61" t="s">
        <v>3333</v>
      </c>
      <c r="B636" t="s">
        <v>3332</v>
      </c>
      <c r="C636" t="str">
        <f>findKey(supplementary_offering_offeringid__4[[#This Row],[Value.legacyid]])</f>
        <v>500000-86</v>
      </c>
      <c r="D636" t="s">
        <v>6019</v>
      </c>
      <c r="E636" t="s">
        <v>2329</v>
      </c>
      <c r="H636" s="61"/>
      <c r="J636" t="str">
        <f>ToJsonArray(supplementary_offering_offeringid__4[[#Headers],[legacyid]:[activityId]],supplementary_offering_offeringid__4[[#This Row],[legacyid]:[activityId]])</f>
        <v>{"legacyid":"500000-86","name":"Favorito 86","mode":"N"}</v>
      </c>
      <c r="K636" t="str">
        <f>ToJsonArray(supplementary_offering_offeringid__4[[#This Row],[produccion]],supplementary_offering_offeringid__4[[#This Row],[json]])</f>
        <v>{"950000086":{"legacyid":"500000-86","name":"Favorito 86","mode":"N"}}</v>
      </c>
    </row>
    <row r="637" spans="1:11" x14ac:dyDescent="0.25">
      <c r="A637" s="61" t="s">
        <v>3336</v>
      </c>
      <c r="B637" t="s">
        <v>3335</v>
      </c>
      <c r="C637" t="str">
        <f>findKey(supplementary_offering_offeringid__4[[#This Row],[Value.legacyid]])</f>
        <v>500000-87</v>
      </c>
      <c r="D637" t="s">
        <v>6020</v>
      </c>
      <c r="E637" t="s">
        <v>2329</v>
      </c>
      <c r="H637" s="61"/>
      <c r="J637" t="str">
        <f>ToJsonArray(supplementary_offering_offeringid__4[[#Headers],[legacyid]:[activityId]],supplementary_offering_offeringid__4[[#This Row],[legacyid]:[activityId]])</f>
        <v>{"legacyid":"500000-87","name":"Favorito 87","mode":"N"}</v>
      </c>
      <c r="K637" t="str">
        <f>ToJsonArray(supplementary_offering_offeringid__4[[#This Row],[produccion]],supplementary_offering_offeringid__4[[#This Row],[json]])</f>
        <v>{"950000087":{"legacyid":"500000-87","name":"Favorito 87","mode":"N"}}</v>
      </c>
    </row>
    <row r="638" spans="1:11" x14ac:dyDescent="0.25">
      <c r="A638" s="61" t="s">
        <v>3339</v>
      </c>
      <c r="B638" t="s">
        <v>3338</v>
      </c>
      <c r="C638" t="str">
        <f>findKey(supplementary_offering_offeringid__4[[#This Row],[Value.legacyid]])</f>
        <v>500000-89</v>
      </c>
      <c r="D638" t="s">
        <v>6021</v>
      </c>
      <c r="E638" t="s">
        <v>2329</v>
      </c>
      <c r="H638" s="61"/>
      <c r="J638" t="str">
        <f>ToJsonArray(supplementary_offering_offeringid__4[[#Headers],[legacyid]:[activityId]],supplementary_offering_offeringid__4[[#This Row],[legacyid]:[activityId]])</f>
        <v>{"legacyid":"500000-89","name":"Favorito 89","mode":"N"}</v>
      </c>
      <c r="K638" t="str">
        <f>ToJsonArray(supplementary_offering_offeringid__4[[#This Row],[produccion]],supplementary_offering_offeringid__4[[#This Row],[json]])</f>
        <v>{"950000089":{"legacyid":"500000-89","name":"Favorito 89","mode":"N"}}</v>
      </c>
    </row>
    <row r="639" spans="1:11" x14ac:dyDescent="0.25">
      <c r="A639" s="61" t="s">
        <v>3342</v>
      </c>
      <c r="B639" t="s">
        <v>3341</v>
      </c>
      <c r="C639" t="str">
        <f>findKey(supplementary_offering_offeringid__4[[#This Row],[Value.legacyid]])</f>
        <v>500000-90</v>
      </c>
      <c r="D639" t="s">
        <v>6022</v>
      </c>
      <c r="E639" t="s">
        <v>2329</v>
      </c>
      <c r="H639" s="61"/>
      <c r="J639" t="str">
        <f>ToJsonArray(supplementary_offering_offeringid__4[[#Headers],[legacyid]:[activityId]],supplementary_offering_offeringid__4[[#This Row],[legacyid]:[activityId]])</f>
        <v>{"legacyid":"500000-90","name":"Favorito 90","mode":"N"}</v>
      </c>
      <c r="K639" t="str">
        <f>ToJsonArray(supplementary_offering_offeringid__4[[#This Row],[produccion]],supplementary_offering_offeringid__4[[#This Row],[json]])</f>
        <v>{"950000090":{"legacyid":"500000-90","name":"Favorito 90","mode":"N"}}</v>
      </c>
    </row>
    <row r="640" spans="1:11" x14ac:dyDescent="0.25">
      <c r="A640" s="61" t="s">
        <v>3345</v>
      </c>
      <c r="B640" t="s">
        <v>3344</v>
      </c>
      <c r="C640" t="str">
        <f>findKey(supplementary_offering_offeringid__4[[#This Row],[Value.legacyid]])</f>
        <v>500000-91</v>
      </c>
      <c r="D640" t="s">
        <v>6023</v>
      </c>
      <c r="E640" t="s">
        <v>2329</v>
      </c>
      <c r="H640" s="61"/>
      <c r="J640" t="str">
        <f>ToJsonArray(supplementary_offering_offeringid__4[[#Headers],[legacyid]:[activityId]],supplementary_offering_offeringid__4[[#This Row],[legacyid]:[activityId]])</f>
        <v>{"legacyid":"500000-91","name":"Favorito 91","mode":"N"}</v>
      </c>
      <c r="K640" t="str">
        <f>ToJsonArray(supplementary_offering_offeringid__4[[#This Row],[produccion]],supplementary_offering_offeringid__4[[#This Row],[json]])</f>
        <v>{"950000091":{"legacyid":"500000-91","name":"Favorito 91","mode":"N"}}</v>
      </c>
    </row>
    <row r="641" spans="1:11" x14ac:dyDescent="0.25">
      <c r="A641" s="61" t="s">
        <v>3348</v>
      </c>
      <c r="B641" t="s">
        <v>3347</v>
      </c>
      <c r="C641" t="str">
        <f>findKey(supplementary_offering_offeringid__4[[#This Row],[Value.legacyid]])</f>
        <v>500000-92</v>
      </c>
      <c r="D641" t="s">
        <v>6024</v>
      </c>
      <c r="E641" t="s">
        <v>2329</v>
      </c>
      <c r="H641" s="61"/>
      <c r="J641" t="str">
        <f>ToJsonArray(supplementary_offering_offeringid__4[[#Headers],[legacyid]:[activityId]],supplementary_offering_offeringid__4[[#This Row],[legacyid]:[activityId]])</f>
        <v>{"legacyid":"500000-92","name":"Favorito 92","mode":"N"}</v>
      </c>
      <c r="K641" t="str">
        <f>ToJsonArray(supplementary_offering_offeringid__4[[#This Row],[produccion]],supplementary_offering_offeringid__4[[#This Row],[json]])</f>
        <v>{"950000092":{"legacyid":"500000-92","name":"Favorito 92","mode":"N"}}</v>
      </c>
    </row>
    <row r="642" spans="1:11" x14ac:dyDescent="0.25">
      <c r="A642" s="61" t="s">
        <v>3351</v>
      </c>
      <c r="B642" t="s">
        <v>3350</v>
      </c>
      <c r="C642" t="str">
        <f>findKey(supplementary_offering_offeringid__4[[#This Row],[Value.legacyid]])</f>
        <v>500001-01</v>
      </c>
      <c r="D642" t="s">
        <v>6025</v>
      </c>
      <c r="E642" t="s">
        <v>2329</v>
      </c>
      <c r="H642" s="61"/>
      <c r="J642" t="str">
        <f>ToJsonArray(supplementary_offering_offeringid__4[[#Headers],[legacyid]:[activityId]],supplementary_offering_offeringid__4[[#This Row],[legacyid]:[activityId]])</f>
        <v>{"legacyid":"500001-01","name":"Favorito Ilimitado 1","mode":"N"}</v>
      </c>
      <c r="K642" t="str">
        <f>ToJsonArray(supplementary_offering_offeringid__4[[#This Row],[produccion]],supplementary_offering_offeringid__4[[#This Row],[json]])</f>
        <v>{"950000101":{"legacyid":"500001-01","name":"Favorito Ilimitado 1","mode":"N"}}</v>
      </c>
    </row>
    <row r="643" spans="1:11" x14ac:dyDescent="0.25">
      <c r="A643" s="61" t="s">
        <v>3354</v>
      </c>
      <c r="B643" t="s">
        <v>3353</v>
      </c>
      <c r="C643" t="str">
        <f>findKey(supplementary_offering_offeringid__4[[#This Row],[Value.legacyid]])</f>
        <v>500001-62</v>
      </c>
      <c r="D643" t="s">
        <v>6026</v>
      </c>
      <c r="E643" t="s">
        <v>2329</v>
      </c>
      <c r="H643" s="61"/>
      <c r="J643" t="str">
        <f>ToJsonArray(supplementary_offering_offeringid__4[[#Headers],[legacyid]:[activityId]],supplementary_offering_offeringid__4[[#This Row],[legacyid]:[activityId]])</f>
        <v>{"legacyid":"500001-62","name":"Favorito TD 2678400s","mode":"N"}</v>
      </c>
      <c r="K643" t="str">
        <f>ToJsonArray(supplementary_offering_offeringid__4[[#This Row],[produccion]],supplementary_offering_offeringid__4[[#This Row],[json]])</f>
        <v>{"950000162":{"legacyid":"500001-62","name":"Favorito TD 2678400s","mode":"N"}}</v>
      </c>
    </row>
    <row r="644" spans="1:11" x14ac:dyDescent="0.25">
      <c r="A644" s="61" t="s">
        <v>3357</v>
      </c>
      <c r="B644" t="s">
        <v>3356</v>
      </c>
      <c r="C644" t="str">
        <f>findKey(supplementary_offering_offeringid__4[[#This Row],[Value.legacyid]])</f>
        <v>500001-63</v>
      </c>
      <c r="D644" t="s">
        <v>6026</v>
      </c>
      <c r="E644" t="s">
        <v>2329</v>
      </c>
      <c r="H644" s="61"/>
      <c r="J644" t="str">
        <f>ToJsonArray(supplementary_offering_offeringid__4[[#Headers],[legacyid]:[activityId]],supplementary_offering_offeringid__4[[#This Row],[legacyid]:[activityId]])</f>
        <v>{"legacyid":"500001-63","name":"Favorito TD 2678400s","mode":"N"}</v>
      </c>
      <c r="K644" t="str">
        <f>ToJsonArray(supplementary_offering_offeringid__4[[#This Row],[produccion]],supplementary_offering_offeringid__4[[#This Row],[json]])</f>
        <v>{"950000163":{"legacyid":"500001-63","name":"Favorito TD 2678400s","mode":"N"}}</v>
      </c>
    </row>
    <row r="645" spans="1:11" x14ac:dyDescent="0.25">
      <c r="A645" s="61" t="s">
        <v>3360</v>
      </c>
      <c r="B645" t="s">
        <v>3359</v>
      </c>
      <c r="C645" t="str">
        <f>findKey(supplementary_offering_offeringid__4[[#This Row],[Value.legacyid]])</f>
        <v>500001-65</v>
      </c>
      <c r="D645" t="s">
        <v>5828</v>
      </c>
      <c r="E645" t="s">
        <v>2329</v>
      </c>
      <c r="H645" s="61"/>
      <c r="J645" t="str">
        <f>ToJsonArray(supplementary_offering_offeringid__4[[#Headers],[legacyid]:[activityId]],supplementary_offering_offeringid__4[[#This Row],[legacyid]:[activityId]])</f>
        <v>{"legacyid":"500001-65","name":"Voz-TD-9000s","mode":"N"}</v>
      </c>
      <c r="K645" t="str">
        <f>ToJsonArray(supplementary_offering_offeringid__4[[#This Row],[produccion]],supplementary_offering_offeringid__4[[#This Row],[json]])</f>
        <v>{"950000165":{"legacyid":"500001-65","name":"Voz-TD-9000s","mode":"N"}}</v>
      </c>
    </row>
    <row r="646" spans="1:11" x14ac:dyDescent="0.25">
      <c r="A646" s="61" t="s">
        <v>3363</v>
      </c>
      <c r="B646" t="s">
        <v>3362</v>
      </c>
      <c r="C646" t="str">
        <f>findKey(supplementary_offering_offeringid__4[[#This Row],[Value.legacyid]])</f>
        <v>500001-66</v>
      </c>
      <c r="D646" t="s">
        <v>5815</v>
      </c>
      <c r="E646" t="s">
        <v>2329</v>
      </c>
      <c r="H646" s="61"/>
      <c r="J646" t="str">
        <f>ToJsonArray(supplementary_offering_offeringid__4[[#Headers],[legacyid]:[activityId]],supplementary_offering_offeringid__4[[#This Row],[legacyid]:[activityId]])</f>
        <v>{"legacyid":"500001-66","name":"Voz-TD-36000s","mode":"N"}</v>
      </c>
      <c r="K646" t="str">
        <f>ToJsonArray(supplementary_offering_offeringid__4[[#This Row],[produccion]],supplementary_offering_offeringid__4[[#This Row],[json]])</f>
        <v>{"950000166":{"legacyid":"500001-66","name":"Voz-TD-36000s","mode":"N"}}</v>
      </c>
    </row>
    <row r="647" spans="1:11" x14ac:dyDescent="0.25">
      <c r="A647" s="61" t="s">
        <v>4756</v>
      </c>
      <c r="B647" t="s">
        <v>4755</v>
      </c>
      <c r="C647" t="str">
        <f>findKey(supplementary_offering_offeringid__4[[#This Row],[Value.legacyid]])</f>
        <v>500001-67</v>
      </c>
      <c r="D647" t="s">
        <v>5827</v>
      </c>
      <c r="E647" t="s">
        <v>2329</v>
      </c>
      <c r="H647" s="61"/>
      <c r="J647" t="str">
        <f>ToJsonArray(supplementary_offering_offeringid__4[[#Headers],[legacyid]:[activityId]],supplementary_offering_offeringid__4[[#This Row],[legacyid]:[activityId]])</f>
        <v>{"legacyid":"500001-67","name":"Voz-TD-42000s","mode":"N"}</v>
      </c>
      <c r="K647" t="str">
        <f>ToJsonArray(supplementary_offering_offeringid__4[[#This Row],[produccion]],supplementary_offering_offeringid__4[[#This Row],[json]])</f>
        <v>{"950000167":{"legacyid":"500001-67","name":"Voz-TD-42000s","mode":"N"}}</v>
      </c>
    </row>
    <row r="648" spans="1:11" x14ac:dyDescent="0.25">
      <c r="A648" s="61" t="s">
        <v>3366</v>
      </c>
      <c r="B648" t="s">
        <v>3365</v>
      </c>
      <c r="C648" t="str">
        <f>findKey(supplementary_offering_offeringid__4[[#This Row],[Value.legacyid]])</f>
        <v>500001-68</v>
      </c>
      <c r="D648" t="s">
        <v>5829</v>
      </c>
      <c r="E648" t="s">
        <v>2329</v>
      </c>
      <c r="H648" s="61"/>
      <c r="J648" t="str">
        <f>ToJsonArray(supplementary_offering_offeringid__4[[#Headers],[legacyid]:[activityId]],supplementary_offering_offeringid__4[[#This Row],[legacyid]:[activityId]])</f>
        <v>{"legacyid":"500001-68","name":"Voz-TD-6000s","mode":"N"}</v>
      </c>
      <c r="K648" t="str">
        <f>ToJsonArray(supplementary_offering_offeringid__4[[#This Row],[produccion]],supplementary_offering_offeringid__4[[#This Row],[json]])</f>
        <v>{"950000168":{"legacyid":"500001-68","name":"Voz-TD-6000s","mode":"N"}}</v>
      </c>
    </row>
    <row r="649" spans="1:11" x14ac:dyDescent="0.25">
      <c r="A649" s="61" t="s">
        <v>4759</v>
      </c>
      <c r="B649" t="s">
        <v>4758</v>
      </c>
      <c r="C649" t="str">
        <f>findKey(supplementary_offering_offeringid__4[[#This Row],[Value.legacyid]])</f>
        <v>500001-69</v>
      </c>
      <c r="D649" t="s">
        <v>5809</v>
      </c>
      <c r="E649" t="s">
        <v>2329</v>
      </c>
      <c r="H649" s="61"/>
      <c r="J649" t="str">
        <f>ToJsonArray(supplementary_offering_offeringid__4[[#Headers],[legacyid]:[activityId]],supplementary_offering_offeringid__4[[#This Row],[legacyid]:[activityId]])</f>
        <v>{"legacyid":"500001-69","name":"Voz-TD-30000s","mode":"N"}</v>
      </c>
      <c r="K649" t="str">
        <f>ToJsonArray(supplementary_offering_offeringid__4[[#This Row],[produccion]],supplementary_offering_offeringid__4[[#This Row],[json]])</f>
        <v>{"950000169":{"legacyid":"500001-69","name":"Voz-TD-30000s","mode":"N"}}</v>
      </c>
    </row>
    <row r="650" spans="1:11" x14ac:dyDescent="0.25">
      <c r="A650" s="61" t="s">
        <v>3369</v>
      </c>
      <c r="B650" t="s">
        <v>3368</v>
      </c>
      <c r="C650" t="str">
        <f>findKey(supplementary_offering_offeringid__4[[#This Row],[Value.legacyid]])</f>
        <v>500001-70</v>
      </c>
      <c r="D650" t="s">
        <v>6027</v>
      </c>
      <c r="E650" t="s">
        <v>2329</v>
      </c>
      <c r="H650" s="61"/>
      <c r="J650" t="str">
        <f>ToJsonArray(supplementary_offering_offeringid__4[[#Headers],[legacyid]:[activityId]],supplementary_offering_offeringid__4[[#This Row],[legacyid]:[activityId]])</f>
        <v>{"legacyid":"500001-70","name":"Favorito Ilimitado 4","mode":"N"}</v>
      </c>
      <c r="K650" t="str">
        <f>ToJsonArray(supplementary_offering_offeringid__4[[#This Row],[produccion]],supplementary_offering_offeringid__4[[#This Row],[json]])</f>
        <v>{"950000170":{"legacyid":"500001-70","name":"Favorito Ilimitado 4","mode":"N"}}</v>
      </c>
    </row>
    <row r="651" spans="1:11" x14ac:dyDescent="0.25">
      <c r="A651" s="61" t="s">
        <v>3372</v>
      </c>
      <c r="B651" t="s">
        <v>3371</v>
      </c>
      <c r="C651" t="str">
        <f>findKey(supplementary_offering_offeringid__4[[#This Row],[Value.legacyid]])</f>
        <v>500001-71</v>
      </c>
      <c r="D651" t="s">
        <v>6027</v>
      </c>
      <c r="E651" t="s">
        <v>2329</v>
      </c>
      <c r="H651" s="61"/>
      <c r="J651" t="str">
        <f>ToJsonArray(supplementary_offering_offeringid__4[[#Headers],[legacyid]:[activityId]],supplementary_offering_offeringid__4[[#This Row],[legacyid]:[activityId]])</f>
        <v>{"legacyid":"500001-71","name":"Favorito Ilimitado 4","mode":"N"}</v>
      </c>
      <c r="K651" t="str">
        <f>ToJsonArray(supplementary_offering_offeringid__4[[#This Row],[produccion]],supplementary_offering_offeringid__4[[#This Row],[json]])</f>
        <v>{"950000171":{"legacyid":"500001-71","name":"Favorito Ilimitado 4","mode":"N"}}</v>
      </c>
    </row>
    <row r="652" spans="1:11" x14ac:dyDescent="0.25">
      <c r="A652" s="61" t="s">
        <v>3375</v>
      </c>
      <c r="B652" t="s">
        <v>3374</v>
      </c>
      <c r="C652" t="str">
        <f>findKey(supplementary_offering_offeringid__4[[#This Row],[Value.legacyid]])</f>
        <v>500001-72</v>
      </c>
      <c r="D652" t="s">
        <v>6028</v>
      </c>
      <c r="E652" t="s">
        <v>2329</v>
      </c>
      <c r="H652" s="61"/>
      <c r="J652" t="str">
        <f>ToJsonArray(supplementary_offering_offeringid__4[[#Headers],[legacyid]:[activityId]],supplementary_offering_offeringid__4[[#This Row],[legacyid]:[activityId]])</f>
        <v>{"legacyid":"500001-72","name":"Favorito Ilimitado 5","mode":"N"}</v>
      </c>
      <c r="K652" t="str">
        <f>ToJsonArray(supplementary_offering_offeringid__4[[#This Row],[produccion]],supplementary_offering_offeringid__4[[#This Row],[json]])</f>
        <v>{"950000172":{"legacyid":"500001-72","name":"Favorito Ilimitado 5","mode":"N"}}</v>
      </c>
    </row>
    <row r="653" spans="1:11" x14ac:dyDescent="0.25">
      <c r="A653" s="61" t="s">
        <v>3378</v>
      </c>
      <c r="B653" t="s">
        <v>3377</v>
      </c>
      <c r="C653" t="str">
        <f>findKey(supplementary_offering_offeringid__4[[#This Row],[Value.legacyid]])</f>
        <v>500001-73</v>
      </c>
      <c r="D653" t="s">
        <v>6028</v>
      </c>
      <c r="E653" t="s">
        <v>2329</v>
      </c>
      <c r="H653" s="61"/>
      <c r="J653" t="str">
        <f>ToJsonArray(supplementary_offering_offeringid__4[[#Headers],[legacyid]:[activityId]],supplementary_offering_offeringid__4[[#This Row],[legacyid]:[activityId]])</f>
        <v>{"legacyid":"500001-73","name":"Favorito Ilimitado 5","mode":"N"}</v>
      </c>
      <c r="K653" t="str">
        <f>ToJsonArray(supplementary_offering_offeringid__4[[#This Row],[produccion]],supplementary_offering_offeringid__4[[#This Row],[json]])</f>
        <v>{"950000173":{"legacyid":"500001-73","name":"Favorito Ilimitado 5","mode":"N"}}</v>
      </c>
    </row>
    <row r="654" spans="1:11" x14ac:dyDescent="0.25">
      <c r="A654" s="61" t="s">
        <v>4762</v>
      </c>
      <c r="B654" t="s">
        <v>4761</v>
      </c>
      <c r="C654" t="str">
        <f>findKey(supplementary_offering_offeringid__4[[#This Row],[Value.legacyid]])</f>
        <v>500002-05</v>
      </c>
      <c r="D654" t="s">
        <v>6029</v>
      </c>
      <c r="E654" t="s">
        <v>2329</v>
      </c>
      <c r="H654" s="61"/>
      <c r="J654" t="str">
        <f>ToJsonArray(supplementary_offering_offeringid__4[[#Headers],[legacyid]:[activityId]],supplementary_offering_offeringid__4[[#This Row],[legacyid]:[activityId]])</f>
        <v>{"legacyid":"500002-05","name":"Favorito Bolsa 8k","mode":"N"}</v>
      </c>
      <c r="K654" t="str">
        <f>ToJsonArray(supplementary_offering_offeringid__4[[#This Row],[produccion]],supplementary_offering_offeringid__4[[#This Row],[json]])</f>
        <v>{"950000205":{"legacyid":"500002-05","name":"Favorito Bolsa 8k","mode":"N"}}</v>
      </c>
    </row>
    <row r="655" spans="1:11" x14ac:dyDescent="0.25">
      <c r="A655" s="61" t="s">
        <v>3381</v>
      </c>
      <c r="B655" t="s">
        <v>3380</v>
      </c>
      <c r="C655" t="str">
        <f>findKey(supplementary_offering_offeringid__4[[#This Row],[Value.legacyid]])</f>
        <v>500003-01</v>
      </c>
      <c r="D655" t="s">
        <v>6030</v>
      </c>
      <c r="E655" t="s">
        <v>2329</v>
      </c>
      <c r="H655" s="61"/>
      <c r="J655" t="str">
        <f>ToJsonArray(supplementary_offering_offeringid__4[[#Headers],[legacyid]:[activityId]],supplementary_offering_offeringid__4[[#This Row],[legacyid]:[activityId]])</f>
        <v>{"legacyid":"500003-01","name":"Favorito Tigo 01","mode":"N"}</v>
      </c>
      <c r="K655" t="str">
        <f>ToJsonArray(supplementary_offering_offeringid__4[[#This Row],[produccion]],supplementary_offering_offeringid__4[[#This Row],[json]])</f>
        <v>{"950000301":{"legacyid":"500003-01","name":"Favorito Tigo 01","mode":"N"}}</v>
      </c>
    </row>
    <row r="656" spans="1:11" x14ac:dyDescent="0.25">
      <c r="A656" s="61" t="s">
        <v>3384</v>
      </c>
      <c r="B656" t="s">
        <v>3383</v>
      </c>
      <c r="C656" t="str">
        <f>findKey(supplementary_offering_offeringid__4[[#This Row],[Value.legacyid]])</f>
        <v>500003-02</v>
      </c>
      <c r="D656" t="s">
        <v>6031</v>
      </c>
      <c r="E656" t="s">
        <v>2329</v>
      </c>
      <c r="H656" s="61"/>
      <c r="J656" t="str">
        <f>ToJsonArray(supplementary_offering_offeringid__4[[#Headers],[legacyid]:[activityId]],supplementary_offering_offeringid__4[[#This Row],[legacyid]:[activityId]])</f>
        <v>{"legacyid":"500003-02","name":"Favorito Tigo 02","mode":"N"}</v>
      </c>
      <c r="K656" t="str">
        <f>ToJsonArray(supplementary_offering_offeringid__4[[#This Row],[produccion]],supplementary_offering_offeringid__4[[#This Row],[json]])</f>
        <v>{"950000302":{"legacyid":"500003-02","name":"Favorito Tigo 02","mode":"N"}}</v>
      </c>
    </row>
    <row r="657" spans="1:11" x14ac:dyDescent="0.25">
      <c r="A657" s="61" t="s">
        <v>3387</v>
      </c>
      <c r="B657" t="s">
        <v>3386</v>
      </c>
      <c r="C657" t="str">
        <f>findKey(supplementary_offering_offeringid__4[[#This Row],[Value.legacyid]])</f>
        <v>500003-03</v>
      </c>
      <c r="D657" t="s">
        <v>6032</v>
      </c>
      <c r="E657" t="s">
        <v>2329</v>
      </c>
      <c r="H657" s="61"/>
      <c r="J657" t="str">
        <f>ToJsonArray(supplementary_offering_offeringid__4[[#Headers],[legacyid]:[activityId]],supplementary_offering_offeringid__4[[#This Row],[legacyid]:[activityId]])</f>
        <v>{"legacyid":"500003-03","name":"Favorito Tigo 03","mode":"N"}</v>
      </c>
      <c r="K657" t="str">
        <f>ToJsonArray(supplementary_offering_offeringid__4[[#This Row],[produccion]],supplementary_offering_offeringid__4[[#This Row],[json]])</f>
        <v>{"950000303":{"legacyid":"500003-03","name":"Favorito Tigo 03","mode":"N"}}</v>
      </c>
    </row>
    <row r="658" spans="1:11" x14ac:dyDescent="0.25">
      <c r="A658" s="61" t="s">
        <v>3390</v>
      </c>
      <c r="B658" t="s">
        <v>3389</v>
      </c>
      <c r="C658" t="str">
        <f>findKey(supplementary_offering_offeringid__4[[#This Row],[Value.legacyid]])</f>
        <v>500003-04</v>
      </c>
      <c r="D658" t="s">
        <v>6033</v>
      </c>
      <c r="E658" t="s">
        <v>2329</v>
      </c>
      <c r="H658" s="61"/>
      <c r="J658" t="str">
        <f>ToJsonArray(supplementary_offering_offeringid__4[[#Headers],[legacyid]:[activityId]],supplementary_offering_offeringid__4[[#This Row],[legacyid]:[activityId]])</f>
        <v>{"legacyid":"500003-04","name":"Favorito Tigo 04","mode":"N"}</v>
      </c>
      <c r="K658" t="str">
        <f>ToJsonArray(supplementary_offering_offeringid__4[[#This Row],[produccion]],supplementary_offering_offeringid__4[[#This Row],[json]])</f>
        <v>{"950000304":{"legacyid":"500003-04","name":"Favorito Tigo 04","mode":"N"}}</v>
      </c>
    </row>
    <row r="659" spans="1:11" x14ac:dyDescent="0.25">
      <c r="A659" s="61" t="s">
        <v>3393</v>
      </c>
      <c r="B659" t="s">
        <v>3392</v>
      </c>
      <c r="C659" t="str">
        <f>findKey(supplementary_offering_offeringid__4[[#This Row],[Value.legacyid]])</f>
        <v>500003-05</v>
      </c>
      <c r="D659" t="s">
        <v>6034</v>
      </c>
      <c r="E659" t="s">
        <v>2329</v>
      </c>
      <c r="H659" s="61"/>
      <c r="J659" t="str">
        <f>ToJsonArray(supplementary_offering_offeringid__4[[#Headers],[legacyid]:[activityId]],supplementary_offering_offeringid__4[[#This Row],[legacyid]:[activityId]])</f>
        <v>{"legacyid":"500003-05","name":"Favorito Tigo 05","mode":"N"}</v>
      </c>
      <c r="K659" t="str">
        <f>ToJsonArray(supplementary_offering_offeringid__4[[#This Row],[produccion]],supplementary_offering_offeringid__4[[#This Row],[json]])</f>
        <v>{"950000305":{"legacyid":"500003-05","name":"Favorito Tigo 05","mode":"N"}}</v>
      </c>
    </row>
    <row r="660" spans="1:11" x14ac:dyDescent="0.25">
      <c r="A660" s="61" t="s">
        <v>3396</v>
      </c>
      <c r="B660" t="s">
        <v>3395</v>
      </c>
      <c r="C660" t="str">
        <f>findKey(supplementary_offering_offeringid__4[[#This Row],[Value.legacyid]])</f>
        <v>500003-06</v>
      </c>
      <c r="D660" t="s">
        <v>6035</v>
      </c>
      <c r="E660" t="s">
        <v>2329</v>
      </c>
      <c r="H660" s="61"/>
      <c r="J660" t="str">
        <f>ToJsonArray(supplementary_offering_offeringid__4[[#Headers],[legacyid]:[activityId]],supplementary_offering_offeringid__4[[#This Row],[legacyid]:[activityId]])</f>
        <v>{"legacyid":"500003-06","name":"Favorito Tigo 06","mode":"N"}</v>
      </c>
      <c r="K660" t="str">
        <f>ToJsonArray(supplementary_offering_offeringid__4[[#This Row],[produccion]],supplementary_offering_offeringid__4[[#This Row],[json]])</f>
        <v>{"950000306":{"legacyid":"500003-06","name":"Favorito Tigo 06","mode":"N"}}</v>
      </c>
    </row>
    <row r="661" spans="1:11" x14ac:dyDescent="0.25">
      <c r="A661" s="61" t="s">
        <v>4765</v>
      </c>
      <c r="B661" t="s">
        <v>4764</v>
      </c>
      <c r="C661" t="str">
        <f>findKey(supplementary_offering_offeringid__4[[#This Row],[Value.legacyid]])</f>
        <v>500003-07</v>
      </c>
      <c r="D661" t="s">
        <v>6036</v>
      </c>
      <c r="E661" t="s">
        <v>2329</v>
      </c>
      <c r="H661" s="61"/>
      <c r="J661" t="str">
        <f>ToJsonArray(supplementary_offering_offeringid__4[[#Headers],[legacyid]:[activityId]],supplementary_offering_offeringid__4[[#This Row],[legacyid]:[activityId]])</f>
        <v>{"legacyid":"500003-07","name":"Favorito Tigo 07","mode":"N"}</v>
      </c>
      <c r="K661" t="str">
        <f>ToJsonArray(supplementary_offering_offeringid__4[[#This Row],[produccion]],supplementary_offering_offeringid__4[[#This Row],[json]])</f>
        <v>{"950000307":{"legacyid":"500003-07","name":"Favorito Tigo 07","mode":"N"}}</v>
      </c>
    </row>
    <row r="662" spans="1:11" x14ac:dyDescent="0.25">
      <c r="A662" s="61" t="s">
        <v>3399</v>
      </c>
      <c r="B662" t="s">
        <v>3398</v>
      </c>
      <c r="C662" t="str">
        <f>findKey(supplementary_offering_offeringid__4[[#This Row],[Value.legacyid]])</f>
        <v>500003-08</v>
      </c>
      <c r="D662" t="s">
        <v>6037</v>
      </c>
      <c r="E662" t="s">
        <v>2329</v>
      </c>
      <c r="H662" s="61"/>
      <c r="J662" t="str">
        <f>ToJsonArray(supplementary_offering_offeringid__4[[#Headers],[legacyid]:[activityId]],supplementary_offering_offeringid__4[[#This Row],[legacyid]:[activityId]])</f>
        <v>{"legacyid":"500003-08","name":"Favorito Tigo 08","mode":"N"}</v>
      </c>
      <c r="K662" t="str">
        <f>ToJsonArray(supplementary_offering_offeringid__4[[#This Row],[produccion]],supplementary_offering_offeringid__4[[#This Row],[json]])</f>
        <v>{"950000308":{"legacyid":"500003-08","name":"Favorito Tigo 08","mode":"N"}}</v>
      </c>
    </row>
    <row r="663" spans="1:11" x14ac:dyDescent="0.25">
      <c r="A663" s="61" t="s">
        <v>4768</v>
      </c>
      <c r="B663" t="s">
        <v>4767</v>
      </c>
      <c r="C663" t="str">
        <f>findKey(supplementary_offering_offeringid__4[[#This Row],[Value.legacyid]])</f>
        <v>600000-01</v>
      </c>
      <c r="D663" t="s">
        <v>6038</v>
      </c>
      <c r="E663" t="s">
        <v>2329</v>
      </c>
      <c r="H663" s="61"/>
      <c r="J663" t="str">
        <f>ToJsonArray(supplementary_offering_offeringid__4[[#Headers],[legacyid]:[activityId]],supplementary_offering_offeringid__4[[#This Row],[legacyid]:[activityId]])</f>
        <v>{"legacyid":"600000-01","name":"Noticias 1","mode":"N"}</v>
      </c>
      <c r="K663" t="str">
        <f>ToJsonArray(supplementary_offering_offeringid__4[[#This Row],[produccion]],supplementary_offering_offeringid__4[[#This Row],[json]])</f>
        <v>{"960000001":{"legacyid":"600000-01","name":"Noticias 1","mode":"N"}}</v>
      </c>
    </row>
    <row r="664" spans="1:11" x14ac:dyDescent="0.25">
      <c r="A664" s="61" t="s">
        <v>3402</v>
      </c>
      <c r="B664" t="s">
        <v>3401</v>
      </c>
      <c r="C664" t="str">
        <f>findKey(supplementary_offering_offeringid__4[[#This Row],[Value.legacyid]])</f>
        <v>610000-01</v>
      </c>
      <c r="D664" t="s">
        <v>6039</v>
      </c>
      <c r="E664" t="s">
        <v>2329</v>
      </c>
      <c r="H664" s="61"/>
      <c r="J664" t="str">
        <f>ToJsonArray(supplementary_offering_offeringid__4[[#Headers],[legacyid]:[activityId]],supplementary_offering_offeringid__4[[#This Row],[legacyid]:[activityId]])</f>
        <v>{"legacyid":"610000-01","name":"Extra-Charge-4000","mode":"N"}</v>
      </c>
      <c r="K664" t="str">
        <f>ToJsonArray(supplementary_offering_offeringid__4[[#This Row],[produccion]],supplementary_offering_offeringid__4[[#This Row],[json]])</f>
        <v>{"961000001":{"legacyid":"610000-01","name":"Extra-Charge-4000","mode":"N"}}</v>
      </c>
    </row>
    <row r="665" spans="1:11" x14ac:dyDescent="0.25">
      <c r="A665" s="61" t="s">
        <v>3405</v>
      </c>
      <c r="B665" t="s">
        <v>3404</v>
      </c>
      <c r="C665" t="str">
        <f>findKey(supplementary_offering_offeringid__4[[#This Row],[Value.legacyid]])</f>
        <v>610000-02</v>
      </c>
      <c r="D665" t="s">
        <v>6040</v>
      </c>
      <c r="E665" t="s">
        <v>2329</v>
      </c>
      <c r="H665" s="61"/>
      <c r="J665" t="str">
        <f>ToJsonArray(supplementary_offering_offeringid__4[[#Headers],[legacyid]:[activityId]],supplementary_offering_offeringid__4[[#This Row],[legacyid]:[activityId]])</f>
        <v>{"legacyid":"610000-02","name":"Extra-Charge-6000","mode":"N"}</v>
      </c>
      <c r="K665" t="str">
        <f>ToJsonArray(supplementary_offering_offeringid__4[[#This Row],[produccion]],supplementary_offering_offeringid__4[[#This Row],[json]])</f>
        <v>{"961000002":{"legacyid":"610000-02","name":"Extra-Charge-6000","mode":"N"}}</v>
      </c>
    </row>
    <row r="666" spans="1:11" x14ac:dyDescent="0.25">
      <c r="A666" s="61" t="s">
        <v>3408</v>
      </c>
      <c r="B666" t="s">
        <v>3407</v>
      </c>
      <c r="C666" t="str">
        <f>findKey(supplementary_offering_offeringid__4[[#This Row],[Value.legacyid]])</f>
        <v>610000-03</v>
      </c>
      <c r="D666" t="s">
        <v>6041</v>
      </c>
      <c r="E666" t="s">
        <v>2329</v>
      </c>
      <c r="H666" s="61"/>
      <c r="J666" t="str">
        <f>ToJsonArray(supplementary_offering_offeringid__4[[#Headers],[legacyid]:[activityId]],supplementary_offering_offeringid__4[[#This Row],[legacyid]:[activityId]])</f>
        <v>{"legacyid":"610000-03","name":"Extra-Charge-9000","mode":"N"}</v>
      </c>
      <c r="K666" t="str">
        <f>ToJsonArray(supplementary_offering_offeringid__4[[#This Row],[produccion]],supplementary_offering_offeringid__4[[#This Row],[json]])</f>
        <v>{"961000003":{"legacyid":"610000-03","name":"Extra-Charge-9000","mode":"N"}}</v>
      </c>
    </row>
    <row r="667" spans="1:11" x14ac:dyDescent="0.25">
      <c r="A667" s="61" t="s">
        <v>3411</v>
      </c>
      <c r="B667" t="s">
        <v>3410</v>
      </c>
      <c r="C667" t="str">
        <f>findKey(supplementary_offering_offeringid__4[[#This Row],[Value.legacyid]])</f>
        <v>610000-04</v>
      </c>
      <c r="D667" t="s">
        <v>6042</v>
      </c>
      <c r="E667" t="s">
        <v>2329</v>
      </c>
      <c r="H667" s="61"/>
      <c r="J667" t="str">
        <f>ToJsonArray(supplementary_offering_offeringid__4[[#Headers],[legacyid]:[activityId]],supplementary_offering_offeringid__4[[#This Row],[legacyid]:[activityId]])</f>
        <v>{"legacyid":"610000-04","name":"Extra-Charge-7000","mode":"N"}</v>
      </c>
      <c r="K667" t="str">
        <f>ToJsonArray(supplementary_offering_offeringid__4[[#This Row],[produccion]],supplementary_offering_offeringid__4[[#This Row],[json]])</f>
        <v>{"961000004":{"legacyid":"610000-04","name":"Extra-Charge-7000","mode":"N"}}</v>
      </c>
    </row>
    <row r="668" spans="1:11" x14ac:dyDescent="0.25">
      <c r="A668" s="61" t="s">
        <v>3414</v>
      </c>
      <c r="B668" t="s">
        <v>3413</v>
      </c>
      <c r="C668" t="str">
        <f>findKey(supplementary_offering_offeringid__4[[#This Row],[Value.legacyid]])</f>
        <v>610000-05</v>
      </c>
      <c r="D668" t="s">
        <v>6043</v>
      </c>
      <c r="E668" t="s">
        <v>2329</v>
      </c>
      <c r="H668" s="61"/>
      <c r="J668" t="str">
        <f>ToJsonArray(supplementary_offering_offeringid__4[[#Headers],[legacyid]:[activityId]],supplementary_offering_offeringid__4[[#This Row],[legacyid]:[activityId]])</f>
        <v>{"legacyid":"610000-05","name":"Extra-Charge-13000","mode":"N"}</v>
      </c>
      <c r="K668" t="str">
        <f>ToJsonArray(supplementary_offering_offeringid__4[[#This Row],[produccion]],supplementary_offering_offeringid__4[[#This Row],[json]])</f>
        <v>{"961000005":{"legacyid":"610000-05","name":"Extra-Charge-13000","mode":"N"}}</v>
      </c>
    </row>
    <row r="669" spans="1:11" x14ac:dyDescent="0.25">
      <c r="A669" s="61" t="s">
        <v>3417</v>
      </c>
      <c r="B669" t="s">
        <v>3416</v>
      </c>
      <c r="C669" t="str">
        <f>findKey(supplementary_offering_offeringid__4[[#This Row],[Value.legacyid]])</f>
        <v>610000-06</v>
      </c>
      <c r="D669" t="s">
        <v>6044</v>
      </c>
      <c r="E669" t="s">
        <v>2329</v>
      </c>
      <c r="H669" s="61"/>
      <c r="J669" t="str">
        <f>ToJsonArray(supplementary_offering_offeringid__4[[#Headers],[legacyid]:[activityId]],supplementary_offering_offeringid__4[[#This Row],[legacyid]:[activityId]])</f>
        <v>{"legacyid":"610000-06","name":"Extra-Charge-10000","mode":"N"}</v>
      </c>
      <c r="K669" t="str">
        <f>ToJsonArray(supplementary_offering_offeringid__4[[#This Row],[produccion]],supplementary_offering_offeringid__4[[#This Row],[json]])</f>
        <v>{"961000006":{"legacyid":"610000-06","name":"Extra-Charge-10000","mode":"N"}}</v>
      </c>
    </row>
    <row r="670" spans="1:11" x14ac:dyDescent="0.25">
      <c r="A670" s="61" t="s">
        <v>3420</v>
      </c>
      <c r="B670" t="s">
        <v>3419</v>
      </c>
      <c r="C670" t="str">
        <f>findKey(supplementary_offering_offeringid__4[[#This Row],[Value.legacyid]])</f>
        <v>610000-07</v>
      </c>
      <c r="D670" t="s">
        <v>6045</v>
      </c>
      <c r="E670" t="s">
        <v>2329</v>
      </c>
      <c r="H670" s="61"/>
      <c r="J670" t="str">
        <f>ToJsonArray(supplementary_offering_offeringid__4[[#Headers],[legacyid]:[activityId]],supplementary_offering_offeringid__4[[#This Row],[legacyid]:[activityId]])</f>
        <v>{"legacyid":"610000-07","name":"Extra-Charge-2000","mode":"N"}</v>
      </c>
      <c r="K670" t="str">
        <f>ToJsonArray(supplementary_offering_offeringid__4[[#This Row],[produccion]],supplementary_offering_offeringid__4[[#This Row],[json]])</f>
        <v>{"961000007":{"legacyid":"610000-07","name":"Extra-Charge-2000","mode":"N"}}</v>
      </c>
    </row>
    <row r="671" spans="1:11" x14ac:dyDescent="0.25">
      <c r="A671" s="61" t="s">
        <v>3423</v>
      </c>
      <c r="B671" t="s">
        <v>3422</v>
      </c>
      <c r="C671" t="str">
        <f>findKey(supplementary_offering_offeringid__4[[#This Row],[Value.legacyid]])</f>
        <v>610000-08</v>
      </c>
      <c r="D671" t="s">
        <v>6046</v>
      </c>
      <c r="E671" t="s">
        <v>2329</v>
      </c>
      <c r="H671" s="61"/>
      <c r="J671" t="str">
        <f>ToJsonArray(supplementary_offering_offeringid__4[[#Headers],[legacyid]:[activityId]],supplementary_offering_offeringid__4[[#This Row],[legacyid]:[activityId]])</f>
        <v>{"legacyid":"610000-08","name":"Extra-Charge-3000","mode":"N"}</v>
      </c>
      <c r="K671" t="str">
        <f>ToJsonArray(supplementary_offering_offeringid__4[[#This Row],[produccion]],supplementary_offering_offeringid__4[[#This Row],[json]])</f>
        <v>{"961000008":{"legacyid":"610000-08","name":"Extra-Charge-3000","mode":"N"}}</v>
      </c>
    </row>
    <row r="672" spans="1:11" x14ac:dyDescent="0.25">
      <c r="A672" s="61" t="s">
        <v>3426</v>
      </c>
      <c r="B672" t="s">
        <v>3425</v>
      </c>
      <c r="C672" t="str">
        <f>findKey(supplementary_offering_offeringid__4[[#This Row],[Value.legacyid]])</f>
        <v>610000-09</v>
      </c>
      <c r="D672" t="s">
        <v>6047</v>
      </c>
      <c r="E672" t="s">
        <v>2329</v>
      </c>
      <c r="H672" s="61"/>
      <c r="J672" t="str">
        <f>ToJsonArray(supplementary_offering_offeringid__4[[#Headers],[legacyid]:[activityId]],supplementary_offering_offeringid__4[[#This Row],[legacyid]:[activityId]])</f>
        <v>{"legacyid":"610000-09","name":"Extra-Charge-8000","mode":"N"}</v>
      </c>
      <c r="K672" t="str">
        <f>ToJsonArray(supplementary_offering_offeringid__4[[#This Row],[produccion]],supplementary_offering_offeringid__4[[#This Row],[json]])</f>
        <v>{"961000009":{"legacyid":"610000-09","name":"Extra-Charge-8000","mode":"N"}}</v>
      </c>
    </row>
    <row r="673" spans="1:11" x14ac:dyDescent="0.25">
      <c r="A673" s="61" t="s">
        <v>3429</v>
      </c>
      <c r="B673" t="s">
        <v>3428</v>
      </c>
      <c r="C673" t="str">
        <f>findKey(supplementary_offering_offeringid__4[[#This Row],[Value.legacyid]])</f>
        <v>610000-10</v>
      </c>
      <c r="D673" t="s">
        <v>6048</v>
      </c>
      <c r="E673" t="s">
        <v>2329</v>
      </c>
      <c r="H673" s="61"/>
      <c r="J673" t="str">
        <f>ToJsonArray(supplementary_offering_offeringid__4[[#Headers],[legacyid]:[activityId]],supplementary_offering_offeringid__4[[#This Row],[legacyid]:[activityId]])</f>
        <v>{"legacyid":"610000-10","name":"Extra-Charge-12000","mode":"N"}</v>
      </c>
      <c r="K673" t="str">
        <f>ToJsonArray(supplementary_offering_offeringid__4[[#This Row],[produccion]],supplementary_offering_offeringid__4[[#This Row],[json]])</f>
        <v>{"961000010":{"legacyid":"610000-10","name":"Extra-Charge-12000","mode":"N"}}</v>
      </c>
    </row>
    <row r="674" spans="1:11" x14ac:dyDescent="0.25">
      <c r="A674" s="61" t="s">
        <v>3432</v>
      </c>
      <c r="B674" t="s">
        <v>3431</v>
      </c>
      <c r="C674" t="str">
        <f>findKey(supplementary_offering_offeringid__4[[#This Row],[Value.legacyid]])</f>
        <v>610000-11</v>
      </c>
      <c r="D674" t="s">
        <v>6049</v>
      </c>
      <c r="E674" t="s">
        <v>2329</v>
      </c>
      <c r="H674" s="61"/>
      <c r="J674" t="str">
        <f>ToJsonArray(supplementary_offering_offeringid__4[[#Headers],[legacyid]:[activityId]],supplementary_offering_offeringid__4[[#This Row],[legacyid]:[activityId]])</f>
        <v>{"legacyid":"610000-11","name":"Extra-Charge-17000","mode":"N"}</v>
      </c>
      <c r="K674" t="str">
        <f>ToJsonArray(supplementary_offering_offeringid__4[[#This Row],[produccion]],supplementary_offering_offeringid__4[[#This Row],[json]])</f>
        <v>{"961000011":{"legacyid":"610000-11","name":"Extra-Charge-17000","mode":"N"}}</v>
      </c>
    </row>
    <row r="675" spans="1:11" x14ac:dyDescent="0.25">
      <c r="A675" s="61" t="s">
        <v>4771</v>
      </c>
      <c r="B675" t="s">
        <v>4770</v>
      </c>
      <c r="C675" t="str">
        <f>findKey(supplementary_offering_offeringid__4[[#This Row],[Value.legacyid]])</f>
        <v>700000-07</v>
      </c>
      <c r="D675" t="s">
        <v>6050</v>
      </c>
      <c r="E675" t="s">
        <v>2329</v>
      </c>
      <c r="H675" s="61"/>
      <c r="J675" t="str">
        <f>ToJsonArray(supplementary_offering_offeringid__4[[#Headers],[legacyid]:[activityId]],supplementary_offering_offeringid__4[[#This Row],[legacyid]:[activityId]])</f>
        <v>{"legacyid":"700000-07","name":"Deezer 7.900","mode":"N"}</v>
      </c>
      <c r="K675" t="str">
        <f>ToJsonArray(supplementary_offering_offeringid__4[[#This Row],[produccion]],supplementary_offering_offeringid__4[[#This Row],[json]])</f>
        <v>{"970000007":{"legacyid":"700000-07","name":"Deezer 7.900","mode":"N"}}</v>
      </c>
    </row>
    <row r="676" spans="1:11" x14ac:dyDescent="0.25">
      <c r="A676" s="61" t="s">
        <v>3435</v>
      </c>
      <c r="B676" t="s">
        <v>3434</v>
      </c>
      <c r="C676" t="str">
        <f>findKey(supplementary_offering_offeringid__4[[#This Row],[Value.legacyid]])</f>
        <v>700000-08</v>
      </c>
      <c r="D676" t="s">
        <v>6051</v>
      </c>
      <c r="E676" t="s">
        <v>2329</v>
      </c>
      <c r="H676" s="61"/>
      <c r="J676" t="str">
        <f>ToJsonArray(supplementary_offering_offeringid__4[[#Headers],[legacyid]:[activityId]],supplementary_offering_offeringid__4[[#This Row],[legacyid]:[activityId]])</f>
        <v>{"legacyid":"700000-08","name":"Deezer 8.600","mode":"N"}</v>
      </c>
      <c r="K676" t="str">
        <f>ToJsonArray(supplementary_offering_offeringid__4[[#This Row],[produccion]],supplementary_offering_offeringid__4[[#This Row],[json]])</f>
        <v>{"970000008":{"legacyid":"700000-08","name":"Deezer 8.600","mode":"N"}}</v>
      </c>
    </row>
    <row r="677" spans="1:11" x14ac:dyDescent="0.25">
      <c r="A677" s="61" t="s">
        <v>4774</v>
      </c>
      <c r="B677" t="s">
        <v>4773</v>
      </c>
      <c r="C677" t="str">
        <f>findKey(supplementary_offering_offeringid__4[[#This Row],[Value.legacyid]])</f>
        <v>700000-10</v>
      </c>
      <c r="D677" t="s">
        <v>6052</v>
      </c>
      <c r="E677" t="s">
        <v>2329</v>
      </c>
      <c r="H677" s="61"/>
      <c r="J677" t="str">
        <f>ToJsonArray(supplementary_offering_offeringid__4[[#Headers],[legacyid]:[activityId]],supplementary_offering_offeringid__4[[#This Row],[legacyid]:[activityId]])</f>
        <v>{"legacyid":"700000-10","name":"Deezer 10.800","mode":"N"}</v>
      </c>
      <c r="K677" t="str">
        <f>ToJsonArray(supplementary_offering_offeringid__4[[#This Row],[produccion]],supplementary_offering_offeringid__4[[#This Row],[json]])</f>
        <v>{"970000010":{"legacyid":"700000-10","name":"Deezer 10.800","mode":"N"}}</v>
      </c>
    </row>
    <row r="678" spans="1:11" x14ac:dyDescent="0.25">
      <c r="A678" s="61" t="s">
        <v>4777</v>
      </c>
      <c r="B678" t="s">
        <v>4776</v>
      </c>
      <c r="C678" t="str">
        <f>findKey(supplementary_offering_offeringid__4[[#This Row],[Value.legacyid]])</f>
        <v>700000-12</v>
      </c>
      <c r="D678" t="s">
        <v>6053</v>
      </c>
      <c r="E678" t="s">
        <v>2329</v>
      </c>
      <c r="H678" s="61"/>
      <c r="J678" t="str">
        <f>ToJsonArray(supplementary_offering_offeringid__4[[#Headers],[legacyid]:[activityId]],supplementary_offering_offeringid__4[[#This Row],[legacyid]:[activityId]])</f>
        <v>{"legacyid":"700000-12","name":"Deezer 12.000","mode":"N"}</v>
      </c>
      <c r="K678" t="str">
        <f>ToJsonArray(supplementary_offering_offeringid__4[[#This Row],[produccion]],supplementary_offering_offeringid__4[[#This Row],[json]])</f>
        <v>{"970000012":{"legacyid":"700000-12","name":"Deezer 12.000","mode":"N"}}</v>
      </c>
    </row>
    <row r="679" spans="1:11" x14ac:dyDescent="0.25">
      <c r="A679" s="61" t="s">
        <v>4780</v>
      </c>
      <c r="B679" t="s">
        <v>4779</v>
      </c>
      <c r="C679" t="str">
        <f>findKey(supplementary_offering_offeringid__4[[#This Row],[Value.legacyid]])</f>
        <v>700000-15</v>
      </c>
      <c r="D679" t="s">
        <v>6054</v>
      </c>
      <c r="E679" t="s">
        <v>2329</v>
      </c>
      <c r="H679" s="61"/>
      <c r="J679" t="str">
        <f>ToJsonArray(supplementary_offering_offeringid__4[[#Headers],[legacyid]:[activityId]],supplementary_offering_offeringid__4[[#This Row],[legacyid]:[activityId]])</f>
        <v>{"legacyid":"700000-15","name":"Deezer 15.900","mode":"N"}</v>
      </c>
      <c r="K679" t="str">
        <f>ToJsonArray(supplementary_offering_offeringid__4[[#This Row],[produccion]],supplementary_offering_offeringid__4[[#This Row],[json]])</f>
        <v>{"970000015":{"legacyid":"700000-15","name":"Deezer 15.900","mode":"N"}}</v>
      </c>
    </row>
    <row r="680" spans="1:11" x14ac:dyDescent="0.25">
      <c r="A680" s="61" t="s">
        <v>4783</v>
      </c>
      <c r="B680" t="s">
        <v>4782</v>
      </c>
      <c r="C680" t="str">
        <f>findKey(supplementary_offering_offeringid__4[[#This Row],[Value.legacyid]])</f>
        <v>700000-23</v>
      </c>
      <c r="D680" t="s">
        <v>6055</v>
      </c>
      <c r="E680" t="s">
        <v>2329</v>
      </c>
      <c r="H680" s="61"/>
      <c r="J680" t="str">
        <f>ToJsonArray(supplementary_offering_offeringid__4[[#Headers],[legacyid]:[activityId]],supplementary_offering_offeringid__4[[#This Row],[legacyid]:[activityId]])</f>
        <v>{"legacyid":"700000-23","name":"Deezer2 12.000","mode":"N"}</v>
      </c>
      <c r="K680" t="str">
        <f>ToJsonArray(supplementary_offering_offeringid__4[[#This Row],[produccion]],supplementary_offering_offeringid__4[[#This Row],[json]])</f>
        <v>{"970000023":{"legacyid":"700000-23","name":"Deezer2 12.000","mode":"N"}}</v>
      </c>
    </row>
    <row r="681" spans="1:11" x14ac:dyDescent="0.25">
      <c r="A681" s="61" t="s">
        <v>3438</v>
      </c>
      <c r="B681" t="s">
        <v>3437</v>
      </c>
      <c r="C681" t="str">
        <f>findKey(supplementary_offering_offeringid__4[[#This Row],[Value.legacyid]])</f>
        <v>700000-25</v>
      </c>
      <c r="D681" t="s">
        <v>6056</v>
      </c>
      <c r="E681" t="s">
        <v>2329</v>
      </c>
      <c r="H681" s="61"/>
      <c r="J681" t="str">
        <f>ToJsonArray(supplementary_offering_offeringid__4[[#Headers],[legacyid]:[activityId]],supplementary_offering_offeringid__4[[#This Row],[legacyid]:[activityId]])</f>
        <v>{"legacyid":"700000-25","name":"Deezer2 15.900","mode":"N"}</v>
      </c>
      <c r="K681" t="str">
        <f>ToJsonArray(supplementary_offering_offeringid__4[[#This Row],[produccion]],supplementary_offering_offeringid__4[[#This Row],[json]])</f>
        <v>{"970000025":{"legacyid":"700000-25","name":"Deezer2 15.900","mode":"N"}}</v>
      </c>
    </row>
    <row r="682" spans="1:11" x14ac:dyDescent="0.25">
      <c r="A682" s="61" t="s">
        <v>4786</v>
      </c>
      <c r="B682" t="s">
        <v>4785</v>
      </c>
      <c r="C682" t="str">
        <f>findKey(supplementary_offering_offeringid__4[[#This Row],[Value.legacyid]])</f>
        <v>700000-26</v>
      </c>
      <c r="D682" t="s">
        <v>6057</v>
      </c>
      <c r="E682" t="s">
        <v>2329</v>
      </c>
      <c r="H682" s="61"/>
      <c r="J682" t="str">
        <f>ToJsonArray(supplementary_offering_offeringid__4[[#Headers],[legacyid]:[activityId]],supplementary_offering_offeringid__4[[#This Row],[legacyid]:[activityId]])</f>
        <v>{"legacyid":"700000-26","name":"Deezer2 8500","mode":"N"}</v>
      </c>
      <c r="K682" t="str">
        <f>ToJsonArray(supplementary_offering_offeringid__4[[#This Row],[produccion]],supplementary_offering_offeringid__4[[#This Row],[json]])</f>
        <v>{"970000026":{"legacyid":"700000-26","name":"Deezer2 8500","mode":"N"}}</v>
      </c>
    </row>
    <row r="683" spans="1:11" x14ac:dyDescent="0.25">
      <c r="A683" s="61" t="s">
        <v>3441</v>
      </c>
      <c r="B683" t="s">
        <v>3440</v>
      </c>
      <c r="C683" t="str">
        <f>findKey(supplementary_offering_offeringid__4[[#This Row],[Value.legacyid]])</f>
        <v>700000-27</v>
      </c>
      <c r="D683" t="s">
        <v>6058</v>
      </c>
      <c r="E683" t="s">
        <v>2329</v>
      </c>
      <c r="H683" s="61"/>
      <c r="J683" t="str">
        <f>ToJsonArray(supplementary_offering_offeringid__4[[#Headers],[legacyid]:[activityId]],supplementary_offering_offeringid__4[[#This Row],[legacyid]:[activityId]])</f>
        <v>{"legacyid":"700000-27","name":"Deezer2 11650","mode":"N"}</v>
      </c>
      <c r="K683" t="str">
        <f>ToJsonArray(supplementary_offering_offeringid__4[[#This Row],[produccion]],supplementary_offering_offeringid__4[[#This Row],[json]])</f>
        <v>{"970000027":{"legacyid":"700000-27","name":"Deezer2 11650","mode":"N"}}</v>
      </c>
    </row>
    <row r="684" spans="1:11" x14ac:dyDescent="0.25">
      <c r="A684" s="61" t="s">
        <v>3444</v>
      </c>
      <c r="B684" t="s">
        <v>3443</v>
      </c>
      <c r="C684" t="str">
        <f>findKey(supplementary_offering_offeringid__4[[#This Row],[Value.legacyid]])</f>
        <v>700000-28</v>
      </c>
      <c r="D684" t="s">
        <v>6058</v>
      </c>
      <c r="E684" t="s">
        <v>2329</v>
      </c>
      <c r="H684" s="61"/>
      <c r="J684" t="str">
        <f>ToJsonArray(supplementary_offering_offeringid__4[[#Headers],[legacyid]:[activityId]],supplementary_offering_offeringid__4[[#This Row],[legacyid]:[activityId]])</f>
        <v>{"legacyid":"700000-28","name":"Deezer2 11650","mode":"N"}</v>
      </c>
      <c r="K684" t="str">
        <f>ToJsonArray(supplementary_offering_offeringid__4[[#This Row],[produccion]],supplementary_offering_offeringid__4[[#This Row],[json]])</f>
        <v>{"970000028":{"legacyid":"700000-28","name":"Deezer2 11650","mode":"N"}}</v>
      </c>
    </row>
    <row r="685" spans="1:11" x14ac:dyDescent="0.25">
      <c r="A685" s="61" t="s">
        <v>4789</v>
      </c>
      <c r="B685" t="s">
        <v>4788</v>
      </c>
      <c r="C685" t="str">
        <f>findKey(supplementary_offering_offeringid__4[[#This Row],[Value.legacyid]])</f>
        <v>700000-29</v>
      </c>
      <c r="D685" t="s">
        <v>6059</v>
      </c>
      <c r="E685" t="s">
        <v>2329</v>
      </c>
      <c r="H685" s="61"/>
      <c r="J685" t="str">
        <f>ToJsonArray(supplementary_offering_offeringid__4[[#Headers],[legacyid]:[activityId]],supplementary_offering_offeringid__4[[#This Row],[legacyid]:[activityId]])</f>
        <v>{"legacyid":"700000-29","name":"Deezer2 Ilimitado","mode":"N"}</v>
      </c>
      <c r="K685" t="str">
        <f>ToJsonArray(supplementary_offering_offeringid__4[[#This Row],[produccion]],supplementary_offering_offeringid__4[[#This Row],[json]])</f>
        <v>{"970000029":{"legacyid":"700000-29","name":"Deezer2 Ilimitado","mode":"N"}}</v>
      </c>
    </row>
    <row r="686" spans="1:11" x14ac:dyDescent="0.25">
      <c r="A686" s="61" t="s">
        <v>4792</v>
      </c>
      <c r="B686" t="s">
        <v>4791</v>
      </c>
      <c r="C686" t="str">
        <f>findKey(supplementary_offering_offeringid__4[[#This Row],[Value.legacyid]])</f>
        <v>700000-32</v>
      </c>
      <c r="D686" t="s">
        <v>6060</v>
      </c>
      <c r="E686" t="s">
        <v>2329</v>
      </c>
      <c r="H686" s="61"/>
      <c r="J686" t="str">
        <f>ToJsonArray(supplementary_offering_offeringid__4[[#Headers],[legacyid]:[activityId]],supplementary_offering_offeringid__4[[#This Row],[legacyid]:[activityId]])</f>
        <v>{"legacyid":"700000-32","name":"Deezer2 11952","mode":"N"}</v>
      </c>
      <c r="K686" t="str">
        <f>ToJsonArray(supplementary_offering_offeringid__4[[#This Row],[produccion]],supplementary_offering_offeringid__4[[#This Row],[json]])</f>
        <v>{"970000032":{"legacyid":"700000-32","name":"Deezer2 11952","mode":"N"}}</v>
      </c>
    </row>
    <row r="687" spans="1:11" x14ac:dyDescent="0.25">
      <c r="A687" s="61" t="s">
        <v>3447</v>
      </c>
      <c r="B687" t="s">
        <v>3446</v>
      </c>
      <c r="C687" t="str">
        <f>findKey(supplementary_offering_offeringid__4[[#This Row],[Value.legacyid]])</f>
        <v>700000-33</v>
      </c>
      <c r="D687" t="s">
        <v>6061</v>
      </c>
      <c r="E687" t="s">
        <v>2329</v>
      </c>
      <c r="H687" s="61"/>
      <c r="J687" t="str">
        <f>ToJsonArray(supplementary_offering_offeringid__4[[#Headers],[legacyid]:[activityId]],supplementary_offering_offeringid__4[[#This Row],[legacyid]:[activityId]])</f>
        <v>{"legacyid":"700000-33","name":"Deezer2 11949","mode":"N"}</v>
      </c>
      <c r="K687" t="str">
        <f>ToJsonArray(supplementary_offering_offeringid__4[[#This Row],[produccion]],supplementary_offering_offeringid__4[[#This Row],[json]])</f>
        <v>{"970000033":{"legacyid":"700000-33","name":"Deezer2 11949","mode":"N"}}</v>
      </c>
    </row>
    <row r="688" spans="1:11" x14ac:dyDescent="0.25">
      <c r="A688" s="61" t="s">
        <v>3450</v>
      </c>
      <c r="B688" t="s">
        <v>3449</v>
      </c>
      <c r="C688" t="str">
        <f>findKey(supplementary_offering_offeringid__4[[#This Row],[Value.legacyid]])</f>
        <v>700000-34</v>
      </c>
      <c r="D688" t="s">
        <v>6062</v>
      </c>
      <c r="E688" t="s">
        <v>2329</v>
      </c>
      <c r="H688" s="61"/>
      <c r="J688" t="str">
        <f>ToJsonArray(supplementary_offering_offeringid__4[[#Headers],[legacyid]:[activityId]],supplementary_offering_offeringid__4[[#This Row],[legacyid]:[activityId]])</f>
        <v>{"legacyid":"700000-34","name":"Deezer2 11780","mode":"N"}</v>
      </c>
      <c r="K688" t="str">
        <f>ToJsonArray(supplementary_offering_offeringid__4[[#This Row],[produccion]],supplementary_offering_offeringid__4[[#This Row],[json]])</f>
        <v>{"970000034":{"legacyid":"700000-34","name":"Deezer2 11780","mode":"N"}}</v>
      </c>
    </row>
    <row r="689" spans="1:11" x14ac:dyDescent="0.25">
      <c r="A689" s="61" t="s">
        <v>4795</v>
      </c>
      <c r="B689" t="s">
        <v>4794</v>
      </c>
      <c r="C689" t="str">
        <f>findKey(supplementary_offering_offeringid__4[[#This Row],[Value.legacyid]])</f>
        <v>800000-20</v>
      </c>
      <c r="D689" t="s">
        <v>6063</v>
      </c>
      <c r="E689" t="s">
        <v>2329</v>
      </c>
      <c r="H689" s="61"/>
      <c r="J689" t="str">
        <f>ToJsonArray(supplementary_offering_offeringid__4[[#Headers],[legacyid]:[activityId]],supplementary_offering_offeringid__4[[#This Row],[legacyid]:[activityId]])</f>
        <v>{"legacyid":"800000-20","name":"SDP 8GB-2D","mode":"N"}</v>
      </c>
      <c r="K689" t="str">
        <f>ToJsonArray(supplementary_offering_offeringid__4[[#This Row],[produccion]],supplementary_offering_offeringid__4[[#This Row],[json]])</f>
        <v>{"980000020":{"legacyid":"800000-20","name":"SDP 8GB-2D","mode":"N"}}</v>
      </c>
    </row>
    <row r="690" spans="1:11" x14ac:dyDescent="0.25">
      <c r="A690" s="61" t="s">
        <v>4798</v>
      </c>
      <c r="B690" t="s">
        <v>4797</v>
      </c>
      <c r="C690" t="str">
        <f>findKey(supplementary_offering_offeringid__4[[#This Row],[Value.legacyid]])</f>
        <v>800000-24</v>
      </c>
      <c r="D690" t="s">
        <v>6064</v>
      </c>
      <c r="E690" t="s">
        <v>2329</v>
      </c>
      <c r="H690" s="61"/>
      <c r="J690" t="str">
        <f>ToJsonArray(supplementary_offering_offeringid__4[[#Headers],[legacyid]:[activityId]],supplementary_offering_offeringid__4[[#This Row],[legacyid]:[activityId]])</f>
        <v>{"legacyid":"800000-24","name":"SDP 10GB-5D","mode":"N"}</v>
      </c>
      <c r="K690" t="str">
        <f>ToJsonArray(supplementary_offering_offeringid__4[[#This Row],[produccion]],supplementary_offering_offeringid__4[[#This Row],[json]])</f>
        <v>{"980000024":{"legacyid":"800000-24","name":"SDP 10GB-5D","mode":"N"}}</v>
      </c>
    </row>
    <row r="691" spans="1:11" x14ac:dyDescent="0.25">
      <c r="A691" s="61" t="s">
        <v>4801</v>
      </c>
      <c r="B691" t="s">
        <v>4800</v>
      </c>
      <c r="C691" t="str">
        <f>findKey(supplementary_offering_offeringid__4[[#This Row],[Value.legacyid]])</f>
        <v>800000-25</v>
      </c>
      <c r="D691" t="s">
        <v>6065</v>
      </c>
      <c r="E691" t="s">
        <v>2329</v>
      </c>
      <c r="H691" s="61"/>
      <c r="J691" t="str">
        <f>ToJsonArray(supplementary_offering_offeringid__4[[#Headers],[legacyid]:[activityId]],supplementary_offering_offeringid__4[[#This Row],[legacyid]:[activityId]])</f>
        <v>{"legacyid":"800000-25","name":"SDP 6GB-2D","mode":"N"}</v>
      </c>
      <c r="K691" t="str">
        <f>ToJsonArray(supplementary_offering_offeringid__4[[#This Row],[produccion]],supplementary_offering_offeringid__4[[#This Row],[json]])</f>
        <v>{"980000025":{"legacyid":"800000-25","name":"SDP 6GB-2D","mode":"N"}}</v>
      </c>
    </row>
    <row r="692" spans="1:11" x14ac:dyDescent="0.25">
      <c r="A692" s="61" t="s">
        <v>4804</v>
      </c>
      <c r="B692" t="s">
        <v>4803</v>
      </c>
      <c r="C692" t="str">
        <f>findKey(supplementary_offering_offeringid__4[[#This Row],[Value.legacyid]])</f>
        <v>800000-26</v>
      </c>
      <c r="D692" t="s">
        <v>6066</v>
      </c>
      <c r="E692" t="s">
        <v>2329</v>
      </c>
      <c r="H692" s="61"/>
      <c r="J692" t="str">
        <f>ToJsonArray(supplementary_offering_offeringid__4[[#Headers],[legacyid]:[activityId]],supplementary_offering_offeringid__4[[#This Row],[legacyid]:[activityId]])</f>
        <v>{"legacyid":"800000-26","name":"SDP 7.5GB-2D","mode":"N"}</v>
      </c>
      <c r="K692" t="str">
        <f>ToJsonArray(supplementary_offering_offeringid__4[[#This Row],[produccion]],supplementary_offering_offeringid__4[[#This Row],[json]])</f>
        <v>{"980000026":{"legacyid":"800000-26","name":"SDP 7.5GB-2D","mode":"N"}}</v>
      </c>
    </row>
    <row r="693" spans="1:11" x14ac:dyDescent="0.25">
      <c r="A693" s="61" t="s">
        <v>4807</v>
      </c>
      <c r="B693" t="s">
        <v>4806</v>
      </c>
      <c r="C693" t="str">
        <f>findKey(supplementary_offering_offeringid__4[[#This Row],[Value.legacyid]])</f>
        <v>800000-27</v>
      </c>
      <c r="D693" t="s">
        <v>6067</v>
      </c>
      <c r="E693" t="s">
        <v>2329</v>
      </c>
      <c r="H693" s="61"/>
      <c r="J693" t="str">
        <f>ToJsonArray(supplementary_offering_offeringid__4[[#Headers],[legacyid]:[activityId]],supplementary_offering_offeringid__4[[#This Row],[legacyid]:[activityId]])</f>
        <v>{"legacyid":"800000-27","name":"SDP 9GB-2D","mode":"N"}</v>
      </c>
      <c r="K693" t="str">
        <f>ToJsonArray(supplementary_offering_offeringid__4[[#This Row],[produccion]],supplementary_offering_offeringid__4[[#This Row],[json]])</f>
        <v>{"980000027":{"legacyid":"800000-27","name":"SDP 9GB-2D","mode":"N"}}</v>
      </c>
    </row>
    <row r="694" spans="1:11" x14ac:dyDescent="0.25">
      <c r="A694" s="61" t="s">
        <v>4810</v>
      </c>
      <c r="B694" t="s">
        <v>4809</v>
      </c>
      <c r="C694" t="str">
        <f>findKey(supplementary_offering_offeringid__4[[#This Row],[Value.legacyid]])</f>
        <v>800000-28</v>
      </c>
      <c r="D694" t="s">
        <v>6068</v>
      </c>
      <c r="E694" t="s">
        <v>2329</v>
      </c>
      <c r="H694" s="61"/>
      <c r="J694" t="str">
        <f>ToJsonArray(supplementary_offering_offeringid__4[[#Headers],[legacyid]:[activityId]],supplementary_offering_offeringid__4[[#This Row],[legacyid]:[activityId]])</f>
        <v>{"legacyid":"800000-28","name":"SDP 10GB-3D","mode":"N"}</v>
      </c>
      <c r="K694" t="str">
        <f>ToJsonArray(supplementary_offering_offeringid__4[[#This Row],[produccion]],supplementary_offering_offeringid__4[[#This Row],[json]])</f>
        <v>{"980000028":{"legacyid":"800000-28","name":"SDP 10GB-3D","mode":"N"}}</v>
      </c>
    </row>
    <row r="695" spans="1:11" x14ac:dyDescent="0.25">
      <c r="A695" s="61" t="s">
        <v>4813</v>
      </c>
      <c r="B695" t="s">
        <v>4812</v>
      </c>
      <c r="C695" t="str">
        <f>findKey(supplementary_offering_offeringid__4[[#This Row],[Value.legacyid]])</f>
        <v>800000-29</v>
      </c>
      <c r="D695" t="s">
        <v>6069</v>
      </c>
      <c r="E695" t="s">
        <v>2329</v>
      </c>
      <c r="H695" s="61"/>
      <c r="J695" t="str">
        <f>ToJsonArray(supplementary_offering_offeringid__4[[#Headers],[legacyid]:[activityId]],supplementary_offering_offeringid__4[[#This Row],[legacyid]:[activityId]])</f>
        <v>{"legacyid":"800000-29","name":"SDP 11GB-3D","mode":"N"}</v>
      </c>
      <c r="K695" t="str">
        <f>ToJsonArray(supplementary_offering_offeringid__4[[#This Row],[produccion]],supplementary_offering_offeringid__4[[#This Row],[json]])</f>
        <v>{"980000029":{"legacyid":"800000-29","name":"SDP 11GB-3D","mode":"N"}}</v>
      </c>
    </row>
    <row r="696" spans="1:11" x14ac:dyDescent="0.25">
      <c r="A696" s="61" t="s">
        <v>4816</v>
      </c>
      <c r="B696" t="s">
        <v>4815</v>
      </c>
      <c r="C696" t="str">
        <f>findKey(supplementary_offering_offeringid__4[[#This Row],[Value.legacyid]])</f>
        <v>800000-30</v>
      </c>
      <c r="D696" t="s">
        <v>6070</v>
      </c>
      <c r="E696" t="s">
        <v>2329</v>
      </c>
      <c r="H696" s="61"/>
      <c r="J696" t="str">
        <f>ToJsonArray(supplementary_offering_offeringid__4[[#Headers],[legacyid]:[activityId]],supplementary_offering_offeringid__4[[#This Row],[legacyid]:[activityId]])</f>
        <v>{"legacyid":"800000-30","name":"SDP 14GB-5D","mode":"N"}</v>
      </c>
      <c r="K696" t="str">
        <f>ToJsonArray(supplementary_offering_offeringid__4[[#This Row],[produccion]],supplementary_offering_offeringid__4[[#This Row],[json]])</f>
        <v>{"980000030":{"legacyid":"800000-30","name":"SDP 14GB-5D","mode":"N"}}</v>
      </c>
    </row>
    <row r="697" spans="1:11" x14ac:dyDescent="0.25">
      <c r="A697" s="61" t="s">
        <v>3453</v>
      </c>
      <c r="B697" t="s">
        <v>3452</v>
      </c>
      <c r="C697" t="str">
        <f>findKey(supplementary_offering_offeringid__4[[#This Row],[Value.legacyid]])</f>
        <v>800000-31</v>
      </c>
      <c r="D697" t="s">
        <v>6071</v>
      </c>
      <c r="E697" t="s">
        <v>2329</v>
      </c>
      <c r="H697" s="61"/>
      <c r="J697" t="str">
        <f>ToJsonArray(supplementary_offering_offeringid__4[[#Headers],[legacyid]:[activityId]],supplementary_offering_offeringid__4[[#This Row],[legacyid]:[activityId]])</f>
        <v>{"legacyid":"800000-31","name":"SDP 11GB-2D","mode":"N"}</v>
      </c>
      <c r="K697" t="str">
        <f>ToJsonArray(supplementary_offering_offeringid__4[[#This Row],[produccion]],supplementary_offering_offeringid__4[[#This Row],[json]])</f>
        <v>{"980000031":{"legacyid":"800000-31","name":"SDP 11GB-2D","mode":"N"}}</v>
      </c>
    </row>
    <row r="698" spans="1:11" x14ac:dyDescent="0.25">
      <c r="A698" s="61" t="s">
        <v>3456</v>
      </c>
      <c r="B698" t="s">
        <v>3455</v>
      </c>
      <c r="C698" t="str">
        <f>findKey(supplementary_offering_offeringid__4[[#This Row],[Value.legacyid]])</f>
        <v>800000-32</v>
      </c>
      <c r="D698" t="s">
        <v>6071</v>
      </c>
      <c r="E698" t="s">
        <v>2329</v>
      </c>
      <c r="H698" s="61"/>
      <c r="J698" t="str">
        <f>ToJsonArray(supplementary_offering_offeringid__4[[#Headers],[legacyid]:[activityId]],supplementary_offering_offeringid__4[[#This Row],[legacyid]:[activityId]])</f>
        <v>{"legacyid":"800000-32","name":"SDP 11GB-2D","mode":"N"}</v>
      </c>
      <c r="K698" t="str">
        <f>ToJsonArray(supplementary_offering_offeringid__4[[#This Row],[produccion]],supplementary_offering_offeringid__4[[#This Row],[json]])</f>
        <v>{"980000032":{"legacyid":"800000-32","name":"SDP 11GB-2D","mode":"N"}}</v>
      </c>
    </row>
    <row r="699" spans="1:11" x14ac:dyDescent="0.25">
      <c r="A699" s="61" t="s">
        <v>3459</v>
      </c>
      <c r="B699" t="s">
        <v>3458</v>
      </c>
      <c r="C699" t="str">
        <f>findKey(supplementary_offering_offeringid__4[[#This Row],[Value.legacyid]])</f>
        <v>800000-33</v>
      </c>
      <c r="D699" t="s">
        <v>6071</v>
      </c>
      <c r="E699" t="s">
        <v>2329</v>
      </c>
      <c r="H699" s="61"/>
      <c r="J699" t="str">
        <f>ToJsonArray(supplementary_offering_offeringid__4[[#Headers],[legacyid]:[activityId]],supplementary_offering_offeringid__4[[#This Row],[legacyid]:[activityId]])</f>
        <v>{"legacyid":"800000-33","name":"SDP 11GB-2D","mode":"N"}</v>
      </c>
      <c r="K699" t="str">
        <f>ToJsonArray(supplementary_offering_offeringid__4[[#This Row],[produccion]],supplementary_offering_offeringid__4[[#This Row],[json]])</f>
        <v>{"980000033":{"legacyid":"800000-33","name":"SDP 11GB-2D","mode":"N"}}</v>
      </c>
    </row>
    <row r="700" spans="1:11" x14ac:dyDescent="0.25">
      <c r="A700" s="61" t="s">
        <v>3462</v>
      </c>
      <c r="B700" t="s">
        <v>3461</v>
      </c>
      <c r="C700" t="str">
        <f>findKey(supplementary_offering_offeringid__4[[#This Row],[Value.legacyid]])</f>
        <v>800000-34</v>
      </c>
      <c r="D700" t="s">
        <v>6071</v>
      </c>
      <c r="E700" t="s">
        <v>2329</v>
      </c>
      <c r="H700" s="61"/>
      <c r="J700" t="str">
        <f>ToJsonArray(supplementary_offering_offeringid__4[[#Headers],[legacyid]:[activityId]],supplementary_offering_offeringid__4[[#This Row],[legacyid]:[activityId]])</f>
        <v>{"legacyid":"800000-34","name":"SDP 11GB-2D","mode":"N"}</v>
      </c>
      <c r="K700" t="str">
        <f>ToJsonArray(supplementary_offering_offeringid__4[[#This Row],[produccion]],supplementary_offering_offeringid__4[[#This Row],[json]])</f>
        <v>{"980000034":{"legacyid":"800000-34","name":"SDP 11GB-2D","mode":"N"}}</v>
      </c>
    </row>
    <row r="701" spans="1:11" x14ac:dyDescent="0.25">
      <c r="A701" s="61" t="s">
        <v>3465</v>
      </c>
      <c r="B701" t="s">
        <v>3464</v>
      </c>
      <c r="C701" t="str">
        <f>findKey(supplementary_offering_offeringid__4[[#This Row],[Value.legacyid]])</f>
        <v>800000-35</v>
      </c>
      <c r="D701" t="s">
        <v>6071</v>
      </c>
      <c r="E701" t="s">
        <v>2329</v>
      </c>
      <c r="H701" s="61"/>
      <c r="J701" t="str">
        <f>ToJsonArray(supplementary_offering_offeringid__4[[#Headers],[legacyid]:[activityId]],supplementary_offering_offeringid__4[[#This Row],[legacyid]:[activityId]])</f>
        <v>{"legacyid":"800000-35","name":"SDP 11GB-2D","mode":"N"}</v>
      </c>
      <c r="K701" t="str">
        <f>ToJsonArray(supplementary_offering_offeringid__4[[#This Row],[produccion]],supplementary_offering_offeringid__4[[#This Row],[json]])</f>
        <v>{"980000035":{"legacyid":"800000-35","name":"SDP 11GB-2D","mode":"N"}}</v>
      </c>
    </row>
    <row r="702" spans="1:11" x14ac:dyDescent="0.25">
      <c r="A702" s="61" t="s">
        <v>3468</v>
      </c>
      <c r="B702" t="s">
        <v>3467</v>
      </c>
      <c r="C702" t="str">
        <f>findKey(supplementary_offering_offeringid__4[[#This Row],[Value.legacyid]])</f>
        <v>800000-36</v>
      </c>
      <c r="D702" t="s">
        <v>6071</v>
      </c>
      <c r="E702" t="s">
        <v>2329</v>
      </c>
      <c r="H702" s="61"/>
      <c r="J702" t="str">
        <f>ToJsonArray(supplementary_offering_offeringid__4[[#Headers],[legacyid]:[activityId]],supplementary_offering_offeringid__4[[#This Row],[legacyid]:[activityId]])</f>
        <v>{"legacyid":"800000-36","name":"SDP 11GB-2D","mode":"N"}</v>
      </c>
      <c r="K702" t="str">
        <f>ToJsonArray(supplementary_offering_offeringid__4[[#This Row],[produccion]],supplementary_offering_offeringid__4[[#This Row],[json]])</f>
        <v>{"980000036":{"legacyid":"800000-36","name":"SDP 11GB-2D","mode":"N"}}</v>
      </c>
    </row>
    <row r="703" spans="1:11" x14ac:dyDescent="0.25">
      <c r="A703" s="61" t="s">
        <v>3471</v>
      </c>
      <c r="B703" t="s">
        <v>3470</v>
      </c>
      <c r="C703" t="str">
        <f>findKey(supplementary_offering_offeringid__4[[#This Row],[Value.legacyid]])</f>
        <v>800000-37</v>
      </c>
      <c r="D703" t="s">
        <v>6069</v>
      </c>
      <c r="E703" t="s">
        <v>2329</v>
      </c>
      <c r="H703" s="61"/>
      <c r="J703" t="str">
        <f>ToJsonArray(supplementary_offering_offeringid__4[[#Headers],[legacyid]:[activityId]],supplementary_offering_offeringid__4[[#This Row],[legacyid]:[activityId]])</f>
        <v>{"legacyid":"800000-37","name":"SDP 11GB-3D","mode":"N"}</v>
      </c>
      <c r="K703" t="str">
        <f>ToJsonArray(supplementary_offering_offeringid__4[[#This Row],[produccion]],supplementary_offering_offeringid__4[[#This Row],[json]])</f>
        <v>{"980000037":{"legacyid":"800000-37","name":"SDP 11GB-3D","mode":"N"}}</v>
      </c>
    </row>
    <row r="704" spans="1:11" x14ac:dyDescent="0.25">
      <c r="A704" s="61" t="s">
        <v>3474</v>
      </c>
      <c r="B704" t="s">
        <v>3473</v>
      </c>
      <c r="C704" t="str">
        <f>findKey(supplementary_offering_offeringid__4[[#This Row],[Value.legacyid]])</f>
        <v>800000-38</v>
      </c>
      <c r="D704" t="s">
        <v>6071</v>
      </c>
      <c r="E704" t="s">
        <v>2329</v>
      </c>
      <c r="H704" s="61"/>
      <c r="J704" t="str">
        <f>ToJsonArray(supplementary_offering_offeringid__4[[#Headers],[legacyid]:[activityId]],supplementary_offering_offeringid__4[[#This Row],[legacyid]:[activityId]])</f>
        <v>{"legacyid":"800000-38","name":"SDP 11GB-2D","mode":"N"}</v>
      </c>
      <c r="K704" t="str">
        <f>ToJsonArray(supplementary_offering_offeringid__4[[#This Row],[produccion]],supplementary_offering_offeringid__4[[#This Row],[json]])</f>
        <v>{"980000038":{"legacyid":"800000-38","name":"SDP 11GB-2D","mode":"N"}}</v>
      </c>
    </row>
    <row r="705" spans="1:11" x14ac:dyDescent="0.25">
      <c r="A705" s="61" t="s">
        <v>3477</v>
      </c>
      <c r="B705" t="s">
        <v>3476</v>
      </c>
      <c r="C705" t="str">
        <f>findKey(supplementary_offering_offeringid__4[[#This Row],[Value.legacyid]])</f>
        <v>800000-39</v>
      </c>
      <c r="D705" t="s">
        <v>6069</v>
      </c>
      <c r="E705" t="s">
        <v>2329</v>
      </c>
      <c r="H705" s="61"/>
      <c r="J705" t="str">
        <f>ToJsonArray(supplementary_offering_offeringid__4[[#Headers],[legacyid]:[activityId]],supplementary_offering_offeringid__4[[#This Row],[legacyid]:[activityId]])</f>
        <v>{"legacyid":"800000-39","name":"SDP 11GB-3D","mode":"N"}</v>
      </c>
      <c r="K705" t="str">
        <f>ToJsonArray(supplementary_offering_offeringid__4[[#This Row],[produccion]],supplementary_offering_offeringid__4[[#This Row],[json]])</f>
        <v>{"980000039":{"legacyid":"800000-39","name":"SDP 11GB-3D","mode":"N"}}</v>
      </c>
    </row>
    <row r="706" spans="1:11" x14ac:dyDescent="0.25">
      <c r="A706" s="61" t="s">
        <v>3480</v>
      </c>
      <c r="B706" t="s">
        <v>3479</v>
      </c>
      <c r="C706" t="str">
        <f>findKey(supplementary_offering_offeringid__4[[#This Row],[Value.legacyid]])</f>
        <v>800000-40</v>
      </c>
      <c r="D706" t="s">
        <v>6071</v>
      </c>
      <c r="E706" t="s">
        <v>2329</v>
      </c>
      <c r="H706" s="61"/>
      <c r="J706" t="str">
        <f>ToJsonArray(supplementary_offering_offeringid__4[[#Headers],[legacyid]:[activityId]],supplementary_offering_offeringid__4[[#This Row],[legacyid]:[activityId]])</f>
        <v>{"legacyid":"800000-40","name":"SDP 11GB-2D","mode":"N"}</v>
      </c>
      <c r="K706" t="str">
        <f>ToJsonArray(supplementary_offering_offeringid__4[[#This Row],[produccion]],supplementary_offering_offeringid__4[[#This Row],[json]])</f>
        <v>{"980000040":{"legacyid":"800000-40","name":"SDP 11GB-2D","mode":"N"}}</v>
      </c>
    </row>
    <row r="707" spans="1:11" x14ac:dyDescent="0.25">
      <c r="A707" s="61" t="s">
        <v>3483</v>
      </c>
      <c r="B707" t="s">
        <v>3482</v>
      </c>
      <c r="C707" t="str">
        <f>findKey(supplementary_offering_offeringid__4[[#This Row],[Value.legacyid]])</f>
        <v>800000-41</v>
      </c>
      <c r="D707" t="s">
        <v>6072</v>
      </c>
      <c r="E707" t="s">
        <v>2329</v>
      </c>
      <c r="H707" s="61"/>
      <c r="J707" t="str">
        <f>ToJsonArray(supplementary_offering_offeringid__4[[#Headers],[legacyid]:[activityId]],supplementary_offering_offeringid__4[[#This Row],[legacyid]:[activityId]])</f>
        <v>{"legacyid":"800000-41","name":"SDP 11GB-4D","mode":"N"}</v>
      </c>
      <c r="K707" t="str">
        <f>ToJsonArray(supplementary_offering_offeringid__4[[#This Row],[produccion]],supplementary_offering_offeringid__4[[#This Row],[json]])</f>
        <v>{"980000041":{"legacyid":"800000-41","name":"SDP 11GB-4D","mode":"N"}}</v>
      </c>
    </row>
    <row r="708" spans="1:11" x14ac:dyDescent="0.25">
      <c r="A708" s="61" t="s">
        <v>4819</v>
      </c>
      <c r="B708" t="s">
        <v>4818</v>
      </c>
      <c r="C708" t="str">
        <f>findKey(supplementary_offering_offeringid__4[[#This Row],[Value.legacyid]])</f>
        <v>800000-42</v>
      </c>
      <c r="D708" t="s">
        <v>6073</v>
      </c>
      <c r="E708" t="s">
        <v>2329</v>
      </c>
      <c r="H708" s="61"/>
      <c r="J708" t="str">
        <f>ToJsonArray(supplementary_offering_offeringid__4[[#Headers],[legacyid]:[activityId]],supplementary_offering_offeringid__4[[#This Row],[legacyid]:[activityId]])</f>
        <v>{"legacyid":"800000-42","name":"SDP 11GB-5D","mode":"N"}</v>
      </c>
      <c r="K708" t="str">
        <f>ToJsonArray(supplementary_offering_offeringid__4[[#This Row],[produccion]],supplementary_offering_offeringid__4[[#This Row],[json]])</f>
        <v>{"980000042":{"legacyid":"800000-42","name":"SDP 11GB-5D","mode":"N"}}</v>
      </c>
    </row>
    <row r="709" spans="1:11" x14ac:dyDescent="0.25">
      <c r="A709" s="61" t="s">
        <v>4822</v>
      </c>
      <c r="B709" t="s">
        <v>4821</v>
      </c>
      <c r="C709" t="str">
        <f>findKey(supplementary_offering_offeringid__4[[#This Row],[Value.legacyid]])</f>
        <v>800000-43</v>
      </c>
      <c r="D709" t="s">
        <v>6074</v>
      </c>
      <c r="E709" t="s">
        <v>2329</v>
      </c>
      <c r="H709" s="61"/>
      <c r="J709" t="str">
        <f>ToJsonArray(supplementary_offering_offeringid__4[[#Headers],[legacyid]:[activityId]],supplementary_offering_offeringid__4[[#This Row],[legacyid]:[activityId]])</f>
        <v>{"legacyid":"800000-43","name":"SDP 11GB-6D","mode":"N"}</v>
      </c>
      <c r="K709" t="str">
        <f>ToJsonArray(supplementary_offering_offeringid__4[[#This Row],[produccion]],supplementary_offering_offeringid__4[[#This Row],[json]])</f>
        <v>{"980000043":{"legacyid":"800000-43","name":"SDP 11GB-6D","mode":"N"}}</v>
      </c>
    </row>
    <row r="710" spans="1:11" x14ac:dyDescent="0.25">
      <c r="A710" s="61" t="s">
        <v>3486</v>
      </c>
      <c r="B710" t="s">
        <v>3485</v>
      </c>
      <c r="C710" t="str">
        <f>findKey(supplementary_offering_offeringid__4[[#This Row],[Value.legacyid]])</f>
        <v>800000-44</v>
      </c>
      <c r="D710" t="s">
        <v>6065</v>
      </c>
      <c r="E710" t="s">
        <v>2329</v>
      </c>
      <c r="H710" s="61"/>
      <c r="J710" t="str">
        <f>ToJsonArray(supplementary_offering_offeringid__4[[#Headers],[legacyid]:[activityId]],supplementary_offering_offeringid__4[[#This Row],[legacyid]:[activityId]])</f>
        <v>{"legacyid":"800000-44","name":"SDP 6GB-2D","mode":"N"}</v>
      </c>
      <c r="K710" t="str">
        <f>ToJsonArray(supplementary_offering_offeringid__4[[#This Row],[produccion]],supplementary_offering_offeringid__4[[#This Row],[json]])</f>
        <v>{"980000044":{"legacyid":"800000-44","name":"SDP 6GB-2D","mode":"N"}}</v>
      </c>
    </row>
    <row r="711" spans="1:11" x14ac:dyDescent="0.25">
      <c r="A711" s="61" t="s">
        <v>3489</v>
      </c>
      <c r="B711" t="s">
        <v>3488</v>
      </c>
      <c r="C711" t="str">
        <f>findKey(supplementary_offering_offeringid__4[[#This Row],[Value.legacyid]])</f>
        <v>800000-45</v>
      </c>
      <c r="D711" t="s">
        <v>6075</v>
      </c>
      <c r="E711" t="s">
        <v>2329</v>
      </c>
      <c r="H711" s="61"/>
      <c r="J711" t="str">
        <f>ToJsonArray(supplementary_offering_offeringid__4[[#Headers],[legacyid]:[activityId]],supplementary_offering_offeringid__4[[#This Row],[legacyid]:[activityId]])</f>
        <v>{"legacyid":"800000-45","name":"SDP 6.5GB-2D","mode":"N"}</v>
      </c>
      <c r="K711" t="str">
        <f>ToJsonArray(supplementary_offering_offeringid__4[[#This Row],[produccion]],supplementary_offering_offeringid__4[[#This Row],[json]])</f>
        <v>{"980000045":{"legacyid":"800000-45","name":"SDP 6.5GB-2D","mode":"N"}}</v>
      </c>
    </row>
    <row r="712" spans="1:11" x14ac:dyDescent="0.25">
      <c r="A712" s="61" t="s">
        <v>3492</v>
      </c>
      <c r="B712" t="s">
        <v>3491</v>
      </c>
      <c r="C712" t="str">
        <f>findKey(supplementary_offering_offeringid__4[[#This Row],[Value.legacyid]])</f>
        <v>800000-46</v>
      </c>
      <c r="D712" t="s">
        <v>6068</v>
      </c>
      <c r="E712" t="s">
        <v>2329</v>
      </c>
      <c r="H712" s="61"/>
      <c r="J712" t="str">
        <f>ToJsonArray(supplementary_offering_offeringid__4[[#Headers],[legacyid]:[activityId]],supplementary_offering_offeringid__4[[#This Row],[legacyid]:[activityId]])</f>
        <v>{"legacyid":"800000-46","name":"SDP 10GB-3D","mode":"N"}</v>
      </c>
      <c r="K712" t="str">
        <f>ToJsonArray(supplementary_offering_offeringid__4[[#This Row],[produccion]],supplementary_offering_offeringid__4[[#This Row],[json]])</f>
        <v>{"980000046":{"legacyid":"800000-46","name":"SDP 10GB-3D","mode":"N"}}</v>
      </c>
    </row>
    <row r="713" spans="1:11" x14ac:dyDescent="0.25">
      <c r="A713" s="61" t="s">
        <v>3495</v>
      </c>
      <c r="B713" t="s">
        <v>3494</v>
      </c>
      <c r="C713" t="str">
        <f>findKey(supplementary_offering_offeringid__4[[#This Row],[Value.legacyid]])</f>
        <v>800000-47</v>
      </c>
      <c r="D713" t="s">
        <v>6076</v>
      </c>
      <c r="E713" t="s">
        <v>2329</v>
      </c>
      <c r="H713" s="61"/>
      <c r="J713" t="str">
        <f>ToJsonArray(supplementary_offering_offeringid__4[[#Headers],[legacyid]:[activityId]],supplementary_offering_offeringid__4[[#This Row],[legacyid]:[activityId]])</f>
        <v>{"legacyid":"800000-47","name":"SDP 13GB-4D","mode":"N"}</v>
      </c>
      <c r="K713" t="str">
        <f>ToJsonArray(supplementary_offering_offeringid__4[[#This Row],[produccion]],supplementary_offering_offeringid__4[[#This Row],[json]])</f>
        <v>{"980000047":{"legacyid":"800000-47","name":"SDP 13GB-4D","mode":"N"}}</v>
      </c>
    </row>
    <row r="714" spans="1:11" x14ac:dyDescent="0.25">
      <c r="A714" s="61" t="s">
        <v>3498</v>
      </c>
      <c r="B714" t="s">
        <v>3497</v>
      </c>
      <c r="C714" t="str">
        <f>findKey(supplementary_offering_offeringid__4[[#This Row],[Value.legacyid]])</f>
        <v>800000-48</v>
      </c>
      <c r="D714" t="s">
        <v>6077</v>
      </c>
      <c r="E714" t="s">
        <v>2329</v>
      </c>
      <c r="H714" s="61"/>
      <c r="J714" t="str">
        <f>ToJsonArray(supplementary_offering_offeringid__4[[#Headers],[legacyid]:[activityId]],supplementary_offering_offeringid__4[[#This Row],[legacyid]:[activityId]])</f>
        <v>{"legacyid":"800000-48","name":"SDP 14GB-4D","mode":"N"}</v>
      </c>
      <c r="K714" t="str">
        <f>ToJsonArray(supplementary_offering_offeringid__4[[#This Row],[produccion]],supplementary_offering_offeringid__4[[#This Row],[json]])</f>
        <v>{"980000048":{"legacyid":"800000-48","name":"SDP 14GB-4D","mode":"N"}}</v>
      </c>
    </row>
    <row r="715" spans="1:11" x14ac:dyDescent="0.25">
      <c r="A715" s="61" t="s">
        <v>3501</v>
      </c>
      <c r="B715" t="s">
        <v>3500</v>
      </c>
      <c r="C715" t="str">
        <f>findKey(supplementary_offering_offeringid__4[[#This Row],[Value.legacyid]])</f>
        <v>800000-49</v>
      </c>
      <c r="D715" t="s">
        <v>6078</v>
      </c>
      <c r="E715" t="s">
        <v>2329</v>
      </c>
      <c r="H715" s="61"/>
      <c r="J715" t="str">
        <f>ToJsonArray(supplementary_offering_offeringid__4[[#Headers],[legacyid]:[activityId]],supplementary_offering_offeringid__4[[#This Row],[legacyid]:[activityId]])</f>
        <v>{"legacyid":"800000-49","name":"SDP 15GB-5D","mode":"N"}</v>
      </c>
      <c r="K715" t="str">
        <f>ToJsonArray(supplementary_offering_offeringid__4[[#This Row],[produccion]],supplementary_offering_offeringid__4[[#This Row],[json]])</f>
        <v>{"980000049":{"legacyid":"800000-49","name":"SDP 15GB-5D","mode":"N"}}</v>
      </c>
    </row>
    <row r="716" spans="1:11" x14ac:dyDescent="0.25">
      <c r="A716" s="61" t="s">
        <v>3504</v>
      </c>
      <c r="B716" t="s">
        <v>3503</v>
      </c>
      <c r="C716" t="str">
        <f>findKey(supplementary_offering_offeringid__4[[#This Row],[Value.legacyid]])</f>
        <v>800000-50</v>
      </c>
      <c r="D716" t="s">
        <v>6063</v>
      </c>
      <c r="E716" t="s">
        <v>2329</v>
      </c>
      <c r="H716" s="61"/>
      <c r="J716" t="str">
        <f>ToJsonArray(supplementary_offering_offeringid__4[[#Headers],[legacyid]:[activityId]],supplementary_offering_offeringid__4[[#This Row],[legacyid]:[activityId]])</f>
        <v>{"legacyid":"800000-50","name":"SDP 8GB-2D","mode":"N"}</v>
      </c>
      <c r="K716" t="str">
        <f>ToJsonArray(supplementary_offering_offeringid__4[[#This Row],[produccion]],supplementary_offering_offeringid__4[[#This Row],[json]])</f>
        <v>{"980000050":{"legacyid":"800000-50","name":"SDP 8GB-2D","mode":"N"}}</v>
      </c>
    </row>
    <row r="717" spans="1:11" x14ac:dyDescent="0.25">
      <c r="A717" s="61" t="s">
        <v>3507</v>
      </c>
      <c r="B717" t="s">
        <v>3506</v>
      </c>
      <c r="C717" t="str">
        <f>findKey(supplementary_offering_offeringid__4[[#This Row],[Value.legacyid]])</f>
        <v>800000-51</v>
      </c>
      <c r="D717" t="s">
        <v>6079</v>
      </c>
      <c r="E717" t="s">
        <v>2329</v>
      </c>
      <c r="H717" s="61"/>
      <c r="J717" t="str">
        <f>ToJsonArray(supplementary_offering_offeringid__4[[#Headers],[legacyid]:[activityId]],supplementary_offering_offeringid__4[[#This Row],[legacyid]:[activityId]])</f>
        <v>{"legacyid":"800000-51","name":"SDP 10GB-2D","mode":"N"}</v>
      </c>
      <c r="K717" t="str">
        <f>ToJsonArray(supplementary_offering_offeringid__4[[#This Row],[produccion]],supplementary_offering_offeringid__4[[#This Row],[json]])</f>
        <v>{"980000051":{"legacyid":"800000-51","name":"SDP 10GB-2D","mode":"N"}}</v>
      </c>
    </row>
    <row r="718" spans="1:11" x14ac:dyDescent="0.25">
      <c r="A718" s="61" t="s">
        <v>3510</v>
      </c>
      <c r="B718" t="s">
        <v>3509</v>
      </c>
      <c r="C718" t="str">
        <f>findKey(supplementary_offering_offeringid__4[[#This Row],[Value.legacyid]])</f>
        <v>800000-52</v>
      </c>
      <c r="D718" t="s">
        <v>6080</v>
      </c>
      <c r="E718" t="s">
        <v>2329</v>
      </c>
      <c r="H718" s="61"/>
      <c r="J718" t="str">
        <f>ToJsonArray(supplementary_offering_offeringid__4[[#Headers],[legacyid]:[activityId]],supplementary_offering_offeringid__4[[#This Row],[legacyid]:[activityId]])</f>
        <v>{"legacyid":"800000-52","name":"SDP 7GB-2D","mode":"N"}</v>
      </c>
      <c r="K718" t="str">
        <f>ToJsonArray(supplementary_offering_offeringid__4[[#This Row],[produccion]],supplementary_offering_offeringid__4[[#This Row],[json]])</f>
        <v>{"980000052":{"legacyid":"800000-52","name":"SDP 7GB-2D","mode":"N"}}</v>
      </c>
    </row>
    <row r="719" spans="1:11" x14ac:dyDescent="0.25">
      <c r="A719" s="61" t="s">
        <v>3513</v>
      </c>
      <c r="B719" t="s">
        <v>3512</v>
      </c>
      <c r="C719" t="str">
        <f>findKey(supplementary_offering_offeringid__4[[#This Row],[Value.legacyid]])</f>
        <v>800000-53</v>
      </c>
      <c r="D719" t="s">
        <v>6063</v>
      </c>
      <c r="E719" t="s">
        <v>2329</v>
      </c>
      <c r="H719" s="61"/>
      <c r="J719" t="str">
        <f>ToJsonArray(supplementary_offering_offeringid__4[[#Headers],[legacyid]:[activityId]],supplementary_offering_offeringid__4[[#This Row],[legacyid]:[activityId]])</f>
        <v>{"legacyid":"800000-53","name":"SDP 8GB-2D","mode":"N"}</v>
      </c>
      <c r="K719" t="str">
        <f>ToJsonArray(supplementary_offering_offeringid__4[[#This Row],[produccion]],supplementary_offering_offeringid__4[[#This Row],[json]])</f>
        <v>{"980000053":{"legacyid":"800000-53","name":"SDP 8GB-2D","mode":"N"}}</v>
      </c>
    </row>
    <row r="720" spans="1:11" x14ac:dyDescent="0.25">
      <c r="A720" s="61" t="s">
        <v>4825</v>
      </c>
      <c r="B720" t="s">
        <v>4824</v>
      </c>
      <c r="C720" t="str">
        <f>findKey(supplementary_offering_offeringid__4[[#This Row],[Value.legacyid]])</f>
        <v>800000-54</v>
      </c>
      <c r="D720" t="s">
        <v>6081</v>
      </c>
      <c r="E720" t="s">
        <v>2329</v>
      </c>
      <c r="H720" s="61"/>
      <c r="J720" t="str">
        <f>ToJsonArray(supplementary_offering_offeringid__4[[#Headers],[legacyid]:[activityId]],supplementary_offering_offeringid__4[[#This Row],[legacyid]:[activityId]])</f>
        <v>{"legacyid":"800000-54","name":"SDP 20GB-6D","mode":"N"}</v>
      </c>
      <c r="K720" t="str">
        <f>ToJsonArray(supplementary_offering_offeringid__4[[#This Row],[produccion]],supplementary_offering_offeringid__4[[#This Row],[json]])</f>
        <v>{"980000054":{"legacyid":"800000-54","name":"SDP 20GB-6D","mode":"N"}}</v>
      </c>
    </row>
    <row r="721" spans="1:11" x14ac:dyDescent="0.25">
      <c r="A721" s="61" t="s">
        <v>4828</v>
      </c>
      <c r="B721" t="s">
        <v>4827</v>
      </c>
      <c r="C721" t="str">
        <f>findKey(supplementary_offering_offeringid__4[[#This Row],[Value.legacyid]])</f>
        <v>800000-60</v>
      </c>
      <c r="D721" t="s">
        <v>6082</v>
      </c>
      <c r="E721" t="s">
        <v>2329</v>
      </c>
      <c r="H721" s="61"/>
      <c r="J721" t="str">
        <f>ToJsonArray(supplementary_offering_offeringid__4[[#Headers],[legacyid]:[activityId]],supplementary_offering_offeringid__4[[#This Row],[legacyid]:[activityId]])</f>
        <v>{"legacyid":"800000-60","name":"SDP 12GB-3D","mode":"N"}</v>
      </c>
      <c r="K721" t="str">
        <f>ToJsonArray(supplementary_offering_offeringid__4[[#This Row],[produccion]],supplementary_offering_offeringid__4[[#This Row],[json]])</f>
        <v>{"980000060":{"legacyid":"800000-60","name":"SDP 12GB-3D","mode":"N"}}</v>
      </c>
    </row>
    <row r="722" spans="1:11" x14ac:dyDescent="0.25">
      <c r="A722" s="61" t="s">
        <v>4831</v>
      </c>
      <c r="B722" t="s">
        <v>4830</v>
      </c>
      <c r="C722" t="str">
        <f>findKey(supplementary_offering_offeringid__4[[#This Row],[Value.legacyid]])</f>
        <v>800000-61</v>
      </c>
      <c r="D722" t="s">
        <v>6083</v>
      </c>
      <c r="E722" t="s">
        <v>2329</v>
      </c>
      <c r="H722" s="61"/>
      <c r="J722" t="str">
        <f>ToJsonArray(supplementary_offering_offeringid__4[[#Headers],[legacyid]:[activityId]],supplementary_offering_offeringid__4[[#This Row],[legacyid]:[activityId]])</f>
        <v>{"legacyid":"800000-61","name":"SDP 15GB-3D","mode":"N"}</v>
      </c>
      <c r="K722" t="str">
        <f>ToJsonArray(supplementary_offering_offeringid__4[[#This Row],[produccion]],supplementary_offering_offeringid__4[[#This Row],[json]])</f>
        <v>{"980000061":{"legacyid":"800000-61","name":"SDP 15GB-3D","mode":"N"}}</v>
      </c>
    </row>
    <row r="723" spans="1:11" x14ac:dyDescent="0.25">
      <c r="A723" s="61" t="s">
        <v>4834</v>
      </c>
      <c r="B723" t="s">
        <v>4833</v>
      </c>
      <c r="C723" t="str">
        <f>findKey(supplementary_offering_offeringid__4[[#This Row],[Value.legacyid]])</f>
        <v>800000-67</v>
      </c>
      <c r="D723" t="s">
        <v>6084</v>
      </c>
      <c r="E723" t="s">
        <v>2329</v>
      </c>
      <c r="H723" s="61"/>
      <c r="J723" t="str">
        <f>ToJsonArray(supplementary_offering_offeringid__4[[#Headers],[legacyid]:[activityId]],supplementary_offering_offeringid__4[[#This Row],[legacyid]:[activityId]])</f>
        <v>{"legacyid":"800000-67","name":"SDP 6GB-3D","mode":"N"}</v>
      </c>
      <c r="K723" t="str">
        <f>ToJsonArray(supplementary_offering_offeringid__4[[#This Row],[produccion]],supplementary_offering_offeringid__4[[#This Row],[json]])</f>
        <v>{"980000067":{"legacyid":"800000-67","name":"SDP 6GB-3D","mode":"N"}}</v>
      </c>
    </row>
    <row r="724" spans="1:11" x14ac:dyDescent="0.25">
      <c r="A724" s="61" t="s">
        <v>4837</v>
      </c>
      <c r="B724" t="s">
        <v>4836</v>
      </c>
      <c r="C724" t="str">
        <f>findKey(supplementary_offering_offeringid__4[[#This Row],[Value.legacyid]])</f>
        <v>800000-69</v>
      </c>
      <c r="D724" t="s">
        <v>6068</v>
      </c>
      <c r="E724" t="s">
        <v>2329</v>
      </c>
      <c r="H724" s="61"/>
      <c r="J724" t="str">
        <f>ToJsonArray(supplementary_offering_offeringid__4[[#Headers],[legacyid]:[activityId]],supplementary_offering_offeringid__4[[#This Row],[legacyid]:[activityId]])</f>
        <v>{"legacyid":"800000-69","name":"SDP 10GB-3D","mode":"N"}</v>
      </c>
      <c r="K724" t="str">
        <f>ToJsonArray(supplementary_offering_offeringid__4[[#This Row],[produccion]],supplementary_offering_offeringid__4[[#This Row],[json]])</f>
        <v>{"980000069":{"legacyid":"800000-69","name":"SDP 10GB-3D","mode":"N"}}</v>
      </c>
    </row>
    <row r="725" spans="1:11" x14ac:dyDescent="0.25">
      <c r="A725" s="61" t="s">
        <v>4840</v>
      </c>
      <c r="B725" t="s">
        <v>4839</v>
      </c>
      <c r="C725" t="str">
        <f>findKey(supplementary_offering_offeringid__4[[#This Row],[Value.legacyid]])</f>
        <v>800000-70</v>
      </c>
      <c r="D725" t="s">
        <v>6082</v>
      </c>
      <c r="E725" t="s">
        <v>2329</v>
      </c>
      <c r="H725" s="61"/>
      <c r="J725" t="str">
        <f>ToJsonArray(supplementary_offering_offeringid__4[[#Headers],[legacyid]:[activityId]],supplementary_offering_offeringid__4[[#This Row],[legacyid]:[activityId]])</f>
        <v>{"legacyid":"800000-70","name":"SDP 12GB-3D","mode":"N"}</v>
      </c>
      <c r="K725" t="str">
        <f>ToJsonArray(supplementary_offering_offeringid__4[[#This Row],[produccion]],supplementary_offering_offeringid__4[[#This Row],[json]])</f>
        <v>{"980000070":{"legacyid":"800000-70","name":"SDP 12GB-3D","mode":"N"}}</v>
      </c>
    </row>
    <row r="726" spans="1:11" x14ac:dyDescent="0.25">
      <c r="A726" s="61" t="s">
        <v>3516</v>
      </c>
      <c r="B726" t="s">
        <v>3515</v>
      </c>
      <c r="C726" t="str">
        <f>findKey(supplementary_offering_offeringid__4[[#This Row],[Value.legacyid]])</f>
        <v>800000-71</v>
      </c>
      <c r="D726" t="s">
        <v>6083</v>
      </c>
      <c r="E726" t="s">
        <v>2329</v>
      </c>
      <c r="H726" s="61"/>
      <c r="J726" t="str">
        <f>ToJsonArray(supplementary_offering_offeringid__4[[#Headers],[legacyid]:[activityId]],supplementary_offering_offeringid__4[[#This Row],[legacyid]:[activityId]])</f>
        <v>{"legacyid":"800000-71","name":"SDP 15GB-3D","mode":"N"}</v>
      </c>
      <c r="K726" t="str">
        <f>ToJsonArray(supplementary_offering_offeringid__4[[#This Row],[produccion]],supplementary_offering_offeringid__4[[#This Row],[json]])</f>
        <v>{"980000071":{"legacyid":"800000-71","name":"SDP 15GB-3D","mode":"N"}}</v>
      </c>
    </row>
    <row r="727" spans="1:11" x14ac:dyDescent="0.25">
      <c r="A727" s="61" t="s">
        <v>4843</v>
      </c>
      <c r="B727" t="s">
        <v>4842</v>
      </c>
      <c r="C727" t="str">
        <f>findKey(supplementary_offering_offeringid__4[[#This Row],[Value.legacyid]])</f>
        <v>800000-72</v>
      </c>
      <c r="D727" t="s">
        <v>6064</v>
      </c>
      <c r="E727" t="s">
        <v>2329</v>
      </c>
      <c r="H727" s="61"/>
      <c r="J727" t="str">
        <f>ToJsonArray(supplementary_offering_offeringid__4[[#Headers],[legacyid]:[activityId]],supplementary_offering_offeringid__4[[#This Row],[legacyid]:[activityId]])</f>
        <v>{"legacyid":"800000-72","name":"SDP 10GB-5D","mode":"N"}</v>
      </c>
      <c r="K727" t="str">
        <f>ToJsonArray(supplementary_offering_offeringid__4[[#This Row],[produccion]],supplementary_offering_offeringid__4[[#This Row],[json]])</f>
        <v>{"980000072":{"legacyid":"800000-72","name":"SDP 10GB-5D","mode":"N"}}</v>
      </c>
    </row>
    <row r="728" spans="1:11" x14ac:dyDescent="0.25">
      <c r="A728" s="61" t="s">
        <v>4846</v>
      </c>
      <c r="B728" t="s">
        <v>4845</v>
      </c>
      <c r="C728" t="str">
        <f>findKey(supplementary_offering_offeringid__4[[#This Row],[Value.legacyid]])</f>
        <v>800000-74</v>
      </c>
      <c r="D728" t="s">
        <v>6078</v>
      </c>
      <c r="E728" t="s">
        <v>2329</v>
      </c>
      <c r="H728" s="61"/>
      <c r="J728" t="str">
        <f>ToJsonArray(supplementary_offering_offeringid__4[[#Headers],[legacyid]:[activityId]],supplementary_offering_offeringid__4[[#This Row],[legacyid]:[activityId]])</f>
        <v>{"legacyid":"800000-74","name":"SDP 15GB-5D","mode":"N"}</v>
      </c>
      <c r="K728" t="str">
        <f>ToJsonArray(supplementary_offering_offeringid__4[[#This Row],[produccion]],supplementary_offering_offeringid__4[[#This Row],[json]])</f>
        <v>{"980000074":{"legacyid":"800000-74","name":"SDP 15GB-5D","mode":"N"}}</v>
      </c>
    </row>
    <row r="729" spans="1:11" x14ac:dyDescent="0.25">
      <c r="A729" s="61" t="s">
        <v>3519</v>
      </c>
      <c r="B729" t="s">
        <v>3518</v>
      </c>
      <c r="C729" t="str">
        <f>findKey(supplementary_offering_offeringid__4[[#This Row],[Value.legacyid]])</f>
        <v>800000-88</v>
      </c>
      <c r="D729" t="s">
        <v>6065</v>
      </c>
      <c r="E729" t="s">
        <v>2329</v>
      </c>
      <c r="H729" s="61"/>
      <c r="J729" t="str">
        <f>ToJsonArray(supplementary_offering_offeringid__4[[#Headers],[legacyid]:[activityId]],supplementary_offering_offeringid__4[[#This Row],[legacyid]:[activityId]])</f>
        <v>{"legacyid":"800000-88","name":"SDP 6GB-2D","mode":"N"}</v>
      </c>
      <c r="K729" t="str">
        <f>ToJsonArray(supplementary_offering_offeringid__4[[#This Row],[produccion]],supplementary_offering_offeringid__4[[#This Row],[json]])</f>
        <v>{"980000088":{"legacyid":"800000-88","name":"SDP 6GB-2D","mode":"N"}}</v>
      </c>
    </row>
    <row r="730" spans="1:11" x14ac:dyDescent="0.25">
      <c r="A730" s="61" t="s">
        <v>3522</v>
      </c>
      <c r="B730" t="s">
        <v>3521</v>
      </c>
      <c r="C730" t="str">
        <f>findKey(supplementary_offering_offeringid__4[[#This Row],[Value.legacyid]])</f>
        <v>800000-89</v>
      </c>
      <c r="D730" t="s">
        <v>6063</v>
      </c>
      <c r="E730" t="s">
        <v>2329</v>
      </c>
      <c r="H730" s="61"/>
      <c r="J730" t="str">
        <f>ToJsonArray(supplementary_offering_offeringid__4[[#Headers],[legacyid]:[activityId]],supplementary_offering_offeringid__4[[#This Row],[legacyid]:[activityId]])</f>
        <v>{"legacyid":"800000-89","name":"SDP 8GB-2D","mode":"N"}</v>
      </c>
      <c r="K730" t="str">
        <f>ToJsonArray(supplementary_offering_offeringid__4[[#This Row],[produccion]],supplementary_offering_offeringid__4[[#This Row],[json]])</f>
        <v>{"980000089":{"legacyid":"800000-89","name":"SDP 8GB-2D","mode":"N"}}</v>
      </c>
    </row>
    <row r="731" spans="1:11" x14ac:dyDescent="0.25">
      <c r="A731" s="61" t="s">
        <v>3525</v>
      </c>
      <c r="B731" t="s">
        <v>3524</v>
      </c>
      <c r="C731" t="str">
        <f>findKey(supplementary_offering_offeringid__4[[#This Row],[Value.legacyid]])</f>
        <v>800000-90</v>
      </c>
      <c r="D731" t="s">
        <v>6085</v>
      </c>
      <c r="E731" t="s">
        <v>2329</v>
      </c>
      <c r="H731" s="61"/>
      <c r="J731" t="str">
        <f>ToJsonArray(supplementary_offering_offeringid__4[[#Headers],[legacyid]:[activityId]],supplementary_offering_offeringid__4[[#This Row],[legacyid]:[activityId]])</f>
        <v>{"legacyid":"800000-90","name":"SDP 8GB-3D","mode":"N"}</v>
      </c>
      <c r="K731" t="str">
        <f>ToJsonArray(supplementary_offering_offeringid__4[[#This Row],[produccion]],supplementary_offering_offeringid__4[[#This Row],[json]])</f>
        <v>{"980000090":{"legacyid":"800000-90","name":"SDP 8GB-3D","mode":"N"}}</v>
      </c>
    </row>
    <row r="732" spans="1:11" x14ac:dyDescent="0.25">
      <c r="A732" s="61" t="s">
        <v>3528</v>
      </c>
      <c r="B732" t="s">
        <v>3527</v>
      </c>
      <c r="C732" t="str">
        <f>findKey(supplementary_offering_offeringid__4[[#This Row],[Value.legacyid]])</f>
        <v>800000-91</v>
      </c>
      <c r="D732" t="s">
        <v>6068</v>
      </c>
      <c r="E732" t="s">
        <v>2329</v>
      </c>
      <c r="H732" s="61"/>
      <c r="J732" t="str">
        <f>ToJsonArray(supplementary_offering_offeringid__4[[#Headers],[legacyid]:[activityId]],supplementary_offering_offeringid__4[[#This Row],[legacyid]:[activityId]])</f>
        <v>{"legacyid":"800000-91","name":"SDP 10GB-3D","mode":"N"}</v>
      </c>
      <c r="K732" t="str">
        <f>ToJsonArray(supplementary_offering_offeringid__4[[#This Row],[produccion]],supplementary_offering_offeringid__4[[#This Row],[json]])</f>
        <v>{"980000091":{"legacyid":"800000-91","name":"SDP 10GB-3D","mode":"N"}}</v>
      </c>
    </row>
    <row r="733" spans="1:11" x14ac:dyDescent="0.25">
      <c r="A733" s="61" t="s">
        <v>3531</v>
      </c>
      <c r="B733" t="s">
        <v>3530</v>
      </c>
      <c r="C733" t="str">
        <f>findKey(supplementary_offering_offeringid__4[[#This Row],[Value.legacyid]])</f>
        <v>800000-92</v>
      </c>
      <c r="D733" t="s">
        <v>6082</v>
      </c>
      <c r="E733" t="s">
        <v>2329</v>
      </c>
      <c r="H733" s="61"/>
      <c r="J733" t="str">
        <f>ToJsonArray(supplementary_offering_offeringid__4[[#Headers],[legacyid]:[activityId]],supplementary_offering_offeringid__4[[#This Row],[legacyid]:[activityId]])</f>
        <v>{"legacyid":"800000-92","name":"SDP 12GB-3D","mode":"N"}</v>
      </c>
      <c r="K733" t="str">
        <f>ToJsonArray(supplementary_offering_offeringid__4[[#This Row],[produccion]],supplementary_offering_offeringid__4[[#This Row],[json]])</f>
        <v>{"980000092":{"legacyid":"800000-92","name":"SDP 12GB-3D","mode":"N"}}</v>
      </c>
    </row>
    <row r="734" spans="1:11" x14ac:dyDescent="0.25">
      <c r="A734" s="61" t="s">
        <v>3534</v>
      </c>
      <c r="B734" t="s">
        <v>3533</v>
      </c>
      <c r="C734" t="str">
        <f>findKey(supplementary_offering_offeringid__4[[#This Row],[Value.legacyid]])</f>
        <v>800000-93</v>
      </c>
      <c r="D734" t="s">
        <v>6086</v>
      </c>
      <c r="E734" t="s">
        <v>2329</v>
      </c>
      <c r="H734" s="61"/>
      <c r="J734" t="str">
        <f>ToJsonArray(supplementary_offering_offeringid__4[[#Headers],[legacyid]:[activityId]],supplementary_offering_offeringid__4[[#This Row],[legacyid]:[activityId]])</f>
        <v>{"legacyid":"800000-93","name":"SDP 20GB-5D","mode":"N"}</v>
      </c>
      <c r="K734" t="str">
        <f>ToJsonArray(supplementary_offering_offeringid__4[[#This Row],[produccion]],supplementary_offering_offeringid__4[[#This Row],[json]])</f>
        <v>{"980000093":{"legacyid":"800000-93","name":"SDP 20GB-5D","mode":"N"}}</v>
      </c>
    </row>
    <row r="735" spans="1:11" x14ac:dyDescent="0.25">
      <c r="A735" s="61" t="s">
        <v>3537</v>
      </c>
      <c r="B735" t="s">
        <v>3536</v>
      </c>
      <c r="C735" t="str">
        <f>findKey(supplementary_offering_offeringid__4[[#This Row],[Value.legacyid]])</f>
        <v>800000-94</v>
      </c>
      <c r="D735" t="s">
        <v>6065</v>
      </c>
      <c r="E735" t="s">
        <v>2329</v>
      </c>
      <c r="H735" s="61"/>
      <c r="J735" t="str">
        <f>ToJsonArray(supplementary_offering_offeringid__4[[#Headers],[legacyid]:[activityId]],supplementary_offering_offeringid__4[[#This Row],[legacyid]:[activityId]])</f>
        <v>{"legacyid":"800000-94","name":"SDP 6GB-2D","mode":"N"}</v>
      </c>
      <c r="K735" t="str">
        <f>ToJsonArray(supplementary_offering_offeringid__4[[#This Row],[produccion]],supplementary_offering_offeringid__4[[#This Row],[json]])</f>
        <v>{"980000094":{"legacyid":"800000-94","name":"SDP 6GB-2D","mode":"N"}}</v>
      </c>
    </row>
    <row r="736" spans="1:11" x14ac:dyDescent="0.25">
      <c r="A736" s="61" t="s">
        <v>3540</v>
      </c>
      <c r="B736" t="s">
        <v>3539</v>
      </c>
      <c r="C736" t="str">
        <f>findKey(supplementary_offering_offeringid__4[[#This Row],[Value.legacyid]])</f>
        <v>800000-95</v>
      </c>
      <c r="D736" t="s">
        <v>6063</v>
      </c>
      <c r="E736" t="s">
        <v>2329</v>
      </c>
      <c r="H736" s="61"/>
      <c r="J736" t="str">
        <f>ToJsonArray(supplementary_offering_offeringid__4[[#Headers],[legacyid]:[activityId]],supplementary_offering_offeringid__4[[#This Row],[legacyid]:[activityId]])</f>
        <v>{"legacyid":"800000-95","name":"SDP 8GB-2D","mode":"N"}</v>
      </c>
      <c r="K736" t="str">
        <f>ToJsonArray(supplementary_offering_offeringid__4[[#This Row],[produccion]],supplementary_offering_offeringid__4[[#This Row],[json]])</f>
        <v>{"980000095":{"legacyid":"800000-95","name":"SDP 8GB-2D","mode":"N"}}</v>
      </c>
    </row>
    <row r="737" spans="1:11" x14ac:dyDescent="0.25">
      <c r="A737" s="61" t="s">
        <v>3543</v>
      </c>
      <c r="B737" t="s">
        <v>3542</v>
      </c>
      <c r="C737" t="str">
        <f>findKey(supplementary_offering_offeringid__4[[#This Row],[Value.legacyid]])</f>
        <v>800000-96</v>
      </c>
      <c r="D737" t="s">
        <v>6085</v>
      </c>
      <c r="E737" t="s">
        <v>2329</v>
      </c>
      <c r="H737" s="61"/>
      <c r="J737" t="str">
        <f>ToJsonArray(supplementary_offering_offeringid__4[[#Headers],[legacyid]:[activityId]],supplementary_offering_offeringid__4[[#This Row],[legacyid]:[activityId]])</f>
        <v>{"legacyid":"800000-96","name":"SDP 8GB-3D","mode":"N"}</v>
      </c>
      <c r="K737" t="str">
        <f>ToJsonArray(supplementary_offering_offeringid__4[[#This Row],[produccion]],supplementary_offering_offeringid__4[[#This Row],[json]])</f>
        <v>{"980000096":{"legacyid":"800000-96","name":"SDP 8GB-3D","mode":"N"}}</v>
      </c>
    </row>
    <row r="738" spans="1:11" x14ac:dyDescent="0.25">
      <c r="A738" s="61" t="s">
        <v>3546</v>
      </c>
      <c r="B738" t="s">
        <v>3545</v>
      </c>
      <c r="C738" t="str">
        <f>findKey(supplementary_offering_offeringid__4[[#This Row],[Value.legacyid]])</f>
        <v>800000-97</v>
      </c>
      <c r="D738" t="s">
        <v>6068</v>
      </c>
      <c r="E738" t="s">
        <v>2329</v>
      </c>
      <c r="H738" s="61"/>
      <c r="J738" t="str">
        <f>ToJsonArray(supplementary_offering_offeringid__4[[#Headers],[legacyid]:[activityId]],supplementary_offering_offeringid__4[[#This Row],[legacyid]:[activityId]])</f>
        <v>{"legacyid":"800000-97","name":"SDP 10GB-3D","mode":"N"}</v>
      </c>
      <c r="K738" t="str">
        <f>ToJsonArray(supplementary_offering_offeringid__4[[#This Row],[produccion]],supplementary_offering_offeringid__4[[#This Row],[json]])</f>
        <v>{"980000097":{"legacyid":"800000-97","name":"SDP 10GB-3D","mode":"N"}}</v>
      </c>
    </row>
    <row r="739" spans="1:11" x14ac:dyDescent="0.25">
      <c r="A739" s="61" t="s">
        <v>3549</v>
      </c>
      <c r="B739" t="s">
        <v>3548</v>
      </c>
      <c r="C739" t="str">
        <f>findKey(supplementary_offering_offeringid__4[[#This Row],[Value.legacyid]])</f>
        <v>800000-98</v>
      </c>
      <c r="D739" t="s">
        <v>6082</v>
      </c>
      <c r="E739" t="s">
        <v>2329</v>
      </c>
      <c r="H739" s="61"/>
      <c r="J739" t="str">
        <f>ToJsonArray(supplementary_offering_offeringid__4[[#Headers],[legacyid]:[activityId]],supplementary_offering_offeringid__4[[#This Row],[legacyid]:[activityId]])</f>
        <v>{"legacyid":"800000-98","name":"SDP 12GB-3D","mode":"N"}</v>
      </c>
      <c r="K739" t="str">
        <f>ToJsonArray(supplementary_offering_offeringid__4[[#This Row],[produccion]],supplementary_offering_offeringid__4[[#This Row],[json]])</f>
        <v>{"980000098":{"legacyid":"800000-98","name":"SDP 12GB-3D","mode":"N"}}</v>
      </c>
    </row>
    <row r="740" spans="1:11" x14ac:dyDescent="0.25">
      <c r="A740" s="61" t="s">
        <v>3552</v>
      </c>
      <c r="B740" t="s">
        <v>3551</v>
      </c>
      <c r="C740" t="str">
        <f>findKey(supplementary_offering_offeringid__4[[#This Row],[Value.legacyid]])</f>
        <v>800000-99</v>
      </c>
      <c r="D740" t="s">
        <v>6086</v>
      </c>
      <c r="E740" t="s">
        <v>2329</v>
      </c>
      <c r="H740" s="61"/>
      <c r="J740" t="str">
        <f>ToJsonArray(supplementary_offering_offeringid__4[[#Headers],[legacyid]:[activityId]],supplementary_offering_offeringid__4[[#This Row],[legacyid]:[activityId]])</f>
        <v>{"legacyid":"800000-99","name":"SDP 20GB-5D","mode":"N"}</v>
      </c>
      <c r="K740" t="str">
        <f>ToJsonArray(supplementary_offering_offeringid__4[[#This Row],[produccion]],supplementary_offering_offeringid__4[[#This Row],[json]])</f>
        <v>{"980000099":{"legacyid":"800000-99","name":"SDP 20GB-5D","mode":"N"}}</v>
      </c>
    </row>
    <row r="741" spans="1:11" x14ac:dyDescent="0.25">
      <c r="A741" s="61" t="s">
        <v>3555</v>
      </c>
      <c r="B741" t="s">
        <v>3554</v>
      </c>
      <c r="C741" t="str">
        <f>findKey(supplementary_offering_offeringid__4[[#This Row],[Value.legacyid]])</f>
        <v>800010-00</v>
      </c>
      <c r="D741" t="s">
        <v>6066</v>
      </c>
      <c r="E741" t="s">
        <v>2329</v>
      </c>
      <c r="H741" s="61"/>
      <c r="J741" t="str">
        <f>ToJsonArray(supplementary_offering_offeringid__4[[#Headers],[legacyid]:[activityId]],supplementary_offering_offeringid__4[[#This Row],[legacyid]:[activityId]])</f>
        <v>{"legacyid":"800010-00","name":"SDP 7.5GB-2D","mode":"N"}</v>
      </c>
      <c r="K741" t="str">
        <f>ToJsonArray(supplementary_offering_offeringid__4[[#This Row],[produccion]],supplementary_offering_offeringid__4[[#This Row],[json]])</f>
        <v>{"980001000":{"legacyid":"800010-00","name":"SDP 7.5GB-2D","mode":"N"}}</v>
      </c>
    </row>
    <row r="742" spans="1:11" x14ac:dyDescent="0.25">
      <c r="A742" s="61" t="s">
        <v>4267</v>
      </c>
      <c r="B742" t="s">
        <v>4266</v>
      </c>
      <c r="C742" t="str">
        <f>findKey(supplementary_offering_offeringid__4[[#This Row],[Value.legacyid]])</f>
        <v>800010-01</v>
      </c>
      <c r="D742" t="s">
        <v>6082</v>
      </c>
      <c r="E742" t="s">
        <v>2329</v>
      </c>
      <c r="H742" s="61"/>
      <c r="J742" t="str">
        <f>ToJsonArray(supplementary_offering_offeringid__4[[#Headers],[legacyid]:[activityId]],supplementary_offering_offeringid__4[[#This Row],[legacyid]:[activityId]])</f>
        <v>{"legacyid":"800010-01","name":"SDP 12GB-3D","mode":"N"}</v>
      </c>
      <c r="K742" t="str">
        <f>ToJsonArray(supplementary_offering_offeringid__4[[#This Row],[produccion]],supplementary_offering_offeringid__4[[#This Row],[json]])</f>
        <v>{"980001001":{"legacyid":"800010-01","name":"SDP 12GB-3D","mode":"N"}}</v>
      </c>
    </row>
    <row r="743" spans="1:11" x14ac:dyDescent="0.25">
      <c r="A743" s="61" t="s">
        <v>4270</v>
      </c>
      <c r="B743" t="s">
        <v>4269</v>
      </c>
      <c r="C743" t="str">
        <f>findKey(supplementary_offering_offeringid__4[[#This Row],[Value.legacyid]])</f>
        <v>800010-02</v>
      </c>
      <c r="D743" t="s">
        <v>6086</v>
      </c>
      <c r="E743" t="s">
        <v>2329</v>
      </c>
      <c r="H743" s="61"/>
      <c r="J743" t="str">
        <f>ToJsonArray(supplementary_offering_offeringid__4[[#Headers],[legacyid]:[activityId]],supplementary_offering_offeringid__4[[#This Row],[legacyid]:[activityId]])</f>
        <v>{"legacyid":"800010-02","name":"SDP 20GB-5D","mode":"N"}</v>
      </c>
      <c r="K743" t="str">
        <f>ToJsonArray(supplementary_offering_offeringid__4[[#This Row],[produccion]],supplementary_offering_offeringid__4[[#This Row],[json]])</f>
        <v>{"980001002":{"legacyid":"800010-02","name":"SDP 20GB-5D","mode":"N"}}</v>
      </c>
    </row>
    <row r="744" spans="1:11" x14ac:dyDescent="0.25">
      <c r="A744" s="61" t="s">
        <v>4849</v>
      </c>
      <c r="B744" t="s">
        <v>4848</v>
      </c>
      <c r="C744" t="str">
        <f>findKey(supplementary_offering_offeringid__4[[#This Row],[Value.legacyid]])</f>
        <v>810001-01</v>
      </c>
      <c r="D744" t="s">
        <v>6087</v>
      </c>
      <c r="E744" t="s">
        <v>2329</v>
      </c>
      <c r="H744" s="61"/>
      <c r="J744" t="str">
        <f>ToJsonArray(supplementary_offering_offeringid__4[[#Headers],[legacyid]:[activityId]],supplementary_offering_offeringid__4[[#This Row],[legacyid]:[activityId]])</f>
        <v>{"legacyid":"810001-01","name":"SDP 400TD-2D","mode":"N"}</v>
      </c>
      <c r="K744" t="str">
        <f>ToJsonArray(supplementary_offering_offeringid__4[[#This Row],[produccion]],supplementary_offering_offeringid__4[[#This Row],[json]])</f>
        <v>{"981000101":{"legacyid":"810001-01","name":"SDP 400TD-2D","mode":"N"}}</v>
      </c>
    </row>
    <row r="745" spans="1:11" x14ac:dyDescent="0.25">
      <c r="A745" s="61" t="s">
        <v>4852</v>
      </c>
      <c r="B745" t="s">
        <v>4851</v>
      </c>
      <c r="C745" t="str">
        <f>findKey(supplementary_offering_offeringid__4[[#This Row],[Value.legacyid]])</f>
        <v>810001-04</v>
      </c>
      <c r="D745" t="s">
        <v>6088</v>
      </c>
      <c r="E745" t="s">
        <v>2329</v>
      </c>
      <c r="H745" s="61"/>
      <c r="J745" t="str">
        <f>ToJsonArray(supplementary_offering_offeringid__4[[#Headers],[legacyid]:[activityId]],supplementary_offering_offeringid__4[[#This Row],[legacyid]:[activityId]])</f>
        <v>{"legacyid":"810001-04","name":"SDP 2000TD-5D","mode":"N"}</v>
      </c>
      <c r="K745" t="str">
        <f>ToJsonArray(supplementary_offering_offeringid__4[[#This Row],[produccion]],supplementary_offering_offeringid__4[[#This Row],[json]])</f>
        <v>{"981000104":{"legacyid":"810001-04","name":"SDP 2000TD-5D","mode":"N"}}</v>
      </c>
    </row>
    <row r="746" spans="1:11" x14ac:dyDescent="0.25">
      <c r="A746" s="61" t="s">
        <v>3558</v>
      </c>
      <c r="B746" t="s">
        <v>3557</v>
      </c>
      <c r="C746" t="str">
        <f>findKey(supplementary_offering_offeringid__4[[#This Row],[Value.legacyid]])</f>
        <v>810001-05</v>
      </c>
      <c r="D746" t="s">
        <v>6089</v>
      </c>
      <c r="E746" t="s">
        <v>2329</v>
      </c>
      <c r="H746" s="61"/>
      <c r="J746" t="str">
        <f>ToJsonArray(supplementary_offering_offeringid__4[[#Headers],[legacyid]:[activityId]],supplementary_offering_offeringid__4[[#This Row],[legacyid]:[activityId]])</f>
        <v>{"legacyid":"810001-05","name":"SDP 90000TD-2D","mode":"N"}</v>
      </c>
      <c r="K746" t="str">
        <f>ToJsonArray(supplementary_offering_offeringid__4[[#This Row],[produccion]],supplementary_offering_offeringid__4[[#This Row],[json]])</f>
        <v>{"981000105":{"legacyid":"810001-05","name":"SDP 90000TD-2D","mode":"N"}}</v>
      </c>
    </row>
    <row r="747" spans="1:11" x14ac:dyDescent="0.25">
      <c r="A747" s="61" t="s">
        <v>3561</v>
      </c>
      <c r="B747" t="s">
        <v>3560</v>
      </c>
      <c r="C747" t="str">
        <f>findKey(supplementary_offering_offeringid__4[[#This Row],[Value.legacyid]])</f>
        <v>810001-06</v>
      </c>
      <c r="D747" t="s">
        <v>6090</v>
      </c>
      <c r="E747" t="s">
        <v>2329</v>
      </c>
      <c r="H747" s="61"/>
      <c r="J747" t="str">
        <f>ToJsonArray(supplementary_offering_offeringid__4[[#Headers],[legacyid]:[activityId]],supplementary_offering_offeringid__4[[#This Row],[legacyid]:[activityId]])</f>
        <v>{"legacyid":"810001-06","name":"SDP 120000TD-2D","mode":"N"}</v>
      </c>
      <c r="K747" t="str">
        <f>ToJsonArray(supplementary_offering_offeringid__4[[#This Row],[produccion]],supplementary_offering_offeringid__4[[#This Row],[json]])</f>
        <v>{"981000106":{"legacyid":"810001-06","name":"SDP 120000TD-2D","mode":"N"}}</v>
      </c>
    </row>
    <row r="748" spans="1:11" x14ac:dyDescent="0.25">
      <c r="A748" s="61" t="s">
        <v>3564</v>
      </c>
      <c r="B748" t="s">
        <v>3563</v>
      </c>
      <c r="C748" t="str">
        <f>findKey(supplementary_offering_offeringid__4[[#This Row],[Value.legacyid]])</f>
        <v>810001-07</v>
      </c>
      <c r="D748" t="s">
        <v>6091</v>
      </c>
      <c r="E748" t="s">
        <v>2329</v>
      </c>
      <c r="H748" s="61"/>
      <c r="J748" t="str">
        <f>ToJsonArray(supplementary_offering_offeringid__4[[#Headers],[legacyid]:[activityId]],supplementary_offering_offeringid__4[[#This Row],[legacyid]:[activityId]])</f>
        <v>{"legacyid":"810001-07","name":"SDP 180000TD-3D","mode":"N"}</v>
      </c>
      <c r="K748" t="str">
        <f>ToJsonArray(supplementary_offering_offeringid__4[[#This Row],[produccion]],supplementary_offering_offeringid__4[[#This Row],[json]])</f>
        <v>{"981000107":{"legacyid":"810001-07","name":"SDP 180000TD-3D","mode":"N"}}</v>
      </c>
    </row>
    <row r="749" spans="1:11" x14ac:dyDescent="0.25">
      <c r="A749" s="61" t="s">
        <v>3567</v>
      </c>
      <c r="B749" t="s">
        <v>3566</v>
      </c>
      <c r="C749" t="str">
        <f>findKey(supplementary_offering_offeringid__4[[#This Row],[Value.legacyid]])</f>
        <v>810001-08</v>
      </c>
      <c r="D749" t="s">
        <v>6092</v>
      </c>
      <c r="E749" t="s">
        <v>2329</v>
      </c>
      <c r="H749" s="61"/>
      <c r="J749" t="str">
        <f>ToJsonArray(supplementary_offering_offeringid__4[[#Headers],[legacyid]:[activityId]],supplementary_offering_offeringid__4[[#This Row],[legacyid]:[activityId]])</f>
        <v>{"legacyid":"810001-08","name":"SDP 240000TD-3D","mode":"N"}</v>
      </c>
      <c r="K749" t="str">
        <f>ToJsonArray(supplementary_offering_offeringid__4[[#This Row],[produccion]],supplementary_offering_offeringid__4[[#This Row],[json]])</f>
        <v>{"981000108":{"legacyid":"810001-08","name":"SDP 240000TD-3D","mode":"N"}}</v>
      </c>
    </row>
    <row r="750" spans="1:11" x14ac:dyDescent="0.25">
      <c r="A750" s="61" t="s">
        <v>3570</v>
      </c>
      <c r="B750" t="s">
        <v>3569</v>
      </c>
      <c r="C750" t="str">
        <f>findKey(supplementary_offering_offeringid__4[[#This Row],[Value.legacyid]])</f>
        <v>810001-09</v>
      </c>
      <c r="D750" t="s">
        <v>6093</v>
      </c>
      <c r="E750" t="s">
        <v>2329</v>
      </c>
      <c r="H750" s="61"/>
      <c r="J750" t="str">
        <f>ToJsonArray(supplementary_offering_offeringid__4[[#Headers],[legacyid]:[activityId]],supplementary_offering_offeringid__4[[#This Row],[legacyid]:[activityId]])</f>
        <v>{"legacyid":"810001-09","name":"SDP 300000TD-3D","mode":"N"}</v>
      </c>
      <c r="K750" t="str">
        <f>ToJsonArray(supplementary_offering_offeringid__4[[#This Row],[produccion]],supplementary_offering_offeringid__4[[#This Row],[json]])</f>
        <v>{"981000109":{"legacyid":"810001-09","name":"SDP 300000TD-3D","mode":"N"}}</v>
      </c>
    </row>
    <row r="751" spans="1:11" x14ac:dyDescent="0.25">
      <c r="A751" s="61" t="s">
        <v>3573</v>
      </c>
      <c r="B751" t="s">
        <v>3572</v>
      </c>
      <c r="C751" t="str">
        <f>findKey(supplementary_offering_offeringid__4[[#This Row],[Value.legacyid]])</f>
        <v>810001-10</v>
      </c>
      <c r="D751" t="s">
        <v>6094</v>
      </c>
      <c r="E751" t="s">
        <v>2329</v>
      </c>
      <c r="H751" s="61"/>
      <c r="J751" t="str">
        <f>ToJsonArray(supplementary_offering_offeringid__4[[#Headers],[legacyid]:[activityId]],supplementary_offering_offeringid__4[[#This Row],[legacyid]:[activityId]])</f>
        <v>{"legacyid":"810001-10","name":"SDP 600000TD-5D","mode":"N"}</v>
      </c>
      <c r="K751" t="str">
        <f>ToJsonArray(supplementary_offering_offeringid__4[[#This Row],[produccion]],supplementary_offering_offeringid__4[[#This Row],[json]])</f>
        <v>{"981000110":{"legacyid":"810001-10","name":"SDP 600000TD-5D","mode":"N"}}</v>
      </c>
    </row>
    <row r="752" spans="1:11" x14ac:dyDescent="0.25">
      <c r="A752" s="61" t="s">
        <v>3576</v>
      </c>
      <c r="B752" t="s">
        <v>3575</v>
      </c>
      <c r="C752" t="str">
        <f>findKey(supplementary_offering_offeringid__4[[#This Row],[Value.legacyid]])</f>
        <v>810001-11</v>
      </c>
      <c r="D752" t="s">
        <v>6095</v>
      </c>
      <c r="E752" t="s">
        <v>2329</v>
      </c>
      <c r="H752" s="61"/>
      <c r="J752" t="str">
        <f>ToJsonArray(supplementary_offering_offeringid__4[[#Headers],[legacyid]:[activityId]],supplementary_offering_offeringid__4[[#This Row],[legacyid]:[activityId]])</f>
        <v>{"legacyid":"810001-11","name":"SDP 10000TD-5D","mode":"N"}</v>
      </c>
      <c r="K752" t="str">
        <f>ToJsonArray(supplementary_offering_offeringid__4[[#This Row],[produccion]],supplementary_offering_offeringid__4[[#This Row],[json]])</f>
        <v>{"981000111":{"legacyid":"810001-11","name":"SDP 10000TD-5D","mode":"N"}}</v>
      </c>
    </row>
    <row r="753" spans="1:11" x14ac:dyDescent="0.25">
      <c r="A753" s="61" t="s">
        <v>3579</v>
      </c>
      <c r="B753" t="s">
        <v>3578</v>
      </c>
      <c r="C753" t="str">
        <f>findKey(supplementary_offering_offeringid__4[[#This Row],[Value.legacyid]])</f>
        <v>810001-12</v>
      </c>
      <c r="D753" t="s">
        <v>6096</v>
      </c>
      <c r="E753" t="s">
        <v>2329</v>
      </c>
      <c r="H753" s="61"/>
      <c r="J753" t="str">
        <f>ToJsonArray(supplementary_offering_offeringid__4[[#Headers],[legacyid]:[activityId]],supplementary_offering_offeringid__4[[#This Row],[legacyid]:[activityId]])</f>
        <v>{"legacyid":"810001-12","name":"SDP 5000TD-3D","mode":"N"}</v>
      </c>
      <c r="K753" t="str">
        <f>ToJsonArray(supplementary_offering_offeringid__4[[#This Row],[produccion]],supplementary_offering_offeringid__4[[#This Row],[json]])</f>
        <v>{"981000112":{"legacyid":"810001-12","name":"SDP 5000TD-3D","mode":"N"}}</v>
      </c>
    </row>
    <row r="754" spans="1:11" x14ac:dyDescent="0.25">
      <c r="A754" s="61" t="s">
        <v>3582</v>
      </c>
      <c r="B754" t="s">
        <v>3581</v>
      </c>
      <c r="C754" t="str">
        <f>findKey(supplementary_offering_offeringid__4[[#This Row],[Value.legacyid]])</f>
        <v>810001-13</v>
      </c>
      <c r="D754" t="s">
        <v>6097</v>
      </c>
      <c r="E754" t="s">
        <v>2329</v>
      </c>
      <c r="H754" s="61"/>
      <c r="J754" t="str">
        <f>ToJsonArray(supplementary_offering_offeringid__4[[#Headers],[legacyid]:[activityId]],supplementary_offering_offeringid__4[[#This Row],[legacyid]:[activityId]])</f>
        <v>{"legacyid":"810001-13","name":"SDP 4000TD-3D","mode":"N"}</v>
      </c>
      <c r="K754" t="str">
        <f>ToJsonArray(supplementary_offering_offeringid__4[[#This Row],[produccion]],supplementary_offering_offeringid__4[[#This Row],[json]])</f>
        <v>{"981000113":{"legacyid":"810001-13","name":"SDP 4000TD-3D","mode":"N"}}</v>
      </c>
    </row>
    <row r="755" spans="1:11" x14ac:dyDescent="0.25">
      <c r="A755" s="61" t="s">
        <v>3585</v>
      </c>
      <c r="B755" t="s">
        <v>3584</v>
      </c>
      <c r="C755" t="str">
        <f>findKey(supplementary_offering_offeringid__4[[#This Row],[Value.legacyid]])</f>
        <v>810001-14</v>
      </c>
      <c r="D755" t="s">
        <v>6098</v>
      </c>
      <c r="E755" t="s">
        <v>2329</v>
      </c>
      <c r="H755" s="61"/>
      <c r="J755" t="str">
        <f>ToJsonArray(supplementary_offering_offeringid__4[[#Headers],[legacyid]:[activityId]],supplementary_offering_offeringid__4[[#This Row],[legacyid]:[activityId]])</f>
        <v>{"legacyid":"810001-14","name":"SDP 3000TD-3D","mode":"N"}</v>
      </c>
      <c r="K755" t="str">
        <f>ToJsonArray(supplementary_offering_offeringid__4[[#This Row],[produccion]],supplementary_offering_offeringid__4[[#This Row],[json]])</f>
        <v>{"981000114":{"legacyid":"810001-14","name":"SDP 3000TD-3D","mode":"N"}}</v>
      </c>
    </row>
    <row r="756" spans="1:11" x14ac:dyDescent="0.25">
      <c r="A756" s="61" t="s">
        <v>3588</v>
      </c>
      <c r="B756" t="s">
        <v>3587</v>
      </c>
      <c r="C756" t="str">
        <f>findKey(supplementary_offering_offeringid__4[[#This Row],[Value.legacyid]])</f>
        <v>810001-15</v>
      </c>
      <c r="D756" t="s">
        <v>6099</v>
      </c>
      <c r="E756" t="s">
        <v>2329</v>
      </c>
      <c r="H756" s="61"/>
      <c r="J756" t="str">
        <f>ToJsonArray(supplementary_offering_offeringid__4[[#Headers],[legacyid]:[activityId]],supplementary_offering_offeringid__4[[#This Row],[legacyid]:[activityId]])</f>
        <v>{"legacyid":"810001-15","name":"SDP 1500TD-2D","mode":"N"}</v>
      </c>
      <c r="K756" t="str">
        <f>ToJsonArray(supplementary_offering_offeringid__4[[#This Row],[produccion]],supplementary_offering_offeringid__4[[#This Row],[json]])</f>
        <v>{"981000115":{"legacyid":"810001-15","name":"SDP 1500TD-2D","mode":"N"}}</v>
      </c>
    </row>
    <row r="757" spans="1:11" x14ac:dyDescent="0.25">
      <c r="A757" s="61" t="s">
        <v>3591</v>
      </c>
      <c r="B757" t="s">
        <v>3590</v>
      </c>
      <c r="C757" t="str">
        <f>findKey(supplementary_offering_offeringid__4[[#This Row],[Value.legacyid]])</f>
        <v>810001-16</v>
      </c>
      <c r="D757" t="s">
        <v>6100</v>
      </c>
      <c r="E757" t="s">
        <v>2329</v>
      </c>
      <c r="H757" s="61"/>
      <c r="J757" t="str">
        <f>ToJsonArray(supplementary_offering_offeringid__4[[#Headers],[legacyid]:[activityId]],supplementary_offering_offeringid__4[[#This Row],[legacyid]:[activityId]])</f>
        <v>{"legacyid":"810001-16","name":"SDP 2000TD-2D","mode":"N"}</v>
      </c>
      <c r="K757" t="str">
        <f>ToJsonArray(supplementary_offering_offeringid__4[[#This Row],[produccion]],supplementary_offering_offeringid__4[[#This Row],[json]])</f>
        <v>{"981000116":{"legacyid":"810001-16","name":"SDP 2000TD-2D","mode":"N"}}</v>
      </c>
    </row>
    <row r="758" spans="1:11" x14ac:dyDescent="0.25">
      <c r="A758" s="61" t="s">
        <v>4855</v>
      </c>
      <c r="B758" t="s">
        <v>4854</v>
      </c>
      <c r="C758" t="str">
        <f>findKey(supplementary_offering_offeringid__4[[#This Row],[Value.legacyid]])</f>
        <v>810003-02</v>
      </c>
      <c r="D758" t="s">
        <v>6101</v>
      </c>
      <c r="E758" t="s">
        <v>2329</v>
      </c>
      <c r="H758" s="61"/>
      <c r="J758" t="str">
        <f>ToJsonArray(supplementary_offering_offeringid__4[[#Headers],[legacyid]:[activityId]],supplementary_offering_offeringid__4[[#This Row],[legacyid]:[activityId]])</f>
        <v>{"legacyid":"810003-02","name":"SDP 200SMS-5D","mode":"N"}</v>
      </c>
      <c r="K758" t="str">
        <f>ToJsonArray(supplementary_offering_offeringid__4[[#This Row],[produccion]],supplementary_offering_offeringid__4[[#This Row],[json]])</f>
        <v>{"981000302":{"legacyid":"810003-02","name":"SDP 200SMS-5D","mode":"N"}}</v>
      </c>
    </row>
    <row r="759" spans="1:11" x14ac:dyDescent="0.25">
      <c r="A759" s="61" t="s">
        <v>3594</v>
      </c>
      <c r="B759" t="s">
        <v>3593</v>
      </c>
      <c r="C759" t="str">
        <f>findKey(supplementary_offering_offeringid__4[[#This Row],[Value.legacyid]])</f>
        <v>810003-03</v>
      </c>
      <c r="D759" t="s">
        <v>6102</v>
      </c>
      <c r="E759" t="s">
        <v>2329</v>
      </c>
      <c r="H759" s="61"/>
      <c r="J759" t="str">
        <f>ToJsonArray(supplementary_offering_offeringid__4[[#Headers],[legacyid]:[activityId]],supplementary_offering_offeringid__4[[#This Row],[legacyid]:[activityId]])</f>
        <v>{"legacyid":"810003-03","name":"SDP 100000SMS-2D","mode":"N"}</v>
      </c>
      <c r="K759" t="str">
        <f>ToJsonArray(supplementary_offering_offeringid__4[[#This Row],[produccion]],supplementary_offering_offeringid__4[[#This Row],[json]])</f>
        <v>{"981000303":{"legacyid":"810003-03","name":"SDP 100000SMS-2D","mode":"N"}}</v>
      </c>
    </row>
    <row r="760" spans="1:11" x14ac:dyDescent="0.25">
      <c r="A760" s="61" t="s">
        <v>3597</v>
      </c>
      <c r="B760" t="s">
        <v>3596</v>
      </c>
      <c r="C760" t="str">
        <f>findKey(supplementary_offering_offeringid__4[[#This Row],[Value.legacyid]])</f>
        <v>810003-04</v>
      </c>
      <c r="D760" t="s">
        <v>6103</v>
      </c>
      <c r="E760" t="s">
        <v>2329</v>
      </c>
      <c r="H760" s="61"/>
      <c r="J760" t="str">
        <f>ToJsonArray(supplementary_offering_offeringid__4[[#Headers],[legacyid]:[activityId]],supplementary_offering_offeringid__4[[#This Row],[legacyid]:[activityId]])</f>
        <v>{"legacyid":"810003-04","name":"SDP 100000SMS-3D","mode":"N"}</v>
      </c>
      <c r="K760" t="str">
        <f>ToJsonArray(supplementary_offering_offeringid__4[[#This Row],[produccion]],supplementary_offering_offeringid__4[[#This Row],[json]])</f>
        <v>{"981000304":{"legacyid":"810003-04","name":"SDP 100000SMS-3D","mode":"N"}}</v>
      </c>
    </row>
    <row r="761" spans="1:11" x14ac:dyDescent="0.25">
      <c r="A761" s="61" t="s">
        <v>3600</v>
      </c>
      <c r="B761" t="s">
        <v>3599</v>
      </c>
      <c r="C761" t="str">
        <f>findKey(supplementary_offering_offeringid__4[[#This Row],[Value.legacyid]])</f>
        <v>810003-05</v>
      </c>
      <c r="D761" t="s">
        <v>6104</v>
      </c>
      <c r="E761" t="s">
        <v>2329</v>
      </c>
      <c r="H761" s="61"/>
      <c r="J761" t="str">
        <f>ToJsonArray(supplementary_offering_offeringid__4[[#Headers],[legacyid]:[activityId]],supplementary_offering_offeringid__4[[#This Row],[legacyid]:[activityId]])</f>
        <v>{"legacyid":"810003-05","name":"SDP 100000SMS-5D","mode":"N"}</v>
      </c>
      <c r="K761" t="str">
        <f>ToJsonArray(supplementary_offering_offeringid__4[[#This Row],[produccion]],supplementary_offering_offeringid__4[[#This Row],[json]])</f>
        <v>{"981000305":{"legacyid":"810003-05","name":"SDP 100000SMS-5D","mode":"N"}}</v>
      </c>
    </row>
    <row r="762" spans="1:11" x14ac:dyDescent="0.25">
      <c r="A762" s="61" t="s">
        <v>3603</v>
      </c>
      <c r="B762" t="s">
        <v>3602</v>
      </c>
      <c r="C762" t="str">
        <f>findKey(supplementary_offering_offeringid__4[[#This Row],[Value.legacyid]])</f>
        <v>810003-06</v>
      </c>
      <c r="D762" t="s">
        <v>6105</v>
      </c>
      <c r="E762" t="s">
        <v>2329</v>
      </c>
      <c r="H762" s="61"/>
      <c r="J762" t="str">
        <f>ToJsonArray(supplementary_offering_offeringid__4[[#Headers],[legacyid]:[activityId]],supplementary_offering_offeringid__4[[#This Row],[legacyid]:[activityId]])</f>
        <v>{"legacyid":"810003-06","name":"SDP UnlimitedSMS-3D","mode":"N"}</v>
      </c>
      <c r="K762" t="str">
        <f>ToJsonArray(supplementary_offering_offeringid__4[[#This Row],[produccion]],supplementary_offering_offeringid__4[[#This Row],[json]])</f>
        <v>{"981000306":{"legacyid":"810003-06","name":"SDP UnlimitedSMS-3D","mode":"N"}}</v>
      </c>
    </row>
    <row r="763" spans="1:11" x14ac:dyDescent="0.25">
      <c r="A763" s="61" t="s">
        <v>3606</v>
      </c>
      <c r="B763" t="s">
        <v>3605</v>
      </c>
      <c r="C763" t="str">
        <f>findKey(supplementary_offering_offeringid__4[[#This Row],[Value.legacyid]])</f>
        <v>810003-07</v>
      </c>
      <c r="D763" t="s">
        <v>6106</v>
      </c>
      <c r="E763" t="s">
        <v>2329</v>
      </c>
      <c r="H763" s="61"/>
      <c r="J763" t="str">
        <f>ToJsonArray(supplementary_offering_offeringid__4[[#Headers],[legacyid]:[activityId]],supplementary_offering_offeringid__4[[#This Row],[legacyid]:[activityId]])</f>
        <v>{"legacyid":"810003-07","name":"SDP UnlimitedSMS-2D","mode":"N"}</v>
      </c>
      <c r="K763" t="str">
        <f>ToJsonArray(supplementary_offering_offeringid__4[[#This Row],[produccion]],supplementary_offering_offeringid__4[[#This Row],[json]])</f>
        <v>{"981000307":{"legacyid":"810003-07","name":"SDP UnlimitedSMS-2D","mode":"N"}}</v>
      </c>
    </row>
    <row r="764" spans="1:11" x14ac:dyDescent="0.25">
      <c r="A764" s="61" t="s">
        <v>3609</v>
      </c>
      <c r="B764" t="s">
        <v>3608</v>
      </c>
      <c r="C764" t="str">
        <f>findKey(supplementary_offering_offeringid__4[[#This Row],[Value.legacyid]])</f>
        <v>810003-08</v>
      </c>
      <c r="D764" t="s">
        <v>6107</v>
      </c>
      <c r="E764" t="s">
        <v>2329</v>
      </c>
      <c r="H764" s="61"/>
      <c r="J764" t="str">
        <f>ToJsonArray(supplementary_offering_offeringid__4[[#Headers],[legacyid]:[activityId]],supplementary_offering_offeringid__4[[#This Row],[legacyid]:[activityId]])</f>
        <v>{"legacyid":"810003-08","name":"SDP UnlimitedSMS-5D","mode":"N"}</v>
      </c>
      <c r="K764" t="str">
        <f>ToJsonArray(supplementary_offering_offeringid__4[[#This Row],[produccion]],supplementary_offering_offeringid__4[[#This Row],[json]])</f>
        <v>{"981000308":{"legacyid":"810003-08","name":"SDP UnlimitedSMS-5D","mode":"N"}}</v>
      </c>
    </row>
    <row r="765" spans="1:11" x14ac:dyDescent="0.25">
      <c r="A765" s="61" t="s">
        <v>4858</v>
      </c>
      <c r="B765" t="s">
        <v>4857</v>
      </c>
      <c r="C765" t="str">
        <f>findKey(supplementary_offering_offeringid__4[[#This Row],[Value.legacyid]])</f>
        <v>810004-01</v>
      </c>
      <c r="D765" t="s">
        <v>6108</v>
      </c>
      <c r="E765" t="s">
        <v>2329</v>
      </c>
      <c r="H765" s="61"/>
      <c r="J765" t="str">
        <f>ToJsonArray(supplementary_offering_offeringid__4[[#Headers],[legacyid]:[activityId]],supplementary_offering_offeringid__4[[#This Row],[legacyid]:[activityId]])</f>
        <v>{"legacyid":"810004-01","name":"SDP CUGV-2D","mode":"N"}</v>
      </c>
      <c r="K765" t="str">
        <f>ToJsonArray(supplementary_offering_offeringid__4[[#This Row],[produccion]],supplementary_offering_offeringid__4[[#This Row],[json]])</f>
        <v>{"981000401":{"legacyid":"810004-01","name":"SDP CUGV-2D","mode":"N"}}</v>
      </c>
    </row>
    <row r="766" spans="1:11" x14ac:dyDescent="0.25">
      <c r="A766" s="61" t="s">
        <v>4861</v>
      </c>
      <c r="B766" t="s">
        <v>4860</v>
      </c>
      <c r="C766" t="str">
        <f>findKey(supplementary_offering_offeringid__4[[#This Row],[Value.legacyid]])</f>
        <v>810004-05</v>
      </c>
      <c r="D766" t="s">
        <v>6109</v>
      </c>
      <c r="E766" t="s">
        <v>2329</v>
      </c>
      <c r="H766" s="61"/>
      <c r="J766" t="str">
        <f>ToJsonArray(supplementary_offering_offeringid__4[[#Headers],[legacyid]:[activityId]],supplementary_offering_offeringid__4[[#This Row],[legacyid]:[activityId]])</f>
        <v>{"legacyid":"810004-05","name":"SDP CUGV-5D","mode":"N"}</v>
      </c>
      <c r="K766" t="str">
        <f>ToJsonArray(supplementary_offering_offeringid__4[[#This Row],[produccion]],supplementary_offering_offeringid__4[[#This Row],[json]])</f>
        <v>{"981000405":{"legacyid":"810004-05","name":"SDP CUGV-5D","mode":"N"}}</v>
      </c>
    </row>
    <row r="767" spans="1:11" x14ac:dyDescent="0.25">
      <c r="A767" s="61" t="s">
        <v>4864</v>
      </c>
      <c r="B767" t="s">
        <v>4863</v>
      </c>
      <c r="C767" t="str">
        <f>findKey(supplementary_offering_offeringid__4[[#This Row],[Value.legacyid]])</f>
        <v>810004-07</v>
      </c>
      <c r="D767" t="s">
        <v>6110</v>
      </c>
      <c r="E767" t="s">
        <v>2329</v>
      </c>
      <c r="H767" s="61"/>
      <c r="J767" t="str">
        <f>ToJsonArray(supplementary_offering_offeringid__4[[#Headers],[legacyid]:[activityId]],supplementary_offering_offeringid__4[[#This Row],[legacyid]:[activityId]])</f>
        <v>{"legacyid":"810004-07","name":"SDP CUGV-3D","mode":"N"}</v>
      </c>
      <c r="K767" t="str">
        <f>ToJsonArray(supplementary_offering_offeringid__4[[#This Row],[produccion]],supplementary_offering_offeringid__4[[#This Row],[json]])</f>
        <v>{"981000407":{"legacyid":"810004-07","name":"SDP CUGV-3D","mode":"N"}}</v>
      </c>
    </row>
    <row r="768" spans="1:11" x14ac:dyDescent="0.25">
      <c r="A768" s="61" t="s">
        <v>4867</v>
      </c>
      <c r="B768" t="s">
        <v>4866</v>
      </c>
      <c r="C768" t="str">
        <f>findKey(supplementary_offering_offeringid__4[[#This Row],[Value.legacyid]])</f>
        <v>810004-09</v>
      </c>
      <c r="D768" t="s">
        <v>6111</v>
      </c>
      <c r="E768" t="s">
        <v>2329</v>
      </c>
      <c r="H768" s="61"/>
      <c r="J768" t="str">
        <f>ToJsonArray(supplementary_offering_offeringid__4[[#Headers],[legacyid]:[activityId]],supplementary_offering_offeringid__4[[#This Row],[legacyid]:[activityId]])</f>
        <v>{"legacyid":"810004-09","name":"CUG-4D","mode":"N"}</v>
      </c>
      <c r="K768" t="str">
        <f>ToJsonArray(supplementary_offering_offeringid__4[[#This Row],[produccion]],supplementary_offering_offeringid__4[[#This Row],[json]])</f>
        <v>{"981000409":{"legacyid":"810004-09","name":"CUG-4D","mode":"N"}}</v>
      </c>
    </row>
    <row r="769" spans="1:11" x14ac:dyDescent="0.25">
      <c r="A769" s="61" t="s">
        <v>4870</v>
      </c>
      <c r="B769" t="s">
        <v>4869</v>
      </c>
      <c r="C769" t="str">
        <f>findKey(supplementary_offering_offeringid__4[[#This Row],[Value.legacyid]])</f>
        <v>810004-10</v>
      </c>
      <c r="D769" t="s">
        <v>6111</v>
      </c>
      <c r="E769" t="s">
        <v>2329</v>
      </c>
      <c r="H769" s="61"/>
      <c r="J769" t="str">
        <f>ToJsonArray(supplementary_offering_offeringid__4[[#Headers],[legacyid]:[activityId]],supplementary_offering_offeringid__4[[#This Row],[legacyid]:[activityId]])</f>
        <v>{"legacyid":"810004-10","name":"CUG-4D","mode":"N"}</v>
      </c>
      <c r="K769" t="str">
        <f>ToJsonArray(supplementary_offering_offeringid__4[[#This Row],[produccion]],supplementary_offering_offeringid__4[[#This Row],[json]])</f>
        <v>{"981000410":{"legacyid":"810004-10","name":"CUG-4D","mode":"N"}}</v>
      </c>
    </row>
    <row r="770" spans="1:11" x14ac:dyDescent="0.25">
      <c r="A770" s="61" t="s">
        <v>3612</v>
      </c>
      <c r="B770" t="s">
        <v>3611</v>
      </c>
      <c r="C770" t="str">
        <f>findKey(supplementary_offering_offeringid__4[[#This Row],[Value.legacyid]])</f>
        <v>810004-11</v>
      </c>
      <c r="D770" t="s">
        <v>6111</v>
      </c>
      <c r="E770" t="s">
        <v>2329</v>
      </c>
      <c r="H770" s="61"/>
      <c r="J770" t="str">
        <f>ToJsonArray(supplementary_offering_offeringid__4[[#Headers],[legacyid]:[activityId]],supplementary_offering_offeringid__4[[#This Row],[legacyid]:[activityId]])</f>
        <v>{"legacyid":"810004-11","name":"CUG-4D","mode":"N"}</v>
      </c>
      <c r="K770" t="str">
        <f>ToJsonArray(supplementary_offering_offeringid__4[[#This Row],[produccion]],supplementary_offering_offeringid__4[[#This Row],[json]])</f>
        <v>{"981000411":{"legacyid":"810004-11","name":"CUG-4D","mode":"N"}}</v>
      </c>
    </row>
    <row r="771" spans="1:11" x14ac:dyDescent="0.25">
      <c r="A771" s="61" t="s">
        <v>4873</v>
      </c>
      <c r="B771" t="s">
        <v>4872</v>
      </c>
      <c r="C771" t="str">
        <f>findKey(supplementary_offering_offeringid__4[[#This Row],[Value.legacyid]])</f>
        <v>810004-12</v>
      </c>
      <c r="D771" t="s">
        <v>6112</v>
      </c>
      <c r="E771" t="s">
        <v>2329</v>
      </c>
      <c r="H771" s="61"/>
      <c r="J771" t="str">
        <f>ToJsonArray(supplementary_offering_offeringid__4[[#Headers],[legacyid]:[activityId]],supplementary_offering_offeringid__4[[#This Row],[legacyid]:[activityId]])</f>
        <v>{"legacyid":"810004-12","name":"CUG-3D","mode":"N"}</v>
      </c>
      <c r="K771" t="str">
        <f>ToJsonArray(supplementary_offering_offeringid__4[[#This Row],[produccion]],supplementary_offering_offeringid__4[[#This Row],[json]])</f>
        <v>{"981000412":{"legacyid":"810004-12","name":"CUG-3D","mode":"N"}}</v>
      </c>
    </row>
    <row r="772" spans="1:11" x14ac:dyDescent="0.25">
      <c r="A772" s="61" t="s">
        <v>3615</v>
      </c>
      <c r="B772" t="s">
        <v>3614</v>
      </c>
      <c r="C772" t="str">
        <f>findKey(supplementary_offering_offeringid__4[[#This Row],[Value.legacyid]])</f>
        <v>810004-13</v>
      </c>
      <c r="D772" t="s">
        <v>6111</v>
      </c>
      <c r="E772" t="s">
        <v>2329</v>
      </c>
      <c r="H772" s="61"/>
      <c r="J772" t="str">
        <f>ToJsonArray(supplementary_offering_offeringid__4[[#Headers],[legacyid]:[activityId]],supplementary_offering_offeringid__4[[#This Row],[legacyid]:[activityId]])</f>
        <v>{"legacyid":"810004-13","name":"CUG-4D","mode":"N"}</v>
      </c>
      <c r="K772" t="str">
        <f>ToJsonArray(supplementary_offering_offeringid__4[[#This Row],[produccion]],supplementary_offering_offeringid__4[[#This Row],[json]])</f>
        <v>{"981000413":{"legacyid":"810004-13","name":"CUG-4D","mode":"N"}}</v>
      </c>
    </row>
    <row r="773" spans="1:11" x14ac:dyDescent="0.25">
      <c r="A773" s="61" t="s">
        <v>3618</v>
      </c>
      <c r="B773" t="s">
        <v>3617</v>
      </c>
      <c r="C773" t="str">
        <f>findKey(supplementary_offering_offeringid__4[[#This Row],[Value.legacyid]])</f>
        <v>810004-14</v>
      </c>
      <c r="D773" t="s">
        <v>6113</v>
      </c>
      <c r="E773" t="s">
        <v>2329</v>
      </c>
      <c r="H773" s="61"/>
      <c r="J773" t="str">
        <f>ToJsonArray(supplementary_offering_offeringid__4[[#Headers],[legacyid]:[activityId]],supplementary_offering_offeringid__4[[#This Row],[legacyid]:[activityId]])</f>
        <v>{"legacyid":"810004-14","name":"CUG-2D","mode":"N"}</v>
      </c>
      <c r="K773" t="str">
        <f>ToJsonArray(supplementary_offering_offeringid__4[[#This Row],[produccion]],supplementary_offering_offeringid__4[[#This Row],[json]])</f>
        <v>{"981000414":{"legacyid":"810004-14","name":"CUG-2D","mode":"N"}}</v>
      </c>
    </row>
    <row r="774" spans="1:11" x14ac:dyDescent="0.25">
      <c r="A774" s="61" t="s">
        <v>3621</v>
      </c>
      <c r="B774" t="s">
        <v>3620</v>
      </c>
      <c r="C774" t="str">
        <f>findKey(supplementary_offering_offeringid__4[[#This Row],[Value.legacyid]])</f>
        <v>810004-15</v>
      </c>
      <c r="D774" t="s">
        <v>6113</v>
      </c>
      <c r="E774" t="s">
        <v>2329</v>
      </c>
      <c r="H774" s="61"/>
      <c r="J774" t="str">
        <f>ToJsonArray(supplementary_offering_offeringid__4[[#Headers],[legacyid]:[activityId]],supplementary_offering_offeringid__4[[#This Row],[legacyid]:[activityId]])</f>
        <v>{"legacyid":"810004-15","name":"CUG-2D","mode":"N"}</v>
      </c>
      <c r="K774" t="str">
        <f>ToJsonArray(supplementary_offering_offeringid__4[[#This Row],[produccion]],supplementary_offering_offeringid__4[[#This Row],[json]])</f>
        <v>{"981000415":{"legacyid":"810004-15","name":"CUG-2D","mode":"N"}}</v>
      </c>
    </row>
    <row r="775" spans="1:11" x14ac:dyDescent="0.25">
      <c r="A775" s="61" t="s">
        <v>3624</v>
      </c>
      <c r="B775" t="s">
        <v>3623</v>
      </c>
      <c r="C775" t="str">
        <f>findKey(supplementary_offering_offeringid__4[[#This Row],[Value.legacyid]])</f>
        <v>810004-16</v>
      </c>
      <c r="D775" t="s">
        <v>6113</v>
      </c>
      <c r="E775" t="s">
        <v>2329</v>
      </c>
      <c r="H775" s="61"/>
      <c r="J775" t="str">
        <f>ToJsonArray(supplementary_offering_offeringid__4[[#Headers],[legacyid]:[activityId]],supplementary_offering_offeringid__4[[#This Row],[legacyid]:[activityId]])</f>
        <v>{"legacyid":"810004-16","name":"CUG-2D","mode":"N"}</v>
      </c>
      <c r="K775" t="str">
        <f>ToJsonArray(supplementary_offering_offeringid__4[[#This Row],[produccion]],supplementary_offering_offeringid__4[[#This Row],[json]])</f>
        <v>{"981000416":{"legacyid":"810004-16","name":"CUG-2D","mode":"N"}}</v>
      </c>
    </row>
    <row r="776" spans="1:11" x14ac:dyDescent="0.25">
      <c r="A776" s="61" t="s">
        <v>3627</v>
      </c>
      <c r="B776" t="s">
        <v>3626</v>
      </c>
      <c r="C776" t="str">
        <f>findKey(supplementary_offering_offeringid__4[[#This Row],[Value.legacyid]])</f>
        <v>810004-17</v>
      </c>
      <c r="D776" t="s">
        <v>6113</v>
      </c>
      <c r="E776" t="s">
        <v>2329</v>
      </c>
      <c r="H776" s="61"/>
      <c r="J776" t="str">
        <f>ToJsonArray(supplementary_offering_offeringid__4[[#Headers],[legacyid]:[activityId]],supplementary_offering_offeringid__4[[#This Row],[legacyid]:[activityId]])</f>
        <v>{"legacyid":"810004-17","name":"CUG-2D","mode":"N"}</v>
      </c>
      <c r="K776" t="str">
        <f>ToJsonArray(supplementary_offering_offeringid__4[[#This Row],[produccion]],supplementary_offering_offeringid__4[[#This Row],[json]])</f>
        <v>{"981000417":{"legacyid":"810004-17","name":"CUG-2D","mode":"N"}}</v>
      </c>
    </row>
    <row r="777" spans="1:11" x14ac:dyDescent="0.25">
      <c r="A777" s="61" t="s">
        <v>3630</v>
      </c>
      <c r="B777" t="s">
        <v>3629</v>
      </c>
      <c r="C777" t="str">
        <f>findKey(supplementary_offering_offeringid__4[[#This Row],[Value.legacyid]])</f>
        <v>810004-18</v>
      </c>
      <c r="D777" t="s">
        <v>6112</v>
      </c>
      <c r="E777" t="s">
        <v>2329</v>
      </c>
      <c r="H777" s="61"/>
      <c r="J777" t="str">
        <f>ToJsonArray(supplementary_offering_offeringid__4[[#Headers],[legacyid]:[activityId]],supplementary_offering_offeringid__4[[#This Row],[legacyid]:[activityId]])</f>
        <v>{"legacyid":"810004-18","name":"CUG-3D","mode":"N"}</v>
      </c>
      <c r="K777" t="str">
        <f>ToJsonArray(supplementary_offering_offeringid__4[[#This Row],[produccion]],supplementary_offering_offeringid__4[[#This Row],[json]])</f>
        <v>{"981000418":{"legacyid":"810004-18","name":"CUG-3D","mode":"N"}}</v>
      </c>
    </row>
    <row r="778" spans="1:11" x14ac:dyDescent="0.25">
      <c r="A778" s="61" t="s">
        <v>3633</v>
      </c>
      <c r="B778" t="s">
        <v>3632</v>
      </c>
      <c r="C778" t="str">
        <f>findKey(supplementary_offering_offeringid__4[[#This Row],[Value.legacyid]])</f>
        <v>810004-19</v>
      </c>
      <c r="D778" t="s">
        <v>6111</v>
      </c>
      <c r="E778" t="s">
        <v>2329</v>
      </c>
      <c r="H778" s="61"/>
      <c r="J778" t="str">
        <f>ToJsonArray(supplementary_offering_offeringid__4[[#Headers],[legacyid]:[activityId]],supplementary_offering_offeringid__4[[#This Row],[legacyid]:[activityId]])</f>
        <v>{"legacyid":"810004-19","name":"CUG-4D","mode":"N"}</v>
      </c>
      <c r="K778" t="str">
        <f>ToJsonArray(supplementary_offering_offeringid__4[[#This Row],[produccion]],supplementary_offering_offeringid__4[[#This Row],[json]])</f>
        <v>{"981000419":{"legacyid":"810004-19","name":"CUG-4D","mode":"N"}}</v>
      </c>
    </row>
    <row r="779" spans="1:11" x14ac:dyDescent="0.25">
      <c r="A779" s="61" t="s">
        <v>3636</v>
      </c>
      <c r="B779" t="s">
        <v>3635</v>
      </c>
      <c r="C779" t="str">
        <f>findKey(supplementary_offering_offeringid__4[[#This Row],[Value.legacyid]])</f>
        <v>810004-20</v>
      </c>
      <c r="D779" t="s">
        <v>6111</v>
      </c>
      <c r="E779" t="s">
        <v>2329</v>
      </c>
      <c r="H779" s="61"/>
      <c r="J779" t="str">
        <f>ToJsonArray(supplementary_offering_offeringid__4[[#Headers],[legacyid]:[activityId]],supplementary_offering_offeringid__4[[#This Row],[legacyid]:[activityId]])</f>
        <v>{"legacyid":"810004-20","name":"CUG-4D","mode":"N"}</v>
      </c>
      <c r="K779" t="str">
        <f>ToJsonArray(supplementary_offering_offeringid__4[[#This Row],[produccion]],supplementary_offering_offeringid__4[[#This Row],[json]])</f>
        <v>{"981000420":{"legacyid":"810004-20","name":"CUG-4D","mode":"N"}}</v>
      </c>
    </row>
    <row r="780" spans="1:11" x14ac:dyDescent="0.25">
      <c r="A780" s="61" t="s">
        <v>3639</v>
      </c>
      <c r="B780" t="s">
        <v>3638</v>
      </c>
      <c r="C780" t="str">
        <f>findKey(supplementary_offering_offeringid__4[[#This Row],[Value.legacyid]])</f>
        <v>810004-21</v>
      </c>
      <c r="D780" t="s">
        <v>6114</v>
      </c>
      <c r="E780" t="s">
        <v>2329</v>
      </c>
      <c r="H780" s="61"/>
      <c r="J780" t="str">
        <f>ToJsonArray(supplementary_offering_offeringid__4[[#Headers],[legacyid]:[activityId]],supplementary_offering_offeringid__4[[#This Row],[legacyid]:[activityId]])</f>
        <v>{"legacyid":"810004-21","name":"CUG-5D","mode":"N"}</v>
      </c>
      <c r="K780" t="str">
        <f>ToJsonArray(supplementary_offering_offeringid__4[[#This Row],[produccion]],supplementary_offering_offeringid__4[[#This Row],[json]])</f>
        <v>{"981000421":{"legacyid":"810004-21","name":"CUG-5D","mode":"N"}}</v>
      </c>
    </row>
    <row r="781" spans="1:11" x14ac:dyDescent="0.25">
      <c r="A781" s="61" t="s">
        <v>4876</v>
      </c>
      <c r="B781" t="s">
        <v>4875</v>
      </c>
      <c r="C781" t="str">
        <f>findKey(supplementary_offering_offeringid__4[[#This Row],[Value.legacyid]])</f>
        <v>810004-22</v>
      </c>
      <c r="D781" t="s">
        <v>6114</v>
      </c>
      <c r="E781" t="s">
        <v>2329</v>
      </c>
      <c r="H781" s="61"/>
      <c r="J781" t="str">
        <f>ToJsonArray(supplementary_offering_offeringid__4[[#Headers],[legacyid]:[activityId]],supplementary_offering_offeringid__4[[#This Row],[legacyid]:[activityId]])</f>
        <v>{"legacyid":"810004-22","name":"CUG-5D","mode":"N"}</v>
      </c>
      <c r="K781" t="str">
        <f>ToJsonArray(supplementary_offering_offeringid__4[[#This Row],[produccion]],supplementary_offering_offeringid__4[[#This Row],[json]])</f>
        <v>{"981000422":{"legacyid":"810004-22","name":"CUG-5D","mode":"N"}}</v>
      </c>
    </row>
    <row r="782" spans="1:11" x14ac:dyDescent="0.25">
      <c r="A782" s="61" t="s">
        <v>3642</v>
      </c>
      <c r="B782" t="s">
        <v>3641</v>
      </c>
      <c r="C782" t="str">
        <f>findKey(supplementary_offering_offeringid__4[[#This Row],[Value.legacyid]])</f>
        <v>810004-23</v>
      </c>
      <c r="D782" t="s">
        <v>6111</v>
      </c>
      <c r="E782" t="s">
        <v>2329</v>
      </c>
      <c r="H782" s="61"/>
      <c r="J782" t="str">
        <f>ToJsonArray(supplementary_offering_offeringid__4[[#Headers],[legacyid]:[activityId]],supplementary_offering_offeringid__4[[#This Row],[legacyid]:[activityId]])</f>
        <v>{"legacyid":"810004-23","name":"CUG-4D","mode":"N"}</v>
      </c>
      <c r="K782" t="str">
        <f>ToJsonArray(supplementary_offering_offeringid__4[[#This Row],[produccion]],supplementary_offering_offeringid__4[[#This Row],[json]])</f>
        <v>{"981000423":{"legacyid":"810004-23","name":"CUG-4D","mode":"N"}}</v>
      </c>
    </row>
    <row r="783" spans="1:11" x14ac:dyDescent="0.25">
      <c r="A783" s="61" t="s">
        <v>4879</v>
      </c>
      <c r="B783" t="s">
        <v>4878</v>
      </c>
      <c r="C783" t="str">
        <f>findKey(supplementary_offering_offeringid__4[[#This Row],[Value.legacyid]])</f>
        <v>810004-24</v>
      </c>
      <c r="D783" t="s">
        <v>6114</v>
      </c>
      <c r="E783" t="s">
        <v>2329</v>
      </c>
      <c r="H783" s="61"/>
      <c r="J783" t="str">
        <f>ToJsonArray(supplementary_offering_offeringid__4[[#Headers],[legacyid]:[activityId]],supplementary_offering_offeringid__4[[#This Row],[legacyid]:[activityId]])</f>
        <v>{"legacyid":"810004-24","name":"CUG-5D","mode":"N"}</v>
      </c>
      <c r="K783" t="str">
        <f>ToJsonArray(supplementary_offering_offeringid__4[[#This Row],[produccion]],supplementary_offering_offeringid__4[[#This Row],[json]])</f>
        <v>{"981000424":{"legacyid":"810004-24","name":"CUG-5D","mode":"N"}}</v>
      </c>
    </row>
    <row r="784" spans="1:11" x14ac:dyDescent="0.25">
      <c r="A784" s="61" t="s">
        <v>4882</v>
      </c>
      <c r="B784" t="s">
        <v>4881</v>
      </c>
      <c r="C784" t="str">
        <f>findKey(supplementary_offering_offeringid__4[[#This Row],[Value.legacyid]])</f>
        <v>810004-25</v>
      </c>
      <c r="D784" t="s">
        <v>6114</v>
      </c>
      <c r="E784" t="s">
        <v>2329</v>
      </c>
      <c r="H784" s="61"/>
      <c r="J784" t="str">
        <f>ToJsonArray(supplementary_offering_offeringid__4[[#Headers],[legacyid]:[activityId]],supplementary_offering_offeringid__4[[#This Row],[legacyid]:[activityId]])</f>
        <v>{"legacyid":"810004-25","name":"CUG-5D","mode":"N"}</v>
      </c>
      <c r="K784" t="str">
        <f>ToJsonArray(supplementary_offering_offeringid__4[[#This Row],[produccion]],supplementary_offering_offeringid__4[[#This Row],[json]])</f>
        <v>{"981000425":{"legacyid":"810004-25","name":"CUG-5D","mode":"N"}}</v>
      </c>
    </row>
    <row r="785" spans="1:11" x14ac:dyDescent="0.25">
      <c r="A785" s="61" t="s">
        <v>3645</v>
      </c>
      <c r="B785" t="s">
        <v>3644</v>
      </c>
      <c r="C785" t="str">
        <f>findKey(supplementary_offering_offeringid__4[[#This Row],[Value.legacyid]])</f>
        <v>810004-26</v>
      </c>
      <c r="D785" t="s">
        <v>6115</v>
      </c>
      <c r="E785" t="s">
        <v>2329</v>
      </c>
      <c r="H785" s="61"/>
      <c r="J785" t="str">
        <f>ToJsonArray(supplementary_offering_offeringid__4[[#Headers],[legacyid]:[activityId]],supplementary_offering_offeringid__4[[#This Row],[legacyid]:[activityId]])</f>
        <v>{"legacyid":"810004-26","name":"SDP CUGV-6D","mode":"N"}</v>
      </c>
      <c r="K785" t="str">
        <f>ToJsonArray(supplementary_offering_offeringid__4[[#This Row],[produccion]],supplementary_offering_offeringid__4[[#This Row],[json]])</f>
        <v>{"981000426":{"legacyid":"810004-26","name":"SDP CUGV-6D","mode":"N"}}</v>
      </c>
    </row>
    <row r="786" spans="1:11" x14ac:dyDescent="0.25">
      <c r="A786" s="61" t="s">
        <v>4885</v>
      </c>
      <c r="B786" t="s">
        <v>4884</v>
      </c>
      <c r="C786" t="str">
        <f>findKey(supplementary_offering_offeringid__4[[#This Row],[Value.legacyid]])</f>
        <v>810004-27</v>
      </c>
      <c r="D786" t="s">
        <v>6111</v>
      </c>
      <c r="E786" t="s">
        <v>2329</v>
      </c>
      <c r="H786" s="61"/>
      <c r="J786" t="str">
        <f>ToJsonArray(supplementary_offering_offeringid__4[[#Headers],[legacyid]:[activityId]],supplementary_offering_offeringid__4[[#This Row],[legacyid]:[activityId]])</f>
        <v>{"legacyid":"810004-27","name":"CUG-4D","mode":"N"}</v>
      </c>
      <c r="K786" t="str">
        <f>ToJsonArray(supplementary_offering_offeringid__4[[#This Row],[produccion]],supplementary_offering_offeringid__4[[#This Row],[json]])</f>
        <v>{"981000427":{"legacyid":"810004-27","name":"CUG-4D","mode":"N"}}</v>
      </c>
    </row>
    <row r="787" spans="1:11" x14ac:dyDescent="0.25">
      <c r="A787" s="61" t="s">
        <v>3648</v>
      </c>
      <c r="B787" t="s">
        <v>3647</v>
      </c>
      <c r="C787" t="str">
        <f>findKey(supplementary_offering_offeringid__4[[#This Row],[Value.legacyid]])</f>
        <v>810004-28</v>
      </c>
      <c r="D787" t="s">
        <v>6111</v>
      </c>
      <c r="E787" t="s">
        <v>2329</v>
      </c>
      <c r="H787" s="61"/>
      <c r="J787" t="str">
        <f>ToJsonArray(supplementary_offering_offeringid__4[[#Headers],[legacyid]:[activityId]],supplementary_offering_offeringid__4[[#This Row],[legacyid]:[activityId]])</f>
        <v>{"legacyid":"810004-28","name":"CUG-4D","mode":"N"}</v>
      </c>
      <c r="K787" t="str">
        <f>ToJsonArray(supplementary_offering_offeringid__4[[#This Row],[produccion]],supplementary_offering_offeringid__4[[#This Row],[json]])</f>
        <v>{"981000428":{"legacyid":"810004-28","name":"CUG-4D","mode":"N"}}</v>
      </c>
    </row>
    <row r="788" spans="1:11" x14ac:dyDescent="0.25">
      <c r="A788" s="61" t="s">
        <v>4888</v>
      </c>
      <c r="B788" t="s">
        <v>4887</v>
      </c>
      <c r="C788" t="str">
        <f>findKey(supplementary_offering_offeringid__4[[#This Row],[Value.legacyid]])</f>
        <v>810004-29</v>
      </c>
      <c r="D788" t="s">
        <v>6114</v>
      </c>
      <c r="E788" t="s">
        <v>2329</v>
      </c>
      <c r="H788" s="61"/>
      <c r="J788" t="str">
        <f>ToJsonArray(supplementary_offering_offeringid__4[[#Headers],[legacyid]:[activityId]],supplementary_offering_offeringid__4[[#This Row],[legacyid]:[activityId]])</f>
        <v>{"legacyid":"810004-29","name":"CUG-5D","mode":"N"}</v>
      </c>
      <c r="K788" t="str">
        <f>ToJsonArray(supplementary_offering_offeringid__4[[#This Row],[produccion]],supplementary_offering_offeringid__4[[#This Row],[json]])</f>
        <v>{"981000429":{"legacyid":"810004-29","name":"CUG-5D","mode":"N"}}</v>
      </c>
    </row>
    <row r="789" spans="1:11" x14ac:dyDescent="0.25">
      <c r="A789" s="61" t="s">
        <v>3651</v>
      </c>
      <c r="B789" t="s">
        <v>3650</v>
      </c>
      <c r="C789" t="str">
        <f>findKey(supplementary_offering_offeringid__4[[#This Row],[Value.legacyid]])</f>
        <v>810004-30</v>
      </c>
      <c r="D789" t="s">
        <v>6114</v>
      </c>
      <c r="E789" t="s">
        <v>2329</v>
      </c>
      <c r="H789" s="61"/>
      <c r="J789" t="str">
        <f>ToJsonArray(supplementary_offering_offeringid__4[[#Headers],[legacyid]:[activityId]],supplementary_offering_offeringid__4[[#This Row],[legacyid]:[activityId]])</f>
        <v>{"legacyid":"810004-30","name":"CUG-5D","mode":"N"}</v>
      </c>
      <c r="K789" t="str">
        <f>ToJsonArray(supplementary_offering_offeringid__4[[#This Row],[produccion]],supplementary_offering_offeringid__4[[#This Row],[json]])</f>
        <v>{"981000430":{"legacyid":"810004-30","name":"CUG-5D","mode":"N"}}</v>
      </c>
    </row>
    <row r="790" spans="1:11" x14ac:dyDescent="0.25">
      <c r="A790" s="61" t="s">
        <v>3654</v>
      </c>
      <c r="B790" t="s">
        <v>3653</v>
      </c>
      <c r="C790" t="str">
        <f>findKey(supplementary_offering_offeringid__4[[#This Row],[Value.legacyid]])</f>
        <v>810004-33</v>
      </c>
      <c r="D790" t="s">
        <v>6111</v>
      </c>
      <c r="E790" t="s">
        <v>2329</v>
      </c>
      <c r="H790" s="61"/>
      <c r="J790" t="str">
        <f>ToJsonArray(supplementary_offering_offeringid__4[[#Headers],[legacyid]:[activityId]],supplementary_offering_offeringid__4[[#This Row],[legacyid]:[activityId]])</f>
        <v>{"legacyid":"810004-33","name":"CUG-4D","mode":"N"}</v>
      </c>
      <c r="K790" t="str">
        <f>ToJsonArray(supplementary_offering_offeringid__4[[#This Row],[produccion]],supplementary_offering_offeringid__4[[#This Row],[json]])</f>
        <v>{"981000433":{"legacyid":"810004-33","name":"CUG-4D","mode":"N"}}</v>
      </c>
    </row>
    <row r="791" spans="1:11" x14ac:dyDescent="0.25">
      <c r="A791" s="61" t="s">
        <v>3657</v>
      </c>
      <c r="B791" t="s">
        <v>3656</v>
      </c>
      <c r="C791" t="str">
        <f>findKey(supplementary_offering_offeringid__4[[#This Row],[Value.legacyid]])</f>
        <v>810004-34</v>
      </c>
      <c r="D791" t="s">
        <v>6111</v>
      </c>
      <c r="E791" t="s">
        <v>2329</v>
      </c>
      <c r="H791" s="61"/>
      <c r="J791" t="str">
        <f>ToJsonArray(supplementary_offering_offeringid__4[[#Headers],[legacyid]:[activityId]],supplementary_offering_offeringid__4[[#This Row],[legacyid]:[activityId]])</f>
        <v>{"legacyid":"810004-34","name":"CUG-4D","mode":"N"}</v>
      </c>
      <c r="K791" t="str">
        <f>ToJsonArray(supplementary_offering_offeringid__4[[#This Row],[produccion]],supplementary_offering_offeringid__4[[#This Row],[json]])</f>
        <v>{"981000434":{"legacyid":"810004-34","name":"CUG-4D","mode":"N"}}</v>
      </c>
    </row>
    <row r="792" spans="1:11" x14ac:dyDescent="0.25">
      <c r="A792" s="61" t="s">
        <v>3660</v>
      </c>
      <c r="B792" t="s">
        <v>3659</v>
      </c>
      <c r="C792" t="str">
        <f>findKey(supplementary_offering_offeringid__4[[#This Row],[Value.legacyid]])</f>
        <v>810004-35</v>
      </c>
      <c r="D792" t="s">
        <v>6114</v>
      </c>
      <c r="E792" t="s">
        <v>2329</v>
      </c>
      <c r="H792" s="61"/>
      <c r="J792" t="str">
        <f>ToJsonArray(supplementary_offering_offeringid__4[[#Headers],[legacyid]:[activityId]],supplementary_offering_offeringid__4[[#This Row],[legacyid]:[activityId]])</f>
        <v>{"legacyid":"810004-35","name":"CUG-5D","mode":"N"}</v>
      </c>
      <c r="K792" t="str">
        <f>ToJsonArray(supplementary_offering_offeringid__4[[#This Row],[produccion]],supplementary_offering_offeringid__4[[#This Row],[json]])</f>
        <v>{"981000435":{"legacyid":"810004-35","name":"CUG-5D","mode":"N"}}</v>
      </c>
    </row>
    <row r="793" spans="1:11" x14ac:dyDescent="0.25">
      <c r="A793" s="61" t="s">
        <v>3663</v>
      </c>
      <c r="B793" t="s">
        <v>3662</v>
      </c>
      <c r="C793" t="str">
        <f>findKey(supplementary_offering_offeringid__4[[#This Row],[Value.legacyid]])</f>
        <v>810004-36</v>
      </c>
      <c r="D793" t="s">
        <v>6114</v>
      </c>
      <c r="E793" t="s">
        <v>2329</v>
      </c>
      <c r="H793" s="61"/>
      <c r="J793" t="str">
        <f>ToJsonArray(supplementary_offering_offeringid__4[[#Headers],[legacyid]:[activityId]],supplementary_offering_offeringid__4[[#This Row],[legacyid]:[activityId]])</f>
        <v>{"legacyid":"810004-36","name":"CUG-5D","mode":"N"}</v>
      </c>
      <c r="K793" t="str">
        <f>ToJsonArray(supplementary_offering_offeringid__4[[#This Row],[produccion]],supplementary_offering_offeringid__4[[#This Row],[json]])</f>
        <v>{"981000436":{"legacyid":"810004-36","name":"CUG-5D","mode":"N"}}</v>
      </c>
    </row>
    <row r="794" spans="1:11" x14ac:dyDescent="0.25">
      <c r="A794" s="61" t="s">
        <v>3666</v>
      </c>
      <c r="B794" t="s">
        <v>3665</v>
      </c>
      <c r="C794" t="str">
        <f>findKey(supplementary_offering_offeringid__4[[#This Row],[Value.legacyid]])</f>
        <v>810004-59</v>
      </c>
      <c r="D794" t="s">
        <v>6116</v>
      </c>
      <c r="E794" t="s">
        <v>2329</v>
      </c>
      <c r="H794" s="61"/>
      <c r="J794" t="str">
        <f>ToJsonArray(supplementary_offering_offeringid__4[[#Headers],[legacyid]:[activityId]],supplementary_offering_offeringid__4[[#This Row],[legacyid]:[activityId]])</f>
        <v>{"legacyid":"810004-59","name":"CUG-4Fav","mode":"N"}</v>
      </c>
      <c r="K794" t="str">
        <f>ToJsonArray(supplementary_offering_offeringid__4[[#This Row],[produccion]],supplementary_offering_offeringid__4[[#This Row],[json]])</f>
        <v>{"981000459":{"legacyid":"810004-59","name":"CUG-4Fav","mode":"N"}}</v>
      </c>
    </row>
    <row r="795" spans="1:11" x14ac:dyDescent="0.25">
      <c r="A795" s="61" t="s">
        <v>3669</v>
      </c>
      <c r="B795" t="s">
        <v>3668</v>
      </c>
      <c r="C795" t="str">
        <f>findKey(supplementary_offering_offeringid__4[[#This Row],[Value.legacyid]])</f>
        <v>810004-60</v>
      </c>
      <c r="D795" t="s">
        <v>6116</v>
      </c>
      <c r="E795" t="s">
        <v>2329</v>
      </c>
      <c r="H795" s="61"/>
      <c r="J795" t="str">
        <f>ToJsonArray(supplementary_offering_offeringid__4[[#Headers],[legacyid]:[activityId]],supplementary_offering_offeringid__4[[#This Row],[legacyid]:[activityId]])</f>
        <v>{"legacyid":"810004-60","name":"CUG-4Fav","mode":"N"}</v>
      </c>
      <c r="K795" t="str">
        <f>ToJsonArray(supplementary_offering_offeringid__4[[#This Row],[produccion]],supplementary_offering_offeringid__4[[#This Row],[json]])</f>
        <v>{"981000460":{"legacyid":"810004-60","name":"CUG-4Fav","mode":"N"}}</v>
      </c>
    </row>
    <row r="796" spans="1:11" x14ac:dyDescent="0.25">
      <c r="A796" s="61" t="s">
        <v>3672</v>
      </c>
      <c r="B796" t="s">
        <v>3671</v>
      </c>
      <c r="C796" t="str">
        <f>findKey(supplementary_offering_offeringid__4[[#This Row],[Value.legacyid]])</f>
        <v>810004-61</v>
      </c>
      <c r="D796" t="s">
        <v>6117</v>
      </c>
      <c r="E796" t="s">
        <v>2329</v>
      </c>
      <c r="H796" s="61"/>
      <c r="J796" t="str">
        <f>ToJsonArray(supplementary_offering_offeringid__4[[#Headers],[legacyid]:[activityId]],supplementary_offering_offeringid__4[[#This Row],[legacyid]:[activityId]])</f>
        <v>{"legacyid":"810004-61","name":"CUG-5Fav","mode":"N"}</v>
      </c>
      <c r="K796" t="str">
        <f>ToJsonArray(supplementary_offering_offeringid__4[[#This Row],[produccion]],supplementary_offering_offeringid__4[[#This Row],[json]])</f>
        <v>{"981000461":{"legacyid":"810004-61","name":"CUG-5Fav","mode":"N"}}</v>
      </c>
    </row>
    <row r="797" spans="1:11" x14ac:dyDescent="0.25">
      <c r="A797" s="61" t="s">
        <v>3675</v>
      </c>
      <c r="B797" t="s">
        <v>3674</v>
      </c>
      <c r="C797" t="str">
        <f>findKey(supplementary_offering_offeringid__4[[#This Row],[Value.legacyid]])</f>
        <v>810004-62</v>
      </c>
      <c r="D797" t="s">
        <v>6117</v>
      </c>
      <c r="E797" t="s">
        <v>2329</v>
      </c>
      <c r="H797" s="61"/>
      <c r="J797" t="str">
        <f>ToJsonArray(supplementary_offering_offeringid__4[[#Headers],[legacyid]:[activityId]],supplementary_offering_offeringid__4[[#This Row],[legacyid]:[activityId]])</f>
        <v>{"legacyid":"810004-62","name":"CUG-5Fav","mode":"N"}</v>
      </c>
      <c r="K797" t="str">
        <f>ToJsonArray(supplementary_offering_offeringid__4[[#This Row],[produccion]],supplementary_offering_offeringid__4[[#This Row],[json]])</f>
        <v>{"981000462":{"legacyid":"810004-62","name":"CUG-5Fav","mode":"N"}}</v>
      </c>
    </row>
    <row r="798" spans="1:11" x14ac:dyDescent="0.25">
      <c r="A798" s="61" t="s">
        <v>3678</v>
      </c>
      <c r="B798" t="s">
        <v>3677</v>
      </c>
      <c r="C798" t="str">
        <f>findKey(supplementary_offering_offeringid__4[[#This Row],[Value.legacyid]])</f>
        <v>810004-63</v>
      </c>
      <c r="D798" t="s">
        <v>6118</v>
      </c>
      <c r="E798" t="s">
        <v>2329</v>
      </c>
      <c r="H798" s="61"/>
      <c r="J798" t="str">
        <f>ToJsonArray(supplementary_offering_offeringid__4[[#Headers],[legacyid]:[activityId]],supplementary_offering_offeringid__4[[#This Row],[legacyid]:[activityId]])</f>
        <v>{"legacyid":"810004-63","name":"CUG-2Fav","mode":"N"}</v>
      </c>
      <c r="K798" t="str">
        <f>ToJsonArray(supplementary_offering_offeringid__4[[#This Row],[produccion]],supplementary_offering_offeringid__4[[#This Row],[json]])</f>
        <v>{"981000463":{"legacyid":"810004-63","name":"CUG-2Fav","mode":"N"}}</v>
      </c>
    </row>
    <row r="799" spans="1:11" x14ac:dyDescent="0.25">
      <c r="A799" s="61" t="s">
        <v>3681</v>
      </c>
      <c r="B799" t="s">
        <v>3680</v>
      </c>
      <c r="C799" t="str">
        <f>findKey(supplementary_offering_offeringid__4[[#This Row],[Value.legacyid]])</f>
        <v>810004-64</v>
      </c>
      <c r="D799" t="s">
        <v>6116</v>
      </c>
      <c r="E799" t="s">
        <v>2329</v>
      </c>
      <c r="H799" s="61"/>
      <c r="J799" t="str">
        <f>ToJsonArray(supplementary_offering_offeringid__4[[#Headers],[legacyid]:[activityId]],supplementary_offering_offeringid__4[[#This Row],[legacyid]:[activityId]])</f>
        <v>{"legacyid":"810004-64","name":"CUG-4Fav","mode":"N"}</v>
      </c>
      <c r="K799" t="str">
        <f>ToJsonArray(supplementary_offering_offeringid__4[[#This Row],[produccion]],supplementary_offering_offeringid__4[[#This Row],[json]])</f>
        <v>{"981000464":{"legacyid":"810004-64","name":"CUG-4Fav","mode":"N"}}</v>
      </c>
    </row>
    <row r="800" spans="1:11" x14ac:dyDescent="0.25">
      <c r="A800" s="61" t="s">
        <v>3684</v>
      </c>
      <c r="B800" t="s">
        <v>3683</v>
      </c>
      <c r="C800" t="str">
        <f>findKey(supplementary_offering_offeringid__4[[#This Row],[Value.legacyid]])</f>
        <v>810004-65</v>
      </c>
      <c r="D800" t="s">
        <v>6119</v>
      </c>
      <c r="E800" t="s">
        <v>2329</v>
      </c>
      <c r="H800" s="61"/>
      <c r="J800" t="str">
        <f>ToJsonArray(supplementary_offering_offeringid__4[[#Headers],[legacyid]:[activityId]],supplementary_offering_offeringid__4[[#This Row],[legacyid]:[activityId]])</f>
        <v>{"legacyid":"810004-65","name":"CUG-3Fav","mode":"N"}</v>
      </c>
      <c r="K800" t="str">
        <f>ToJsonArray(supplementary_offering_offeringid__4[[#This Row],[produccion]],supplementary_offering_offeringid__4[[#This Row],[json]])</f>
        <v>{"981000465":{"legacyid":"810004-65","name":"CUG-3Fav","mode":"N"}}</v>
      </c>
    </row>
    <row r="801" spans="1:11" x14ac:dyDescent="0.25">
      <c r="A801" s="61" t="s">
        <v>3687</v>
      </c>
      <c r="B801" t="s">
        <v>3686</v>
      </c>
      <c r="C801" t="str">
        <f>findKey(supplementary_offering_offeringid__4[[#This Row],[Value.legacyid]])</f>
        <v>810004-66</v>
      </c>
      <c r="D801" t="s">
        <v>6117</v>
      </c>
      <c r="E801" t="s">
        <v>2329</v>
      </c>
      <c r="H801" s="61"/>
      <c r="J801" t="str">
        <f>ToJsonArray(supplementary_offering_offeringid__4[[#Headers],[legacyid]:[activityId]],supplementary_offering_offeringid__4[[#This Row],[legacyid]:[activityId]])</f>
        <v>{"legacyid":"810004-66","name":"CUG-5Fav","mode":"N"}</v>
      </c>
      <c r="K801" t="str">
        <f>ToJsonArray(supplementary_offering_offeringid__4[[#This Row],[produccion]],supplementary_offering_offeringid__4[[#This Row],[json]])</f>
        <v>{"981000466":{"legacyid":"810004-66","name":"CUG-5Fav","mode":"N"}}</v>
      </c>
    </row>
    <row r="802" spans="1:11" x14ac:dyDescent="0.25">
      <c r="A802" s="61" t="s">
        <v>3690</v>
      </c>
      <c r="B802" t="s">
        <v>3689</v>
      </c>
      <c r="C802" t="str">
        <f>findKey(supplementary_offering_offeringid__4[[#This Row],[Value.legacyid]])</f>
        <v>810004-67</v>
      </c>
      <c r="D802" t="s">
        <v>6111</v>
      </c>
      <c r="E802" t="s">
        <v>2329</v>
      </c>
      <c r="H802" s="61"/>
      <c r="J802" t="str">
        <f>ToJsonArray(supplementary_offering_offeringid__4[[#Headers],[legacyid]:[activityId]],supplementary_offering_offeringid__4[[#This Row],[legacyid]:[activityId]])</f>
        <v>{"legacyid":"810004-67","name":"CUG-4D","mode":"N"}</v>
      </c>
      <c r="K802" t="str">
        <f>ToJsonArray(supplementary_offering_offeringid__4[[#This Row],[produccion]],supplementary_offering_offeringid__4[[#This Row],[json]])</f>
        <v>{"981000467":{"legacyid":"810004-67","name":"CUG-4D","mode":"N"}}</v>
      </c>
    </row>
    <row r="803" spans="1:11" x14ac:dyDescent="0.25">
      <c r="A803" s="61" t="s">
        <v>3693</v>
      </c>
      <c r="B803" t="s">
        <v>3692</v>
      </c>
      <c r="C803" t="str">
        <f>findKey(supplementary_offering_offeringid__4[[#This Row],[Value.legacyid]])</f>
        <v>810004-68</v>
      </c>
      <c r="D803" t="s">
        <v>6114</v>
      </c>
      <c r="E803" t="s">
        <v>2329</v>
      </c>
      <c r="H803" s="61"/>
      <c r="J803" t="str">
        <f>ToJsonArray(supplementary_offering_offeringid__4[[#Headers],[legacyid]:[activityId]],supplementary_offering_offeringid__4[[#This Row],[legacyid]:[activityId]])</f>
        <v>{"legacyid":"810004-68","name":"CUG-5D","mode":"N"}</v>
      </c>
      <c r="K803" t="str">
        <f>ToJsonArray(supplementary_offering_offeringid__4[[#This Row],[produccion]],supplementary_offering_offeringid__4[[#This Row],[json]])</f>
        <v>{"981000468":{"legacyid":"810004-68","name":"CUG-5D","mode":"N"}}</v>
      </c>
    </row>
    <row r="804" spans="1:11" x14ac:dyDescent="0.25">
      <c r="A804" s="61" t="s">
        <v>3696</v>
      </c>
      <c r="B804" t="s">
        <v>3695</v>
      </c>
      <c r="C804" t="str">
        <f>findKey(supplementary_offering_offeringid__4[[#This Row],[Value.legacyid]])</f>
        <v>810004-69</v>
      </c>
      <c r="D804" t="s">
        <v>6120</v>
      </c>
      <c r="E804" t="s">
        <v>2329</v>
      </c>
      <c r="H804" s="61"/>
      <c r="J804" t="str">
        <f>ToJsonArray(supplementary_offering_offeringid__4[[#Headers],[legacyid]:[activityId]],supplementary_offering_offeringid__4[[#This Row],[legacyid]:[activityId]])</f>
        <v>{"legacyid":"810004-69","name":"CUG-6D","mode":"N"}</v>
      </c>
      <c r="K804" t="str">
        <f>ToJsonArray(supplementary_offering_offeringid__4[[#This Row],[produccion]],supplementary_offering_offeringid__4[[#This Row],[json]])</f>
        <v>{"981000469":{"legacyid":"810004-69","name":"CUG-6D","mode":"N"}}</v>
      </c>
    </row>
    <row r="805" spans="1:11" x14ac:dyDescent="0.25">
      <c r="A805" s="61" t="s">
        <v>3699</v>
      </c>
      <c r="B805" t="s">
        <v>3698</v>
      </c>
      <c r="C805" t="str">
        <f>findKey(supplementary_offering_offeringid__4[[#This Row],[Value.legacyid]])</f>
        <v>810004-70</v>
      </c>
      <c r="D805" t="s">
        <v>6111</v>
      </c>
      <c r="E805" t="s">
        <v>2329</v>
      </c>
      <c r="H805" s="61"/>
      <c r="J805" t="str">
        <f>ToJsonArray(supplementary_offering_offeringid__4[[#Headers],[legacyid]:[activityId]],supplementary_offering_offeringid__4[[#This Row],[legacyid]:[activityId]])</f>
        <v>{"legacyid":"810004-70","name":"CUG-4D","mode":"N"}</v>
      </c>
      <c r="K805" t="str">
        <f>ToJsonArray(supplementary_offering_offeringid__4[[#This Row],[produccion]],supplementary_offering_offeringid__4[[#This Row],[json]])</f>
        <v>{"981000470":{"legacyid":"810004-70","name":"CUG-4D","mode":"N"}}</v>
      </c>
    </row>
    <row r="806" spans="1:11" x14ac:dyDescent="0.25">
      <c r="A806" s="61" t="s">
        <v>3702</v>
      </c>
      <c r="B806" t="s">
        <v>3701</v>
      </c>
      <c r="C806" t="str">
        <f>findKey(supplementary_offering_offeringid__4[[#This Row],[Value.legacyid]])</f>
        <v>810004-71</v>
      </c>
      <c r="D806" t="s">
        <v>6111</v>
      </c>
      <c r="E806" t="s">
        <v>2329</v>
      </c>
      <c r="H806" s="61"/>
      <c r="J806" t="str">
        <f>ToJsonArray(supplementary_offering_offeringid__4[[#Headers],[legacyid]:[activityId]],supplementary_offering_offeringid__4[[#This Row],[legacyid]:[activityId]])</f>
        <v>{"legacyid":"810004-71","name":"CUG-4D","mode":"N"}</v>
      </c>
      <c r="K806" t="str">
        <f>ToJsonArray(supplementary_offering_offeringid__4[[#This Row],[produccion]],supplementary_offering_offeringid__4[[#This Row],[json]])</f>
        <v>{"981000471":{"legacyid":"810004-71","name":"CUG-4D","mode":"N"}}</v>
      </c>
    </row>
    <row r="807" spans="1:11" x14ac:dyDescent="0.25">
      <c r="A807" s="61" t="s">
        <v>3705</v>
      </c>
      <c r="B807" t="s">
        <v>3704</v>
      </c>
      <c r="C807" t="str">
        <f>findKey(supplementary_offering_offeringid__4[[#This Row],[Value.legacyid]])</f>
        <v>810004-72</v>
      </c>
      <c r="D807" t="s">
        <v>6114</v>
      </c>
      <c r="E807" t="s">
        <v>2329</v>
      </c>
      <c r="H807" s="61"/>
      <c r="J807" t="str">
        <f>ToJsonArray(supplementary_offering_offeringid__4[[#Headers],[legacyid]:[activityId]],supplementary_offering_offeringid__4[[#This Row],[legacyid]:[activityId]])</f>
        <v>{"legacyid":"810004-72","name":"CUG-5D","mode":"N"}</v>
      </c>
      <c r="K807" t="str">
        <f>ToJsonArray(supplementary_offering_offeringid__4[[#This Row],[produccion]],supplementary_offering_offeringid__4[[#This Row],[json]])</f>
        <v>{"981000472":{"legacyid":"810004-72","name":"CUG-5D","mode":"N"}}</v>
      </c>
    </row>
    <row r="808" spans="1:11" x14ac:dyDescent="0.25">
      <c r="A808" s="61" t="s">
        <v>3708</v>
      </c>
      <c r="B808" t="s">
        <v>3707</v>
      </c>
      <c r="C808" t="str">
        <f>findKey(supplementary_offering_offeringid__4[[#This Row],[Value.legacyid]])</f>
        <v>810004-73</v>
      </c>
      <c r="D808" t="s">
        <v>6116</v>
      </c>
      <c r="E808" t="s">
        <v>2329</v>
      </c>
      <c r="H808" s="61"/>
      <c r="J808" t="str">
        <f>ToJsonArray(supplementary_offering_offeringid__4[[#Headers],[legacyid]:[activityId]],supplementary_offering_offeringid__4[[#This Row],[legacyid]:[activityId]])</f>
        <v>{"legacyid":"810004-73","name":"CUG-4Fav","mode":"N"}</v>
      </c>
      <c r="K808" t="str">
        <f>ToJsonArray(supplementary_offering_offeringid__4[[#This Row],[produccion]],supplementary_offering_offeringid__4[[#This Row],[json]])</f>
        <v>{"981000473":{"legacyid":"810004-73","name":"CUG-4Fav","mode":"N"}}</v>
      </c>
    </row>
    <row r="809" spans="1:11" x14ac:dyDescent="0.25">
      <c r="A809" s="61" t="s">
        <v>3711</v>
      </c>
      <c r="B809" t="s">
        <v>3710</v>
      </c>
      <c r="C809" t="str">
        <f>findKey(supplementary_offering_offeringid__4[[#This Row],[Value.legacyid]])</f>
        <v>810004-74</v>
      </c>
      <c r="D809" t="s">
        <v>6121</v>
      </c>
      <c r="E809" t="s">
        <v>2329</v>
      </c>
      <c r="H809" s="61"/>
      <c r="J809" t="str">
        <f>ToJsonArray(supplementary_offering_offeringid__4[[#Headers],[legacyid]:[activityId]],supplementary_offering_offeringid__4[[#This Row],[legacyid]:[activityId]])</f>
        <v>{"legacyid":"810004-74","name":"CUG-6Fav","mode":"N"}</v>
      </c>
      <c r="K809" t="str">
        <f>ToJsonArray(supplementary_offering_offeringid__4[[#This Row],[produccion]],supplementary_offering_offeringid__4[[#This Row],[json]])</f>
        <v>{"981000474":{"legacyid":"810004-74","name":"CUG-6Fav","mode":"N"}}</v>
      </c>
    </row>
    <row r="810" spans="1:11" x14ac:dyDescent="0.25">
      <c r="A810" s="61" t="s">
        <v>4273</v>
      </c>
      <c r="B810" t="s">
        <v>4272</v>
      </c>
      <c r="C810" t="str">
        <f>findKey(supplementary_offering_offeringid__4[[#This Row],[Value.legacyid]])</f>
        <v>810004-76</v>
      </c>
      <c r="D810" t="s">
        <v>6116</v>
      </c>
      <c r="E810" t="s">
        <v>2329</v>
      </c>
      <c r="H810" s="61"/>
      <c r="J810" t="str">
        <f>ToJsonArray(supplementary_offering_offeringid__4[[#Headers],[legacyid]:[activityId]],supplementary_offering_offeringid__4[[#This Row],[legacyid]:[activityId]])</f>
        <v>{"legacyid":"810004-76","name":"CUG-4Fav","mode":"N"}</v>
      </c>
      <c r="K810" t="str">
        <f>ToJsonArray(supplementary_offering_offeringid__4[[#This Row],[produccion]],supplementary_offering_offeringid__4[[#This Row],[json]])</f>
        <v>{"981000476":{"legacyid":"810004-76","name":"CUG-4Fav","mode":"N"}}</v>
      </c>
    </row>
    <row r="811" spans="1:11" x14ac:dyDescent="0.25">
      <c r="A811" s="61" t="s">
        <v>4276</v>
      </c>
      <c r="B811" t="s">
        <v>4275</v>
      </c>
      <c r="C811" t="str">
        <f>findKey(supplementary_offering_offeringid__4[[#This Row],[Value.legacyid]])</f>
        <v>810004-77</v>
      </c>
      <c r="D811" t="s">
        <v>6116</v>
      </c>
      <c r="E811" t="s">
        <v>2329</v>
      </c>
      <c r="H811" s="61"/>
      <c r="J811" t="str">
        <f>ToJsonArray(supplementary_offering_offeringid__4[[#Headers],[legacyid]:[activityId]],supplementary_offering_offeringid__4[[#This Row],[legacyid]:[activityId]])</f>
        <v>{"legacyid":"810004-77","name":"CUG-4Fav","mode":"N"}</v>
      </c>
      <c r="K811" t="str">
        <f>ToJsonArray(supplementary_offering_offeringid__4[[#This Row],[produccion]],supplementary_offering_offeringid__4[[#This Row],[json]])</f>
        <v>{"981000477":{"legacyid":"810004-77","name":"CUG-4Fav","mode":"N"}}</v>
      </c>
    </row>
    <row r="812" spans="1:11" x14ac:dyDescent="0.25">
      <c r="A812" s="61" t="s">
        <v>4279</v>
      </c>
      <c r="B812" t="s">
        <v>4278</v>
      </c>
      <c r="C812" t="str">
        <f>findKey(supplementary_offering_offeringid__4[[#This Row],[Value.legacyid]])</f>
        <v>810004-78</v>
      </c>
      <c r="D812" t="s">
        <v>6117</v>
      </c>
      <c r="E812" t="s">
        <v>2329</v>
      </c>
      <c r="H812" s="61"/>
      <c r="J812" t="str">
        <f>ToJsonArray(supplementary_offering_offeringid__4[[#Headers],[legacyid]:[activityId]],supplementary_offering_offeringid__4[[#This Row],[legacyid]:[activityId]])</f>
        <v>{"legacyid":"810004-78","name":"CUG-5Fav","mode":"N"}</v>
      </c>
      <c r="K812" t="str">
        <f>ToJsonArray(supplementary_offering_offeringid__4[[#This Row],[produccion]],supplementary_offering_offeringid__4[[#This Row],[json]])</f>
        <v>{"981000478":{"legacyid":"810004-78","name":"CUG-5Fav","mode":"N"}}</v>
      </c>
    </row>
    <row r="813" spans="1:11" x14ac:dyDescent="0.25">
      <c r="A813" s="61" t="s">
        <v>4282</v>
      </c>
      <c r="B813" t="s">
        <v>4281</v>
      </c>
      <c r="C813" t="str">
        <f>findKey(supplementary_offering_offeringid__4[[#This Row],[Value.legacyid]])</f>
        <v>810004-79</v>
      </c>
      <c r="D813" t="s">
        <v>6117</v>
      </c>
      <c r="E813" t="s">
        <v>2329</v>
      </c>
      <c r="H813" s="61"/>
      <c r="J813" t="str">
        <f>ToJsonArray(supplementary_offering_offeringid__4[[#Headers],[legacyid]:[activityId]],supplementary_offering_offeringid__4[[#This Row],[legacyid]:[activityId]])</f>
        <v>{"legacyid":"810004-79","name":"CUG-5Fav","mode":"N"}</v>
      </c>
      <c r="K813" t="str">
        <f>ToJsonArray(supplementary_offering_offeringid__4[[#This Row],[produccion]],supplementary_offering_offeringid__4[[#This Row],[json]])</f>
        <v>{"981000479":{"legacyid":"810004-79","name":"CUG-5Fav","mode":"N"}}</v>
      </c>
    </row>
    <row r="814" spans="1:11" x14ac:dyDescent="0.25">
      <c r="A814" s="61" t="s">
        <v>4285</v>
      </c>
      <c r="B814" t="s">
        <v>4284</v>
      </c>
      <c r="C814" t="str">
        <f>findKey(supplementary_offering_offeringid__4[[#This Row],[Value.legacyid]])</f>
        <v>810004-80</v>
      </c>
      <c r="D814" t="s">
        <v>6116</v>
      </c>
      <c r="E814" t="s">
        <v>2329</v>
      </c>
      <c r="H814" s="61"/>
      <c r="J814" t="str">
        <f>ToJsonArray(supplementary_offering_offeringid__4[[#Headers],[legacyid]:[activityId]],supplementary_offering_offeringid__4[[#This Row],[legacyid]:[activityId]])</f>
        <v>{"legacyid":"810004-80","name":"CUG-4Fav","mode":"N"}</v>
      </c>
      <c r="K814" t="str">
        <f>ToJsonArray(supplementary_offering_offeringid__4[[#This Row],[produccion]],supplementary_offering_offeringid__4[[#This Row],[json]])</f>
        <v>{"981000480":{"legacyid":"810004-80","name":"CUG-4Fav","mode":"N"}}</v>
      </c>
    </row>
    <row r="815" spans="1:11" x14ac:dyDescent="0.25">
      <c r="A815" s="61" t="s">
        <v>4288</v>
      </c>
      <c r="B815" t="s">
        <v>4287</v>
      </c>
      <c r="C815" t="str">
        <f>findKey(supplementary_offering_offeringid__4[[#This Row],[Value.legacyid]])</f>
        <v>810004-81</v>
      </c>
      <c r="D815" t="s">
        <v>6116</v>
      </c>
      <c r="E815" t="s">
        <v>2329</v>
      </c>
      <c r="H815" s="61"/>
      <c r="J815" t="str">
        <f>ToJsonArray(supplementary_offering_offeringid__4[[#Headers],[legacyid]:[activityId]],supplementary_offering_offeringid__4[[#This Row],[legacyid]:[activityId]])</f>
        <v>{"legacyid":"810004-81","name":"CUG-4Fav","mode":"N"}</v>
      </c>
      <c r="K815" t="str">
        <f>ToJsonArray(supplementary_offering_offeringid__4[[#This Row],[produccion]],supplementary_offering_offeringid__4[[#This Row],[json]])</f>
        <v>{"981000481":{"legacyid":"810004-81","name":"CUG-4Fav","mode":"N"}}</v>
      </c>
    </row>
    <row r="816" spans="1:11" x14ac:dyDescent="0.25">
      <c r="A816" s="61" t="s">
        <v>4291</v>
      </c>
      <c r="B816" t="s">
        <v>4290</v>
      </c>
      <c r="C816" t="str">
        <f>findKey(supplementary_offering_offeringid__4[[#This Row],[Value.legacyid]])</f>
        <v>810004-82</v>
      </c>
      <c r="D816" t="s">
        <v>6116</v>
      </c>
      <c r="E816" t="s">
        <v>2329</v>
      </c>
      <c r="H816" s="61"/>
      <c r="J816" t="str">
        <f>ToJsonArray(supplementary_offering_offeringid__4[[#Headers],[legacyid]:[activityId]],supplementary_offering_offeringid__4[[#This Row],[legacyid]:[activityId]])</f>
        <v>{"legacyid":"810004-82","name":"CUG-4Fav","mode":"N"}</v>
      </c>
      <c r="K816" t="str">
        <f>ToJsonArray(supplementary_offering_offeringid__4[[#This Row],[produccion]],supplementary_offering_offeringid__4[[#This Row],[json]])</f>
        <v>{"981000482":{"legacyid":"810004-82","name":"CUG-4Fav","mode":"N"}}</v>
      </c>
    </row>
    <row r="817" spans="1:11" x14ac:dyDescent="0.25">
      <c r="A817" s="61" t="s">
        <v>4294</v>
      </c>
      <c r="B817" t="s">
        <v>4293</v>
      </c>
      <c r="C817" t="str">
        <f>findKey(supplementary_offering_offeringid__4[[#This Row],[Value.legacyid]])</f>
        <v>810004-83</v>
      </c>
      <c r="D817" t="s">
        <v>6117</v>
      </c>
      <c r="E817" t="s">
        <v>2329</v>
      </c>
      <c r="H817" s="61"/>
      <c r="J817" t="str">
        <f>ToJsonArray(supplementary_offering_offeringid__4[[#Headers],[legacyid]:[activityId]],supplementary_offering_offeringid__4[[#This Row],[legacyid]:[activityId]])</f>
        <v>{"legacyid":"810004-83","name":"CUG-5Fav","mode":"N"}</v>
      </c>
      <c r="K817" t="str">
        <f>ToJsonArray(supplementary_offering_offeringid__4[[#This Row],[produccion]],supplementary_offering_offeringid__4[[#This Row],[json]])</f>
        <v>{"981000483":{"legacyid":"810004-83","name":"CUG-5Fav","mode":"N"}}</v>
      </c>
    </row>
    <row r="818" spans="1:11" x14ac:dyDescent="0.25">
      <c r="A818" s="61" t="s">
        <v>4297</v>
      </c>
      <c r="B818" t="s">
        <v>4296</v>
      </c>
      <c r="C818" t="str">
        <f>findKey(supplementary_offering_offeringid__4[[#This Row],[Value.legacyid]])</f>
        <v>810004-84</v>
      </c>
      <c r="D818" t="s">
        <v>6117</v>
      </c>
      <c r="E818" t="s">
        <v>2329</v>
      </c>
      <c r="H818" s="61"/>
      <c r="J818" t="str">
        <f>ToJsonArray(supplementary_offering_offeringid__4[[#Headers],[legacyid]:[activityId]],supplementary_offering_offeringid__4[[#This Row],[legacyid]:[activityId]])</f>
        <v>{"legacyid":"810004-84","name":"CUG-5Fav","mode":"N"}</v>
      </c>
      <c r="K818" t="str">
        <f>ToJsonArray(supplementary_offering_offeringid__4[[#This Row],[produccion]],supplementary_offering_offeringid__4[[#This Row],[json]])</f>
        <v>{"981000484":{"legacyid":"810004-84","name":"CUG-5Fav","mode":"N"}}</v>
      </c>
    </row>
    <row r="819" spans="1:11" x14ac:dyDescent="0.25">
      <c r="A819" s="61" t="s">
        <v>4300</v>
      </c>
      <c r="B819" t="s">
        <v>4299</v>
      </c>
      <c r="C819" t="str">
        <f>findKey(supplementary_offering_offeringid__4[[#This Row],[Value.legacyid]])</f>
        <v>810004-85</v>
      </c>
      <c r="D819" t="s">
        <v>6117</v>
      </c>
      <c r="E819" t="s">
        <v>2329</v>
      </c>
      <c r="H819" s="61"/>
      <c r="J819" t="str">
        <f>ToJsonArray(supplementary_offering_offeringid__4[[#Headers],[legacyid]:[activityId]],supplementary_offering_offeringid__4[[#This Row],[legacyid]:[activityId]])</f>
        <v>{"legacyid":"810004-85","name":"CUG-5Fav","mode":"N"}</v>
      </c>
      <c r="K819" t="str">
        <f>ToJsonArray(supplementary_offering_offeringid__4[[#This Row],[produccion]],supplementary_offering_offeringid__4[[#This Row],[json]])</f>
        <v>{"981000485":{"legacyid":"810004-85","name":"CUG-5Fav","mode":"N"}}</v>
      </c>
    </row>
    <row r="820" spans="1:11" x14ac:dyDescent="0.25">
      <c r="A820" s="61" t="s">
        <v>4303</v>
      </c>
      <c r="B820" t="s">
        <v>4302</v>
      </c>
      <c r="C820" t="str">
        <f>findKey(supplementary_offering_offeringid__4[[#This Row],[Value.legacyid]])</f>
        <v>810004-86</v>
      </c>
      <c r="D820" t="s">
        <v>6119</v>
      </c>
      <c r="E820" t="s">
        <v>2329</v>
      </c>
      <c r="H820" s="61"/>
      <c r="J820" t="str">
        <f>ToJsonArray(supplementary_offering_offeringid__4[[#Headers],[legacyid]:[activityId]],supplementary_offering_offeringid__4[[#This Row],[legacyid]:[activityId]])</f>
        <v>{"legacyid":"810004-86","name":"CUG-3Fav","mode":"N"}</v>
      </c>
      <c r="K820" t="str">
        <f>ToJsonArray(supplementary_offering_offeringid__4[[#This Row],[produccion]],supplementary_offering_offeringid__4[[#This Row],[json]])</f>
        <v>{"981000486":{"legacyid":"810004-86","name":"CUG-3Fav","mode":"N"}}</v>
      </c>
    </row>
    <row r="821" spans="1:11" x14ac:dyDescent="0.25">
      <c r="A821" s="61" t="s">
        <v>4306</v>
      </c>
      <c r="B821" t="s">
        <v>4305</v>
      </c>
      <c r="C821" t="str">
        <f>findKey(supplementary_offering_offeringid__4[[#This Row],[Value.legacyid]])</f>
        <v>810004-87</v>
      </c>
      <c r="D821" t="s">
        <v>6117</v>
      </c>
      <c r="E821" t="s">
        <v>2329</v>
      </c>
      <c r="H821" s="61"/>
      <c r="J821" t="str">
        <f>ToJsonArray(supplementary_offering_offeringid__4[[#Headers],[legacyid]:[activityId]],supplementary_offering_offeringid__4[[#This Row],[legacyid]:[activityId]])</f>
        <v>{"legacyid":"810004-87","name":"CUG-5Fav","mode":"N"}</v>
      </c>
      <c r="K821" t="str">
        <f>ToJsonArray(supplementary_offering_offeringid__4[[#This Row],[produccion]],supplementary_offering_offeringid__4[[#This Row],[json]])</f>
        <v>{"981000487":{"legacyid":"810004-87","name":"CUG-5Fav","mode":"N"}}</v>
      </c>
    </row>
    <row r="822" spans="1:11" x14ac:dyDescent="0.25">
      <c r="A822" s="61" t="s">
        <v>5026</v>
      </c>
      <c r="B822" t="s">
        <v>5025</v>
      </c>
      <c r="C822" t="str">
        <f>findKey(supplementary_offering_offeringid__4[[#This Row],[Value.legacyid]])</f>
        <v>810004-88</v>
      </c>
      <c r="D822" t="s">
        <v>6116</v>
      </c>
      <c r="E822" t="s">
        <v>2329</v>
      </c>
      <c r="H822" s="61"/>
      <c r="J822" t="str">
        <f>ToJsonArray(supplementary_offering_offeringid__4[[#Headers],[legacyid]:[activityId]],supplementary_offering_offeringid__4[[#This Row],[legacyid]:[activityId]])</f>
        <v>{"legacyid":"810004-88","name":"CUG-4Fav","mode":"N"}</v>
      </c>
      <c r="K822" t="str">
        <f>ToJsonArray(supplementary_offering_offeringid__4[[#This Row],[produccion]],supplementary_offering_offeringid__4[[#This Row],[json]])</f>
        <v>{"981000488":{"legacyid":"810004-88","name":"CUG-4Fav","mode":"N"}}</v>
      </c>
    </row>
    <row r="823" spans="1:11" x14ac:dyDescent="0.25">
      <c r="A823" s="61" t="s">
        <v>5029</v>
      </c>
      <c r="B823" t="s">
        <v>5028</v>
      </c>
      <c r="C823" t="str">
        <f>findKey(supplementary_offering_offeringid__4[[#This Row],[Value.legacyid]])</f>
        <v>810004-89</v>
      </c>
      <c r="D823" t="s">
        <v>6116</v>
      </c>
      <c r="E823" t="s">
        <v>2329</v>
      </c>
      <c r="H823" s="61"/>
      <c r="J823" t="str">
        <f>ToJsonArray(supplementary_offering_offeringid__4[[#Headers],[legacyid]:[activityId]],supplementary_offering_offeringid__4[[#This Row],[legacyid]:[activityId]])</f>
        <v>{"legacyid":"810004-89","name":"CUG-4Fav","mode":"N"}</v>
      </c>
      <c r="K823" t="str">
        <f>ToJsonArray(supplementary_offering_offeringid__4[[#This Row],[produccion]],supplementary_offering_offeringid__4[[#This Row],[json]])</f>
        <v>{"981000489":{"legacyid":"810004-89","name":"CUG-4Fav","mode":"N"}}</v>
      </c>
    </row>
    <row r="824" spans="1:11" x14ac:dyDescent="0.25">
      <c r="A824" s="61" t="s">
        <v>4309</v>
      </c>
      <c r="B824" t="s">
        <v>4308</v>
      </c>
      <c r="C824" t="str">
        <f>findKey(supplementary_offering_offeringid__4[[#This Row],[Value.legacyid]])</f>
        <v>810004-90</v>
      </c>
      <c r="D824" t="s">
        <v>6116</v>
      </c>
      <c r="E824" t="s">
        <v>2329</v>
      </c>
      <c r="H824" s="61"/>
      <c r="J824" t="str">
        <f>ToJsonArray(supplementary_offering_offeringid__4[[#Headers],[legacyid]:[activityId]],supplementary_offering_offeringid__4[[#This Row],[legacyid]:[activityId]])</f>
        <v>{"legacyid":"810004-90","name":"CUG-4Fav","mode":"N"}</v>
      </c>
      <c r="K824" t="str">
        <f>ToJsonArray(supplementary_offering_offeringid__4[[#This Row],[produccion]],supplementary_offering_offeringid__4[[#This Row],[json]])</f>
        <v>{"981000490":{"legacyid":"810004-90","name":"CUG-4Fav","mode":"N"}}</v>
      </c>
    </row>
    <row r="825" spans="1:11" x14ac:dyDescent="0.25">
      <c r="A825" s="61" t="s">
        <v>4312</v>
      </c>
      <c r="B825" t="s">
        <v>4311</v>
      </c>
      <c r="C825" t="str">
        <f>findKey(supplementary_offering_offeringid__4[[#This Row],[Value.legacyid]])</f>
        <v>810004-91</v>
      </c>
      <c r="D825" t="s">
        <v>6121</v>
      </c>
      <c r="E825" t="s">
        <v>2329</v>
      </c>
      <c r="H825" s="61"/>
      <c r="J825" t="str">
        <f>ToJsonArray(supplementary_offering_offeringid__4[[#Headers],[legacyid]:[activityId]],supplementary_offering_offeringid__4[[#This Row],[legacyid]:[activityId]])</f>
        <v>{"legacyid":"810004-91","name":"CUG-6Fav","mode":"N"}</v>
      </c>
      <c r="K825" t="str">
        <f>ToJsonArray(supplementary_offering_offeringid__4[[#This Row],[produccion]],supplementary_offering_offeringid__4[[#This Row],[json]])</f>
        <v>{"981000491":{"legacyid":"810004-91","name":"CUG-6Fav","mode":"N"}}</v>
      </c>
    </row>
    <row r="826" spans="1:11" x14ac:dyDescent="0.25">
      <c r="A826" s="61" t="s">
        <v>4891</v>
      </c>
      <c r="B826" t="s">
        <v>4890</v>
      </c>
      <c r="C826" t="str">
        <f>findKey(supplementary_offering_offeringid__4[[#This Row],[Value.legacyid]])</f>
        <v>830004-01</v>
      </c>
      <c r="D826" t="s">
        <v>6122</v>
      </c>
      <c r="E826" t="s">
        <v>2329</v>
      </c>
      <c r="H826" s="61"/>
      <c r="J826" t="str">
        <f>ToJsonArray(supplementary_offering_offeringid__4[[#Headers],[legacyid]:[activityId]],supplementary_offering_offeringid__4[[#This Row],[legacyid]:[activityId]])</f>
        <v>{"legacyid":"830004-01","name":"SDP CUGS-2D","mode":"N"}</v>
      </c>
      <c r="K826" t="str">
        <f>ToJsonArray(supplementary_offering_offeringid__4[[#This Row],[produccion]],supplementary_offering_offeringid__4[[#This Row],[json]])</f>
        <v>{"983000401":{"legacyid":"830004-01","name":"SDP CUGS-2D","mode":"N"}}</v>
      </c>
    </row>
    <row r="827" spans="1:11" x14ac:dyDescent="0.25">
      <c r="A827" s="61" t="s">
        <v>4894</v>
      </c>
      <c r="B827" t="s">
        <v>4893</v>
      </c>
      <c r="C827" t="str">
        <f>findKey(supplementary_offering_offeringid__4[[#This Row],[Value.legacyid]])</f>
        <v>830004-02</v>
      </c>
      <c r="D827" t="s">
        <v>6123</v>
      </c>
      <c r="E827" t="s">
        <v>2329</v>
      </c>
      <c r="H827" s="61"/>
      <c r="J827" t="str">
        <f>ToJsonArray(supplementary_offering_offeringid__4[[#Headers],[legacyid]:[activityId]],supplementary_offering_offeringid__4[[#This Row],[legacyid]:[activityId]])</f>
        <v>{"legacyid":"830004-02","name":"SDP CUGS-3D","mode":"N"}</v>
      </c>
      <c r="K827" t="str">
        <f>ToJsonArray(supplementary_offering_offeringid__4[[#This Row],[produccion]],supplementary_offering_offeringid__4[[#This Row],[json]])</f>
        <v>{"983000402":{"legacyid":"830004-02","name":"SDP CUGS-3D","mode":"N"}}</v>
      </c>
    </row>
    <row r="828" spans="1:11" x14ac:dyDescent="0.25">
      <c r="A828" s="61" t="s">
        <v>4897</v>
      </c>
      <c r="B828" t="s">
        <v>4896</v>
      </c>
      <c r="C828" t="str">
        <f>findKey(supplementary_offering_offeringid__4[[#This Row],[Value.legacyid]])</f>
        <v>830004-05</v>
      </c>
      <c r="D828" t="s">
        <v>6124</v>
      </c>
      <c r="E828" t="s">
        <v>2329</v>
      </c>
      <c r="H828" s="61"/>
      <c r="J828" t="str">
        <f>ToJsonArray(supplementary_offering_offeringid__4[[#Headers],[legacyid]:[activityId]],supplementary_offering_offeringid__4[[#This Row],[legacyid]:[activityId]])</f>
        <v>{"legacyid":"830004-05","name":"SDP CUGS-5D","mode":"N"}</v>
      </c>
      <c r="K828" t="str">
        <f>ToJsonArray(supplementary_offering_offeringid__4[[#This Row],[produccion]],supplementary_offering_offeringid__4[[#This Row],[json]])</f>
        <v>{"983000405":{"legacyid":"830004-05","name":"SDP CUGS-5D","mode":"N"}}</v>
      </c>
    </row>
    <row r="829" spans="1:11" x14ac:dyDescent="0.25">
      <c r="A829" s="61" t="s">
        <v>3856</v>
      </c>
      <c r="B829" t="s">
        <v>3855</v>
      </c>
      <c r="C829" t="str">
        <f>findKey(supplementary_offering_offeringid__4[[#This Row],[Value.legacyid]])</f>
        <v>ONDEMAND</v>
      </c>
      <c r="D829" t="s">
        <v>3855</v>
      </c>
      <c r="E829" t="s">
        <v>2189</v>
      </c>
      <c r="H829" s="61"/>
      <c r="J829" t="str">
        <f>ToJsonArray(supplementary_offering_offeringid__4[[#Headers],[legacyid]:[activityId]],supplementary_offering_offeringid__4[[#This Row],[legacyid]:[activityId]])</f>
        <v>{"legacyid":"ONDEMAND","name":"ONDEMAND","mode":"I"}</v>
      </c>
      <c r="K829" t="str">
        <f>ToJsonArray(supplementary_offering_offeringid__4[[#This Row],[produccion]],supplementary_offering_offeringid__4[[#This Row],[json]])</f>
        <v>{"990000100":{"legacyid":"ONDEMAND","name":"ONDEMAND","mode":"I"}}</v>
      </c>
    </row>
    <row r="830" spans="1:11" x14ac:dyDescent="0.25">
      <c r="A830" s="61" t="s">
        <v>2312</v>
      </c>
      <c r="B830" t="s">
        <v>2311</v>
      </c>
      <c r="C830" t="str">
        <f>findKey(supplementary_offering_offeringid__4[[#This Row],[Value.legacyid]])</f>
        <v>BAG15K</v>
      </c>
      <c r="D830" t="s">
        <v>2313</v>
      </c>
      <c r="E830" t="s">
        <v>2189</v>
      </c>
      <c r="H830" s="61"/>
      <c r="J830" t="str">
        <f>ToJsonArray(supplementary_offering_offeringid__4[[#Headers],[legacyid]:[activityId]],supplementary_offering_offeringid__4[[#This Row],[legacyid]:[activityId]])</f>
        <v>{"legacyid":"BAG15K","name":"TIGO BAG15K","mode":"I"}</v>
      </c>
      <c r="K830" t="str">
        <f>ToJsonArray(supplementary_offering_offeringid__4[[#This Row],[produccion]],supplementary_offering_offeringid__4[[#This Row],[json]])</f>
        <v>{"990000101":{"legacyid":"BAG15K","name":"TIGO BAG15K","mode":"I"}}</v>
      </c>
    </row>
    <row r="831" spans="1:11" x14ac:dyDescent="0.25">
      <c r="A831" s="61" t="s">
        <v>2315</v>
      </c>
      <c r="B831" t="s">
        <v>2314</v>
      </c>
      <c r="C831" t="str">
        <f>findKey(supplementary_offering_offeringid__4[[#This Row],[Value.legacyid]])</f>
        <v>BAG20K</v>
      </c>
      <c r="D831" t="s">
        <v>2316</v>
      </c>
      <c r="E831" t="s">
        <v>2189</v>
      </c>
      <c r="H831" s="61"/>
      <c r="J831" t="str">
        <f>ToJsonArray(supplementary_offering_offeringid__4[[#Headers],[legacyid]:[activityId]],supplementary_offering_offeringid__4[[#This Row],[legacyid]:[activityId]])</f>
        <v>{"legacyid":"BAG20K","name":"TIGO BAG20K","mode":"I"}</v>
      </c>
      <c r="K831" t="str">
        <f>ToJsonArray(supplementary_offering_offeringid__4[[#This Row],[produccion]],supplementary_offering_offeringid__4[[#This Row],[json]])</f>
        <v>{"990000102":{"legacyid":"BAG20K","name":"TIGO BAG20K","mode":"I"}}</v>
      </c>
    </row>
    <row r="832" spans="1:11" x14ac:dyDescent="0.25">
      <c r="A832" s="61" t="s">
        <v>2318</v>
      </c>
      <c r="B832" t="s">
        <v>2317</v>
      </c>
      <c r="C832" t="str">
        <f>findKey(supplementary_offering_offeringid__4[[#This Row],[Value.legacyid]])</f>
        <v>BAG30K</v>
      </c>
      <c r="D832" t="s">
        <v>2319</v>
      </c>
      <c r="E832" t="s">
        <v>2189</v>
      </c>
      <c r="H832" s="61"/>
      <c r="J832" t="str">
        <f>ToJsonArray(supplementary_offering_offeringid__4[[#Headers],[legacyid]:[activityId]],supplementary_offering_offeringid__4[[#This Row],[legacyid]:[activityId]])</f>
        <v>{"legacyid":"BAG30K","name":"TIGO BAG30K","mode":"I"}</v>
      </c>
      <c r="K832" t="str">
        <f>ToJsonArray(supplementary_offering_offeringid__4[[#This Row],[produccion]],supplementary_offering_offeringid__4[[#This Row],[json]])</f>
        <v>{"990000103":{"legacyid":"BAG30K","name":"TIGO BAG30K","mode":"I"}}</v>
      </c>
    </row>
    <row r="833" spans="1:11" x14ac:dyDescent="0.25">
      <c r="A833" s="61" t="s">
        <v>2321</v>
      </c>
      <c r="B833" t="s">
        <v>2320</v>
      </c>
      <c r="C833" t="str">
        <f>findKey(supplementary_offering_offeringid__4[[#This Row],[Value.legacyid]])</f>
        <v>BAG50K</v>
      </c>
      <c r="D833" t="s">
        <v>2322</v>
      </c>
      <c r="E833" t="s">
        <v>2189</v>
      </c>
      <c r="H833" s="61"/>
      <c r="J833" t="str">
        <f>ToJsonArray(supplementary_offering_offeringid__4[[#Headers],[legacyid]:[activityId]],supplementary_offering_offeringid__4[[#This Row],[legacyid]:[activityId]])</f>
        <v>{"legacyid":"BAG50K","name":"TIGO BAG50K","mode":"I"}</v>
      </c>
      <c r="K833" t="str">
        <f>ToJsonArray(supplementary_offering_offeringid__4[[#This Row],[produccion]],supplementary_offering_offeringid__4[[#This Row],[json]])</f>
        <v>{"990000104":{"legacyid":"BAG50K","name":"TIGO BAG50K","mode":"I"}}</v>
      </c>
    </row>
    <row r="834" spans="1:11" x14ac:dyDescent="0.25">
      <c r="A834" s="61" t="s">
        <v>2324</v>
      </c>
      <c r="B834" t="s">
        <v>2323</v>
      </c>
      <c r="C834" t="str">
        <f>findKey(supplementary_offering_offeringid__4[[#This Row],[Value.legacyid]])</f>
        <v>BAG100K</v>
      </c>
      <c r="D834" t="s">
        <v>2325</v>
      </c>
      <c r="E834" t="s">
        <v>2189</v>
      </c>
      <c r="H834" s="61"/>
      <c r="J834" t="str">
        <f>ToJsonArray(supplementary_offering_offeringid__4[[#Headers],[legacyid]:[activityId]],supplementary_offering_offeringid__4[[#This Row],[legacyid]:[activityId]])</f>
        <v>{"legacyid":"BAG100K","name":"TIGO BAG100K","mode":"I"}</v>
      </c>
      <c r="K834" t="str">
        <f>ToJsonArray(supplementary_offering_offeringid__4[[#This Row],[produccion]],supplementary_offering_offeringid__4[[#This Row],[json]])</f>
        <v>{"990000105":{"legacyid":"BAG100K","name":"TIGO BAG100K","mode":"I"}}</v>
      </c>
    </row>
    <row r="835" spans="1:11" x14ac:dyDescent="0.25">
      <c r="A835" s="61" t="s">
        <v>3714</v>
      </c>
      <c r="B835" t="s">
        <v>3713</v>
      </c>
      <c r="C835" t="str">
        <f>findKey(supplementary_offering_offeringid__4[[#This Row],[Value.legacyid]])</f>
        <v>VFAV-001</v>
      </c>
      <c r="D835" t="s">
        <v>6125</v>
      </c>
      <c r="E835" t="s">
        <v>2329</v>
      </c>
      <c r="H835" s="61"/>
      <c r="J835" t="str">
        <f>ToJsonArray(supplementary_offering_offeringid__4[[#Headers],[legacyid]:[activityId]],supplementary_offering_offeringid__4[[#This Row],[legacyid]:[activityId]])</f>
        <v>{"legacyid":"VFAV-001","name":"Voz - Favoritos - 1","mode":"N"}</v>
      </c>
      <c r="K835" t="str">
        <f>ToJsonArray(supplementary_offering_offeringid__4[[#This Row],[produccion]],supplementary_offering_offeringid__4[[#This Row],[json]])</f>
        <v>{"990000106":{"legacyid":"VFAV-001","name":"Voz - Favoritos - 1","mode":"N"}}</v>
      </c>
    </row>
    <row r="836" spans="1:11" x14ac:dyDescent="0.25">
      <c r="A836" s="61" t="s">
        <v>3717</v>
      </c>
      <c r="B836" t="s">
        <v>3716</v>
      </c>
      <c r="C836" t="str">
        <f>findKey(supplementary_offering_offeringid__4[[#This Row],[Value.legacyid]])</f>
        <v>VFAV-002</v>
      </c>
      <c r="D836" t="s">
        <v>6126</v>
      </c>
      <c r="E836" t="s">
        <v>2329</v>
      </c>
      <c r="H836" s="61"/>
      <c r="J836" t="str">
        <f>ToJsonArray(supplementary_offering_offeringid__4[[#Headers],[legacyid]:[activityId]],supplementary_offering_offeringid__4[[#This Row],[legacyid]:[activityId]])</f>
        <v>{"legacyid":"VFAV-002","name":"Voz - Favoritos - 2","mode":"N"}</v>
      </c>
      <c r="K836" t="str">
        <f>ToJsonArray(supplementary_offering_offeringid__4[[#This Row],[produccion]],supplementary_offering_offeringid__4[[#This Row],[json]])</f>
        <v>{"990000107":{"legacyid":"VFAV-002","name":"Voz - Favoritos - 2","mode":"N"}}</v>
      </c>
    </row>
    <row r="837" spans="1:11" x14ac:dyDescent="0.25">
      <c r="A837" s="61" t="s">
        <v>3720</v>
      </c>
      <c r="B837" t="s">
        <v>3719</v>
      </c>
      <c r="C837" t="str">
        <f>findKey(supplementary_offering_offeringid__4[[#This Row],[Value.legacyid]])</f>
        <v>VFAV-003</v>
      </c>
      <c r="D837" t="s">
        <v>6127</v>
      </c>
      <c r="E837" t="s">
        <v>2329</v>
      </c>
      <c r="H837" s="61"/>
      <c r="J837" t="str">
        <f>ToJsonArray(supplementary_offering_offeringid__4[[#Headers],[legacyid]:[activityId]],supplementary_offering_offeringid__4[[#This Row],[legacyid]:[activityId]])</f>
        <v>{"legacyid":"VFAV-003","name":"Voz - Favoritos - 3","mode":"N"}</v>
      </c>
      <c r="K837" t="str">
        <f>ToJsonArray(supplementary_offering_offeringid__4[[#This Row],[produccion]],supplementary_offering_offeringid__4[[#This Row],[json]])</f>
        <v>{"990000108":{"legacyid":"VFAV-003","name":"Voz - Favoritos - 3","mode":"N"}}</v>
      </c>
    </row>
    <row r="838" spans="1:11" x14ac:dyDescent="0.25">
      <c r="A838" s="61" t="s">
        <v>3723</v>
      </c>
      <c r="B838" t="s">
        <v>3722</v>
      </c>
      <c r="C838" t="str">
        <f>findKey(supplementary_offering_offeringid__4[[#This Row],[Value.legacyid]])</f>
        <v>VFAV-007</v>
      </c>
      <c r="D838" t="s">
        <v>6128</v>
      </c>
      <c r="E838" t="s">
        <v>2329</v>
      </c>
      <c r="H838" s="61"/>
      <c r="J838" t="str">
        <f>ToJsonArray(supplementary_offering_offeringid__4[[#Headers],[legacyid]:[activityId]],supplementary_offering_offeringid__4[[#This Row],[legacyid]:[activityId]])</f>
        <v>{"legacyid":"VFAV-007","name":"Favorito ilimitado 4","mode":"N"}</v>
      </c>
      <c r="K838" t="str">
        <f>ToJsonArray(supplementary_offering_offeringid__4[[#This Row],[produccion]],supplementary_offering_offeringid__4[[#This Row],[json]])</f>
        <v>{"990000109":{"legacyid":"VFAV-007","name":"Favorito ilimitado 4","mode":"N"}}</v>
      </c>
    </row>
    <row r="839" spans="1:11" x14ac:dyDescent="0.25">
      <c r="A839" s="61" t="s">
        <v>3726</v>
      </c>
      <c r="B839" t="s">
        <v>3725</v>
      </c>
      <c r="C839" t="str">
        <f>findKey(supplementary_offering_offeringid__4[[#This Row],[Value.legacyid]])</f>
        <v>VFAV-024</v>
      </c>
      <c r="D839" t="s">
        <v>6129</v>
      </c>
      <c r="E839" t="s">
        <v>2329</v>
      </c>
      <c r="H839" s="61"/>
      <c r="J839" t="str">
        <f>ToJsonArray(supplementary_offering_offeringid__4[[#Headers],[legacyid]:[activityId]],supplementary_offering_offeringid__4[[#This Row],[legacyid]:[activityId]])</f>
        <v>{"legacyid":"VFAV-024","name":"4 Fav Allnet","mode":"N"}</v>
      </c>
      <c r="K839" t="str">
        <f>ToJsonArray(supplementary_offering_offeringid__4[[#This Row],[produccion]],supplementary_offering_offeringid__4[[#This Row],[json]])</f>
        <v>{"990000110":{"legacyid":"VFAV-024","name":"4 Fav Allnet","mode":"N"}}</v>
      </c>
    </row>
    <row r="840" spans="1:11" x14ac:dyDescent="0.25">
      <c r="A840" s="61" t="s">
        <v>3729</v>
      </c>
      <c r="B840" t="s">
        <v>3728</v>
      </c>
      <c r="C840" t="str">
        <f>findKey(supplementary_offering_offeringid__4[[#This Row],[Value.legacyid]])</f>
        <v>VTD-012</v>
      </c>
      <c r="D840" t="s">
        <v>6130</v>
      </c>
      <c r="E840" t="s">
        <v>2329</v>
      </c>
      <c r="H840" s="61"/>
      <c r="J840" t="str">
        <f>ToJsonArray(supplementary_offering_offeringid__4[[#Headers],[legacyid]:[activityId]],supplementary_offering_offeringid__4[[#This Row],[legacyid]:[activityId]])</f>
        <v>{"legacyid":"VTD-012","name":"Voz-TD_Sec-180m","mode":"N"}</v>
      </c>
      <c r="K840" t="str">
        <f>ToJsonArray(supplementary_offering_offeringid__4[[#This Row],[produccion]],supplementary_offering_offeringid__4[[#This Row],[json]])</f>
        <v>{"990000111":{"legacyid":"VTD-012","name":"Voz-TD_Sec-180m","mode":"N"}}</v>
      </c>
    </row>
    <row r="841" spans="1:11" x14ac:dyDescent="0.25">
      <c r="A841" s="61" t="s">
        <v>3732</v>
      </c>
      <c r="B841" t="s">
        <v>3731</v>
      </c>
      <c r="C841" t="str">
        <f>findKey(supplementary_offering_offeringid__4[[#This Row],[Value.legacyid]])</f>
        <v>VTD-026</v>
      </c>
      <c r="D841" t="s">
        <v>6131</v>
      </c>
      <c r="E841" t="s">
        <v>2329</v>
      </c>
      <c r="H841" s="61"/>
      <c r="J841" t="str">
        <f>ToJsonArray(supplementary_offering_offeringid__4[[#Headers],[legacyid]:[activityId]],supplementary_offering_offeringid__4[[#This Row],[legacyid]:[activityId]])</f>
        <v>{"legacyid":"VTD-026","name":"Voz-TD_Seg-150m","mode":"N"}</v>
      </c>
      <c r="K841" t="str">
        <f>ToJsonArray(supplementary_offering_offeringid__4[[#This Row],[produccion]],supplementary_offering_offeringid__4[[#This Row],[json]])</f>
        <v>{"990000112":{"legacyid":"VTD-026","name":"Voz-TD_Seg-150m","mode":"N"}}</v>
      </c>
    </row>
    <row r="842" spans="1:11" x14ac:dyDescent="0.25">
      <c r="A842" s="61" t="s">
        <v>3735</v>
      </c>
      <c r="B842" t="s">
        <v>3734</v>
      </c>
      <c r="C842" t="str">
        <f>findKey(supplementary_offering_offeringid__4[[#This Row],[Value.legacyid]])</f>
        <v>VTD-027</v>
      </c>
      <c r="D842" t="s">
        <v>6132</v>
      </c>
      <c r="E842" t="s">
        <v>2329</v>
      </c>
      <c r="H842" s="61"/>
      <c r="J842" t="str">
        <f>ToJsonArray(supplementary_offering_offeringid__4[[#Headers],[legacyid]:[activityId]],supplementary_offering_offeringid__4[[#This Row],[legacyid]:[activityId]])</f>
        <v>{"legacyid":"VTD-027","name":"Voz-TD_Seg-250m","mode":"N"}</v>
      </c>
      <c r="K842" t="str">
        <f>ToJsonArray(supplementary_offering_offeringid__4[[#This Row],[produccion]],supplementary_offering_offeringid__4[[#This Row],[json]])</f>
        <v>{"990000113":{"legacyid":"VTD-027","name":"Voz-TD_Seg-250m","mode":"N"}}</v>
      </c>
    </row>
    <row r="843" spans="1:11" x14ac:dyDescent="0.25">
      <c r="A843" s="61" t="s">
        <v>3738</v>
      </c>
      <c r="B843" t="s">
        <v>3737</v>
      </c>
      <c r="C843" t="str">
        <f>findKey(supplementary_offering_offeringid__4[[#This Row],[Value.legacyid]])</f>
        <v>VTD-031</v>
      </c>
      <c r="D843" t="s">
        <v>6133</v>
      </c>
      <c r="E843" t="s">
        <v>2329</v>
      </c>
      <c r="H843" s="61"/>
      <c r="J843" t="str">
        <f>ToJsonArray(supplementary_offering_offeringid__4[[#Headers],[legacyid]:[activityId]],supplementary_offering_offeringid__4[[#This Row],[legacyid]:[activityId]])</f>
        <v>{"legacyid":"VTD-031","name":"Voz-TD-36000 seg","mode":"N"}</v>
      </c>
      <c r="K843" t="str">
        <f>ToJsonArray(supplementary_offering_offeringid__4[[#This Row],[produccion]],supplementary_offering_offeringid__4[[#This Row],[json]])</f>
        <v>{"990000114":{"legacyid":"VTD-031","name":"Voz-TD-36000 seg","mode":"N"}}</v>
      </c>
    </row>
    <row r="844" spans="1:11" x14ac:dyDescent="0.25">
      <c r="A844" s="61" t="s">
        <v>3741</v>
      </c>
      <c r="B844" t="s">
        <v>3740</v>
      </c>
      <c r="C844" t="str">
        <f>findKey(supplementary_offering_offeringid__4[[#This Row],[Value.legacyid]])</f>
        <v>VTD-032</v>
      </c>
      <c r="D844" t="s">
        <v>6134</v>
      </c>
      <c r="E844" t="s">
        <v>2329</v>
      </c>
      <c r="H844" s="61"/>
      <c r="J844" t="str">
        <f>ToJsonArray(supplementary_offering_offeringid__4[[#Headers],[legacyid]:[activityId]],supplementary_offering_offeringid__4[[#This Row],[legacyid]:[activityId]])</f>
        <v>{"legacyid":"VTD-032","name":"Voz-TD-24000 seg","mode":"N"}</v>
      </c>
      <c r="K844" t="str">
        <f>ToJsonArray(supplementary_offering_offeringid__4[[#This Row],[produccion]],supplementary_offering_offeringid__4[[#This Row],[json]])</f>
        <v>{"990000115":{"legacyid":"VTD-032","name":"Voz-TD-24000 seg","mode":"N"}}</v>
      </c>
    </row>
    <row r="845" spans="1:11" x14ac:dyDescent="0.25">
      <c r="A845" s="61" t="s">
        <v>3744</v>
      </c>
      <c r="B845" t="s">
        <v>3743</v>
      </c>
      <c r="C845" t="str">
        <f>findKey(supplementary_offering_offeringid__4[[#This Row],[Value.legacyid]])</f>
        <v>VTD-033</v>
      </c>
      <c r="D845" t="s">
        <v>6135</v>
      </c>
      <c r="E845" t="s">
        <v>2329</v>
      </c>
      <c r="H845" s="61"/>
      <c r="J845" t="str">
        <f>ToJsonArray(supplementary_offering_offeringid__4[[#Headers],[legacyid]:[activityId]],supplementary_offering_offeringid__4[[#This Row],[legacyid]:[activityId]])</f>
        <v>{"legacyid":"VTD-033","name":"Voz-TD-6000 seg","mode":"N"}</v>
      </c>
      <c r="K845" t="str">
        <f>ToJsonArray(supplementary_offering_offeringid__4[[#This Row],[produccion]],supplementary_offering_offeringid__4[[#This Row],[json]])</f>
        <v>{"990000116":{"legacyid":"VTD-033","name":"Voz-TD-6000 seg","mode":"N"}}</v>
      </c>
    </row>
    <row r="846" spans="1:11" x14ac:dyDescent="0.25">
      <c r="A846" s="61" t="s">
        <v>3747</v>
      </c>
      <c r="B846" t="s">
        <v>3746</v>
      </c>
      <c r="C846" t="str">
        <f>findKey(supplementary_offering_offeringid__4[[#This Row],[Value.legacyid]])</f>
        <v>VTD-034</v>
      </c>
      <c r="D846" t="s">
        <v>6136</v>
      </c>
      <c r="E846" t="s">
        <v>2329</v>
      </c>
      <c r="H846" s="61"/>
      <c r="J846" t="str">
        <f>ToJsonArray(supplementary_offering_offeringid__4[[#Headers],[legacyid]:[activityId]],supplementary_offering_offeringid__4[[#This Row],[legacyid]:[activityId]])</f>
        <v>{"legacyid":"VTD-034","name":"Voz-TD-51000 seg","mode":"N"}</v>
      </c>
      <c r="K846" t="str">
        <f>ToJsonArray(supplementary_offering_offeringid__4[[#This Row],[produccion]],supplementary_offering_offeringid__4[[#This Row],[json]])</f>
        <v>{"990000117":{"legacyid":"VTD-034","name":"Voz-TD-51000 seg","mode":"N"}}</v>
      </c>
    </row>
    <row r="847" spans="1:11" x14ac:dyDescent="0.25">
      <c r="A847" s="61" t="s">
        <v>3750</v>
      </c>
      <c r="B847" t="s">
        <v>3749</v>
      </c>
      <c r="C847" t="str">
        <f>findKey(supplementary_offering_offeringid__4[[#This Row],[Value.legacyid]])</f>
        <v>VTD-035</v>
      </c>
      <c r="D847" t="s">
        <v>6137</v>
      </c>
      <c r="E847" t="s">
        <v>2329</v>
      </c>
      <c r="H847" s="61"/>
      <c r="J847" t="str">
        <f>ToJsonArray(supplementary_offering_offeringid__4[[#Headers],[legacyid]:[activityId]],supplementary_offering_offeringid__4[[#This Row],[legacyid]:[activityId]])</f>
        <v>{"legacyid":"VTD-035","name":"Voz-TD-9000 seg","mode":"N"}</v>
      </c>
      <c r="K847" t="str">
        <f>ToJsonArray(supplementary_offering_offeringid__4[[#This Row],[produccion]],supplementary_offering_offeringid__4[[#This Row],[json]])</f>
        <v>{"990000118":{"legacyid":"VTD-035","name":"Voz-TD-9000 seg","mode":"N"}}</v>
      </c>
    </row>
    <row r="848" spans="1:11" x14ac:dyDescent="0.25">
      <c r="A848" s="61" t="s">
        <v>3753</v>
      </c>
      <c r="B848" t="s">
        <v>3752</v>
      </c>
      <c r="C848" t="str">
        <f>findKey(supplementary_offering_offeringid__4[[#This Row],[Value.legacyid]])</f>
        <v>VTD-036</v>
      </c>
      <c r="D848" t="s">
        <v>6138</v>
      </c>
      <c r="E848" t="s">
        <v>2329</v>
      </c>
      <c r="H848" s="61"/>
      <c r="J848" t="str">
        <f>ToJsonArray(supplementary_offering_offeringid__4[[#Headers],[legacyid]:[activityId]],supplementary_offering_offeringid__4[[#This Row],[legacyid]:[activityId]])</f>
        <v>{"legacyid":"VTD-036","name":"Voz-TD-12000 seg","mode":"N"}</v>
      </c>
      <c r="K848" t="str">
        <f>ToJsonArray(supplementary_offering_offeringid__4[[#This Row],[produccion]],supplementary_offering_offeringid__4[[#This Row],[json]])</f>
        <v>{"990000119":{"legacyid":"VTD-036","name":"Voz-TD-12000 seg","mode":"N"}}</v>
      </c>
    </row>
    <row r="849" spans="1:11" x14ac:dyDescent="0.25">
      <c r="A849" s="61" t="s">
        <v>3756</v>
      </c>
      <c r="B849" t="s">
        <v>3755</v>
      </c>
      <c r="C849" t="str">
        <f>findKey(supplementary_offering_offeringid__4[[#This Row],[Value.legacyid]])</f>
        <v>VTD-037</v>
      </c>
      <c r="D849" t="s">
        <v>6138</v>
      </c>
      <c r="E849" t="s">
        <v>2329</v>
      </c>
      <c r="H849" s="61"/>
      <c r="J849" t="str">
        <f>ToJsonArray(supplementary_offering_offeringid__4[[#Headers],[legacyid]:[activityId]],supplementary_offering_offeringid__4[[#This Row],[legacyid]:[activityId]])</f>
        <v>{"legacyid":"VTD-037","name":"Voz-TD-12000 seg","mode":"N"}</v>
      </c>
      <c r="K849" t="str">
        <f>ToJsonArray(supplementary_offering_offeringid__4[[#This Row],[produccion]],supplementary_offering_offeringid__4[[#This Row],[json]])</f>
        <v>{"990000120":{"legacyid":"VTD-037","name":"Voz-TD-12000 seg","mode":"N"}}</v>
      </c>
    </row>
    <row r="850" spans="1:11" x14ac:dyDescent="0.25">
      <c r="A850" s="61" t="s">
        <v>3759</v>
      </c>
      <c r="B850" t="s">
        <v>3758</v>
      </c>
      <c r="C850" t="str">
        <f>findKey(supplementary_offering_offeringid__4[[#This Row],[Value.legacyid]])</f>
        <v>VTD-038</v>
      </c>
      <c r="D850" t="s">
        <v>6139</v>
      </c>
      <c r="E850" t="s">
        <v>2329</v>
      </c>
      <c r="H850" s="61"/>
      <c r="J850" t="str">
        <f>ToJsonArray(supplementary_offering_offeringid__4[[#Headers],[legacyid]:[activityId]],supplementary_offering_offeringid__4[[#This Row],[legacyid]:[activityId]])</f>
        <v>{"legacyid":"VTD-038","name":"Voz-TD-15000 seg","mode":"N"}</v>
      </c>
      <c r="K850" t="str">
        <f>ToJsonArray(supplementary_offering_offeringid__4[[#This Row],[produccion]],supplementary_offering_offeringid__4[[#This Row],[json]])</f>
        <v>{"990000121":{"legacyid":"VTD-038","name":"Voz-TD-15000 seg","mode":"N"}}</v>
      </c>
    </row>
    <row r="851" spans="1:11" x14ac:dyDescent="0.25">
      <c r="A851" s="61" t="s">
        <v>3762</v>
      </c>
      <c r="B851" t="s">
        <v>3761</v>
      </c>
      <c r="C851" t="str">
        <f>findKey(supplementary_offering_offeringid__4[[#This Row],[Value.legacyid]])</f>
        <v>VTD-039</v>
      </c>
      <c r="D851" t="s">
        <v>6140</v>
      </c>
      <c r="E851" t="s">
        <v>2329</v>
      </c>
      <c r="H851" s="61"/>
      <c r="J851" t="str">
        <f>ToJsonArray(supplementary_offering_offeringid__4[[#Headers],[legacyid]:[activityId]],supplementary_offering_offeringid__4[[#This Row],[legacyid]:[activityId]])</f>
        <v>{"legacyid":"VTD-039","name":"Voz-TD-78000 seg","mode":"N"}</v>
      </c>
      <c r="K851" t="str">
        <f>ToJsonArray(supplementary_offering_offeringid__4[[#This Row],[produccion]],supplementary_offering_offeringid__4[[#This Row],[json]])</f>
        <v>{"990000122":{"legacyid":"VTD-039","name":"Voz-TD-78000 seg","mode":"N"}}</v>
      </c>
    </row>
    <row r="852" spans="1:11" x14ac:dyDescent="0.25">
      <c r="A852" s="61" t="s">
        <v>3765</v>
      </c>
      <c r="B852" t="s">
        <v>3764</v>
      </c>
      <c r="C852" t="str">
        <f>findKey(supplementary_offering_offeringid__4[[#This Row],[Value.legacyid]])</f>
        <v>VTD-041</v>
      </c>
      <c r="D852" t="s">
        <v>6141</v>
      </c>
      <c r="E852" t="s">
        <v>2329</v>
      </c>
      <c r="H852" s="61"/>
      <c r="J852" t="str">
        <f>ToJsonArray(supplementary_offering_offeringid__4[[#Headers],[legacyid]:[activityId]],supplementary_offering_offeringid__4[[#This Row],[legacyid]:[activityId]])</f>
        <v>{"legacyid":"VTD-041","name":"Voz-TD-18000 seg","mode":"N"}</v>
      </c>
      <c r="K852" t="str">
        <f>ToJsonArray(supplementary_offering_offeringid__4[[#This Row],[produccion]],supplementary_offering_offeringid__4[[#This Row],[json]])</f>
        <v>{"990000123":{"legacyid":"VTD-041","name":"Voz-TD-18000 seg","mode":"N"}}</v>
      </c>
    </row>
    <row r="853" spans="1:11" x14ac:dyDescent="0.25">
      <c r="A853" s="61" t="s">
        <v>3768</v>
      </c>
      <c r="B853" t="s">
        <v>3767</v>
      </c>
      <c r="C853" t="str">
        <f>findKey(supplementary_offering_offeringid__4[[#This Row],[Value.legacyid]])</f>
        <v>VTD-042</v>
      </c>
      <c r="D853" t="s">
        <v>6142</v>
      </c>
      <c r="E853" t="s">
        <v>2329</v>
      </c>
      <c r="H853" s="61"/>
      <c r="J853" t="str">
        <f>ToJsonArray(supplementary_offering_offeringid__4[[#Headers],[legacyid]:[activityId]],supplementary_offering_offeringid__4[[#This Row],[legacyid]:[activityId]])</f>
        <v>{"legacyid":"VTD-042","name":"Voz-TD-21000 seg","mode":"N"}</v>
      </c>
      <c r="K853" t="str">
        <f>ToJsonArray(supplementary_offering_offeringid__4[[#This Row],[produccion]],supplementary_offering_offeringid__4[[#This Row],[json]])</f>
        <v>{"990000124":{"legacyid":"VTD-042","name":"Voz-TD-21000 seg","mode":"N"}}</v>
      </c>
    </row>
    <row r="854" spans="1:11" x14ac:dyDescent="0.25">
      <c r="A854" s="61" t="s">
        <v>3771</v>
      </c>
      <c r="B854" t="s">
        <v>3770</v>
      </c>
      <c r="C854" t="str">
        <f>findKey(supplementary_offering_offeringid__4[[#This Row],[Value.legacyid]])</f>
        <v>VTD-043</v>
      </c>
      <c r="D854" t="s">
        <v>6134</v>
      </c>
      <c r="E854" t="s">
        <v>2329</v>
      </c>
      <c r="H854" s="61"/>
      <c r="J854" t="str">
        <f>ToJsonArray(supplementary_offering_offeringid__4[[#Headers],[legacyid]:[activityId]],supplementary_offering_offeringid__4[[#This Row],[legacyid]:[activityId]])</f>
        <v>{"legacyid":"VTD-043","name":"Voz-TD-24000 seg","mode":"N"}</v>
      </c>
      <c r="K854" t="str">
        <f>ToJsonArray(supplementary_offering_offeringid__4[[#This Row],[produccion]],supplementary_offering_offeringid__4[[#This Row],[json]])</f>
        <v>{"990000125":{"legacyid":"VTD-043","name":"Voz-TD-24000 seg","mode":"N"}}</v>
      </c>
    </row>
    <row r="855" spans="1:11" x14ac:dyDescent="0.25">
      <c r="A855" s="61" t="s">
        <v>3774</v>
      </c>
      <c r="B855" t="s">
        <v>3773</v>
      </c>
      <c r="C855" t="str">
        <f>findKey(supplementary_offering_offeringid__4[[#This Row],[Value.legacyid]])</f>
        <v>VTD-044</v>
      </c>
      <c r="D855" t="s">
        <v>6143</v>
      </c>
      <c r="E855" t="s">
        <v>2329</v>
      </c>
      <c r="H855" s="61"/>
      <c r="J855" t="str">
        <f>ToJsonArray(supplementary_offering_offeringid__4[[#Headers],[legacyid]:[activityId]],supplementary_offering_offeringid__4[[#This Row],[legacyid]:[activityId]])</f>
        <v>{"legacyid":"VTD-044","name":"Voz-TD-Infinito","mode":"N"}</v>
      </c>
      <c r="K855" t="str">
        <f>ToJsonArray(supplementary_offering_offeringid__4[[#This Row],[produccion]],supplementary_offering_offeringid__4[[#This Row],[json]])</f>
        <v>{"990000126":{"legacyid":"VTD-044","name":"Voz-TD-Infinito","mode":"N"}}</v>
      </c>
    </row>
    <row r="856" spans="1:11" x14ac:dyDescent="0.25">
      <c r="A856" s="61" t="s">
        <v>3777</v>
      </c>
      <c r="B856" t="s">
        <v>3776</v>
      </c>
      <c r="C856" t="str">
        <f>findKey(supplementary_offering_offeringid__4[[#This Row],[Value.legacyid]])</f>
        <v>VTD-045</v>
      </c>
      <c r="D856" t="s">
        <v>6143</v>
      </c>
      <c r="E856" t="s">
        <v>2329</v>
      </c>
      <c r="H856" s="61"/>
      <c r="J856" t="str">
        <f>ToJsonArray(supplementary_offering_offeringid__4[[#Headers],[legacyid]:[activityId]],supplementary_offering_offeringid__4[[#This Row],[legacyid]:[activityId]])</f>
        <v>{"legacyid":"VTD-045","name":"Voz-TD-Infinito","mode":"N"}</v>
      </c>
      <c r="K856" t="str">
        <f>ToJsonArray(supplementary_offering_offeringid__4[[#This Row],[produccion]],supplementary_offering_offeringid__4[[#This Row],[json]])</f>
        <v>{"990000127":{"legacyid":"VTD-045","name":"Voz-TD-Infinito","mode":"N"}}</v>
      </c>
    </row>
    <row r="857" spans="1:11" x14ac:dyDescent="0.25">
      <c r="A857" s="61" t="s">
        <v>3780</v>
      </c>
      <c r="B857" t="s">
        <v>3779</v>
      </c>
      <c r="C857" t="str">
        <f>findKey(supplementary_offering_offeringid__4[[#This Row],[Value.legacyid]])</f>
        <v>VTD-046</v>
      </c>
      <c r="D857" t="s">
        <v>6144</v>
      </c>
      <c r="E857" t="s">
        <v>2329</v>
      </c>
      <c r="H857" s="61"/>
      <c r="J857" t="str">
        <f>ToJsonArray(supplementary_offering_offeringid__4[[#Headers],[legacyid]:[activityId]],supplementary_offering_offeringid__4[[#This Row],[legacyid]:[activityId]])</f>
        <v>{"legacyid":"VTD-046","name":"Voz-TD-30000 seg","mode":"N"}</v>
      </c>
      <c r="K857" t="str">
        <f>ToJsonArray(supplementary_offering_offeringid__4[[#This Row],[produccion]],supplementary_offering_offeringid__4[[#This Row],[json]])</f>
        <v>{"990000128":{"legacyid":"VTD-046","name":"Voz-TD-30000 seg","mode":"N"}}</v>
      </c>
    </row>
    <row r="858" spans="1:11" x14ac:dyDescent="0.25">
      <c r="A858" s="61" t="s">
        <v>3783</v>
      </c>
      <c r="B858" t="s">
        <v>3782</v>
      </c>
      <c r="C858" t="str">
        <f>findKey(supplementary_offering_offeringid__4[[#This Row],[Value.legacyid]])</f>
        <v>VTD-048</v>
      </c>
      <c r="D858" t="s">
        <v>6143</v>
      </c>
      <c r="E858" t="s">
        <v>2329</v>
      </c>
      <c r="H858" s="61"/>
      <c r="J858" t="str">
        <f>ToJsonArray(supplementary_offering_offeringid__4[[#Headers],[legacyid]:[activityId]],supplementary_offering_offeringid__4[[#This Row],[legacyid]:[activityId]])</f>
        <v>{"legacyid":"VTD-048","name":"Voz-TD-Infinito","mode":"N"}</v>
      </c>
      <c r="K858" t="str">
        <f>ToJsonArray(supplementary_offering_offeringid__4[[#This Row],[produccion]],supplementary_offering_offeringid__4[[#This Row],[json]])</f>
        <v>{"990000129":{"legacyid":"VTD-048","name":"Voz-TD-Infinito","mode":"N"}}</v>
      </c>
    </row>
    <row r="859" spans="1:11" x14ac:dyDescent="0.25">
      <c r="A859" s="61" t="s">
        <v>3786</v>
      </c>
      <c r="B859" t="s">
        <v>3785</v>
      </c>
      <c r="C859" t="str">
        <f>findKey(supplementary_offering_offeringid__4[[#This Row],[Value.legacyid]])</f>
        <v>VTD-049</v>
      </c>
      <c r="D859" t="s">
        <v>6143</v>
      </c>
      <c r="E859" t="s">
        <v>2329</v>
      </c>
      <c r="H859" s="61"/>
      <c r="J859" t="str">
        <f>ToJsonArray(supplementary_offering_offeringid__4[[#Headers],[legacyid]:[activityId]],supplementary_offering_offeringid__4[[#This Row],[legacyid]:[activityId]])</f>
        <v>{"legacyid":"VTD-049","name":"Voz-TD-Infinito","mode":"N"}</v>
      </c>
      <c r="K859" t="str">
        <f>ToJsonArray(supplementary_offering_offeringid__4[[#This Row],[produccion]],supplementary_offering_offeringid__4[[#This Row],[json]])</f>
        <v>{"990000130":{"legacyid":"VTD-049","name":"Voz-TD-Infinito","mode":"N"}}</v>
      </c>
    </row>
    <row r="860" spans="1:11" x14ac:dyDescent="0.25">
      <c r="A860" s="61" t="s">
        <v>3789</v>
      </c>
      <c r="B860" t="s">
        <v>3788</v>
      </c>
      <c r="C860" t="str">
        <f>findKey(supplementary_offering_offeringid__4[[#This Row],[Value.legacyid]])</f>
        <v>VTD-050</v>
      </c>
      <c r="D860" t="s">
        <v>6145</v>
      </c>
      <c r="E860" t="s">
        <v>2329</v>
      </c>
      <c r="H860" s="61"/>
      <c r="J860" t="str">
        <f>ToJsonArray(supplementary_offering_offeringid__4[[#Headers],[legacyid]:[activityId]],supplementary_offering_offeringid__4[[#This Row],[legacyid]:[activityId]])</f>
        <v>{"legacyid":"VTD-050","name":"Voz-TD-42000 seg","mode":"N"}</v>
      </c>
      <c r="K860" t="str">
        <f>ToJsonArray(supplementary_offering_offeringid__4[[#This Row],[produccion]],supplementary_offering_offeringid__4[[#This Row],[json]])</f>
        <v>{"990000131":{"legacyid":"VTD-050","name":"Voz-TD-42000 seg","mode":"N"}}</v>
      </c>
    </row>
    <row r="861" spans="1:11" x14ac:dyDescent="0.25">
      <c r="A861" s="61" t="s">
        <v>3792</v>
      </c>
      <c r="B861" t="s">
        <v>3791</v>
      </c>
      <c r="C861" t="str">
        <f>findKey(supplementary_offering_offeringid__4[[#This Row],[Value.legacyid]])</f>
        <v>VTD-051</v>
      </c>
      <c r="D861" t="s">
        <v>6134</v>
      </c>
      <c r="E861" t="s">
        <v>2329</v>
      </c>
      <c r="H861" s="61"/>
      <c r="J861" t="str">
        <f>ToJsonArray(supplementary_offering_offeringid__4[[#Headers],[legacyid]:[activityId]],supplementary_offering_offeringid__4[[#This Row],[legacyid]:[activityId]])</f>
        <v>{"legacyid":"VTD-051","name":"Voz-TD-24000 seg","mode":"N"}</v>
      </c>
      <c r="K861" t="str">
        <f>ToJsonArray(supplementary_offering_offeringid__4[[#This Row],[produccion]],supplementary_offering_offeringid__4[[#This Row],[json]])</f>
        <v>{"990000132":{"legacyid":"VTD-051","name":"Voz-TD-24000 seg","mode":"N"}}</v>
      </c>
    </row>
    <row r="862" spans="1:11" x14ac:dyDescent="0.25">
      <c r="A862" s="61" t="s">
        <v>3795</v>
      </c>
      <c r="B862" t="s">
        <v>3794</v>
      </c>
      <c r="C862" t="str">
        <f>findKey(supplementary_offering_offeringid__4[[#This Row],[Value.legacyid]])</f>
        <v>VTD-054</v>
      </c>
      <c r="D862" t="s">
        <v>6143</v>
      </c>
      <c r="E862" t="s">
        <v>2329</v>
      </c>
      <c r="H862" s="61"/>
      <c r="J862" t="str">
        <f>ToJsonArray(supplementary_offering_offeringid__4[[#Headers],[legacyid]:[activityId]],supplementary_offering_offeringid__4[[#This Row],[legacyid]:[activityId]])</f>
        <v>{"legacyid":"VTD-054","name":"Voz-TD-Infinito","mode":"N"}</v>
      </c>
      <c r="K862" t="str">
        <f>ToJsonArray(supplementary_offering_offeringid__4[[#This Row],[produccion]],supplementary_offering_offeringid__4[[#This Row],[json]])</f>
        <v>{"990000133":{"legacyid":"VTD-054","name":"Voz-TD-Infinito","mode":"N"}}</v>
      </c>
    </row>
    <row r="863" spans="1:11" x14ac:dyDescent="0.25">
      <c r="A863" s="61" t="s">
        <v>3798</v>
      </c>
      <c r="B863" t="s">
        <v>3797</v>
      </c>
      <c r="C863" t="str">
        <f>findKey(supplementary_offering_offeringid__4[[#This Row],[Value.legacyid]])</f>
        <v>VTD-055</v>
      </c>
      <c r="D863" t="s">
        <v>6143</v>
      </c>
      <c r="E863" t="s">
        <v>2329</v>
      </c>
      <c r="H863" s="61"/>
      <c r="J863" t="str">
        <f>ToJsonArray(supplementary_offering_offeringid__4[[#Headers],[legacyid]:[activityId]],supplementary_offering_offeringid__4[[#This Row],[legacyid]:[activityId]])</f>
        <v>{"legacyid":"VTD-055","name":"Voz-TD-Infinito","mode":"N"}</v>
      </c>
      <c r="K863" t="str">
        <f>ToJsonArray(supplementary_offering_offeringid__4[[#This Row],[produccion]],supplementary_offering_offeringid__4[[#This Row],[json]])</f>
        <v>{"990000134":{"legacyid":"VTD-055","name":"Voz-TD-Infinito","mode":"N"}}</v>
      </c>
    </row>
    <row r="864" spans="1:11" x14ac:dyDescent="0.25">
      <c r="A864" s="61" t="s">
        <v>3801</v>
      </c>
      <c r="B864" t="s">
        <v>3800</v>
      </c>
      <c r="C864" t="str">
        <f>findKey(supplementary_offering_offeringid__4[[#This Row],[Value.legacyid]])</f>
        <v>VTD-059</v>
      </c>
      <c r="D864" t="s">
        <v>6146</v>
      </c>
      <c r="E864" t="s">
        <v>2329</v>
      </c>
      <c r="H864" s="61"/>
      <c r="J864" t="str">
        <f>ToJsonArray(supplementary_offering_offeringid__4[[#Headers],[legacyid]:[activityId]],supplementary_offering_offeringid__4[[#This Row],[legacyid]:[activityId]])</f>
        <v>{"legacyid":"VTD-059","name":"Voz-TD-Ilimitado seg","mode":"N"}</v>
      </c>
      <c r="K864" t="str">
        <f>ToJsonArray(supplementary_offering_offeringid__4[[#This Row],[produccion]],supplementary_offering_offeringid__4[[#This Row],[json]])</f>
        <v>{"990000135":{"legacyid":"VTD-059","name":"Voz-TD-Ilimitado seg","mode":"N"}}</v>
      </c>
    </row>
    <row r="865" spans="1:11" x14ac:dyDescent="0.25">
      <c r="A865" s="61" t="s">
        <v>3804</v>
      </c>
      <c r="B865" t="s">
        <v>3803</v>
      </c>
      <c r="C865" t="str">
        <f>findKey(supplementary_offering_offeringid__4[[#This Row],[Value.legacyid]])</f>
        <v>VTD-060</v>
      </c>
      <c r="D865" t="s">
        <v>5808</v>
      </c>
      <c r="E865" t="s">
        <v>2329</v>
      </c>
      <c r="H865" s="61"/>
      <c r="J865" t="str">
        <f>ToJsonArray(supplementary_offering_offeringid__4[[#Headers],[legacyid]:[activityId]],supplementary_offering_offeringid__4[[#This Row],[legacyid]:[activityId]])</f>
        <v>{"legacyid":"VTD-060","name":"Voz-TD-Ilimitado","mode":"N"}</v>
      </c>
      <c r="K865" t="str">
        <f>ToJsonArray(supplementary_offering_offeringid__4[[#This Row],[produccion]],supplementary_offering_offeringid__4[[#This Row],[json]])</f>
        <v>{"990000136":{"legacyid":"VTD-060","name":"Voz-TD-Ilimitado","mode":"N"}}</v>
      </c>
    </row>
    <row r="866" spans="1:11" x14ac:dyDescent="0.25">
      <c r="A866" s="61" t="s">
        <v>3807</v>
      </c>
      <c r="B866" t="s">
        <v>3806</v>
      </c>
      <c r="C866" t="str">
        <f>findKey(supplementary_offering_offeringid__4[[#This Row],[Value.legacyid]])</f>
        <v>VLDI-001</v>
      </c>
      <c r="D866" t="s">
        <v>3808</v>
      </c>
      <c r="E866" t="s">
        <v>2329</v>
      </c>
      <c r="H866" s="61"/>
      <c r="J866" t="str">
        <f>ToJsonArray(supplementary_offering_offeringid__4[[#Headers],[legacyid]:[activityId]],supplementary_offering_offeringid__4[[#This Row],[legacyid]:[activityId]])</f>
        <v>{"legacyid":"VLDI-001","name":"Voz - Larga Distancia - 1500s","mode":"N"}</v>
      </c>
      <c r="K866" t="str">
        <f>ToJsonArray(supplementary_offering_offeringid__4[[#This Row],[produccion]],supplementary_offering_offeringid__4[[#This Row],[json]])</f>
        <v>{"990000137":{"legacyid":"VLDI-001","name":"Voz - Larga Distancia - 1500s","mode":"N"}}</v>
      </c>
    </row>
    <row r="867" spans="1:11" x14ac:dyDescent="0.25">
      <c r="A867" s="61" t="s">
        <v>3810</v>
      </c>
      <c r="B867" t="s">
        <v>3809</v>
      </c>
      <c r="C867" t="str">
        <f>findKey(supplementary_offering_offeringid__4[[#This Row],[Value.legacyid]])</f>
        <v>VLDI-002</v>
      </c>
      <c r="D867" t="s">
        <v>3811</v>
      </c>
      <c r="E867" t="s">
        <v>2329</v>
      </c>
      <c r="H867" s="61"/>
      <c r="J867" t="str">
        <f>ToJsonArray(supplementary_offering_offeringid__4[[#Headers],[legacyid]:[activityId]],supplementary_offering_offeringid__4[[#This Row],[legacyid]:[activityId]])</f>
        <v>{"legacyid":"VLDI-002","name":"Voz - Larga Distancia - 3000s","mode":"N"}</v>
      </c>
      <c r="K867" t="str">
        <f>ToJsonArray(supplementary_offering_offeringid__4[[#This Row],[produccion]],supplementary_offering_offeringid__4[[#This Row],[json]])</f>
        <v>{"990000138":{"legacyid":"VLDI-002","name":"Voz - Larga Distancia - 3000s","mode":"N"}}</v>
      </c>
    </row>
    <row r="868" spans="1:11" x14ac:dyDescent="0.25">
      <c r="A868" s="61" t="s">
        <v>3813</v>
      </c>
      <c r="B868" t="s">
        <v>3812</v>
      </c>
      <c r="C868" t="str">
        <f>findKey(supplementary_offering_offeringid__4[[#This Row],[Value.legacyid]])</f>
        <v>VLDI-003</v>
      </c>
      <c r="D868" t="s">
        <v>3814</v>
      </c>
      <c r="E868" t="s">
        <v>2329</v>
      </c>
      <c r="H868" s="61"/>
      <c r="J868" t="str">
        <f>ToJsonArray(supplementary_offering_offeringid__4[[#Headers],[legacyid]:[activityId]],supplementary_offering_offeringid__4[[#This Row],[legacyid]:[activityId]])</f>
        <v>{"legacyid":"VLDI-003","name":"Voz - Larga Distancia - 6000s","mode":"N"}</v>
      </c>
      <c r="K868" t="str">
        <f>ToJsonArray(supplementary_offering_offeringid__4[[#This Row],[produccion]],supplementary_offering_offeringid__4[[#This Row],[json]])</f>
        <v>{"990000139":{"legacyid":"VLDI-003","name":"Voz - Larga Distancia - 6000s","mode":"N"}}</v>
      </c>
    </row>
    <row r="869" spans="1:11" x14ac:dyDescent="0.25">
      <c r="A869" s="61" t="s">
        <v>3816</v>
      </c>
      <c r="B869" t="s">
        <v>3815</v>
      </c>
      <c r="C869" t="str">
        <f>findKey(supplementary_offering_offeringid__4[[#This Row],[Value.legacyid]])</f>
        <v>TRK112-01</v>
      </c>
      <c r="D869" t="s">
        <v>3815</v>
      </c>
      <c r="E869" t="s">
        <v>2189</v>
      </c>
      <c r="H869" s="61"/>
      <c r="J869" t="str">
        <f>ToJsonArray(supplementary_offering_offeringid__4[[#Headers],[legacyid]:[activityId]],supplementary_offering_offeringid__4[[#This Row],[legacyid]:[activityId]])</f>
        <v>{"legacyid":"TRK112-01","name":"TRK112-01","mode":"I"}</v>
      </c>
      <c r="K869" t="str">
        <f>ToJsonArray(supplementary_offering_offeringid__4[[#This Row],[produccion]],supplementary_offering_offeringid__4[[#This Row],[json]])</f>
        <v>{"990000140":{"legacyid":"TRK112-01","name":"TRK112-01","mode":"I"}}</v>
      </c>
    </row>
    <row r="870" spans="1:11" x14ac:dyDescent="0.25">
      <c r="A870" s="61" t="s">
        <v>3818</v>
      </c>
      <c r="B870" t="s">
        <v>3817</v>
      </c>
      <c r="C870" t="str">
        <f>findKey(supplementary_offering_offeringid__4[[#This Row],[Value.legacyid]])</f>
        <v>TRK112-02</v>
      </c>
      <c r="D870" t="s">
        <v>3817</v>
      </c>
      <c r="E870" t="s">
        <v>2189</v>
      </c>
      <c r="H870" s="61"/>
      <c r="J870" t="str">
        <f>ToJsonArray(supplementary_offering_offeringid__4[[#Headers],[legacyid]:[activityId]],supplementary_offering_offeringid__4[[#This Row],[legacyid]:[activityId]])</f>
        <v>{"legacyid":"TRK112-02","name":"TRK112-02","mode":"I"}</v>
      </c>
      <c r="K870" t="str">
        <f>ToJsonArray(supplementary_offering_offeringid__4[[#This Row],[produccion]],supplementary_offering_offeringid__4[[#This Row],[json]])</f>
        <v>{"990000141":{"legacyid":"TRK112-02","name":"TRK112-02","mode":"I"}}</v>
      </c>
    </row>
    <row r="871" spans="1:11" x14ac:dyDescent="0.25">
      <c r="A871" s="61" t="s">
        <v>3820</v>
      </c>
      <c r="B871" t="s">
        <v>3819</v>
      </c>
      <c r="C871" t="str">
        <f>findKey(supplementary_offering_offeringid__4[[#This Row],[Value.legacyid]])</f>
        <v>TRK112-03</v>
      </c>
      <c r="D871" t="s">
        <v>3819</v>
      </c>
      <c r="E871" t="s">
        <v>2189</v>
      </c>
      <c r="H871" s="61"/>
      <c r="J871" t="str">
        <f>ToJsonArray(supplementary_offering_offeringid__4[[#Headers],[legacyid]:[activityId]],supplementary_offering_offeringid__4[[#This Row],[legacyid]:[activityId]])</f>
        <v>{"legacyid":"TRK112-03","name":"TRK112-03","mode":"I"}</v>
      </c>
      <c r="K871" t="str">
        <f>ToJsonArray(supplementary_offering_offeringid__4[[#This Row],[produccion]],supplementary_offering_offeringid__4[[#This Row],[json]])</f>
        <v>{"990000142":{"legacyid":"TRK112-03","name":"TRK112-03","mode":"I"}}</v>
      </c>
    </row>
    <row r="872" spans="1:11" x14ac:dyDescent="0.25">
      <c r="A872" s="61" t="s">
        <v>3822</v>
      </c>
      <c r="B872" t="s">
        <v>3821</v>
      </c>
      <c r="C872" t="str">
        <f>findKey(supplementary_offering_offeringid__4[[#This Row],[Value.legacyid]])</f>
        <v>TRK112-04</v>
      </c>
      <c r="D872" t="s">
        <v>3821</v>
      </c>
      <c r="E872" t="s">
        <v>2189</v>
      </c>
      <c r="H872" s="61"/>
      <c r="J872" t="str">
        <f>ToJsonArray(supplementary_offering_offeringid__4[[#Headers],[legacyid]:[activityId]],supplementary_offering_offeringid__4[[#This Row],[legacyid]:[activityId]])</f>
        <v>{"legacyid":"TRK112-04","name":"TRK112-04","mode":"I"}</v>
      </c>
      <c r="K872" t="str">
        <f>ToJsonArray(supplementary_offering_offeringid__4[[#This Row],[produccion]],supplementary_offering_offeringid__4[[#This Row],[json]])</f>
        <v>{"990000143":{"legacyid":"TRK112-04","name":"TRK112-04","mode":"I"}}</v>
      </c>
    </row>
    <row r="873" spans="1:11" x14ac:dyDescent="0.25">
      <c r="A873" s="61" t="s">
        <v>3824</v>
      </c>
      <c r="B873" t="s">
        <v>3823</v>
      </c>
      <c r="C873" t="str">
        <f>findKey(supplementary_offering_offeringid__4[[#This Row],[Value.legacyid]])</f>
        <v>TRK112-05</v>
      </c>
      <c r="D873" t="s">
        <v>3823</v>
      </c>
      <c r="E873" t="s">
        <v>2189</v>
      </c>
      <c r="H873" s="61"/>
      <c r="J873" t="str">
        <f>ToJsonArray(supplementary_offering_offeringid__4[[#Headers],[legacyid]:[activityId]],supplementary_offering_offeringid__4[[#This Row],[legacyid]:[activityId]])</f>
        <v>{"legacyid":"TRK112-05","name":"TRK112-05","mode":"I"}</v>
      </c>
      <c r="K873" t="str">
        <f>ToJsonArray(supplementary_offering_offeringid__4[[#This Row],[produccion]],supplementary_offering_offeringid__4[[#This Row],[json]])</f>
        <v>{"990000144":{"legacyid":"TRK112-05","name":"TRK112-05","mode":"I"}}</v>
      </c>
    </row>
    <row r="874" spans="1:11" x14ac:dyDescent="0.25">
      <c r="A874" s="61" t="s">
        <v>3826</v>
      </c>
      <c r="B874" t="s">
        <v>3825</v>
      </c>
      <c r="C874" t="str">
        <f>findKey(supplementary_offering_offeringid__4[[#This Row],[Value.legacyid]])</f>
        <v>TRK112-06</v>
      </c>
      <c r="D874" t="s">
        <v>3825</v>
      </c>
      <c r="E874" t="s">
        <v>2189</v>
      </c>
      <c r="H874" s="61"/>
      <c r="J874" t="str">
        <f>ToJsonArray(supplementary_offering_offeringid__4[[#Headers],[legacyid]:[activityId]],supplementary_offering_offeringid__4[[#This Row],[legacyid]:[activityId]])</f>
        <v>{"legacyid":"TRK112-06","name":"TRK112-06","mode":"I"}</v>
      </c>
      <c r="K874" t="str">
        <f>ToJsonArray(supplementary_offering_offeringid__4[[#This Row],[produccion]],supplementary_offering_offeringid__4[[#This Row],[json]])</f>
        <v>{"990000145":{"legacyid":"TRK112-06","name":"TRK112-06","mode":"I"}}</v>
      </c>
    </row>
    <row r="875" spans="1:11" x14ac:dyDescent="0.25">
      <c r="A875" s="61" t="s">
        <v>3828</v>
      </c>
      <c r="B875" t="s">
        <v>3827</v>
      </c>
      <c r="C875" t="str">
        <f>findKey(supplementary_offering_offeringid__4[[#This Row],[Value.legacyid]])</f>
        <v>TRK112-07</v>
      </c>
      <c r="D875" t="s">
        <v>3827</v>
      </c>
      <c r="E875" t="s">
        <v>2189</v>
      </c>
      <c r="H875" s="61"/>
      <c r="J875" t="str">
        <f>ToJsonArray(supplementary_offering_offeringid__4[[#Headers],[legacyid]:[activityId]],supplementary_offering_offeringid__4[[#This Row],[legacyid]:[activityId]])</f>
        <v>{"legacyid":"TRK112-07","name":"TRK112-07","mode":"I"}</v>
      </c>
      <c r="K875" t="str">
        <f>ToJsonArray(supplementary_offering_offeringid__4[[#This Row],[produccion]],supplementary_offering_offeringid__4[[#This Row],[json]])</f>
        <v>{"990000146":{"legacyid":"TRK112-07","name":"TRK112-07","mode":"I"}}</v>
      </c>
    </row>
    <row r="876" spans="1:11" x14ac:dyDescent="0.25">
      <c r="A876" s="61" t="s">
        <v>3830</v>
      </c>
      <c r="B876" t="s">
        <v>3829</v>
      </c>
      <c r="C876" t="str">
        <f>findKey(supplementary_offering_offeringid__4[[#This Row],[Value.legacyid]])</f>
        <v>TRK112-08</v>
      </c>
      <c r="D876" t="s">
        <v>3829</v>
      </c>
      <c r="E876" t="s">
        <v>2189</v>
      </c>
      <c r="H876" s="61"/>
      <c r="J876" t="str">
        <f>ToJsonArray(supplementary_offering_offeringid__4[[#Headers],[legacyid]:[activityId]],supplementary_offering_offeringid__4[[#This Row],[legacyid]:[activityId]])</f>
        <v>{"legacyid":"TRK112-08","name":"TRK112-08","mode":"I"}</v>
      </c>
      <c r="K876" t="str">
        <f>ToJsonArray(supplementary_offering_offeringid__4[[#This Row],[produccion]],supplementary_offering_offeringid__4[[#This Row],[json]])</f>
        <v>{"990000147":{"legacyid":"TRK112-08","name":"TRK112-08","mode":"I"}}</v>
      </c>
    </row>
    <row r="877" spans="1:11" x14ac:dyDescent="0.25">
      <c r="A877" s="61" t="s">
        <v>3832</v>
      </c>
      <c r="B877" t="s">
        <v>3831</v>
      </c>
      <c r="C877" t="str">
        <f>findKey(supplementary_offering_offeringid__4[[#This Row],[Value.legacyid]])</f>
        <v>TRK112-09</v>
      </c>
      <c r="D877" t="s">
        <v>3831</v>
      </c>
      <c r="E877" t="s">
        <v>2189</v>
      </c>
      <c r="H877" s="61"/>
      <c r="J877" t="str">
        <f>ToJsonArray(supplementary_offering_offeringid__4[[#Headers],[legacyid]:[activityId]],supplementary_offering_offeringid__4[[#This Row],[legacyid]:[activityId]])</f>
        <v>{"legacyid":"TRK112-09","name":"TRK112-09","mode":"I"}</v>
      </c>
      <c r="K877" t="str">
        <f>ToJsonArray(supplementary_offering_offeringid__4[[#This Row],[produccion]],supplementary_offering_offeringid__4[[#This Row],[json]])</f>
        <v>{"990000148":{"legacyid":"TRK112-09","name":"TRK112-09","mode":"I"}}</v>
      </c>
    </row>
    <row r="878" spans="1:11" x14ac:dyDescent="0.25">
      <c r="A878" s="61" t="s">
        <v>3834</v>
      </c>
      <c r="B878" t="s">
        <v>3833</v>
      </c>
      <c r="C878" t="str">
        <f>findKey(supplementary_offering_offeringid__4[[#This Row],[Value.legacyid]])</f>
        <v>TRK112-10</v>
      </c>
      <c r="D878" t="s">
        <v>3833</v>
      </c>
      <c r="E878" t="s">
        <v>2189</v>
      </c>
      <c r="H878" s="61"/>
      <c r="J878" t="str">
        <f>ToJsonArray(supplementary_offering_offeringid__4[[#Headers],[legacyid]:[activityId]],supplementary_offering_offeringid__4[[#This Row],[legacyid]:[activityId]])</f>
        <v>{"legacyid":"TRK112-10","name":"TRK112-10","mode":"I"}</v>
      </c>
      <c r="K878" t="str">
        <f>ToJsonArray(supplementary_offering_offeringid__4[[#This Row],[produccion]],supplementary_offering_offeringid__4[[#This Row],[json]])</f>
        <v>{"990000149":{"legacyid":"TRK112-10","name":"TRK112-10","mode":"I"}}</v>
      </c>
    </row>
    <row r="879" spans="1:11" x14ac:dyDescent="0.25">
      <c r="A879" s="61" t="s">
        <v>3836</v>
      </c>
      <c r="B879" t="s">
        <v>3835</v>
      </c>
      <c r="C879" t="str">
        <f>findKey(supplementary_offering_offeringid__4[[#This Row],[Value.legacyid]])</f>
        <v>TRK112-11</v>
      </c>
      <c r="D879" t="s">
        <v>3835</v>
      </c>
      <c r="E879" t="s">
        <v>2189</v>
      </c>
      <c r="H879" s="61"/>
      <c r="J879" t="str">
        <f>ToJsonArray(supplementary_offering_offeringid__4[[#Headers],[legacyid]:[activityId]],supplementary_offering_offeringid__4[[#This Row],[legacyid]:[activityId]])</f>
        <v>{"legacyid":"TRK112-11","name":"TRK112-11","mode":"I"}</v>
      </c>
      <c r="K879" t="str">
        <f>ToJsonArray(supplementary_offering_offeringid__4[[#This Row],[produccion]],supplementary_offering_offeringid__4[[#This Row],[json]])</f>
        <v>{"990000150":{"legacyid":"TRK112-11","name":"TRK112-11","mode":"I"}}</v>
      </c>
    </row>
    <row r="880" spans="1:11" x14ac:dyDescent="0.25">
      <c r="A880" s="61" t="s">
        <v>3838</v>
      </c>
      <c r="B880" t="s">
        <v>3837</v>
      </c>
      <c r="C880" t="str">
        <f>findKey(supplementary_offering_offeringid__4[[#This Row],[Value.legacyid]])</f>
        <v>TRK112-12</v>
      </c>
      <c r="D880" t="s">
        <v>3837</v>
      </c>
      <c r="E880" t="s">
        <v>2189</v>
      </c>
      <c r="H880" s="61"/>
      <c r="J880" t="str">
        <f>ToJsonArray(supplementary_offering_offeringid__4[[#Headers],[legacyid]:[activityId]],supplementary_offering_offeringid__4[[#This Row],[legacyid]:[activityId]])</f>
        <v>{"legacyid":"TRK112-12","name":"TRK112-12","mode":"I"}</v>
      </c>
      <c r="K880" t="str">
        <f>ToJsonArray(supplementary_offering_offeringid__4[[#This Row],[produccion]],supplementary_offering_offeringid__4[[#This Row],[json]])</f>
        <v>{"990000151":{"legacyid":"TRK112-12","name":"TRK112-12","mode":"I"}}</v>
      </c>
    </row>
    <row r="881" spans="1:11" x14ac:dyDescent="0.25">
      <c r="A881" s="61" t="s">
        <v>3840</v>
      </c>
      <c r="B881" t="s">
        <v>3839</v>
      </c>
      <c r="C881" t="str">
        <f>findKey(supplementary_offering_offeringid__4[[#This Row],[Value.legacyid]])</f>
        <v>TRK112-13</v>
      </c>
      <c r="D881" t="s">
        <v>3839</v>
      </c>
      <c r="E881" t="s">
        <v>2189</v>
      </c>
      <c r="H881" s="61"/>
      <c r="J881" t="str">
        <f>ToJsonArray(supplementary_offering_offeringid__4[[#Headers],[legacyid]:[activityId]],supplementary_offering_offeringid__4[[#This Row],[legacyid]:[activityId]])</f>
        <v>{"legacyid":"TRK112-13","name":"TRK112-13","mode":"I"}</v>
      </c>
      <c r="K881" t="str">
        <f>ToJsonArray(supplementary_offering_offeringid__4[[#This Row],[produccion]],supplementary_offering_offeringid__4[[#This Row],[json]])</f>
        <v>{"990000152":{"legacyid":"TRK112-13","name":"TRK112-13","mode":"I"}}</v>
      </c>
    </row>
    <row r="882" spans="1:11" x14ac:dyDescent="0.25">
      <c r="A882" s="61" t="s">
        <v>3842</v>
      </c>
      <c r="B882" t="s">
        <v>3841</v>
      </c>
      <c r="C882" t="str">
        <f>findKey(supplementary_offering_offeringid__4[[#This Row],[Value.legacyid]])</f>
        <v>TRK112-14</v>
      </c>
      <c r="D882" t="s">
        <v>3841</v>
      </c>
      <c r="E882" t="s">
        <v>2189</v>
      </c>
      <c r="H882" s="61"/>
      <c r="J882" t="str">
        <f>ToJsonArray(supplementary_offering_offeringid__4[[#Headers],[legacyid]:[activityId]],supplementary_offering_offeringid__4[[#This Row],[legacyid]:[activityId]])</f>
        <v>{"legacyid":"TRK112-14","name":"TRK112-14","mode":"I"}</v>
      </c>
      <c r="K882" t="str">
        <f>ToJsonArray(supplementary_offering_offeringid__4[[#This Row],[produccion]],supplementary_offering_offeringid__4[[#This Row],[json]])</f>
        <v>{"990000153":{"legacyid":"TRK112-14","name":"TRK112-14","mode":"I"}}</v>
      </c>
    </row>
    <row r="883" spans="1:11" x14ac:dyDescent="0.25">
      <c r="A883" s="61" t="s">
        <v>3844</v>
      </c>
      <c r="B883" t="s">
        <v>3843</v>
      </c>
      <c r="C883" t="str">
        <f>findKey(supplementary_offering_offeringid__4[[#This Row],[Value.legacyid]])</f>
        <v>TRK112-15</v>
      </c>
      <c r="D883" t="s">
        <v>3843</v>
      </c>
      <c r="E883" t="s">
        <v>2189</v>
      </c>
      <c r="H883" s="61"/>
      <c r="J883" t="str">
        <f>ToJsonArray(supplementary_offering_offeringid__4[[#Headers],[legacyid]:[activityId]],supplementary_offering_offeringid__4[[#This Row],[legacyid]:[activityId]])</f>
        <v>{"legacyid":"TRK112-15","name":"TRK112-15","mode":"I"}</v>
      </c>
      <c r="K883" t="str">
        <f>ToJsonArray(supplementary_offering_offeringid__4[[#This Row],[produccion]],supplementary_offering_offeringid__4[[#This Row],[json]])</f>
        <v>{"990000154":{"legacyid":"TRK112-15","name":"TRK112-15","mode":"I"}}</v>
      </c>
    </row>
    <row r="884" spans="1:11" x14ac:dyDescent="0.25">
      <c r="A884" s="61" t="s">
        <v>3846</v>
      </c>
      <c r="B884" t="s">
        <v>3845</v>
      </c>
      <c r="C884" t="str">
        <f>findKey(supplementary_offering_offeringid__4[[#This Row],[Value.legacyid]])</f>
        <v>TRK134-01</v>
      </c>
      <c r="D884" t="s">
        <v>3845</v>
      </c>
      <c r="E884" t="s">
        <v>2189</v>
      </c>
      <c r="H884" s="61"/>
      <c r="J884" t="str">
        <f>ToJsonArray(supplementary_offering_offeringid__4[[#Headers],[legacyid]:[activityId]],supplementary_offering_offeringid__4[[#This Row],[legacyid]:[activityId]])</f>
        <v>{"legacyid":"TRK134-01","name":"TRK134-01","mode":"I"}</v>
      </c>
      <c r="K884" t="str">
        <f>ToJsonArray(supplementary_offering_offeringid__4[[#This Row],[produccion]],supplementary_offering_offeringid__4[[#This Row],[json]])</f>
        <v>{"990000155":{"legacyid":"TRK134-01","name":"TRK134-01","mode":"I"}}</v>
      </c>
    </row>
    <row r="885" spans="1:11" x14ac:dyDescent="0.25">
      <c r="A885" s="61" t="s">
        <v>3848</v>
      </c>
      <c r="B885" t="s">
        <v>3847</v>
      </c>
      <c r="C885" t="str">
        <f>findKey(supplementary_offering_offeringid__4[[#This Row],[Value.legacyid]])</f>
        <v>TRK121-01</v>
      </c>
      <c r="D885" t="s">
        <v>3847</v>
      </c>
      <c r="E885" t="s">
        <v>2189</v>
      </c>
      <c r="H885" s="61"/>
      <c r="J885" t="str">
        <f>ToJsonArray(supplementary_offering_offeringid__4[[#Headers],[legacyid]:[activityId]],supplementary_offering_offeringid__4[[#This Row],[legacyid]:[activityId]])</f>
        <v>{"legacyid":"TRK121-01","name":"TRK121-01","mode":"I"}</v>
      </c>
      <c r="K885" t="str">
        <f>ToJsonArray(supplementary_offering_offeringid__4[[#This Row],[produccion]],supplementary_offering_offeringid__4[[#This Row],[json]])</f>
        <v>{"990000156":{"legacyid":"TRK121-01","name":"TRK121-01","mode":"I"}}</v>
      </c>
    </row>
    <row r="886" spans="1:11" x14ac:dyDescent="0.25">
      <c r="A886" s="61" t="s">
        <v>3850</v>
      </c>
      <c r="B886" t="s">
        <v>3849</v>
      </c>
      <c r="C886" t="str">
        <f>findKey(supplementary_offering_offeringid__4[[#This Row],[Value.legacyid]])</f>
        <v>TRK123-01</v>
      </c>
      <c r="D886" t="s">
        <v>3849</v>
      </c>
      <c r="E886" t="s">
        <v>2189</v>
      </c>
      <c r="H886" s="61"/>
      <c r="J886" t="str">
        <f>ToJsonArray(supplementary_offering_offeringid__4[[#Headers],[legacyid]:[activityId]],supplementary_offering_offeringid__4[[#This Row],[legacyid]:[activityId]])</f>
        <v>{"legacyid":"TRK123-01","name":"TRK123-01","mode":"I"}</v>
      </c>
      <c r="K886" t="str">
        <f>ToJsonArray(supplementary_offering_offeringid__4[[#This Row],[produccion]],supplementary_offering_offeringid__4[[#This Row],[json]])</f>
        <v>{"990000157":{"legacyid":"TRK123-01","name":"TRK123-01","mode":"I"}}</v>
      </c>
    </row>
    <row r="887" spans="1:11" x14ac:dyDescent="0.25">
      <c r="A887" s="61" t="s">
        <v>3852</v>
      </c>
      <c r="B887" t="s">
        <v>3851</v>
      </c>
      <c r="C887" t="str">
        <f>findKey(supplementary_offering_offeringid__4[[#This Row],[Value.legacyid]])</f>
        <v>TRK123-02</v>
      </c>
      <c r="D887" t="s">
        <v>3851</v>
      </c>
      <c r="E887" t="s">
        <v>2189</v>
      </c>
      <c r="H887" s="61"/>
      <c r="J887" t="str">
        <f>ToJsonArray(supplementary_offering_offeringid__4[[#Headers],[legacyid]:[activityId]],supplementary_offering_offeringid__4[[#This Row],[legacyid]:[activityId]])</f>
        <v>{"legacyid":"TRK123-02","name":"TRK123-02","mode":"I"}</v>
      </c>
      <c r="K887" t="str">
        <f>ToJsonArray(supplementary_offering_offeringid__4[[#This Row],[produccion]],supplementary_offering_offeringid__4[[#This Row],[json]])</f>
        <v>{"990000158":{"legacyid":"TRK123-02","name":"TRK123-02","mode":"I"}}</v>
      </c>
    </row>
    <row r="888" spans="1:11" x14ac:dyDescent="0.25">
      <c r="A888" s="61" t="s">
        <v>3854</v>
      </c>
      <c r="B888" t="s">
        <v>3853</v>
      </c>
      <c r="C888" t="str">
        <f>findKey(supplementary_offering_offeringid__4[[#This Row],[Value.legacyid]])</f>
        <v>TRK123-03</v>
      </c>
      <c r="D888" t="s">
        <v>3853</v>
      </c>
      <c r="E888" t="s">
        <v>2189</v>
      </c>
      <c r="H888" s="61"/>
      <c r="J888" t="str">
        <f>ToJsonArray(supplementary_offering_offeringid__4[[#Headers],[legacyid]:[activityId]],supplementary_offering_offeringid__4[[#This Row],[legacyid]:[activityId]])</f>
        <v>{"legacyid":"TRK123-03","name":"TRK123-03","mode":"I"}</v>
      </c>
      <c r="K888" t="str">
        <f>ToJsonArray(supplementary_offering_offeringid__4[[#This Row],[produccion]],supplementary_offering_offeringid__4[[#This Row],[json]])</f>
        <v>{"990000159":{"legacyid":"TRK123-03","name":"TRK123-03","mode":"I"}}</v>
      </c>
    </row>
    <row r="889" spans="1:11" x14ac:dyDescent="0.25">
      <c r="A889" s="61" t="s">
        <v>5036</v>
      </c>
      <c r="B889" t="s">
        <v>5035</v>
      </c>
      <c r="C889" t="str">
        <f>findKey(supplementary_offering_offeringid__4[[#This Row],[Value.legacyid]])</f>
        <v>99999993</v>
      </c>
      <c r="D889" t="s">
        <v>2172</v>
      </c>
      <c r="E889" t="s">
        <v>2329</v>
      </c>
      <c r="H889" s="61"/>
      <c r="J889" t="str">
        <f>ToJsonArray(supplementary_offering_offeringid__4[[#Headers],[legacyid]:[activityId]],supplementary_offering_offeringid__4[[#This Row],[legacyid]:[activityId]])</f>
        <v>{"legacyid":"99999993","name":"workarround-cug","mode":"N"}</v>
      </c>
      <c r="K889" t="str">
        <f>ToJsonArray(supplementary_offering_offeringid__4[[#This Row],[produccion]],supplementary_offering_offeringid__4[[#This Row],[json]])</f>
        <v>{"990000161":{"legacyid":"99999993","name":"workarround-cug","mode":"N"}}</v>
      </c>
    </row>
    <row r="890" spans="1:11" x14ac:dyDescent="0.25">
      <c r="A890" s="61" t="s">
        <v>5034</v>
      </c>
      <c r="B890" t="s">
        <v>5033</v>
      </c>
      <c r="C890" t="str">
        <f>findKey(supplementary_offering_offeringid__4[[#This Row],[Value.legacyid]])</f>
        <v>99999991</v>
      </c>
      <c r="D890" t="s">
        <v>2171</v>
      </c>
      <c r="E890" t="s">
        <v>2329</v>
      </c>
      <c r="H890" s="61"/>
      <c r="J890" t="str">
        <f>ToJsonArray(supplementary_offering_offeringid__4[[#Headers],[legacyid]:[activityId]],supplementary_offering_offeringid__4[[#This Row],[legacyid]:[activityId]])</f>
        <v>{"legacyid":"99999991","name":"workarround-favorite1","mode":"N"}</v>
      </c>
      <c r="K890" t="str">
        <f>ToJsonArray(supplementary_offering_offeringid__4[[#This Row],[produccion]],supplementary_offering_offeringid__4[[#This Row],[json]])</f>
        <v>{"990000162":{"legacyid":"99999991","name":"workarround-favorite1","mode":"N"}}</v>
      </c>
    </row>
    <row r="891" spans="1:11" x14ac:dyDescent="0.25">
      <c r="A891" s="61" t="s">
        <v>5032</v>
      </c>
      <c r="B891" t="s">
        <v>5031</v>
      </c>
      <c r="C891" t="str">
        <f>findKey(supplementary_offering_offeringid__4[[#This Row],[Value.legacyid]])</f>
        <v>99999990</v>
      </c>
      <c r="D891" t="s">
        <v>2170</v>
      </c>
      <c r="E891" t="s">
        <v>2329</v>
      </c>
      <c r="H891" s="61"/>
      <c r="J891" t="str">
        <f>ToJsonArray(supplementary_offering_offeringid__4[[#Headers],[legacyid]:[activityId]],supplementary_offering_offeringid__4[[#This Row],[legacyid]:[activityId]])</f>
        <v>{"legacyid":"99999990","name":"workarround-favorite0","mode":"N"}</v>
      </c>
      <c r="K891" t="str">
        <f>ToJsonArray(supplementary_offering_offeringid__4[[#This Row],[produccion]],supplementary_offering_offeringid__4[[#This Row],[json]])</f>
        <v>{"990000163":{"legacyid":"99999990","name":"workarround-favorite0","mode":"N"}}</v>
      </c>
    </row>
    <row r="892" spans="1:11" x14ac:dyDescent="0.25">
      <c r="A892" s="61" t="s">
        <v>4900</v>
      </c>
      <c r="B892" t="s">
        <v>4899</v>
      </c>
      <c r="C892" t="str">
        <f>findKey(supplementary_offering_offeringid__4[[#This Row],[Value.legacyid]])</f>
        <v>VFAV-008</v>
      </c>
      <c r="D892" t="s">
        <v>6147</v>
      </c>
      <c r="E892" t="s">
        <v>2329</v>
      </c>
      <c r="H892" s="61"/>
      <c r="J892" t="str">
        <f>ToJsonArray(supplementary_offering_offeringid__4[[#Headers],[legacyid]:[activityId]],supplementary_offering_offeringid__4[[#This Row],[legacyid]:[activityId]])</f>
        <v>{"legacyid":"VFAV-008","name":"2 Fav Allnet","mode":"N"}</v>
      </c>
      <c r="K892" t="str">
        <f>ToJsonArray(supplementary_offering_offeringid__4[[#This Row],[produccion]],supplementary_offering_offeringid__4[[#This Row],[json]])</f>
        <v>{"990000174":{"legacyid":"VFAV-008","name":"2 Fav Allnet","mode":"N"}}</v>
      </c>
    </row>
    <row r="893" spans="1:11" x14ac:dyDescent="0.25">
      <c r="A893" s="61" t="s">
        <v>4903</v>
      </c>
      <c r="B893" t="s">
        <v>4902</v>
      </c>
      <c r="C893" t="str">
        <f>findKey(supplementary_offering_offeringid__4[[#This Row],[Value.legacyid]])</f>
        <v>VFAV-009</v>
      </c>
      <c r="D893" t="s">
        <v>6128</v>
      </c>
      <c r="E893" t="s">
        <v>2329</v>
      </c>
      <c r="H893" s="61"/>
      <c r="J893" t="str">
        <f>ToJsonArray(supplementary_offering_offeringid__4[[#Headers],[legacyid]:[activityId]],supplementary_offering_offeringid__4[[#This Row],[legacyid]:[activityId]])</f>
        <v>{"legacyid":"VFAV-009","name":"Favorito ilimitado 4","mode":"N"}</v>
      </c>
      <c r="K893" t="str">
        <f>ToJsonArray(supplementary_offering_offeringid__4[[#This Row],[produccion]],supplementary_offering_offeringid__4[[#This Row],[json]])</f>
        <v>{"990000175":{"legacyid":"VFAV-009","name":"Favorito ilimitado 4","mode":"N"}}</v>
      </c>
    </row>
    <row r="894" spans="1:11" x14ac:dyDescent="0.25">
      <c r="A894" s="61" t="s">
        <v>4906</v>
      </c>
      <c r="B894" t="s">
        <v>4905</v>
      </c>
      <c r="C894" t="str">
        <f>findKey(supplementary_offering_offeringid__4[[#This Row],[Value.legacyid]])</f>
        <v>VFAV-010</v>
      </c>
      <c r="D894" t="s">
        <v>6147</v>
      </c>
      <c r="E894" t="s">
        <v>2329</v>
      </c>
      <c r="H894" s="61"/>
      <c r="J894" t="str">
        <f>ToJsonArray(supplementary_offering_offeringid__4[[#Headers],[legacyid]:[activityId]],supplementary_offering_offeringid__4[[#This Row],[legacyid]:[activityId]])</f>
        <v>{"legacyid":"VFAV-010","name":"2 Fav Allnet","mode":"N"}</v>
      </c>
      <c r="K894" t="str">
        <f>ToJsonArray(supplementary_offering_offeringid__4[[#This Row],[produccion]],supplementary_offering_offeringid__4[[#This Row],[json]])</f>
        <v>{"990000176":{"legacyid":"VFAV-010","name":"2 Fav Allnet","mode":"N"}}</v>
      </c>
    </row>
    <row r="895" spans="1:11" x14ac:dyDescent="0.25">
      <c r="A895" s="61" t="s">
        <v>4909</v>
      </c>
      <c r="B895" t="s">
        <v>4908</v>
      </c>
      <c r="C895" t="str">
        <f>findKey(supplementary_offering_offeringid__4[[#This Row],[Value.legacyid]])</f>
        <v>VFAV-011</v>
      </c>
      <c r="D895" t="s">
        <v>6128</v>
      </c>
      <c r="E895" t="s">
        <v>2329</v>
      </c>
      <c r="H895" s="61"/>
      <c r="J895" t="str">
        <f>ToJsonArray(supplementary_offering_offeringid__4[[#Headers],[legacyid]:[activityId]],supplementary_offering_offeringid__4[[#This Row],[legacyid]:[activityId]])</f>
        <v>{"legacyid":"VFAV-011","name":"Favorito ilimitado 4","mode":"N"}</v>
      </c>
      <c r="K895" t="str">
        <f>ToJsonArray(supplementary_offering_offeringid__4[[#This Row],[produccion]],supplementary_offering_offeringid__4[[#This Row],[json]])</f>
        <v>{"990000177":{"legacyid":"VFAV-011","name":"Favorito ilimitado 4","mode":"N"}}</v>
      </c>
    </row>
    <row r="896" spans="1:11" x14ac:dyDescent="0.25">
      <c r="A896" s="61" t="s">
        <v>4912</v>
      </c>
      <c r="B896" t="s">
        <v>4911</v>
      </c>
      <c r="C896" t="str">
        <f>findKey(supplementary_offering_offeringid__4[[#This Row],[Value.legacyid]])</f>
        <v>VFAV-012</v>
      </c>
      <c r="D896" t="s">
        <v>6147</v>
      </c>
      <c r="E896" t="s">
        <v>2329</v>
      </c>
      <c r="H896" s="61"/>
      <c r="J896" t="str">
        <f>ToJsonArray(supplementary_offering_offeringid__4[[#Headers],[legacyid]:[activityId]],supplementary_offering_offeringid__4[[#This Row],[legacyid]:[activityId]])</f>
        <v>{"legacyid":"VFAV-012","name":"2 Fav Allnet","mode":"N"}</v>
      </c>
      <c r="K896" t="str">
        <f>ToJsonArray(supplementary_offering_offeringid__4[[#This Row],[produccion]],supplementary_offering_offeringid__4[[#This Row],[json]])</f>
        <v>{"990000178":{"legacyid":"VFAV-012","name":"2 Fav Allnet","mode":"N"}}</v>
      </c>
    </row>
    <row r="897" spans="1:11" x14ac:dyDescent="0.25">
      <c r="A897" s="61" t="s">
        <v>4915</v>
      </c>
      <c r="B897" t="s">
        <v>4914</v>
      </c>
      <c r="C897" t="str">
        <f>findKey(supplementary_offering_offeringid__4[[#This Row],[Value.legacyid]])</f>
        <v>VFAV-013</v>
      </c>
      <c r="D897" t="s">
        <v>6148</v>
      </c>
      <c r="E897" t="s">
        <v>2329</v>
      </c>
      <c r="H897" s="61"/>
      <c r="J897" t="str">
        <f>ToJsonArray(supplementary_offering_offeringid__4[[#Headers],[legacyid]:[activityId]],supplementary_offering_offeringid__4[[#This Row],[legacyid]:[activityId]])</f>
        <v>{"legacyid":"VFAV-013","name":"Favorito ilimitado 5","mode":"N"}</v>
      </c>
      <c r="K897" t="str">
        <f>ToJsonArray(supplementary_offering_offeringid__4[[#This Row],[produccion]],supplementary_offering_offeringid__4[[#This Row],[json]])</f>
        <v>{"990000179":{"legacyid":"VFAV-013","name":"Favorito ilimitado 5","mode":"N"}}</v>
      </c>
    </row>
    <row r="898" spans="1:11" x14ac:dyDescent="0.25">
      <c r="A898" s="61" t="s">
        <v>4918</v>
      </c>
      <c r="B898" t="s">
        <v>4917</v>
      </c>
      <c r="C898" t="str">
        <f>findKey(supplementary_offering_offeringid__4[[#This Row],[Value.legacyid]])</f>
        <v>VFAV-014</v>
      </c>
      <c r="D898" t="s">
        <v>6147</v>
      </c>
      <c r="E898" t="s">
        <v>2329</v>
      </c>
      <c r="H898" s="61"/>
      <c r="J898" t="str">
        <f>ToJsonArray(supplementary_offering_offeringid__4[[#Headers],[legacyid]:[activityId]],supplementary_offering_offeringid__4[[#This Row],[legacyid]:[activityId]])</f>
        <v>{"legacyid":"VFAV-014","name":"2 Fav Allnet","mode":"N"}</v>
      </c>
      <c r="K898" t="str">
        <f>ToJsonArray(supplementary_offering_offeringid__4[[#This Row],[produccion]],supplementary_offering_offeringid__4[[#This Row],[json]])</f>
        <v>{"990000180":{"legacyid":"VFAV-014","name":"2 Fav Allnet","mode":"N"}}</v>
      </c>
    </row>
    <row r="899" spans="1:11" x14ac:dyDescent="0.25">
      <c r="A899" s="61" t="s">
        <v>4921</v>
      </c>
      <c r="B899" t="s">
        <v>4920</v>
      </c>
      <c r="C899" t="str">
        <f>findKey(supplementary_offering_offeringid__4[[#This Row],[Value.legacyid]])</f>
        <v>VFAV-017</v>
      </c>
      <c r="D899" t="s">
        <v>6148</v>
      </c>
      <c r="E899" t="s">
        <v>2329</v>
      </c>
      <c r="H899" s="61"/>
      <c r="J899" t="str">
        <f>ToJsonArray(supplementary_offering_offeringid__4[[#Headers],[legacyid]:[activityId]],supplementary_offering_offeringid__4[[#This Row],[legacyid]:[activityId]])</f>
        <v>{"legacyid":"VFAV-017","name":"Favorito ilimitado 5","mode":"N"}</v>
      </c>
      <c r="K899" t="str">
        <f>ToJsonArray(supplementary_offering_offeringid__4[[#This Row],[produccion]],supplementary_offering_offeringid__4[[#This Row],[json]])</f>
        <v>{"990000181":{"legacyid":"VFAV-017","name":"Favorito ilimitado 5","mode":"N"}}</v>
      </c>
    </row>
    <row r="900" spans="1:11" x14ac:dyDescent="0.25">
      <c r="A900" s="61" t="s">
        <v>4924</v>
      </c>
      <c r="B900" t="s">
        <v>4923</v>
      </c>
      <c r="C900" t="str">
        <f>findKey(supplementary_offering_offeringid__4[[#This Row],[Value.legacyid]])</f>
        <v>VFAV-018</v>
      </c>
      <c r="D900" t="s">
        <v>6149</v>
      </c>
      <c r="E900" t="s">
        <v>2329</v>
      </c>
      <c r="H900" s="61"/>
      <c r="J900" t="str">
        <f>ToJsonArray(supplementary_offering_offeringid__4[[#Headers],[legacyid]:[activityId]],supplementary_offering_offeringid__4[[#This Row],[legacyid]:[activityId]])</f>
        <v>{"legacyid":"VFAV-018","name":"3 Fav Allnet","mode":"N"}</v>
      </c>
      <c r="K900" t="str">
        <f>ToJsonArray(supplementary_offering_offeringid__4[[#This Row],[produccion]],supplementary_offering_offeringid__4[[#This Row],[json]])</f>
        <v>{"990000182":{"legacyid":"VFAV-018","name":"3 Fav Allnet","mode":"N"}}</v>
      </c>
    </row>
    <row r="901" spans="1:11" x14ac:dyDescent="0.25">
      <c r="A901" s="61" t="s">
        <v>4927</v>
      </c>
      <c r="B901" t="s">
        <v>4926</v>
      </c>
      <c r="C901" t="str">
        <f>findKey(supplementary_offering_offeringid__4[[#This Row],[Value.legacyid]])</f>
        <v>VFAV-020</v>
      </c>
      <c r="D901" t="s">
        <v>6149</v>
      </c>
      <c r="E901" t="s">
        <v>2329</v>
      </c>
      <c r="H901" s="61"/>
      <c r="J901" t="str">
        <f>ToJsonArray(supplementary_offering_offeringid__4[[#Headers],[legacyid]:[activityId]],supplementary_offering_offeringid__4[[#This Row],[legacyid]:[activityId]])</f>
        <v>{"legacyid":"VFAV-020","name":"3 Fav Allnet","mode":"N"}</v>
      </c>
      <c r="K901" t="str">
        <f>ToJsonArray(supplementary_offering_offeringid__4[[#This Row],[produccion]],supplementary_offering_offeringid__4[[#This Row],[json]])</f>
        <v>{"990000183":{"legacyid":"VFAV-020","name":"3 Fav Allnet","mode":"N"}}</v>
      </c>
    </row>
    <row r="902" spans="1:11" x14ac:dyDescent="0.25">
      <c r="A902" s="61" t="s">
        <v>4930</v>
      </c>
      <c r="B902" t="s">
        <v>4929</v>
      </c>
      <c r="C902" t="str">
        <f>findKey(supplementary_offering_offeringid__4[[#This Row],[Value.legacyid]])</f>
        <v>VFAV-023</v>
      </c>
      <c r="D902" t="s">
        <v>6148</v>
      </c>
      <c r="E902" t="s">
        <v>2329</v>
      </c>
      <c r="H902" s="61"/>
      <c r="J902" t="str">
        <f>ToJsonArray(supplementary_offering_offeringid__4[[#Headers],[legacyid]:[activityId]],supplementary_offering_offeringid__4[[#This Row],[legacyid]:[activityId]])</f>
        <v>{"legacyid":"VFAV-023","name":"Favorito ilimitado 5","mode":"N"}</v>
      </c>
      <c r="K902" t="str">
        <f>ToJsonArray(supplementary_offering_offeringid__4[[#This Row],[produccion]],supplementary_offering_offeringid__4[[#This Row],[json]])</f>
        <v>{"990000184":{"legacyid":"VFAV-023","name":"Favorito ilimitado 5","mode":"N"}}</v>
      </c>
    </row>
    <row r="903" spans="1:11" x14ac:dyDescent="0.25">
      <c r="A903" s="61" t="s">
        <v>4933</v>
      </c>
      <c r="B903" t="s">
        <v>4932</v>
      </c>
      <c r="C903" t="str">
        <f>findKey(supplementary_offering_offeringid__4[[#This Row],[Value.legacyid]])</f>
        <v>VFAV-026</v>
      </c>
      <c r="D903" t="s">
        <v>6129</v>
      </c>
      <c r="E903" t="s">
        <v>2329</v>
      </c>
      <c r="H903" s="61"/>
      <c r="J903" t="str">
        <f>ToJsonArray(supplementary_offering_offeringid__4[[#Headers],[legacyid]:[activityId]],supplementary_offering_offeringid__4[[#This Row],[legacyid]:[activityId]])</f>
        <v>{"legacyid":"VFAV-026","name":"4 Fav Allnet","mode":"N"}</v>
      </c>
      <c r="K903" t="str">
        <f>ToJsonArray(supplementary_offering_offeringid__4[[#This Row],[produccion]],supplementary_offering_offeringid__4[[#This Row],[json]])</f>
        <v>{"990000185":{"legacyid":"VFAV-026","name":"4 Fav Allnet","mode":"N"}}</v>
      </c>
    </row>
    <row r="904" spans="1:11" x14ac:dyDescent="0.25">
      <c r="A904" s="61" t="s">
        <v>4936</v>
      </c>
      <c r="B904" t="s">
        <v>4935</v>
      </c>
      <c r="C904" t="str">
        <f>findKey(supplementary_offering_offeringid__4[[#This Row],[Value.legacyid]])</f>
        <v>VFAV-027</v>
      </c>
      <c r="D904" t="s">
        <v>6150</v>
      </c>
      <c r="E904" t="s">
        <v>2329</v>
      </c>
      <c r="H904" s="61"/>
      <c r="J904" t="str">
        <f>ToJsonArray(supplementary_offering_offeringid__4[[#Headers],[legacyid]:[activityId]],supplementary_offering_offeringid__4[[#This Row],[legacyid]:[activityId]])</f>
        <v>{"legacyid":"VFAV-027","name":"Favorito ilimitado 6","mode":"N"}</v>
      </c>
      <c r="K904" t="str">
        <f>ToJsonArray(supplementary_offering_offeringid__4[[#This Row],[produccion]],supplementary_offering_offeringid__4[[#This Row],[json]])</f>
        <v>{"990000186":{"legacyid":"VFAV-027","name":"Favorito ilimitado 6","mode":"N"}}</v>
      </c>
    </row>
    <row r="905" spans="1:11" x14ac:dyDescent="0.25">
      <c r="A905" s="61" t="s">
        <v>4939</v>
      </c>
      <c r="B905" t="s">
        <v>4938</v>
      </c>
      <c r="C905" t="str">
        <f>findKey(supplementary_offering_offeringid__4[[#This Row],[Value.legacyid]])</f>
        <v>VFAV-029</v>
      </c>
      <c r="D905" t="s">
        <v>6151</v>
      </c>
      <c r="E905" t="s">
        <v>2329</v>
      </c>
      <c r="H905" s="61"/>
      <c r="J905" t="str">
        <f>ToJsonArray(supplementary_offering_offeringid__4[[#Headers],[legacyid]:[activityId]],supplementary_offering_offeringid__4[[#This Row],[legacyid]:[activityId]])</f>
        <v>{"legacyid":"VFAV-029","name":"Favorito ilimitado 7","mode":"N"}</v>
      </c>
      <c r="K905" t="str">
        <f>ToJsonArray(supplementary_offering_offeringid__4[[#This Row],[produccion]],supplementary_offering_offeringid__4[[#This Row],[json]])</f>
        <v>{"990000187":{"legacyid":"VFAV-029","name":"Favorito ilimitado 7","mode":"N"}}</v>
      </c>
    </row>
    <row r="906" spans="1:11" x14ac:dyDescent="0.25">
      <c r="A906" s="61" t="s">
        <v>4942</v>
      </c>
      <c r="B906" t="s">
        <v>4941</v>
      </c>
      <c r="C906" t="str">
        <f>findKey(supplementary_offering_offeringid__4[[#This Row],[Value.legacyid]])</f>
        <v>VFAV-030</v>
      </c>
      <c r="D906" t="s">
        <v>6152</v>
      </c>
      <c r="E906" t="s">
        <v>2329</v>
      </c>
      <c r="H906" s="61"/>
      <c r="J906" t="str">
        <f>ToJsonArray(supplementary_offering_offeringid__4[[#Headers],[legacyid]:[activityId]],supplementary_offering_offeringid__4[[#This Row],[legacyid]:[activityId]])</f>
        <v>{"legacyid":"VFAV-030","name":"5 Fav Allnet","mode":"N"}</v>
      </c>
      <c r="K906" t="str">
        <f>ToJsonArray(supplementary_offering_offeringid__4[[#This Row],[produccion]],supplementary_offering_offeringid__4[[#This Row],[json]])</f>
        <v>{"990000188":{"legacyid":"VFAV-030","name":"5 Fav Allnet","mode":"N"}}</v>
      </c>
    </row>
    <row r="907" spans="1:11" x14ac:dyDescent="0.25">
      <c r="A907" s="61" t="s">
        <v>4945</v>
      </c>
      <c r="B907" t="s">
        <v>4944</v>
      </c>
      <c r="C907" t="str">
        <f>findKey(supplementary_offering_offeringid__4[[#This Row],[Value.legacyid]])</f>
        <v>VTD-013</v>
      </c>
      <c r="D907" t="s">
        <v>6153</v>
      </c>
      <c r="E907" t="s">
        <v>2329</v>
      </c>
      <c r="H907" s="61"/>
      <c r="J907" t="str">
        <f>ToJsonArray(supplementary_offering_offeringid__4[[#Headers],[legacyid]:[activityId]],supplementary_offering_offeringid__4[[#This Row],[legacyid]:[activityId]])</f>
        <v>{"legacyid":"VTD-013","name":"Voz-TD_Sec-280m","mode":"N"}</v>
      </c>
      <c r="K907" t="str">
        <f>ToJsonArray(supplementary_offering_offeringid__4[[#This Row],[produccion]],supplementary_offering_offeringid__4[[#This Row],[json]])</f>
        <v>{"990000189":{"legacyid":"VTD-013","name":"Voz-TD_Sec-280m","mode":"N"}}</v>
      </c>
    </row>
    <row r="908" spans="1:11" x14ac:dyDescent="0.25">
      <c r="A908" s="61" t="s">
        <v>4948</v>
      </c>
      <c r="B908" t="s">
        <v>4947</v>
      </c>
      <c r="C908" t="str">
        <f>findKey(supplementary_offering_offeringid__4[[#This Row],[Value.legacyid]])</f>
        <v>VTD-014</v>
      </c>
      <c r="D908" t="s">
        <v>6154</v>
      </c>
      <c r="E908" t="s">
        <v>2329</v>
      </c>
      <c r="H908" s="61"/>
      <c r="J908" t="str">
        <f>ToJsonArray(supplementary_offering_offeringid__4[[#Headers],[legacyid]:[activityId]],supplementary_offering_offeringid__4[[#This Row],[legacyid]:[activityId]])</f>
        <v>{"legacyid":"VTD-014","name":"Voz-TD_Sec-340m","mode":"N"}</v>
      </c>
      <c r="K908" t="str">
        <f>ToJsonArray(supplementary_offering_offeringid__4[[#This Row],[produccion]],supplementary_offering_offeringid__4[[#This Row],[json]])</f>
        <v>{"990000190":{"legacyid":"VTD-014","name":"Voz-TD_Sec-340m","mode":"N"}}</v>
      </c>
    </row>
    <row r="909" spans="1:11" x14ac:dyDescent="0.25">
      <c r="A909" s="61" t="s">
        <v>4951</v>
      </c>
      <c r="B909" t="s">
        <v>4950</v>
      </c>
      <c r="C909" t="str">
        <f>findKey(supplementary_offering_offeringid__4[[#This Row],[Value.legacyid]])</f>
        <v>VTD-015</v>
      </c>
      <c r="D909" t="s">
        <v>6155</v>
      </c>
      <c r="E909" t="s">
        <v>2329</v>
      </c>
      <c r="H909" s="61"/>
      <c r="J909" t="str">
        <f>ToJsonArray(supplementary_offering_offeringid__4[[#Headers],[legacyid]:[activityId]],supplementary_offering_offeringid__4[[#This Row],[legacyid]:[activityId]])</f>
        <v>{"legacyid":"VTD-015","name":"Voz-TD_Seg-390m","mode":"N"}</v>
      </c>
      <c r="K909" t="str">
        <f>ToJsonArray(supplementary_offering_offeringid__4[[#This Row],[produccion]],supplementary_offering_offeringid__4[[#This Row],[json]])</f>
        <v>{"990000191":{"legacyid":"VTD-015","name":"Voz-TD_Seg-390m","mode":"N"}}</v>
      </c>
    </row>
    <row r="910" spans="1:11" x14ac:dyDescent="0.25">
      <c r="A910" s="61" t="s">
        <v>4954</v>
      </c>
      <c r="B910" t="s">
        <v>4953</v>
      </c>
      <c r="C910" t="str">
        <f>findKey(supplementary_offering_offeringid__4[[#This Row],[Value.legacyid]])</f>
        <v>VTD-017</v>
      </c>
      <c r="D910" t="s">
        <v>6156</v>
      </c>
      <c r="E910" t="s">
        <v>2329</v>
      </c>
      <c r="H910" s="61"/>
      <c r="J910" t="str">
        <f>ToJsonArray(supplementary_offering_offeringid__4[[#Headers],[legacyid]:[activityId]],supplementary_offering_offeringid__4[[#This Row],[legacyid]:[activityId]])</f>
        <v>{"legacyid":"VTD-017","name":"Voz-TD_Seg-600m","mode":"N"}</v>
      </c>
      <c r="K910" t="str">
        <f>ToJsonArray(supplementary_offering_offeringid__4[[#This Row],[produccion]],supplementary_offering_offeringid__4[[#This Row],[json]])</f>
        <v>{"990000192":{"legacyid":"VTD-017","name":"Voz-TD_Seg-600m","mode":"N"}}</v>
      </c>
    </row>
    <row r="911" spans="1:11" x14ac:dyDescent="0.25">
      <c r="A911" s="61" t="s">
        <v>4957</v>
      </c>
      <c r="B911" t="s">
        <v>4956</v>
      </c>
      <c r="C911" t="str">
        <f>findKey(supplementary_offering_offeringid__4[[#This Row],[Value.legacyid]])</f>
        <v>VTD-018</v>
      </c>
      <c r="D911" t="s">
        <v>6157</v>
      </c>
      <c r="E911" t="s">
        <v>2329</v>
      </c>
      <c r="H911" s="61"/>
      <c r="J911" t="str">
        <f>ToJsonArray(supplementary_offering_offeringid__4[[#Headers],[legacyid]:[activityId]],supplementary_offering_offeringid__4[[#This Row],[legacyid]:[activityId]])</f>
        <v>{"legacyid":"VTD-018","name":"Voz-TD_Seg-650m","mode":"N"}</v>
      </c>
      <c r="K911" t="str">
        <f>ToJsonArray(supplementary_offering_offeringid__4[[#This Row],[produccion]],supplementary_offering_offeringid__4[[#This Row],[json]])</f>
        <v>{"990000193":{"legacyid":"VTD-018","name":"Voz-TD_Seg-650m","mode":"N"}}</v>
      </c>
    </row>
    <row r="912" spans="1:11" x14ac:dyDescent="0.25">
      <c r="A912" s="61" t="s">
        <v>4960</v>
      </c>
      <c r="B912" t="s">
        <v>4959</v>
      </c>
      <c r="C912" t="str">
        <f>findKey(supplementary_offering_offeringid__4[[#This Row],[Value.legacyid]])</f>
        <v>VTD-020</v>
      </c>
      <c r="D912" t="s">
        <v>6158</v>
      </c>
      <c r="E912" t="s">
        <v>2329</v>
      </c>
      <c r="H912" s="61"/>
      <c r="J912" t="str">
        <f>ToJsonArray(supplementary_offering_offeringid__4[[#Headers],[legacyid]:[activityId]],supplementary_offering_offeringid__4[[#This Row],[legacyid]:[activityId]])</f>
        <v>{"legacyid":"VTD-020","name":"Voz-TD_Seg-800m","mode":"N"}</v>
      </c>
      <c r="K912" t="str">
        <f>ToJsonArray(supplementary_offering_offeringid__4[[#This Row],[produccion]],supplementary_offering_offeringid__4[[#This Row],[json]])</f>
        <v>{"990000194":{"legacyid":"VTD-020","name":"Voz-TD_Seg-800m","mode":"N"}}</v>
      </c>
    </row>
    <row r="913" spans="1:11" x14ac:dyDescent="0.25">
      <c r="A913" s="61" t="s">
        <v>4963</v>
      </c>
      <c r="B913" t="s">
        <v>4962</v>
      </c>
      <c r="C913" t="str">
        <f>findKey(supplementary_offering_offeringid__4[[#This Row],[Value.legacyid]])</f>
        <v>VTD-021</v>
      </c>
      <c r="D913" t="s">
        <v>6159</v>
      </c>
      <c r="E913" t="s">
        <v>2329</v>
      </c>
      <c r="H913" s="61"/>
      <c r="J913" t="str">
        <f>ToJsonArray(supplementary_offering_offeringid__4[[#Headers],[legacyid]:[activityId]],supplementary_offering_offeringid__4[[#This Row],[legacyid]:[activityId]])</f>
        <v>{"legacyid":"VTD-021","name":"Voz-TD_Seg-1000m","mode":"N"}</v>
      </c>
      <c r="K913" t="str">
        <f>ToJsonArray(supplementary_offering_offeringid__4[[#This Row],[produccion]],supplementary_offering_offeringid__4[[#This Row],[json]])</f>
        <v>{"990000195":{"legacyid":"VTD-021","name":"Voz-TD_Seg-1000m","mode":"N"}}</v>
      </c>
    </row>
    <row r="914" spans="1:11" x14ac:dyDescent="0.25">
      <c r="A914" s="61" t="s">
        <v>4966</v>
      </c>
      <c r="B914" t="s">
        <v>4965</v>
      </c>
      <c r="C914" t="str">
        <f>findKey(supplementary_offering_offeringid__4[[#This Row],[Value.legacyid]])</f>
        <v>VTD-022</v>
      </c>
      <c r="D914" t="s">
        <v>6160</v>
      </c>
      <c r="E914" t="s">
        <v>2329</v>
      </c>
      <c r="H914" s="61"/>
      <c r="J914" t="str">
        <f>ToJsonArray(supplementary_offering_offeringid__4[[#Headers],[legacyid]:[activityId]],supplementary_offering_offeringid__4[[#This Row],[legacyid]:[activityId]])</f>
        <v>{"legacyid":"VTD-022","name":"Voz-TD_Seg-1300m","mode":"N"}</v>
      </c>
      <c r="K914" t="str">
        <f>ToJsonArray(supplementary_offering_offeringid__4[[#This Row],[produccion]],supplementary_offering_offeringid__4[[#This Row],[json]])</f>
        <v>{"990000196":{"legacyid":"VTD-022","name":"Voz-TD_Seg-1300m","mode":"N"}}</v>
      </c>
    </row>
    <row r="915" spans="1:11" x14ac:dyDescent="0.25">
      <c r="A915" s="61" t="s">
        <v>4969</v>
      </c>
      <c r="B915" t="s">
        <v>4968</v>
      </c>
      <c r="C915" t="str">
        <f>findKey(supplementary_offering_offeringid__4[[#This Row],[Value.legacyid]])</f>
        <v>VTD-023</v>
      </c>
      <c r="D915" t="s">
        <v>6161</v>
      </c>
      <c r="E915" t="s">
        <v>2329</v>
      </c>
      <c r="H915" s="61"/>
      <c r="J915" t="str">
        <f>ToJsonArray(supplementary_offering_offeringid__4[[#Headers],[legacyid]:[activityId]],supplementary_offering_offeringid__4[[#This Row],[legacyid]:[activityId]])</f>
        <v>{"legacyid":"VTD-023","name":"Voz-TD_Seg-1500m","mode":"N"}</v>
      </c>
      <c r="K915" t="str">
        <f>ToJsonArray(supplementary_offering_offeringid__4[[#This Row],[produccion]],supplementary_offering_offeringid__4[[#This Row],[json]])</f>
        <v>{"990000197":{"legacyid":"VTD-023","name":"Voz-TD_Seg-1500m","mode":"N"}}</v>
      </c>
    </row>
    <row r="916" spans="1:11" x14ac:dyDescent="0.25">
      <c r="A916" s="61" t="s">
        <v>4972</v>
      </c>
      <c r="B916" t="s">
        <v>4971</v>
      </c>
      <c r="C916" t="str">
        <f>findKey(supplementary_offering_offeringid__4[[#This Row],[Value.legacyid]])</f>
        <v>VTD-024</v>
      </c>
      <c r="D916" t="s">
        <v>6162</v>
      </c>
      <c r="E916" t="s">
        <v>2329</v>
      </c>
      <c r="H916" s="61"/>
      <c r="J916" t="str">
        <f>ToJsonArray(supplementary_offering_offeringid__4[[#Headers],[legacyid]:[activityId]],supplementary_offering_offeringid__4[[#This Row],[legacyid]:[activityId]])</f>
        <v>{"legacyid":"VTD-024","name":"Voz-TD_Seg-1700m","mode":"N"}</v>
      </c>
      <c r="K916" t="str">
        <f>ToJsonArray(supplementary_offering_offeringid__4[[#This Row],[produccion]],supplementary_offering_offeringid__4[[#This Row],[json]])</f>
        <v>{"990000198":{"legacyid":"VTD-024","name":"Voz-TD_Seg-1700m","mode":"N"}}</v>
      </c>
    </row>
    <row r="917" spans="1:11" x14ac:dyDescent="0.25">
      <c r="A917" s="61" t="s">
        <v>4975</v>
      </c>
      <c r="B917" t="s">
        <v>4974</v>
      </c>
      <c r="C917" t="str">
        <f>findKey(supplementary_offering_offeringid__4[[#This Row],[Value.legacyid]])</f>
        <v>VTD-025</v>
      </c>
      <c r="D917" t="s">
        <v>6163</v>
      </c>
      <c r="E917" t="s">
        <v>2329</v>
      </c>
      <c r="H917" s="61"/>
      <c r="J917" t="str">
        <f>ToJsonArray(supplementary_offering_offeringid__4[[#Headers],[legacyid]:[activityId]],supplementary_offering_offeringid__4[[#This Row],[legacyid]:[activityId]])</f>
        <v>{"legacyid":"VTD-025","name":"Voz-TD_Seg-3000m","mode":"N"}</v>
      </c>
      <c r="K917" t="str">
        <f>ToJsonArray(supplementary_offering_offeringid__4[[#This Row],[produccion]],supplementary_offering_offeringid__4[[#This Row],[json]])</f>
        <v>{"990000199":{"legacyid":"VTD-025","name":"Voz-TD_Seg-3000m","mode":"N"}}</v>
      </c>
    </row>
    <row r="918" spans="1:11" x14ac:dyDescent="0.25">
      <c r="A918" s="61" t="s">
        <v>4978</v>
      </c>
      <c r="B918" t="s">
        <v>4977</v>
      </c>
      <c r="C918" t="str">
        <f>findKey(supplementary_offering_offeringid__4[[#This Row],[Value.legacyid]])</f>
        <v>VTD-030</v>
      </c>
      <c r="D918" t="s">
        <v>5808</v>
      </c>
      <c r="E918" t="s">
        <v>2329</v>
      </c>
      <c r="H918" s="61"/>
      <c r="J918" t="str">
        <f>ToJsonArray(supplementary_offering_offeringid__4[[#Headers],[legacyid]:[activityId]],supplementary_offering_offeringid__4[[#This Row],[legacyid]:[activityId]])</f>
        <v>{"legacyid":"VTD-030","name":"Voz-TD-Ilimitado","mode":"N"}</v>
      </c>
      <c r="K918" t="str">
        <f>ToJsonArray(supplementary_offering_offeringid__4[[#This Row],[produccion]],supplementary_offering_offeringid__4[[#This Row],[json]])</f>
        <v>{"990000200":{"legacyid":"VTD-030","name":"Voz-TD-Ilimitado","mode":"N"}}</v>
      </c>
    </row>
    <row r="919" spans="1:11" x14ac:dyDescent="0.25">
      <c r="A919" s="61" t="s">
        <v>4981</v>
      </c>
      <c r="B919" t="s">
        <v>4980</v>
      </c>
      <c r="C919" t="str">
        <f>findKey(supplementary_offering_offeringid__4[[#This Row],[Value.legacyid]])</f>
        <v>VTD-040</v>
      </c>
      <c r="D919" t="s">
        <v>6134</v>
      </c>
      <c r="E919" t="s">
        <v>2329</v>
      </c>
      <c r="H919" s="61"/>
      <c r="J919" t="str">
        <f>ToJsonArray(supplementary_offering_offeringid__4[[#Headers],[legacyid]:[activityId]],supplementary_offering_offeringid__4[[#This Row],[legacyid]:[activityId]])</f>
        <v>{"legacyid":"VTD-040","name":"Voz-TD-24000 seg","mode":"N"}</v>
      </c>
      <c r="K919" t="str">
        <f>ToJsonArray(supplementary_offering_offeringid__4[[#This Row],[produccion]],supplementary_offering_offeringid__4[[#This Row],[json]])</f>
        <v>{"990000201":{"legacyid":"VTD-040","name":"Voz-TD-24000 seg","mode":"N"}}</v>
      </c>
    </row>
    <row r="920" spans="1:11" x14ac:dyDescent="0.25">
      <c r="A920" s="61" t="s">
        <v>4984</v>
      </c>
      <c r="B920" t="s">
        <v>4983</v>
      </c>
      <c r="C920" t="str">
        <f>findKey(supplementary_offering_offeringid__4[[#This Row],[Value.legacyid]])</f>
        <v>VTD-047</v>
      </c>
      <c r="D920" t="s">
        <v>6144</v>
      </c>
      <c r="E920" t="s">
        <v>2329</v>
      </c>
      <c r="H920" s="61"/>
      <c r="J920" t="str">
        <f>ToJsonArray(supplementary_offering_offeringid__4[[#Headers],[legacyid]:[activityId]],supplementary_offering_offeringid__4[[#This Row],[legacyid]:[activityId]])</f>
        <v>{"legacyid":"VTD-047","name":"Voz-TD-30000 seg","mode":"N"}</v>
      </c>
      <c r="K920" t="str">
        <f>ToJsonArray(supplementary_offering_offeringid__4[[#This Row],[produccion]],supplementary_offering_offeringid__4[[#This Row],[json]])</f>
        <v>{"990000202":{"legacyid":"VTD-047","name":"Voz-TD-30000 seg","mode":"N"}}</v>
      </c>
    </row>
    <row r="921" spans="1:11" x14ac:dyDescent="0.25">
      <c r="A921" s="61" t="s">
        <v>4987</v>
      </c>
      <c r="B921" t="s">
        <v>4986</v>
      </c>
      <c r="C921" t="str">
        <f>findKey(supplementary_offering_offeringid__4[[#This Row],[Value.legacyid]])</f>
        <v>VTD-052</v>
      </c>
      <c r="D921" t="s">
        <v>6144</v>
      </c>
      <c r="E921" t="s">
        <v>2329</v>
      </c>
      <c r="H921" s="61"/>
      <c r="J921" t="str">
        <f>ToJsonArray(supplementary_offering_offeringid__4[[#Headers],[legacyid]:[activityId]],supplementary_offering_offeringid__4[[#This Row],[legacyid]:[activityId]])</f>
        <v>{"legacyid":"VTD-052","name":"Voz-TD-30000 seg","mode":"N"}</v>
      </c>
      <c r="K921" t="str">
        <f>ToJsonArray(supplementary_offering_offeringid__4[[#This Row],[produccion]],supplementary_offering_offeringid__4[[#This Row],[json]])</f>
        <v>{"990000203":{"legacyid":"VTD-052","name":"Voz-TD-30000 seg","mode":"N"}}</v>
      </c>
    </row>
    <row r="922" spans="1:11" x14ac:dyDescent="0.25">
      <c r="A922" s="61" t="s">
        <v>4990</v>
      </c>
      <c r="B922" t="s">
        <v>4989</v>
      </c>
      <c r="C922" t="str">
        <f>findKey(supplementary_offering_offeringid__4[[#This Row],[Value.legacyid]])</f>
        <v>VTD-053</v>
      </c>
      <c r="D922" t="s">
        <v>6164</v>
      </c>
      <c r="E922" t="s">
        <v>2329</v>
      </c>
      <c r="H922" s="61"/>
      <c r="J922" t="str">
        <f>ToJsonArray(supplementary_offering_offeringid__4[[#Headers],[legacyid]:[activityId]],supplementary_offering_offeringid__4[[#This Row],[legacyid]:[activityId]])</f>
        <v>{"legacyid":"VTD-053","name":"Voz-TD-48000 seg","mode":"N"}</v>
      </c>
      <c r="K922" t="str">
        <f>ToJsonArray(supplementary_offering_offeringid__4[[#This Row],[produccion]],supplementary_offering_offeringid__4[[#This Row],[json]])</f>
        <v>{"990000204":{"legacyid":"VTD-053","name":"Voz-TD-48000 seg","mode":"N"}}</v>
      </c>
    </row>
    <row r="923" spans="1:11" x14ac:dyDescent="0.25">
      <c r="A923" s="61" t="s">
        <v>4993</v>
      </c>
      <c r="B923" t="s">
        <v>4992</v>
      </c>
      <c r="C923" t="str">
        <f>findKey(supplementary_offering_offeringid__4[[#This Row],[Value.legacyid]])</f>
        <v>VTD-056</v>
      </c>
      <c r="D923" t="s">
        <v>6165</v>
      </c>
      <c r="E923" t="s">
        <v>2329</v>
      </c>
      <c r="H923" s="61"/>
      <c r="J923" t="str">
        <f>ToJsonArray(supplementary_offering_offeringid__4[[#Headers],[legacyid]:[activityId]],supplementary_offering_offeringid__4[[#This Row],[legacyid]:[activityId]])</f>
        <v>{"legacyid":"VTD-056","name":"Voz-TD-54000 seg","mode":"N"}</v>
      </c>
      <c r="K923" t="str">
        <f>ToJsonArray(supplementary_offering_offeringid__4[[#This Row],[produccion]],supplementary_offering_offeringid__4[[#This Row],[json]])</f>
        <v>{"990000205":{"legacyid":"VTD-056","name":"Voz-TD-54000 seg","mode":"N"}}</v>
      </c>
    </row>
    <row r="924" spans="1:11" x14ac:dyDescent="0.25">
      <c r="A924" s="61" t="s">
        <v>4996</v>
      </c>
      <c r="B924" t="s">
        <v>4995</v>
      </c>
      <c r="C924" t="str">
        <f>findKey(supplementary_offering_offeringid__4[[#This Row],[Value.legacyid]])</f>
        <v>VTD-058</v>
      </c>
      <c r="D924" t="s">
        <v>6166</v>
      </c>
      <c r="E924" t="s">
        <v>2329</v>
      </c>
      <c r="H924" s="61"/>
      <c r="J924" t="str">
        <f>ToJsonArray(supplementary_offering_offeringid__4[[#Headers],[legacyid]:[activityId]],supplementary_offering_offeringid__4[[#This Row],[legacyid]:[activityId]])</f>
        <v>{"legacyid":"VTD-058","name":"Voz-TD-60000 seg","mode":"N"}</v>
      </c>
      <c r="K924" t="str">
        <f>ToJsonArray(supplementary_offering_offeringid__4[[#This Row],[produccion]],supplementary_offering_offeringid__4[[#This Row],[json]])</f>
        <v>{"990000206":{"legacyid":"VTD-058","name":"Voz-TD-60000 seg","mode":"N"}}</v>
      </c>
    </row>
    <row r="925" spans="1:11" x14ac:dyDescent="0.25">
      <c r="A925" s="61" t="s">
        <v>4999</v>
      </c>
      <c r="B925" t="s">
        <v>4998</v>
      </c>
      <c r="C925" t="str">
        <f>findKey(supplementary_offering_offeringid__4[[#This Row],[Value.legacyid]])</f>
        <v>VTIG-008</v>
      </c>
      <c r="D925" t="s">
        <v>5777</v>
      </c>
      <c r="E925" t="s">
        <v>2329</v>
      </c>
      <c r="H925" s="61"/>
      <c r="J925" t="str">
        <f>ToJsonArray(supplementary_offering_offeringid__4[[#Headers],[legacyid]:[activityId]],supplementary_offering_offeringid__4[[#This Row],[legacyid]:[activityId]])</f>
        <v>{"legacyid":"VTIG-008","name":"Voz-OnNet-Ilimitado","mode":"N"}</v>
      </c>
      <c r="K925" t="str">
        <f>ToJsonArray(supplementary_offering_offeringid__4[[#This Row],[produccion]],supplementary_offering_offeringid__4[[#This Row],[json]])</f>
        <v>{"990000207":{"legacyid":"VTIG-008","name":"Voz-OnNet-Ilimitado","mode":"N"}}</v>
      </c>
    </row>
    <row r="926" spans="1:11" x14ac:dyDescent="0.25">
      <c r="A926" s="61" t="s">
        <v>5077</v>
      </c>
      <c r="B926" t="s">
        <v>5076</v>
      </c>
      <c r="C926" t="str">
        <f>findKey(supplementary_offering_offeringid__4[[#This Row],[Value.legacyid]])</f>
        <v>17083125246</v>
      </c>
      <c r="D926" t="s">
        <v>818</v>
      </c>
      <c r="E926" t="s">
        <v>2189</v>
      </c>
      <c r="H926" s="61"/>
      <c r="J926" t="str">
        <f>ToJsonArray(supplementary_offering_offeringid__4[[#Headers],[legacyid]:[activityId]],supplementary_offering_offeringid__4[[#This Row],[legacyid]:[activityId]])</f>
        <v>{"legacyid":"17083125246","name":"PQT Corp Localizacion Movil LBS PR1","mode":"I"}</v>
      </c>
      <c r="K926" t="str">
        <f>ToJsonArray(supplementary_offering_offeringid__4[[#This Row],[produccion]],supplementary_offering_offeringid__4[[#This Row],[json]])</f>
        <v>{"990000401":{"legacyid":"17083125246","name":"PQT Corp Localizacion Movil LBS PR1","mode":"I"}}</v>
      </c>
    </row>
    <row r="927" spans="1:11" x14ac:dyDescent="0.25">
      <c r="A927" s="61" t="s">
        <v>2215</v>
      </c>
      <c r="B927" t="s">
        <v>2214</v>
      </c>
      <c r="C927" t="str">
        <f>findKey(supplementary_offering_offeringid__4[[#This Row],[Value.legacyid]])</f>
        <v>17083123438</v>
      </c>
      <c r="D927" t="s">
        <v>1748</v>
      </c>
      <c r="E927" t="s">
        <v>2189</v>
      </c>
      <c r="H927" s="61"/>
      <c r="J927" t="str">
        <f>ToJsonArray(supplementary_offering_offeringid__4[[#Headers],[legacyid]:[activityId]],supplementary_offering_offeringid__4[[#This Row],[legacyid]:[activityId]])</f>
        <v>{"legacyid":"17083123438","name":"Paquete Localizacion Movil LBS PR1","mode":"I"}</v>
      </c>
      <c r="K927" t="str">
        <f>ToJsonArray(supplementary_offering_offeringid__4[[#This Row],[produccion]],supplementary_offering_offeringid__4[[#This Row],[json]])</f>
        <v>{"990000402":{"legacyid":"17083123438","name":"Paquete Localizacion Movil LBS PR1","mode":"I"}}</v>
      </c>
    </row>
    <row r="928" spans="1:11" x14ac:dyDescent="0.25">
      <c r="A928" s="61" t="s">
        <v>5079</v>
      </c>
      <c r="B928" t="s">
        <v>5078</v>
      </c>
      <c r="C928" t="str">
        <f>findKey(supplementary_offering_offeringid__4[[#This Row],[Value.legacyid]])</f>
        <v>17083125545</v>
      </c>
      <c r="D928" t="s">
        <v>819</v>
      </c>
      <c r="E928" t="s">
        <v>2189</v>
      </c>
      <c r="H928" s="61"/>
      <c r="J928" t="str">
        <f>ToJsonArray(supplementary_offering_offeringid__4[[#Headers],[legacyid]:[activityId]],supplementary_offering_offeringid__4[[#This Row],[legacyid]:[activityId]])</f>
        <v>{"legacyid":"17083125545","name":"PQT Corp Localizacion Movil LBS PR3","mode":"I"}</v>
      </c>
      <c r="K928" t="str">
        <f>ToJsonArray(supplementary_offering_offeringid__4[[#This Row],[produccion]],supplementary_offering_offeringid__4[[#This Row],[json]])</f>
        <v>{"990000403":{"legacyid":"17083125545","name":"PQT Corp Localizacion Movil LBS PR3","mode":"I"}}</v>
      </c>
    </row>
    <row r="929" spans="1:11" x14ac:dyDescent="0.25">
      <c r="A929" s="61" t="s">
        <v>2233</v>
      </c>
      <c r="B929" t="s">
        <v>2232</v>
      </c>
      <c r="C929" t="str">
        <f>findKey(supplementary_offering_offeringid__4[[#This Row],[Value.legacyid]])</f>
        <v>17083122801</v>
      </c>
      <c r="D929" t="s">
        <v>1378</v>
      </c>
      <c r="E929" t="s">
        <v>2189</v>
      </c>
      <c r="H929" s="61"/>
      <c r="J929" t="str">
        <f>ToJsonArray(supplementary_offering_offeringid__4[[#Headers],[legacyid]:[activityId]],supplementary_offering_offeringid__4[[#This Row],[legacyid]:[activityId]])</f>
        <v>{"legacyid":"17083122801","name":"Paquete Localizacion Movil LBS PR3","mode":"I"}</v>
      </c>
      <c r="K929" t="str">
        <f>ToJsonArray(supplementary_offering_offeringid__4[[#This Row],[produccion]],supplementary_offering_offeringid__4[[#This Row],[json]])</f>
        <v>{"990000404":{"legacyid":"17083122801","name":"Paquete Localizacion Movil LBS PR3","mode":"I"}}</v>
      </c>
    </row>
    <row r="930" spans="1:11" x14ac:dyDescent="0.25">
      <c r="A930" s="61" t="s">
        <v>5081</v>
      </c>
      <c r="B930" t="s">
        <v>5080</v>
      </c>
      <c r="C930" t="str">
        <f>findKey(supplementary_offering_offeringid__4[[#This Row],[Value.legacyid]])</f>
        <v>17083122174</v>
      </c>
      <c r="D930" t="s">
        <v>820</v>
      </c>
      <c r="E930" t="s">
        <v>2189</v>
      </c>
      <c r="H930" s="61"/>
      <c r="J930" t="str">
        <f>ToJsonArray(supplementary_offering_offeringid__4[[#Headers],[legacyid]:[activityId]],supplementary_offering_offeringid__4[[#This Row],[legacyid]:[activityId]])</f>
        <v>{"legacyid":"17083122174","name":"PQT Corp Localizacion Movil LBS PR10","mode":"I"}</v>
      </c>
      <c r="K930" t="str">
        <f>ToJsonArray(supplementary_offering_offeringid__4[[#This Row],[produccion]],supplementary_offering_offeringid__4[[#This Row],[json]])</f>
        <v>{"990000405":{"legacyid":"17083122174","name":"PQT Corp Localizacion Movil LBS PR10","mode":"I"}}</v>
      </c>
    </row>
    <row r="931" spans="1:11" x14ac:dyDescent="0.25">
      <c r="A931" s="61" t="s">
        <v>2205</v>
      </c>
      <c r="B931" t="s">
        <v>2204</v>
      </c>
      <c r="C931" t="str">
        <f>findKey(supplementary_offering_offeringid__4[[#This Row],[Value.legacyid]])</f>
        <v>17083124974</v>
      </c>
      <c r="D931" t="s">
        <v>1737</v>
      </c>
      <c r="E931" t="s">
        <v>2189</v>
      </c>
      <c r="H931" s="61"/>
      <c r="J931" t="str">
        <f>ToJsonArray(supplementary_offering_offeringid__4[[#Headers],[legacyid]:[activityId]],supplementary_offering_offeringid__4[[#This Row],[legacyid]:[activityId]])</f>
        <v>{"legacyid":"17083124974","name":"Paquete Localizacion Movil LBS PR10","mode":"I"}</v>
      </c>
      <c r="K931" t="str">
        <f>ToJsonArray(supplementary_offering_offeringid__4[[#This Row],[produccion]],supplementary_offering_offeringid__4[[#This Row],[json]])</f>
        <v>{"990000406":{"legacyid":"17083124974","name":"Paquete Localizacion Movil LBS PR10","mode":"I"}}</v>
      </c>
    </row>
    <row r="932" spans="1:11" x14ac:dyDescent="0.25">
      <c r="A932" s="61" t="s">
        <v>5083</v>
      </c>
      <c r="B932" t="s">
        <v>5082</v>
      </c>
      <c r="C932" t="str">
        <f>findKey(supplementary_offering_offeringid__4[[#This Row],[Value.legacyid]])</f>
        <v>17083124478</v>
      </c>
      <c r="D932" t="s">
        <v>821</v>
      </c>
      <c r="E932" t="s">
        <v>2189</v>
      </c>
      <c r="H932" s="61"/>
      <c r="J932" t="str">
        <f>ToJsonArray(supplementary_offering_offeringid__4[[#Headers],[legacyid]:[activityId]],supplementary_offering_offeringid__4[[#This Row],[legacyid]:[activityId]])</f>
        <v>{"legacyid":"17083124478","name":"PQT Corp Localizacion Movil LBS PR20","mode":"I"}</v>
      </c>
      <c r="K932" t="str">
        <f>ToJsonArray(supplementary_offering_offeringid__4[[#This Row],[produccion]],supplementary_offering_offeringid__4[[#This Row],[json]])</f>
        <v>{"990000407":{"legacyid":"17083124478","name":"PQT Corp Localizacion Movil LBS PR20","mode":"I"}}</v>
      </c>
    </row>
    <row r="933" spans="1:11" x14ac:dyDescent="0.25">
      <c r="A933" s="61" t="s">
        <v>2217</v>
      </c>
      <c r="B933" t="s">
        <v>2216</v>
      </c>
      <c r="C933" t="str">
        <f>findKey(supplementary_offering_offeringid__4[[#This Row],[Value.legacyid]])</f>
        <v>17083121902</v>
      </c>
      <c r="D933" t="s">
        <v>1740</v>
      </c>
      <c r="E933" t="s">
        <v>2189</v>
      </c>
      <c r="H933" s="61"/>
      <c r="J933" t="str">
        <f>ToJsonArray(supplementary_offering_offeringid__4[[#Headers],[legacyid]:[activityId]],supplementary_offering_offeringid__4[[#This Row],[legacyid]:[activityId]])</f>
        <v>{"legacyid":"17083121902","name":"Paquete Localizacion Movil LBS PR20","mode":"I"}</v>
      </c>
      <c r="K933" t="str">
        <f>ToJsonArray(supplementary_offering_offeringid__4[[#This Row],[produccion]],supplementary_offering_offeringid__4[[#This Row],[json]])</f>
        <v>{"990000408":{"legacyid":"17083121902","name":"Paquete Localizacion Movil LBS PR20","mode":"I"}}</v>
      </c>
    </row>
    <row r="934" spans="1:11" x14ac:dyDescent="0.25">
      <c r="A934" s="61" t="s">
        <v>2235</v>
      </c>
      <c r="B934" t="s">
        <v>2234</v>
      </c>
      <c r="C934" t="str">
        <f>findKey(supplementary_offering_offeringid__4[[#This Row],[Value.legacyid]])</f>
        <v>17083125409</v>
      </c>
      <c r="D934" t="s">
        <v>1865</v>
      </c>
      <c r="E934" t="s">
        <v>2189</v>
      </c>
      <c r="H934" s="61"/>
      <c r="J934" t="str">
        <f>ToJsonArray(supplementary_offering_offeringid__4[[#Headers],[legacyid]:[activityId]],supplementary_offering_offeringid__4[[#This Row],[legacyid]:[activityId]])</f>
        <v>{"legacyid":"17083125409","name":"Paquete Localizacion Movil LBS PR100","mode":"I"}</v>
      </c>
      <c r="K934" t="str">
        <f>ToJsonArray(supplementary_offering_offeringid__4[[#This Row],[produccion]],supplementary_offering_offeringid__4[[#This Row],[json]])</f>
        <v>{"990000409":{"legacyid":"17083125409","name":"Paquete Localizacion Movil LBS PR100","mode":"I"}}</v>
      </c>
    </row>
    <row r="935" spans="1:11" x14ac:dyDescent="0.25">
      <c r="A935" s="61" t="s">
        <v>2227</v>
      </c>
      <c r="B935" t="s">
        <v>2226</v>
      </c>
      <c r="C935" t="str">
        <f>findKey(supplementary_offering_offeringid__4[[#This Row],[Value.legacyid]])</f>
        <v>17083125681</v>
      </c>
      <c r="D935" t="s">
        <v>1395</v>
      </c>
      <c r="E935" t="s">
        <v>2189</v>
      </c>
      <c r="H935" s="61"/>
      <c r="J935" t="str">
        <f>ToJsonArray(supplementary_offering_offeringid__4[[#Headers],[legacyid]:[activityId]],supplementary_offering_offeringid__4[[#This Row],[legacyid]:[activityId]])</f>
        <v>{"legacyid":"17083125681","name":"Paquete Localizacion Movil LBS PR1000","mode":"I"}</v>
      </c>
      <c r="K935" t="str">
        <f>ToJsonArray(supplementary_offering_offeringid__4[[#This Row],[produccion]],supplementary_offering_offeringid__4[[#This Row],[json]])</f>
        <v>{"990000410":{"legacyid":"17083125681","name":"Paquete Localizacion Movil LBS PR1000","mode":"I"}}</v>
      </c>
    </row>
    <row r="936" spans="1:11" x14ac:dyDescent="0.25">
      <c r="A936" s="61" t="s">
        <v>5085</v>
      </c>
      <c r="B936" t="s">
        <v>5084</v>
      </c>
      <c r="C936" t="str">
        <f>findKey(supplementary_offering_offeringid__4[[#This Row],[Value.legacyid]])</f>
        <v>Plan CRM 525 - Activity</v>
      </c>
      <c r="D936" t="s">
        <v>5086</v>
      </c>
      <c r="E936" t="s">
        <v>2189</v>
      </c>
      <c r="H936" s="61"/>
      <c r="J936" t="str">
        <f>ToJsonArray(supplementary_offering_offeringid__4[[#Headers],[legacyid]:[activityId]],supplementary_offering_offeringid__4[[#This Row],[legacyid]:[activityId]])</f>
        <v>{"legacyid":"Plan CRM 525 - Activity","name":"SMS Flexy plan Basic","mode":"I"}</v>
      </c>
      <c r="K936" t="str">
        <f>ToJsonArray(supplementary_offering_offeringid__4[[#This Row],[produccion]],supplementary_offering_offeringid__4[[#This Row],[json]])</f>
        <v>{"990000411":{"legacyid":"Plan CRM 525 - Activity","name":"SMS Flexy plan Basic","mode":"I"}}</v>
      </c>
    </row>
    <row r="937" spans="1:11" x14ac:dyDescent="0.25">
      <c r="A937" s="61" t="s">
        <v>5088</v>
      </c>
      <c r="B937" t="s">
        <v>5087</v>
      </c>
      <c r="C937" t="str">
        <f>findKey(supplementary_offering_offeringid__4[[#This Row],[Value.legacyid]])</f>
        <v>Plan CRM 526 - Activity</v>
      </c>
      <c r="D937" t="s">
        <v>5089</v>
      </c>
      <c r="E937" t="s">
        <v>2189</v>
      </c>
      <c r="H937" s="61"/>
      <c r="J937" t="str">
        <f>ToJsonArray(supplementary_offering_offeringid__4[[#Headers],[legacyid]:[activityId]],supplementary_offering_offeringid__4[[#This Row],[legacyid]:[activityId]])</f>
        <v>{"legacyid":"Plan CRM 526 - Activity","name":"SMS Flexy plan Plus","mode":"I"}</v>
      </c>
      <c r="K937" t="str">
        <f>ToJsonArray(supplementary_offering_offeringid__4[[#This Row],[produccion]],supplementary_offering_offeringid__4[[#This Row],[json]])</f>
        <v>{"990000412":{"legacyid":"Plan CRM 526 - Activity","name":"SMS Flexy plan Plus","mode":"I"}}</v>
      </c>
    </row>
    <row r="938" spans="1:11" x14ac:dyDescent="0.25">
      <c r="A938" s="61" t="s">
        <v>2288</v>
      </c>
      <c r="B938" t="s">
        <v>2287</v>
      </c>
      <c r="C938" t="str">
        <f>findKey(supplementary_offering_offeringid__4[[#This Row],[Value.legacyid]])</f>
        <v>17083126776</v>
      </c>
      <c r="D938" t="s">
        <v>729</v>
      </c>
      <c r="E938" t="s">
        <v>2189</v>
      </c>
      <c r="H938" s="61"/>
      <c r="J938" t="str">
        <f>ToJsonArray(supplementary_offering_offeringid__4[[#Headers],[legacyid]:[activityId]],supplementary_offering_offeringid__4[[#This Row],[legacyid]:[activityId]])</f>
        <v>{"legacyid":"17083126776","name":"Plan Bolsa USSD 1","mode":"I"}</v>
      </c>
      <c r="K938" t="str">
        <f>ToJsonArray(supplementary_offering_offeringid__4[[#This Row],[produccion]],supplementary_offering_offeringid__4[[#This Row],[json]])</f>
        <v>{"990000413":{"legacyid":"17083126776","name":"Plan Bolsa USSD 1","mode":"I"}}</v>
      </c>
    </row>
    <row r="939" spans="1:11" x14ac:dyDescent="0.25">
      <c r="A939" s="61" t="s">
        <v>2302</v>
      </c>
      <c r="B939" t="s">
        <v>2301</v>
      </c>
      <c r="C939" t="str">
        <f>findKey(supplementary_offering_offeringid__4[[#This Row],[Value.legacyid]])</f>
        <v>17083128404</v>
      </c>
      <c r="D939" t="s">
        <v>939</v>
      </c>
      <c r="E939" t="s">
        <v>2189</v>
      </c>
      <c r="H939" s="61"/>
      <c r="J939" t="str">
        <f>ToJsonArray(supplementary_offering_offeringid__4[[#Headers],[legacyid]:[activityId]],supplementary_offering_offeringid__4[[#This Row],[legacyid]:[activityId]])</f>
        <v>{"legacyid":"17083128404","name":"Plan Bolsa USSD 2","mode":"I"}</v>
      </c>
      <c r="K939" t="str">
        <f>ToJsonArray(supplementary_offering_offeringid__4[[#This Row],[produccion]],supplementary_offering_offeringid__4[[#This Row],[json]])</f>
        <v>{"990000414":{"legacyid":"17083128404","name":"Plan Bolsa USSD 2","mode":"I"}}</v>
      </c>
    </row>
    <row r="940" spans="1:11" x14ac:dyDescent="0.25">
      <c r="A940" s="61" t="s">
        <v>2239</v>
      </c>
      <c r="B940" t="s">
        <v>2238</v>
      </c>
      <c r="C940" t="str">
        <f>findKey(supplementary_offering_offeringid__4[[#This Row],[Value.legacyid]])</f>
        <v>17083091874</v>
      </c>
      <c r="D940" t="s">
        <v>953</v>
      </c>
      <c r="E940" t="s">
        <v>2189</v>
      </c>
      <c r="H940" s="61"/>
      <c r="J940" t="str">
        <f>ToJsonArray(supplementary_offering_offeringid__4[[#Headers],[legacyid]:[activityId]],supplementary_offering_offeringid__4[[#This Row],[legacyid]:[activityId]])</f>
        <v>{"legacyid":"17083091874","name":"Plan Bolsa USSD 3","mode":"I"}</v>
      </c>
      <c r="K940" t="str">
        <f>ToJsonArray(supplementary_offering_offeringid__4[[#This Row],[produccion]],supplementary_offering_offeringid__4[[#This Row],[json]])</f>
        <v>{"990000415":{"legacyid":"17083091874","name":"Plan Bolsa USSD 3","mode":"I"}}</v>
      </c>
    </row>
    <row r="941" spans="1:11" x14ac:dyDescent="0.25">
      <c r="A941" s="61" t="s">
        <v>2281</v>
      </c>
      <c r="B941" t="s">
        <v>2280</v>
      </c>
      <c r="C941" t="str">
        <f>findKey(supplementary_offering_offeringid__4[[#This Row],[Value.legacyid]])</f>
        <v>17083092522</v>
      </c>
      <c r="D941" t="s">
        <v>1098</v>
      </c>
      <c r="E941" t="s">
        <v>2189</v>
      </c>
      <c r="H941" s="61"/>
      <c r="J941" t="str">
        <f>ToJsonArray(supplementary_offering_offeringid__4[[#Headers],[legacyid]:[activityId]],supplementary_offering_offeringid__4[[#This Row],[legacyid]:[activityId]])</f>
        <v>{"legacyid":"17083092522","name":"Plan Bolsa USSD 4","mode":"I"}</v>
      </c>
      <c r="K941" t="str">
        <f>ToJsonArray(supplementary_offering_offeringid__4[[#This Row],[produccion]],supplementary_offering_offeringid__4[[#This Row],[json]])</f>
        <v>{"990000416":{"legacyid":"17083092522","name":"Plan Bolsa USSD 4","mode":"I"}}</v>
      </c>
    </row>
    <row r="942" spans="1:11" x14ac:dyDescent="0.25">
      <c r="A942" s="61" t="s">
        <v>2308</v>
      </c>
      <c r="B942" t="s">
        <v>2307</v>
      </c>
      <c r="C942" t="str">
        <f>findKey(supplementary_offering_offeringid__4[[#This Row],[Value.legacyid]])</f>
        <v>302783</v>
      </c>
      <c r="D942" t="s">
        <v>1250</v>
      </c>
      <c r="E942" t="s">
        <v>2189</v>
      </c>
      <c r="H942" s="61"/>
      <c r="J942" t="str">
        <f>ToJsonArray(supplementary_offering_offeringid__4[[#Headers],[legacyid]:[activityId]],supplementary_offering_offeringid__4[[#This Row],[legacyid]:[activityId]])</f>
        <v>{"legacyid":"302783","name":"Plan Bolsa USSD 5","mode":"I"}</v>
      </c>
      <c r="K942" t="str">
        <f>ToJsonArray(supplementary_offering_offeringid__4[[#This Row],[produccion]],supplementary_offering_offeringid__4[[#This Row],[json]])</f>
        <v>{"990000417":{"legacyid":"302783","name":"Plan Bolsa USSD 5","mode":"I"}}</v>
      </c>
    </row>
    <row r="943" spans="1:11" x14ac:dyDescent="0.25">
      <c r="A943" s="61" t="s">
        <v>2251</v>
      </c>
      <c r="B943" t="s">
        <v>2250</v>
      </c>
      <c r="C943" t="str">
        <f>findKey(supplementary_offering_offeringid__4[[#This Row],[Value.legacyid]])</f>
        <v>17083120095</v>
      </c>
      <c r="D943" t="s">
        <v>1436</v>
      </c>
      <c r="E943" t="s">
        <v>2189</v>
      </c>
      <c r="H943" s="61"/>
      <c r="J943" t="str">
        <f>ToJsonArray(supplementary_offering_offeringid__4[[#Headers],[legacyid]:[activityId]],supplementary_offering_offeringid__4[[#This Row],[legacyid]:[activityId]])</f>
        <v>{"legacyid":"17083120095","name":"Plan Bolsa USSD 6","mode":"I"}</v>
      </c>
      <c r="K943" t="str">
        <f>ToJsonArray(supplementary_offering_offeringid__4[[#This Row],[produccion]],supplementary_offering_offeringid__4[[#This Row],[json]])</f>
        <v>{"990000418":{"legacyid":"17083120095","name":"Plan Bolsa USSD 6","mode":"I"}}</v>
      </c>
    </row>
    <row r="944" spans="1:11" x14ac:dyDescent="0.25">
      <c r="A944" s="61" t="s">
        <v>2310</v>
      </c>
      <c r="B944" t="s">
        <v>2309</v>
      </c>
      <c r="C944" t="str">
        <f>findKey(supplementary_offering_offeringid__4[[#This Row],[Value.legacyid]])</f>
        <v>17083124640</v>
      </c>
      <c r="D944" t="s">
        <v>1582</v>
      </c>
      <c r="E944" t="s">
        <v>2189</v>
      </c>
      <c r="H944" s="61"/>
      <c r="J944" t="str">
        <f>ToJsonArray(supplementary_offering_offeringid__4[[#Headers],[legacyid]:[activityId]],supplementary_offering_offeringid__4[[#This Row],[legacyid]:[activityId]])</f>
        <v>{"legacyid":"17083124640","name":"Plan Bolsa USSD 7","mode":"I"}</v>
      </c>
      <c r="K944" t="str">
        <f>ToJsonArray(supplementary_offering_offeringid__4[[#This Row],[produccion]],supplementary_offering_offeringid__4[[#This Row],[json]])</f>
        <v>{"990000419":{"legacyid":"17083124640","name":"Plan Bolsa USSD 7","mode":"I"}}</v>
      </c>
    </row>
    <row r="945" spans="1:11" x14ac:dyDescent="0.25">
      <c r="A945" s="61">
        <v>990000420</v>
      </c>
      <c r="B945" t="s">
        <v>5090</v>
      </c>
      <c r="C945" t="str">
        <f>findKey(supplementary_offering_offeringid__4[[#This Row],[Value.legacyid]])</f>
        <v>17083123936</v>
      </c>
      <c r="D945" t="s">
        <v>645</v>
      </c>
      <c r="E945" t="s">
        <v>2189</v>
      </c>
      <c r="F945" s="61" t="s">
        <v>6167</v>
      </c>
      <c r="G945" s="71" t="s">
        <v>6315</v>
      </c>
      <c r="H945" s="61"/>
      <c r="J945" t="str">
        <f>ToJsonArray(supplementary_offering_offeringid__4[[#Headers],[legacyid]:[activityId]],supplementary_offering_offeringid__4[[#This Row],[legacyid]:[activityId]])</f>
        <v>{"legacyid":"17083123936","name":"PQT Corp TodoDestino 200MIN y Voz a NIT Infinito F2","mode":"I","amount":"19925","resources":[
				{
					"partition": "12223",
					"amountPartition": "12000",
					"amountType": "seconds"
				},
				{
					"partition": "12323",
					"amountPartition": "2678400",
					"amountType": "seconds"
				}
			]}</v>
      </c>
      <c r="K945" t="str">
        <f>ToJsonArray(supplementary_offering_offeringid__4[[#This Row],[produccion]],supplementary_offering_offeringid__4[[#This Row],[json]])</f>
        <v>{"990000420":{"legacyid":"17083123936","name":"PQT Corp TodoDestino 200MIN y Voz a NIT Infinito F2","mode":"I","amount":"19925","resources":[
				{
					"partition": "12223",
					"amountPartition": "12000",
					"amountType": "seconds"
				},
				{
					"partition": "12323",
					"amountPartition": "2678400",
					"amountType": "seconds"
				}
			]}}</v>
      </c>
    </row>
    <row r="946" spans="1:11" x14ac:dyDescent="0.25">
      <c r="A946" s="61">
        <v>990000421</v>
      </c>
      <c r="B946" t="s">
        <v>5092</v>
      </c>
      <c r="C946" t="str">
        <f>findKey(supplementary_offering_offeringid__4[[#This Row],[Value.legacyid]])</f>
        <v>17083657479</v>
      </c>
      <c r="D946" t="s">
        <v>649</v>
      </c>
      <c r="E946" t="s">
        <v>2189</v>
      </c>
      <c r="F946" s="61" t="s">
        <v>6168</v>
      </c>
      <c r="G946" s="71" t="s">
        <v>6316</v>
      </c>
      <c r="H946" s="61"/>
      <c r="J946" t="str">
        <f>ToJsonArray(supplementary_offering_offeringid__4[[#Headers],[legacyid]:[activityId]],supplementary_offering_offeringid__4[[#This Row],[legacyid]:[activityId]])</f>
        <v>{"legacyid":"17083657479","name":"PQT Corp TodoDestino 500MIN y Voz a NIT Infinito F2","mode":"I","amount":"28304","resources":[
				{
					"partition": "12323",
					"amountPartition": "2678400",
					"amountType": "seconds"
				},
				{
					"partition": "12223",
					"amountPartition": "30000",
					"amountType": "seconds"
				}
			]}</v>
      </c>
      <c r="K946" t="str">
        <f>ToJsonArray(supplementary_offering_offeringid__4[[#This Row],[produccion]],supplementary_offering_offeringid__4[[#This Row],[json]])</f>
        <v>{"990000421":{"legacyid":"17083657479","name":"PQT Corp TodoDestino 500MIN y Voz a NIT Infinito F2","mode":"I","amount":"28304","resources":[
				{
					"partition": "12323",
					"amountPartition": "2678400",
					"amountType": "seconds"
				},
				{
					"partition": "12223",
					"amountPartition": "30000",
					"amountType": "seconds"
				}
			]}}</v>
      </c>
    </row>
    <row r="947" spans="1:11" x14ac:dyDescent="0.25">
      <c r="A947" s="61" t="s">
        <v>5095</v>
      </c>
      <c r="B947" t="s">
        <v>5094</v>
      </c>
      <c r="C947" t="str">
        <f>findKey(supplementary_offering_offeringid__4[[#This Row],[Value.legacyid]])</f>
        <v>17083662891</v>
      </c>
      <c r="D947" t="s">
        <v>672</v>
      </c>
      <c r="E947" t="s">
        <v>2189</v>
      </c>
      <c r="F947" s="61" t="s">
        <v>6169</v>
      </c>
      <c r="G947" s="71" t="s">
        <v>6317</v>
      </c>
      <c r="H947" s="61"/>
      <c r="I947" s="61" t="s">
        <v>6170</v>
      </c>
      <c r="J947" t="str">
        <f>ToJsonArray(supplementary_offering_offeringid__4[[#Headers],[legacyid]:[activityId]],supplementary_offering_offeringid__4[[#This Row],[legacyid]:[activityId]])</f>
        <v>{"legacyid":"17083662891","name":"PQT Corp Navegacion 1GB WA + Mail","mode":"I","amount":"26872","resources":[
				{
					"partition": "22423",
					"amountPartition": "1048576",
					"amountType": "kilobytes"
				},
				{
					"partition": "22823",
					"amountPartition": "62914560",
					"amountType": "kilobytes"
				}
			],"activityId":"76"}</v>
      </c>
      <c r="K947" t="str">
        <f>ToJsonArray(supplementary_offering_offeringid__4[[#This Row],[produccion]],supplementary_offering_offeringid__4[[#This Row],[json]])</f>
        <v>{"990000422":{"legacyid":"17083662891","name":"PQT Corp Navegacion 1GB WA + Mail","mode":"I","amount":"26872","resources":[
				{
					"partition": "22423",
					"amountPartition": "1048576",
					"amountType": "kilobytes"
				},
				{
					"partition": "22823",
					"amountPartition": "62914560",
					"amountType": "kilobytes"
				}
			],"activityId":"76"}}</v>
      </c>
    </row>
    <row r="948" spans="1:11" x14ac:dyDescent="0.25">
      <c r="A948" s="61" t="s">
        <v>5097</v>
      </c>
      <c r="B948" t="s">
        <v>5096</v>
      </c>
      <c r="C948" t="str">
        <f>findKey(supplementary_offering_offeringid__4[[#This Row],[Value.legacyid]])</f>
        <v>17083655495</v>
      </c>
      <c r="D948" t="s">
        <v>639</v>
      </c>
      <c r="E948" t="s">
        <v>2189</v>
      </c>
      <c r="F948" s="61" t="s">
        <v>6171</v>
      </c>
      <c r="G948" s="71" t="s">
        <v>6318</v>
      </c>
      <c r="H948" s="61"/>
      <c r="J948" t="str">
        <f>ToJsonArray(supplementary_offering_offeringid__4[[#Headers],[legacyid]:[activityId]],supplementary_offering_offeringid__4[[#This Row],[legacyid]:[activityId]])</f>
        <v>{"legacyid":"17083655495","name":"PQT Corp TodoDestino 100SMS  F2","mode":"I","amount":"482","resources":[
				{
					"partition": "32223",
					"amountPartition": "100",
					"amountType": "sms"
				}
			]}</v>
      </c>
      <c r="K948" t="str">
        <f>ToJsonArray(supplementary_offering_offeringid__4[[#This Row],[produccion]],supplementary_offering_offeringid__4[[#This Row],[json]])</f>
        <v>{"990000423":{"legacyid":"17083655495","name":"PQT Corp TodoDestino 100SMS  F2","mode":"I","amount":"482","resources":[
				{
					"partition": "32223",
					"amountPartition": "100",
					"amountType": "sms"
				}
			]}}</v>
      </c>
    </row>
    <row r="949" spans="1:11" x14ac:dyDescent="0.25">
      <c r="A949" s="61" t="s">
        <v>5099</v>
      </c>
      <c r="B949" t="s">
        <v>5098</v>
      </c>
      <c r="C949" t="str">
        <f>findKey(supplementary_offering_offeringid__4[[#This Row],[Value.legacyid]])</f>
        <v>17083656327</v>
      </c>
      <c r="D949" t="s">
        <v>653</v>
      </c>
      <c r="E949" t="s">
        <v>2189</v>
      </c>
      <c r="F949" s="61" t="s">
        <v>6172</v>
      </c>
      <c r="G949" s="71" t="s">
        <v>6319</v>
      </c>
      <c r="H949" s="61"/>
      <c r="J949" t="str">
        <f>ToJsonArray(supplementary_offering_offeringid__4[[#Headers],[legacyid]:[activityId]],supplementary_offering_offeringid__4[[#This Row],[legacyid]:[activityId]])</f>
        <v>{"legacyid":"17083656327","name":"PQT Corp TodoDestino 1000MIN y Voz a NIT Infinito F2","mode":"I","amount":"47856","resources":[
				{
					"partition": "12323",
					"amountPartition": "2678400",
					"amountType": "seconds"
				},
				{
					"partition": "12223",
					"amountPartition": "60000",
					"amountType": "seconds"
				}
			]}</v>
      </c>
      <c r="K949" t="str">
        <f>ToJsonArray(supplementary_offering_offeringid__4[[#This Row],[produccion]],supplementary_offering_offeringid__4[[#This Row],[json]])</f>
        <v>{"990000424":{"legacyid":"17083656327","name":"PQT Corp TodoDestino 1000MIN y Voz a NIT Infinito F2","mode":"I","amount":"47856","resources":[
				{
					"partition": "12323",
					"amountPartition": "2678400",
					"amountType": "seconds"
				},
				{
					"partition": "12223",
					"amountPartition": "60000",
					"amountType": "seconds"
				}
			]}}</v>
      </c>
    </row>
    <row r="950" spans="1:11" x14ac:dyDescent="0.25">
      <c r="A950" s="61" t="s">
        <v>5101</v>
      </c>
      <c r="B950" t="s">
        <v>5100</v>
      </c>
      <c r="C950" t="str">
        <f>findKey(supplementary_offering_offeringid__4[[#This Row],[Value.legacyid]])</f>
        <v>17083657287</v>
      </c>
      <c r="D950" t="s">
        <v>665</v>
      </c>
      <c r="E950" t="s">
        <v>2189</v>
      </c>
      <c r="F950" s="61" t="s">
        <v>6173</v>
      </c>
      <c r="G950" s="71" t="s">
        <v>6320</v>
      </c>
      <c r="H950" s="61"/>
      <c r="J950" t="str">
        <f>ToJsonArray(supplementary_offering_offeringid__4[[#Headers],[legacyid]:[activityId]],supplementary_offering_offeringid__4[[#This Row],[legacyid]:[activityId]])</f>
        <v>{"legacyid":"17083657287","name":"PQT Corp TodoDestino Voz Infinitos F2","mode":"I","amount":"84166","resources":[
				{
					"partition": "12223",
					"amountPartition": "2678400",
					"amountType": "seconds"
				},
				{
					"partition": "12323",
					"amountPartition": "2678400",
					"amountType": "seconds"
				}
			]}</v>
      </c>
      <c r="K950" t="str">
        <f>ToJsonArray(supplementary_offering_offeringid__4[[#This Row],[produccion]],supplementary_offering_offeringid__4[[#This Row],[json]])</f>
        <v>{"990000425":{"legacyid":"17083657287","name":"PQT Corp TodoDestino Voz Infinitos F2","mode":"I","amount":"84166","resources":[
				{
					"partition": "12223",
					"amountPartition": "2678400",
					"amountType": "seconds"
				},
				{
					"partition": "12323",
					"amountPartition": "2678400",
					"amountType": "seconds"
				}
			]}}</v>
      </c>
    </row>
    <row r="951" spans="1:11" x14ac:dyDescent="0.25">
      <c r="A951" s="61" t="s">
        <v>5103</v>
      </c>
      <c r="B951" t="s">
        <v>5102</v>
      </c>
      <c r="C951" t="str">
        <f>findKey(supplementary_offering_offeringid__4[[#This Row],[Value.legacyid]])</f>
        <v>17083657031</v>
      </c>
      <c r="D951" t="s">
        <v>642</v>
      </c>
      <c r="E951" t="s">
        <v>2189</v>
      </c>
      <c r="F951" s="61" t="s">
        <v>6174</v>
      </c>
      <c r="G951" s="71" t="s">
        <v>6321</v>
      </c>
      <c r="H951" s="61"/>
      <c r="J951" t="str">
        <f>ToJsonArray(supplementary_offering_offeringid__4[[#Headers],[legacyid]:[activityId]],supplementary_offering_offeringid__4[[#This Row],[legacyid]:[activityId]])</f>
        <v>{"legacyid":"17083657031","name":"PQT Corp TodoDestino SMS Infinito F2","mode":"I","amount":"1445","resources":[
				{
					"partition": "32223",
					"amountPartition": "223200",
					"amountType": "sms"
				}
			]}</v>
      </c>
      <c r="K951" t="str">
        <f>ToJsonArray(supplementary_offering_offeringid__4[[#This Row],[produccion]],supplementary_offering_offeringid__4[[#This Row],[json]])</f>
        <v>{"990000426":{"legacyid":"17083657031","name":"PQT Corp TodoDestino SMS Infinito F2","mode":"I","amount":"1445","resources":[
				{
					"partition": "32223",
					"amountPartition": "223200",
					"amountType": "sms"
				}
			]}}</v>
      </c>
    </row>
    <row r="952" spans="1:11" x14ac:dyDescent="0.25">
      <c r="A952" s="61" t="s">
        <v>5105</v>
      </c>
      <c r="B952" t="s">
        <v>5104</v>
      </c>
      <c r="C952" t="str">
        <f>findKey(supplementary_offering_offeringid__4[[#This Row],[Value.legacyid]])</f>
        <v>17083664619</v>
      </c>
      <c r="D952" t="s">
        <v>702</v>
      </c>
      <c r="E952" t="s">
        <v>2189</v>
      </c>
      <c r="F952" s="61" t="s">
        <v>6175</v>
      </c>
      <c r="G952" s="71" t="s">
        <v>6322</v>
      </c>
      <c r="H952" s="61"/>
      <c r="J952" t="str">
        <f>ToJsonArray(supplementary_offering_offeringid__4[[#Headers],[legacyid]:[activityId]],supplementary_offering_offeringid__4[[#This Row],[legacyid]:[activityId]])</f>
        <v>{"legacyid":"17083664619","name":"PQT Corp Navegacion 25GB WA + Mail","mode":"I","amount":"194460","resources":[
				{
					"partition": "22423",
					"amountPartition": "26214400",
					"amountType": "kilobytes"
				},
				{
					"partition": "22823",
					"amountPartition": "62914560",
					"amountType": "kilobytes"
				}
			]}</v>
      </c>
      <c r="K952" t="str">
        <f>ToJsonArray(supplementary_offering_offeringid__4[[#This Row],[produccion]],supplementary_offering_offeringid__4[[#This Row],[json]])</f>
        <v>{"990000427":{"legacyid":"17083664619","name":"PQT Corp Navegacion 25GB WA + Mail","mode":"I","amount":"194460","resources":[
				{
					"partition": "22423",
					"amountPartition": "26214400",
					"amountType": "kilobytes"
				},
				{
					"partition": "22823",
					"amountPartition": "62914560",
					"amountType": "kilobytes"
				}
			]}}</v>
      </c>
    </row>
    <row r="953" spans="1:11" x14ac:dyDescent="0.25">
      <c r="A953" s="61" t="s">
        <v>5107</v>
      </c>
      <c r="B953" t="s">
        <v>5106</v>
      </c>
      <c r="C953" t="str">
        <f>findKey(supplementary_offering_offeringid__4[[#This Row],[Value.legacyid]])</f>
        <v>17083665195</v>
      </c>
      <c r="D953" t="s">
        <v>678</v>
      </c>
      <c r="E953" t="s">
        <v>2189</v>
      </c>
      <c r="F953" s="61" t="s">
        <v>6176</v>
      </c>
      <c r="G953" s="71" t="s">
        <v>6323</v>
      </c>
      <c r="H953" s="61"/>
      <c r="J953" t="str">
        <f>ToJsonArray(supplementary_offering_offeringid__4[[#Headers],[legacyid]:[activityId]],supplementary_offering_offeringid__4[[#This Row],[legacyid]:[activityId]])</f>
        <v>{"legacyid":"17083665195","name":"PQT Corp Navegacion 3,5 GB WA + Mail","mode":"I","amount":"46135","resources":[
				{
					"partition": "22423",
					"amountPartition": "3670016",
					"amountType": "kilobytes"
				},
				{
					"partition": "22823",
					"amountPartition": "62914560",
					"amountType": "kilobytes"
				}
			]}</v>
      </c>
      <c r="K953" t="str">
        <f>ToJsonArray(supplementary_offering_offeringid__4[[#This Row],[produccion]],supplementary_offering_offeringid__4[[#This Row],[json]])</f>
        <v>{"990000428":{"legacyid":"17083665195","name":"PQT Corp Navegacion 3,5 GB WA + Mail","mode":"I","amount":"46135","resources":[
				{
					"partition": "22423",
					"amountPartition": "3670016",
					"amountType": "kilobytes"
				},
				{
					"partition": "22823",
					"amountPartition": "62914560",
					"amountType": "kilobytes"
				}
			]}}</v>
      </c>
    </row>
    <row r="954" spans="1:11" x14ac:dyDescent="0.25">
      <c r="A954" s="61" t="s">
        <v>5109</v>
      </c>
      <c r="B954" t="s">
        <v>5108</v>
      </c>
      <c r="C954" t="str">
        <f>findKey(supplementary_offering_offeringid__4[[#This Row],[Value.legacyid]])</f>
        <v>17083665579</v>
      </c>
      <c r="D954" t="s">
        <v>682</v>
      </c>
      <c r="E954" t="s">
        <v>2189</v>
      </c>
      <c r="F954" s="61" t="s">
        <v>6177</v>
      </c>
      <c r="G954" s="71" t="s">
        <v>6324</v>
      </c>
      <c r="H954" s="61"/>
      <c r="J954" t="str">
        <f>ToJsonArray(supplementary_offering_offeringid__4[[#Headers],[legacyid]:[activityId]],supplementary_offering_offeringid__4[[#This Row],[legacyid]:[activityId]])</f>
        <v>{"legacyid":"17083665579","name":"PQT Corp Navegacion 5GB WA + Mail","mode":"I","amount":"55766","resources":[
				{
					"partition": "22823",
					"amountPartition": "62914560",
					"amountType": "kilobytes"
				},
				{
					"partition": "22423",
					"amountPartition": "5242880",
					"amountType": "kilobytes"
				}
			]}</v>
      </c>
      <c r="K954" t="str">
        <f>ToJsonArray(supplementary_offering_offeringid__4[[#This Row],[produccion]],supplementary_offering_offeringid__4[[#This Row],[json]])</f>
        <v>{"990000429":{"legacyid":"17083665579","name":"PQT Corp Navegacion 5GB WA + Mail","mode":"I","amount":"55766","resources":[
				{
					"partition": "22823",
					"amountPartition": "62914560",
					"amountType": "kilobytes"
				},
				{
					"partition": "22423",
					"amountPartition": "5242880",
					"amountType": "kilobytes"
				}
			]}}</v>
      </c>
    </row>
    <row r="955" spans="1:11" x14ac:dyDescent="0.25">
      <c r="A955" s="61" t="s">
        <v>5111</v>
      </c>
      <c r="B955" t="s">
        <v>5110</v>
      </c>
      <c r="C955" t="str">
        <f>findKey(supplementary_offering_offeringid__4[[#This Row],[Value.legacyid]])</f>
        <v>17083664811</v>
      </c>
      <c r="D955" t="s">
        <v>686</v>
      </c>
      <c r="E955" t="s">
        <v>2189</v>
      </c>
      <c r="F955" s="61" t="s">
        <v>6178</v>
      </c>
      <c r="G955" s="71" t="s">
        <v>6325</v>
      </c>
      <c r="H955" s="61"/>
      <c r="J955" t="str">
        <f>ToJsonArray(supplementary_offering_offeringid__4[[#Headers],[legacyid]:[activityId]],supplementary_offering_offeringid__4[[#This Row],[legacyid]:[activityId]])</f>
        <v>{"legacyid":"17083664811","name":"PQT Corp Navegacion 7GB WA + Mail","mode":"I","amount":"65400","resources":[
				{
					"partition": "22423",
					"amountPartition": "7340032",
					"amountType": "kilobytes"
				},
				{
					"partition": "22823",
					"amountPartition": "62914560",
					"amountType": "kilobytes"
				}
			]}</v>
      </c>
      <c r="K955" t="str">
        <f>ToJsonArray(supplementary_offering_offeringid__4[[#This Row],[produccion]],supplementary_offering_offeringid__4[[#This Row],[json]])</f>
        <v>{"990000430":{"legacyid":"17083664811","name":"PQT Corp Navegacion 7GB WA + Mail","mode":"I","amount":"65400","resources":[
				{
					"partition": "22423",
					"amountPartition": "7340032",
					"amountType": "kilobytes"
				},
				{
					"partition": "22823",
					"amountPartition": "62914560",
					"amountType": "kilobytes"
				}
			]}}</v>
      </c>
    </row>
    <row r="956" spans="1:11" x14ac:dyDescent="0.25">
      <c r="A956" s="61" t="s">
        <v>5113</v>
      </c>
      <c r="B956" t="s">
        <v>5112</v>
      </c>
      <c r="C956" t="str">
        <f>findKey(supplementary_offering_offeringid__4[[#This Row],[Value.legacyid]])</f>
        <v>17083665003</v>
      </c>
      <c r="D956" t="s">
        <v>694</v>
      </c>
      <c r="E956" t="s">
        <v>2189</v>
      </c>
      <c r="F956" s="61" t="s">
        <v>6179</v>
      </c>
      <c r="G956" s="71" t="s">
        <v>6326</v>
      </c>
      <c r="H956" s="61"/>
      <c r="J956" t="str">
        <f>ToJsonArray(supplementary_offering_offeringid__4[[#Headers],[legacyid]:[activityId]],supplementary_offering_offeringid__4[[#This Row],[legacyid]:[activityId]])</f>
        <v>{"legacyid":"17083665003","name":"PQT Corp Navegacion 11GB WA + Mail","mode":"I","amount":"84662","resources":[
				{
					"partition": "22823",
					"amountPartition": "62914560",
					"amountType": "kilobytes"
				},
				{
					"partition": "22423",
					"amountPartition": "11534336",
					"amountType": "kilobytes"
				}
			]}</v>
      </c>
      <c r="K956" t="str">
        <f>ToJsonArray(supplementary_offering_offeringid__4[[#This Row],[produccion]],supplementary_offering_offeringid__4[[#This Row],[json]])</f>
        <v>{"990000431":{"legacyid":"17083665003","name":"PQT Corp Navegacion 11GB WA + Mail","mode":"I","amount":"84662","resources":[
				{
					"partition": "22823",
					"amountPartition": "62914560",
					"amountType": "kilobytes"
				},
				{
					"partition": "22423",
					"amountPartition": "11534336",
					"amountType": "kilobytes"
				}
			]}}</v>
      </c>
    </row>
    <row r="957" spans="1:11" x14ac:dyDescent="0.25">
      <c r="A957" s="61" t="s">
        <v>5115</v>
      </c>
      <c r="B957" t="s">
        <v>5114</v>
      </c>
      <c r="C957" t="str">
        <f>findKey(supplementary_offering_offeringid__4[[#This Row],[Value.legacyid]])</f>
        <v>17091810620</v>
      </c>
      <c r="D957" t="s">
        <v>5116</v>
      </c>
      <c r="E957" t="s">
        <v>2189</v>
      </c>
      <c r="F957" s="61"/>
      <c r="H957" s="61"/>
      <c r="J957" t="str">
        <f>ToJsonArray(supplementary_offering_offeringid__4[[#Headers],[legacyid]:[activityId]],supplementary_offering_offeringid__4[[#This Row],[legacyid]:[activityId]])</f>
        <v>{"legacyid":"17091810620","name":"Combos B2BÂ  Voz y SMS nacional ilimitado + 8 GB P3","mode":"I"}</v>
      </c>
      <c r="K957" t="str">
        <f>ToJsonArray(supplementary_offering_offeringid__4[[#This Row],[produccion]],supplementary_offering_offeringid__4[[#This Row],[json]])</f>
        <v>{"990000432":{"legacyid":"17091810620","name":"Combos B2BÂ  Voz y SMS nacional ilimitado + 8 GB P3","mode":"I"}}</v>
      </c>
    </row>
    <row r="958" spans="1:11" x14ac:dyDescent="0.25">
      <c r="A958" s="61" t="s">
        <v>5118</v>
      </c>
      <c r="B958" t="s">
        <v>5117</v>
      </c>
      <c r="C958" t="str">
        <f>findKey(supplementary_offering_offeringid__4[[#This Row],[Value.legacyid]])</f>
        <v>17091809852</v>
      </c>
      <c r="D958" t="s">
        <v>5119</v>
      </c>
      <c r="E958" t="s">
        <v>2189</v>
      </c>
      <c r="F958" s="61"/>
      <c r="H958" s="61"/>
      <c r="J958" t="str">
        <f>ToJsonArray(supplementary_offering_offeringid__4[[#Headers],[legacyid]:[activityId]],supplementary_offering_offeringid__4[[#This Row],[legacyid]:[activityId]])</f>
        <v>{"legacyid":"17091809852","name":"Combos B2BÂ  Voz y SMS nacional ilimitado + 8 GB P1","mode":"I"}</v>
      </c>
      <c r="K958" t="str">
        <f>ToJsonArray(supplementary_offering_offeringid__4[[#This Row],[produccion]],supplementary_offering_offeringid__4[[#This Row],[json]])</f>
        <v>{"990000433":{"legacyid":"17091809852","name":"Combos B2BÂ  Voz y SMS nacional ilimitado + 8 GB P1","mode":"I"}}</v>
      </c>
    </row>
    <row r="959" spans="1:11" x14ac:dyDescent="0.25">
      <c r="A959" s="61" t="s">
        <v>5121</v>
      </c>
      <c r="B959" t="s">
        <v>5120</v>
      </c>
      <c r="C959" t="str">
        <f>findKey(supplementary_offering_offeringid__4[[#This Row],[Value.legacyid]])</f>
        <v>17091812924</v>
      </c>
      <c r="D959" t="s">
        <v>5122</v>
      </c>
      <c r="E959" t="s">
        <v>2189</v>
      </c>
      <c r="F959" s="61"/>
      <c r="H959" s="61"/>
      <c r="J959" t="str">
        <f>ToJsonArray(supplementary_offering_offeringid__4[[#Headers],[legacyid]:[activityId]],supplementary_offering_offeringid__4[[#This Row],[legacyid]:[activityId]])</f>
        <v>{"legacyid":"17091812924","name":"Combos B2BÂ  Voz y SMS nacional ilimitado + 8 GB P2","mode":"I"}</v>
      </c>
      <c r="K959" t="str">
        <f>ToJsonArray(supplementary_offering_offeringid__4[[#This Row],[produccion]],supplementary_offering_offeringid__4[[#This Row],[json]])</f>
        <v>{"990000434":{"legacyid":"17091812924","name":"Combos B2BÂ  Voz y SMS nacional ilimitado + 8 GB P2","mode":"I"}}</v>
      </c>
    </row>
    <row r="960" spans="1:11" x14ac:dyDescent="0.25">
      <c r="A960" s="61" t="s">
        <v>5124</v>
      </c>
      <c r="B960" t="s">
        <v>5123</v>
      </c>
      <c r="C960" t="str">
        <f>findKey(supplementary_offering_offeringid__4[[#This Row],[Value.legacyid]])</f>
        <v>17091810908</v>
      </c>
      <c r="D960" t="s">
        <v>5125</v>
      </c>
      <c r="E960" t="s">
        <v>2189</v>
      </c>
      <c r="F960" s="61"/>
      <c r="H960" s="61"/>
      <c r="J960" t="str">
        <f>ToJsonArray(supplementary_offering_offeringid__4[[#Headers],[legacyid]:[activityId]],supplementary_offering_offeringid__4[[#This Row],[legacyid]:[activityId]])</f>
        <v>{"legacyid":"17091810908","name":"Combos B2BÂ  Voz y SMS nacional ilimitado + 12 GB P3","mode":"I"}</v>
      </c>
      <c r="K960" t="str">
        <f>ToJsonArray(supplementary_offering_offeringid__4[[#This Row],[produccion]],supplementary_offering_offeringid__4[[#This Row],[json]])</f>
        <v>{"990000435":{"legacyid":"17091810908","name":"Combos B2BÂ  Voz y SMS nacional ilimitado + 12 GB P3","mode":"I"}}</v>
      </c>
    </row>
    <row r="961" spans="1:11" x14ac:dyDescent="0.25">
      <c r="A961" s="61" t="s">
        <v>5127</v>
      </c>
      <c r="B961" t="s">
        <v>5126</v>
      </c>
      <c r="C961" t="str">
        <f>findKey(supplementary_offering_offeringid__4[[#This Row],[Value.legacyid]])</f>
        <v>17091809372</v>
      </c>
      <c r="D961" t="s">
        <v>5128</v>
      </c>
      <c r="E961" t="s">
        <v>2189</v>
      </c>
      <c r="F961" s="61"/>
      <c r="H961" s="61"/>
      <c r="J961" t="str">
        <f>ToJsonArray(supplementary_offering_offeringid__4[[#Headers],[legacyid]:[activityId]],supplementary_offering_offeringid__4[[#This Row],[legacyid]:[activityId]])</f>
        <v>{"legacyid":"17091809372","name":"Combos B2BÂ  Voz y SMS nacional ilimitado + 12 GB P1","mode":"I"}</v>
      </c>
      <c r="K961" t="str">
        <f>ToJsonArray(supplementary_offering_offeringid__4[[#This Row],[produccion]],supplementary_offering_offeringid__4[[#This Row],[json]])</f>
        <v>{"990000436":{"legacyid":"17091809372","name":"Combos B2BÂ  Voz y SMS nacional ilimitado + 12 GB P1","mode":"I"}}</v>
      </c>
    </row>
    <row r="962" spans="1:11" x14ac:dyDescent="0.25">
      <c r="A962" s="61" t="s">
        <v>5130</v>
      </c>
      <c r="B962" t="s">
        <v>5129</v>
      </c>
      <c r="C962" t="str">
        <f>findKey(supplementary_offering_offeringid__4[[#This Row],[Value.legacyid]])</f>
        <v>17091812444</v>
      </c>
      <c r="D962" t="s">
        <v>5131</v>
      </c>
      <c r="E962" t="s">
        <v>2189</v>
      </c>
      <c r="F962" s="61"/>
      <c r="H962" s="61"/>
      <c r="J962" t="str">
        <f>ToJsonArray(supplementary_offering_offeringid__4[[#Headers],[legacyid]:[activityId]],supplementary_offering_offeringid__4[[#This Row],[legacyid]:[activityId]])</f>
        <v>{"legacyid":"17091812444","name":"Combos B2BÂ  Voz y SMS nacional ilimitado + 12 GB P2","mode":"I"}</v>
      </c>
      <c r="K962" t="str">
        <f>ToJsonArray(supplementary_offering_offeringid__4[[#This Row],[produccion]],supplementary_offering_offeringid__4[[#This Row],[json]])</f>
        <v>{"990000437":{"legacyid":"17091812444","name":"Combos B2BÂ  Voz y SMS nacional ilimitado + 12 GB P2","mode":"I"}}</v>
      </c>
    </row>
    <row r="963" spans="1:11" x14ac:dyDescent="0.25">
      <c r="A963" s="61" t="s">
        <v>5133</v>
      </c>
      <c r="B963" t="s">
        <v>5132</v>
      </c>
      <c r="C963" t="str">
        <f>findKey(supplementary_offering_offeringid__4[[#This Row],[Value.legacyid]])</f>
        <v>17091810140</v>
      </c>
      <c r="D963" t="s">
        <v>5134</v>
      </c>
      <c r="E963" t="s">
        <v>2189</v>
      </c>
      <c r="F963" s="61"/>
      <c r="H963" s="61"/>
      <c r="J963" t="str">
        <f>ToJsonArray(supplementary_offering_offeringid__4[[#Headers],[legacyid]:[activityId]],supplementary_offering_offeringid__4[[#This Row],[legacyid]:[activityId]])</f>
        <v>{"legacyid":"17091810140","name":"Combos B2BÂ  Voz y SMS nacional ilimitado + 20 GB P2","mode":"I"}</v>
      </c>
      <c r="K963" t="str">
        <f>ToJsonArray(supplementary_offering_offeringid__4[[#This Row],[produccion]],supplementary_offering_offeringid__4[[#This Row],[json]])</f>
        <v>{"990000438":{"legacyid":"17091810140","name":"Combos B2BÂ  Voz y SMS nacional ilimitado + 20 GB P2","mode":"I"}}</v>
      </c>
    </row>
    <row r="964" spans="1:11" x14ac:dyDescent="0.25">
      <c r="A964" s="61" t="s">
        <v>5136</v>
      </c>
      <c r="B964" t="s">
        <v>5135</v>
      </c>
      <c r="C964" t="str">
        <f>findKey(supplementary_offering_offeringid__4[[#This Row],[Value.legacyid]])</f>
        <v>17091813212</v>
      </c>
      <c r="D964" t="s">
        <v>5137</v>
      </c>
      <c r="E964" t="s">
        <v>2189</v>
      </c>
      <c r="F964" s="61"/>
      <c r="H964" s="61"/>
      <c r="J964" t="str">
        <f>ToJsonArray(supplementary_offering_offeringid__4[[#Headers],[legacyid]:[activityId]],supplementary_offering_offeringid__4[[#This Row],[legacyid]:[activityId]])</f>
        <v>{"legacyid":"17091813212","name":"Combos B2BÂ  Voz y SMS nacional ilimitado + 20 GB P3","mode":"I"}</v>
      </c>
      <c r="K964" t="str">
        <f>ToJsonArray(supplementary_offering_offeringid__4[[#This Row],[produccion]],supplementary_offering_offeringid__4[[#This Row],[json]])</f>
        <v>{"990000439":{"legacyid":"17091813212","name":"Combos B2BÂ  Voz y SMS nacional ilimitado + 20 GB P3","mode":"I"}}</v>
      </c>
    </row>
    <row r="965" spans="1:11" x14ac:dyDescent="0.25">
      <c r="A965" s="61" t="s">
        <v>5139</v>
      </c>
      <c r="B965" t="s">
        <v>5138</v>
      </c>
      <c r="C965" t="str">
        <f>findKey(supplementary_offering_offeringid__4[[#This Row],[Value.legacyid]])</f>
        <v>17091811676</v>
      </c>
      <c r="D965" t="s">
        <v>5140</v>
      </c>
      <c r="E965" t="s">
        <v>2189</v>
      </c>
      <c r="F965" s="61"/>
      <c r="H965" s="61"/>
      <c r="J965" t="str">
        <f>ToJsonArray(supplementary_offering_offeringid__4[[#Headers],[legacyid]:[activityId]],supplementary_offering_offeringid__4[[#This Row],[legacyid]:[activityId]])</f>
        <v>{"legacyid":"17091811676","name":"Combos B2BÂ  Voz y SMS nacional ilimitado + 20 GB P1","mode":"I"}</v>
      </c>
      <c r="K965" t="str">
        <f>ToJsonArray(supplementary_offering_offeringid__4[[#This Row],[produccion]],supplementary_offering_offeringid__4[[#This Row],[json]])</f>
        <v>{"990000440":{"legacyid":"17091811676","name":"Combos B2BÂ  Voz y SMS nacional ilimitado + 20 GB P1","mode":"I"}}</v>
      </c>
    </row>
    <row r="966" spans="1:11" x14ac:dyDescent="0.25">
      <c r="A966" s="61" t="s">
        <v>5142</v>
      </c>
      <c r="B966" t="s">
        <v>5141</v>
      </c>
      <c r="C966" t="str">
        <f>findKey(supplementary_offering_offeringid__4[[#This Row],[Value.legacyid]])</f>
        <v>17091810524</v>
      </c>
      <c r="D966" t="s">
        <v>5143</v>
      </c>
      <c r="E966" t="s">
        <v>2189</v>
      </c>
      <c r="F966" s="61"/>
      <c r="H966" s="61"/>
      <c r="J966" t="str">
        <f>ToJsonArray(supplementary_offering_offeringid__4[[#Headers],[legacyid]:[activityId]],supplementary_offering_offeringid__4[[#This Row],[legacyid]:[activityId]])</f>
        <v>{"legacyid":"17091810524","name":"Combos B2BÂ  Voz y SMS nacional ilimitado + 35 GB P1","mode":"I"}</v>
      </c>
      <c r="K966" t="str">
        <f>ToJsonArray(supplementary_offering_offeringid__4[[#This Row],[produccion]],supplementary_offering_offeringid__4[[#This Row],[json]])</f>
        <v>{"990000441":{"legacyid":"17091810524","name":"Combos B2BÂ  Voz y SMS nacional ilimitado + 35 GB P1","mode":"I"}}</v>
      </c>
    </row>
    <row r="967" spans="1:11" x14ac:dyDescent="0.25">
      <c r="A967" s="61" t="s">
        <v>5145</v>
      </c>
      <c r="B967" t="s">
        <v>5144</v>
      </c>
      <c r="C967" t="str">
        <f>findKey(supplementary_offering_offeringid__4[[#This Row],[Value.legacyid]])</f>
        <v>17091809756</v>
      </c>
      <c r="D967" t="s">
        <v>5146</v>
      </c>
      <c r="E967" t="s">
        <v>2189</v>
      </c>
      <c r="F967" s="61"/>
      <c r="H967" s="61"/>
      <c r="J967" t="str">
        <f>ToJsonArray(supplementary_offering_offeringid__4[[#Headers],[legacyid]:[activityId]],supplementary_offering_offeringid__4[[#This Row],[legacyid]:[activityId]])</f>
        <v>{"legacyid":"17091809756","name":"Combos B2BÂ  Voz y SMS nacional ilimitado + 35 GB P3","mode":"I"}</v>
      </c>
      <c r="K967" t="str">
        <f>ToJsonArray(supplementary_offering_offeringid__4[[#This Row],[produccion]],supplementary_offering_offeringid__4[[#This Row],[json]])</f>
        <v>{"990000442":{"legacyid":"17091809756","name":"Combos B2BÂ  Voz y SMS nacional ilimitado + 35 GB P3","mode":"I"}}</v>
      </c>
    </row>
    <row r="968" spans="1:11" x14ac:dyDescent="0.25">
      <c r="A968" s="61" t="s">
        <v>5148</v>
      </c>
      <c r="B968" t="s">
        <v>5147</v>
      </c>
      <c r="C968" t="str">
        <f>findKey(supplementary_offering_offeringid__4[[#This Row],[Value.legacyid]])</f>
        <v>17091812060</v>
      </c>
      <c r="D968" t="s">
        <v>5149</v>
      </c>
      <c r="E968" t="s">
        <v>2189</v>
      </c>
      <c r="F968" s="61"/>
      <c r="H968" s="61"/>
      <c r="J968" t="str">
        <f>ToJsonArray(supplementary_offering_offeringid__4[[#Headers],[legacyid]:[activityId]],supplementary_offering_offeringid__4[[#This Row],[legacyid]:[activityId]])</f>
        <v>{"legacyid":"17091812060","name":"Combos B2BÂ  Voz y SMS nacional ilimitado + 35 GB P2","mode":"I"}</v>
      </c>
      <c r="K968" t="str">
        <f>ToJsonArray(supplementary_offering_offeringid__4[[#This Row],[produccion]],supplementary_offering_offeringid__4[[#This Row],[json]])</f>
        <v>{"990000443":{"legacyid":"17091812060","name":"Combos B2BÂ  Voz y SMS nacional ilimitado + 35 GB P2","mode":"I"}}</v>
      </c>
    </row>
    <row r="969" spans="1:11" x14ac:dyDescent="0.25">
      <c r="A969" s="61" t="s">
        <v>5151</v>
      </c>
      <c r="B969" t="s">
        <v>5150</v>
      </c>
      <c r="C969" t="str">
        <f>findKey(supplementary_offering_offeringid__4[[#This Row],[Value.legacyid]])</f>
        <v>17091811292</v>
      </c>
      <c r="D969" t="s">
        <v>5152</v>
      </c>
      <c r="E969" t="s">
        <v>2189</v>
      </c>
      <c r="F969" s="61"/>
      <c r="H969" s="61"/>
      <c r="J969" t="str">
        <f>ToJsonArray(supplementary_offering_offeringid__4[[#Headers],[legacyid]:[activityId]],supplementary_offering_offeringid__4[[#This Row],[legacyid]:[activityId]])</f>
        <v>{"legacyid":"17091811292","name":"Combos B2BÂ  Voz y SMS nacional ilimitado + 50 GB P2","mode":"I"}</v>
      </c>
      <c r="K969" t="str">
        <f>ToJsonArray(supplementary_offering_offeringid__4[[#This Row],[produccion]],supplementary_offering_offeringid__4[[#This Row],[json]])</f>
        <v>{"990000444":{"legacyid":"17091811292","name":"Combos B2BÂ  Voz y SMS nacional ilimitado + 50 GB P2","mode":"I"}}</v>
      </c>
    </row>
    <row r="970" spans="1:11" x14ac:dyDescent="0.25">
      <c r="A970" s="61" t="s">
        <v>5154</v>
      </c>
      <c r="B970" t="s">
        <v>5153</v>
      </c>
      <c r="C970" t="str">
        <f>findKey(supplementary_offering_offeringid__4[[#This Row],[Value.legacyid]])</f>
        <v>17091812828</v>
      </c>
      <c r="D970" t="s">
        <v>5155</v>
      </c>
      <c r="E970" t="s">
        <v>2189</v>
      </c>
      <c r="F970" s="61"/>
      <c r="H970" s="61"/>
      <c r="J970" t="str">
        <f>ToJsonArray(supplementary_offering_offeringid__4[[#Headers],[legacyid]:[activityId]],supplementary_offering_offeringid__4[[#This Row],[legacyid]:[activityId]])</f>
        <v>{"legacyid":"17091812828","name":"Combos B2BÂ  Voz y SMS nacional ilimitado + 50 GB P1","mode":"I"}</v>
      </c>
      <c r="K970" t="str">
        <f>ToJsonArray(supplementary_offering_offeringid__4[[#This Row],[produccion]],supplementary_offering_offeringid__4[[#This Row],[json]])</f>
        <v>{"990000445":{"legacyid":"17091812828","name":"Combos B2BÂ  Voz y SMS nacional ilimitado + 50 GB P1","mode":"I"}}</v>
      </c>
    </row>
    <row r="971" spans="1:11" x14ac:dyDescent="0.25">
      <c r="A971" s="61" t="s">
        <v>5157</v>
      </c>
      <c r="B971" t="s">
        <v>5156</v>
      </c>
      <c r="C971" t="str">
        <f>findKey(supplementary_offering_offeringid__4[[#This Row],[Value.legacyid]])</f>
        <v>17091811388</v>
      </c>
      <c r="D971" t="s">
        <v>5158</v>
      </c>
      <c r="E971" t="s">
        <v>2189</v>
      </c>
      <c r="F971" s="61"/>
      <c r="H971" s="61"/>
      <c r="J971" t="str">
        <f>ToJsonArray(supplementary_offering_offeringid__4[[#Headers],[legacyid]:[activityId]],supplementary_offering_offeringid__4[[#This Row],[legacyid]:[activityId]])</f>
        <v>{"legacyid":"17091811388","name":"Combos B2BÂ  Voz y SMS nacional ilimitado + 50 GB P3","mode":"I"}</v>
      </c>
      <c r="K971" t="str">
        <f>ToJsonArray(supplementary_offering_offeringid__4[[#This Row],[produccion]],supplementary_offering_offeringid__4[[#This Row],[json]])</f>
        <v>{"990000446":{"legacyid":"17091811388","name":"Combos B2BÂ  Voz y SMS nacional ilimitado + 50 GB P3","mode":"I"}}</v>
      </c>
    </row>
    <row r="972" spans="1:11" x14ac:dyDescent="0.25">
      <c r="A972" s="61">
        <v>990000447</v>
      </c>
      <c r="B972" t="s">
        <v>5159</v>
      </c>
      <c r="C972" t="str">
        <f>findKey(supplementary_offering_offeringid__4[[#This Row],[Value.legacyid]])</f>
        <v>358124951789</v>
      </c>
      <c r="D972" t="s">
        <v>2014</v>
      </c>
      <c r="E972" t="s">
        <v>2189</v>
      </c>
      <c r="F972" s="61" t="s">
        <v>6180</v>
      </c>
      <c r="G972" s="71" t="s">
        <v>6327</v>
      </c>
      <c r="H972" s="61"/>
      <c r="J972" t="str">
        <f>ToJsonArray(supplementary_offering_offeringid__4[[#Headers],[legacyid]:[activityId]],supplementary_offering_offeringid__4[[#This Row],[legacyid]:[activityId]])</f>
        <v>{"legacyid":"358124951789","name":"500MIN TD , SMS TD y Voz a Tigo inf, 5.5 GB, WA+Mail+FB, CUG P1","mode":"I","amount":"19142","resources":[
				{
					"partition": "12223",
					"amountPartition": "30000",
					"amountType": "seconds"
				},
				{
					"partition": "12323",
					"amountPartition": "2678400",
					"amountType": "seconds"
				},
				{
					"partition": "11823",
					"amountPartition": "2678400",
					"amountType": "seconds"
				}
			]}</v>
      </c>
      <c r="K972" t="str">
        <f>ToJsonArray(supplementary_offering_offeringid__4[[#This Row],[produccion]],supplementary_offering_offeringid__4[[#This Row],[json]])</f>
        <v>{"990000447":{"legacyid":"358124951789","name":"500MIN TD , SMS TD y Voz a Tigo inf, 5.5 GB, WA+Mail+FB, CUG P1","mode":"I","amount":"19142","resources":[
				{
					"partition": "12223",
					"amountPartition": "30000",
					"amountType": "seconds"
				},
				{
					"partition": "12323",
					"amountPartition": "2678400",
					"amountType": "seconds"
				},
				{
					"partition": "11823",
					"amountPartition": "2678400",
					"amountType": "seconds"
				}
			]}}</v>
      </c>
    </row>
    <row r="973" spans="1:11" x14ac:dyDescent="0.25">
      <c r="A973" s="61" t="s">
        <v>5162</v>
      </c>
      <c r="B973" t="s">
        <v>5161</v>
      </c>
      <c r="C973" t="str">
        <f>findKey(supplementary_offering_offeringid__4[[#This Row],[Value.legacyid]])</f>
        <v>358124950253</v>
      </c>
      <c r="D973" t="s">
        <v>2015</v>
      </c>
      <c r="E973" t="s">
        <v>2189</v>
      </c>
      <c r="F973" s="61" t="s">
        <v>6181</v>
      </c>
      <c r="G973" s="71" t="s">
        <v>6321</v>
      </c>
      <c r="H973" s="61"/>
      <c r="J973" t="str">
        <f>ToJsonArray(supplementary_offering_offeringid__4[[#Headers],[legacyid]:[activityId]],supplementary_offering_offeringid__4[[#This Row],[legacyid]:[activityId]])</f>
        <v>{"legacyid":"358124950253","name":"500MIN TD , SMS TD y Voz a Tigo inf, 5.5 GB, WA+Mail+FB inf P2","mode":"I","amount":"825","resources":[
				{
					"partition": "32223",
					"amountPartition": "223200",
					"amountType": "sms"
				}
			]}</v>
      </c>
      <c r="K973" t="str">
        <f>ToJsonArray(supplementary_offering_offeringid__4[[#This Row],[produccion]],supplementary_offering_offeringid__4[[#This Row],[json]])</f>
        <v>{"990000448":{"legacyid":"358124950253","name":"500MIN TD , SMS TD y Voz a Tigo inf, 5.5 GB, WA+Mail+FB inf P2","mode":"I","amount":"825","resources":[
				{
					"partition": "32223",
					"amountPartition": "223200",
					"amountType": "sms"
				}
			]}}</v>
      </c>
    </row>
    <row r="974" spans="1:11" x14ac:dyDescent="0.25">
      <c r="A974" s="61" t="s">
        <v>5164</v>
      </c>
      <c r="B974" t="s">
        <v>5163</v>
      </c>
      <c r="C974" t="str">
        <f>findKey(supplementary_offering_offeringid__4[[#This Row],[Value.legacyid]])</f>
        <v>358124953325</v>
      </c>
      <c r="D974" t="s">
        <v>2016</v>
      </c>
      <c r="E974" t="s">
        <v>2189</v>
      </c>
      <c r="F974" s="61" t="s">
        <v>6182</v>
      </c>
      <c r="G974" s="71" t="s">
        <v>6328</v>
      </c>
      <c r="H974" s="61"/>
      <c r="J974" t="str">
        <f>ToJsonArray(supplementary_offering_offeringid__4[[#Headers],[legacyid]:[activityId]],supplementary_offering_offeringid__4[[#This Row],[legacyid]:[activityId]])</f>
        <v>{"legacyid":"358124953325","name":"500MIN TD, SMS TD y Voz a Tigo inf, 5.5 GB, WA+Mail+FB inf P3","mode":"I","amount":"19938","resources":[
				{
					"partition": "22423",
					"amountPartition": "5767168",
					"amountType": "kilobytes"
				},
				{
					"partition": "22823",
					"amountPartition": "62914560",
					"amountType": "kilobytes"
				}
			]}</v>
      </c>
      <c r="K974" t="str">
        <f>ToJsonArray(supplementary_offering_offeringid__4[[#This Row],[produccion]],supplementary_offering_offeringid__4[[#This Row],[json]])</f>
        <v>{"990000449":{"legacyid":"358124953325","name":"500MIN TD, SMS TD y Voz a Tigo inf, 5.5 GB, WA+Mail+FB inf P3","mode":"I","amount":"19938","resources":[
				{
					"partition": "22423",
					"amountPartition": "5767168",
					"amountType": "kilobytes"
				},
				{
					"partition": "22823",
					"amountPartition": "62914560",
					"amountType": "kilobytes"
				}
			]}}</v>
      </c>
    </row>
    <row r="975" spans="1:11" x14ac:dyDescent="0.25">
      <c r="A975" s="61" t="s">
        <v>5166</v>
      </c>
      <c r="B975" t="s">
        <v>5165</v>
      </c>
      <c r="C975" t="str">
        <f>findKey(supplementary_offering_offeringid__4[[#This Row],[Value.legacyid]])</f>
        <v>17083123103</v>
      </c>
      <c r="D975" t="s">
        <v>324</v>
      </c>
      <c r="E975" t="s">
        <v>2189</v>
      </c>
      <c r="F975" s="61" t="s">
        <v>6183</v>
      </c>
      <c r="G975" s="71" t="s">
        <v>6329</v>
      </c>
      <c r="H975" s="61"/>
      <c r="J975" t="str">
        <f>ToJsonArray(supplementary_offering_offeringid__4[[#Headers],[legacyid]:[activityId]],supplementary_offering_offeringid__4[[#This Row],[legacyid]:[activityId]])</f>
        <v>{"legacyid":"17083123103","name":"PQT Corp LDI 50","mode":"I","amount":"19264","resources":[
				{
					"partition": "12123",
					"amountPartition": "4200",
					"amountType": "seconds"
				}
			]}</v>
      </c>
      <c r="K975" t="str">
        <f>ToJsonArray(supplementary_offering_offeringid__4[[#This Row],[produccion]],supplementary_offering_offeringid__4[[#This Row],[json]])</f>
        <v>{"990000450":{"legacyid":"17083123103","name":"PQT Corp LDI 50","mode":"I","amount":"19264","resources":[
				{
					"partition": "12123",
					"amountPartition": "4200",
					"amountType": "seconds"
				}
			]}}</v>
      </c>
    </row>
    <row r="976" spans="1:11" x14ac:dyDescent="0.25">
      <c r="A976" s="61" t="s">
        <v>5168</v>
      </c>
      <c r="B976" t="s">
        <v>5167</v>
      </c>
      <c r="C976" t="str">
        <f>findKey(supplementary_offering_offeringid__4[[#This Row],[Value.legacyid]])</f>
        <v>17083128352</v>
      </c>
      <c r="D976" t="s">
        <v>326</v>
      </c>
      <c r="E976" t="s">
        <v>2189</v>
      </c>
      <c r="F976" s="61" t="s">
        <v>6184</v>
      </c>
      <c r="G976" s="71" t="s">
        <v>6330</v>
      </c>
      <c r="H976" s="61"/>
      <c r="J976" t="str">
        <f>ToJsonArray(supplementary_offering_offeringid__4[[#Headers],[legacyid]:[activityId]],supplementary_offering_offeringid__4[[#This Row],[legacyid]:[activityId]])</f>
        <v>{"legacyid":"17083128352","name":"PQT Corp LDI 100","mode":"I","amount":"33711","resources":[
				{
					"partition": "12123",
					"amountPartition": "7800",
					"amountType": "seconds"
				}
			]}</v>
      </c>
      <c r="K976" t="str">
        <f>ToJsonArray(supplementary_offering_offeringid__4[[#This Row],[produccion]],supplementary_offering_offeringid__4[[#This Row],[json]])</f>
        <v>{"990000451":{"legacyid":"17083128352","name":"PQT Corp LDI 100","mode":"I","amount":"33711","resources":[
				{
					"partition": "12123",
					"amountPartition": "7800",
					"amountType": "seconds"
				}
			]}}</v>
      </c>
    </row>
    <row r="977" spans="1:11" x14ac:dyDescent="0.25">
      <c r="A977" s="61" t="s">
        <v>5170</v>
      </c>
      <c r="B977" t="s">
        <v>5169</v>
      </c>
      <c r="C977" t="str">
        <f>findKey(supplementary_offering_offeringid__4[[#This Row],[Value.legacyid]])</f>
        <v>17083126816</v>
      </c>
      <c r="D977" t="s">
        <v>327</v>
      </c>
      <c r="E977" t="s">
        <v>2189</v>
      </c>
      <c r="F977" s="61" t="s">
        <v>6185</v>
      </c>
      <c r="G977" s="71" t="s">
        <v>6331</v>
      </c>
      <c r="H977" s="61"/>
      <c r="J977" t="str">
        <f>ToJsonArray(supplementary_offering_offeringid__4[[#Headers],[legacyid]:[activityId]],supplementary_offering_offeringid__4[[#This Row],[legacyid]:[activityId]])</f>
        <v>{"legacyid":"17083126816","name":"PQT Corp LDI 180","mode":"I","amount":"57790","resources":[
				{
					"partition": "12123",
					"amountPartition": "15000",
					"amountType": "seconds"
				}
			]}</v>
      </c>
      <c r="K977" t="str">
        <f>ToJsonArray(supplementary_offering_offeringid__4[[#This Row],[produccion]],supplementary_offering_offeringid__4[[#This Row],[json]])</f>
        <v>{"990000452":{"legacyid":"17083126816","name":"PQT Corp LDI 180","mode":"I","amount":"57790","resources":[
				{
					"partition": "12123",
					"amountPartition": "15000",
					"amountType": "seconds"
				}
			]}}</v>
      </c>
    </row>
    <row r="978" spans="1:11" x14ac:dyDescent="0.25">
      <c r="A978" s="61" t="s">
        <v>5172</v>
      </c>
      <c r="B978" t="s">
        <v>5171</v>
      </c>
      <c r="C978" t="str">
        <f>findKey(supplementary_offering_offeringid__4[[#This Row],[Value.legacyid]])</f>
        <v>17083129792</v>
      </c>
      <c r="D978" t="s">
        <v>328</v>
      </c>
      <c r="E978" t="s">
        <v>2189</v>
      </c>
      <c r="F978" s="61" t="s">
        <v>6186</v>
      </c>
      <c r="G978" s="71" t="s">
        <v>6332</v>
      </c>
      <c r="H978" s="61"/>
      <c r="J978" t="str">
        <f>ToJsonArray(supplementary_offering_offeringid__4[[#Headers],[legacyid]:[activityId]],supplementary_offering_offeringid__4[[#This Row],[legacyid]:[activityId]])</f>
        <v>{"legacyid":"17083129792","name":"PQT Corp LDI 330","mode":"I","amount":"96315","resources":[
				{
					"partition": "12123",
					"amountPartition": "30000",
					"amountType": "seconds"
				}
			]}</v>
      </c>
      <c r="K978" t="str">
        <f>ToJsonArray(supplementary_offering_offeringid__4[[#This Row],[produccion]],supplementary_offering_offeringid__4[[#This Row],[json]])</f>
        <v>{"990000453":{"legacyid":"17083129792","name":"PQT Corp LDI 330","mode":"I","amount":"96315","resources":[
				{
					"partition": "12123",
					"amountPartition": "30000",
					"amountType": "seconds"
				}
			]}}</v>
      </c>
    </row>
    <row r="979" spans="1:11" x14ac:dyDescent="0.25">
      <c r="A979" s="61" t="s">
        <v>5174</v>
      </c>
      <c r="B979" t="s">
        <v>5173</v>
      </c>
      <c r="C979" t="str">
        <f>findKey(supplementary_offering_offeringid__4[[#This Row],[Value.legacyid]])</f>
        <v>168771481791</v>
      </c>
      <c r="D979" t="s">
        <v>2007</v>
      </c>
      <c r="E979" t="s">
        <v>2189</v>
      </c>
      <c r="F979" s="61" t="s">
        <v>6174</v>
      </c>
      <c r="G979" s="71" t="s">
        <v>6321</v>
      </c>
      <c r="H979" s="61"/>
      <c r="J979" t="str">
        <f>ToJsonArray(supplementary_offering_offeringid__4[[#Headers],[legacyid]:[activityId]],supplementary_offering_offeringid__4[[#This Row],[legacyid]:[activityId]])</f>
        <v>{"legacyid":"168771481791","name":"1000MIN TD, SMS TD y Voz a Tigo infinito, 3 GB WA+Mail+FB P2","mode":"I","amount":"1445","resources":[
				{
					"partition": "32223",
					"amountPartition": "223200",
					"amountType": "sms"
				}
			]}</v>
      </c>
      <c r="K979" t="str">
        <f>ToJsonArray(supplementary_offering_offeringid__4[[#This Row],[produccion]],supplementary_offering_offeringid__4[[#This Row],[json]])</f>
        <v>{"990000454":{"legacyid":"168771481791","name":"1000MIN TD, SMS TD y Voz a Tigo infinito, 3 GB WA+Mail+FB P2","mode":"I","amount":"1445","resources":[
				{
					"partition": "32223",
					"amountPartition": "223200",
					"amountType": "sms"
				}
			]}}</v>
      </c>
    </row>
    <row r="980" spans="1:11" x14ac:dyDescent="0.25">
      <c r="A980" s="61" t="s">
        <v>5176</v>
      </c>
      <c r="B980" t="s">
        <v>5175</v>
      </c>
      <c r="C980" t="str">
        <f>findKey(supplementary_offering_offeringid__4[[#This Row],[Value.legacyid]])</f>
        <v>168771484479</v>
      </c>
      <c r="D980" t="s">
        <v>2006</v>
      </c>
      <c r="E980" t="s">
        <v>2189</v>
      </c>
      <c r="F980" s="61" t="s">
        <v>6187</v>
      </c>
      <c r="G980" s="71" t="s">
        <v>6333</v>
      </c>
      <c r="H980" s="61"/>
      <c r="J980" t="str">
        <f>ToJsonArray(supplementary_offering_offeringid__4[[#Headers],[legacyid]:[activityId]],supplementary_offering_offeringid__4[[#This Row],[legacyid]:[activityId]])</f>
        <v>{"legacyid":"168771484479","name":"1000MIN TD, SMS TD y Voz a Tigo infinito, 3 GB WA+Mail+FB P1","mode":"I","amount":"23239","resources":[
				{
					"partition": "12223",
					"amountPartition": "60000",
					"amountType": "seconds"
				},
				{
					"partition": "11823",
					"amountPartition": "2678400",
					"amountType": "seconds"
				}
			]}</v>
      </c>
      <c r="K980" t="str">
        <f>ToJsonArray(supplementary_offering_offeringid__4[[#This Row],[produccion]],supplementary_offering_offeringid__4[[#This Row],[json]])</f>
        <v>{"990000455":{"legacyid":"168771484479","name":"1000MIN TD, SMS TD y Voz a Tigo infinito, 3 GB WA+Mail+FB P1","mode":"I","amount":"23239","resources":[
				{
					"partition": "12223",
					"amountPartition": "60000",
					"amountType": "seconds"
				},
				{
					"partition": "11823",
					"amountPartition": "2678400",
					"amountType": "seconds"
				}
			]}}</v>
      </c>
    </row>
    <row r="981" spans="1:11" x14ac:dyDescent="0.25">
      <c r="A981" s="61" t="s">
        <v>5178</v>
      </c>
      <c r="B981" t="s">
        <v>5177</v>
      </c>
      <c r="C981" t="str">
        <f>findKey(supplementary_offering_offeringid__4[[#This Row],[Value.legacyid]])</f>
        <v>168771484863</v>
      </c>
      <c r="D981" t="s">
        <v>2008</v>
      </c>
      <c r="E981" t="s">
        <v>2189</v>
      </c>
      <c r="F981" s="61" t="s">
        <v>6188</v>
      </c>
      <c r="G981" s="71" t="s">
        <v>6334</v>
      </c>
      <c r="H981" s="61"/>
      <c r="J981" t="str">
        <f>ToJsonArray(supplementary_offering_offeringid__4[[#Headers],[legacyid]:[activityId]],supplementary_offering_offeringid__4[[#This Row],[legacyid]:[activityId]])</f>
        <v>{"legacyid":"168771484863","name":"1000MIN TD, SMS TD y Voz a Tigo infinito, 3 GB WA+Mail+FB P3","mode":"I","amount":"36061","resources":[
				{
					"partition": "22423",
					"amountPartition": "3145728",
					"amountType": "kilobytes"
				},
				{
					"partition": "22823",
					"amountPartition": "62914560",
					"amountType": "kilobytes"
				}
			]}</v>
      </c>
      <c r="K981" t="str">
        <f>ToJsonArray(supplementary_offering_offeringid__4[[#This Row],[produccion]],supplementary_offering_offeringid__4[[#This Row],[json]])</f>
        <v>{"990000456":{"legacyid":"168771484863","name":"1000MIN TD, SMS TD y Voz a Tigo infinito, 3 GB WA+Mail+FB P3","mode":"I","amount":"36061","resources":[
				{
					"partition": "22423",
					"amountPartition": "3145728",
					"amountType": "kilobytes"
				},
				{
					"partition": "22823",
					"amountPartition": "62914560",
					"amountType": "kilobytes"
				}
			]}}</v>
      </c>
    </row>
    <row r="982" spans="1:11" x14ac:dyDescent="0.25">
      <c r="A982" s="61" t="s">
        <v>5180</v>
      </c>
      <c r="B982" t="s">
        <v>5179</v>
      </c>
      <c r="C982" t="str">
        <f>findKey(supplementary_offering_offeringid__4[[#This Row],[Value.legacyid]])</f>
        <v>168771481983</v>
      </c>
      <c r="D982" t="s">
        <v>2133</v>
      </c>
      <c r="E982" t="s">
        <v>2189</v>
      </c>
      <c r="F982" s="61" t="s">
        <v>6174</v>
      </c>
      <c r="G982" s="71" t="s">
        <v>6321</v>
      </c>
      <c r="H982" s="61"/>
      <c r="J982" t="str">
        <f>ToJsonArray(supplementary_offering_offeringid__4[[#Headers],[legacyid]:[activityId]],supplementary_offering_offeringid__4[[#This Row],[legacyid]:[activityId]])</f>
        <v>{"legacyid":"168771481983","name":"400MIN TD, SMS TD y Voz a Tigo infinito, 1 GB WA+Mail+FB P2","mode":"I","amount":"1445","resources":[
				{
					"partition": "32223",
					"amountPartition": "223200",
					"amountType": "sms"
				}
			]}</v>
      </c>
      <c r="K982" t="str">
        <f>ToJsonArray(supplementary_offering_offeringid__4[[#This Row],[produccion]],supplementary_offering_offeringid__4[[#This Row],[json]])</f>
        <v>{"990000457":{"legacyid":"168771481983","name":"400MIN TD, SMS TD y Voz a Tigo infinito, 1 GB WA+Mail+FB P2","mode":"I","amount":"1445","resources":[
				{
					"partition": "32223",
					"amountPartition": "223200",
					"amountType": "sms"
				}
			]}}</v>
      </c>
    </row>
    <row r="983" spans="1:11" x14ac:dyDescent="0.25">
      <c r="A983" s="61" t="s">
        <v>5182</v>
      </c>
      <c r="B983" t="s">
        <v>5181</v>
      </c>
      <c r="C983" t="str">
        <f>findKey(supplementary_offering_offeringid__4[[#This Row],[Value.legacyid]])</f>
        <v>168771484287</v>
      </c>
      <c r="D983" t="s">
        <v>2132</v>
      </c>
      <c r="E983" t="s">
        <v>2189</v>
      </c>
      <c r="F983" s="61" t="s">
        <v>6189</v>
      </c>
      <c r="G983" s="71" t="s">
        <v>6335</v>
      </c>
      <c r="H983" s="61"/>
      <c r="J983" t="str">
        <f>ToJsonArray(supplementary_offering_offeringid__4[[#Headers],[legacyid]:[activityId]],supplementary_offering_offeringid__4[[#This Row],[legacyid]:[activityId]])</f>
        <v>{"legacyid":"168771484287","name":"400MIN TD, SMS TD y Voz a Tigo infinito, 1 GB WA+Mail+FB P1","mode":"I","amount":"13930","resources":[
				{
					"partition": "11823",
					"amountPartition": "2678400",
					"amountType": "seconds"
				},
				{
					"partition": "12223",
					"amountPartition": "24000",
					"amountType": "seconds"
				}
			]}</v>
      </c>
      <c r="K983" t="str">
        <f>ToJsonArray(supplementary_offering_offeringid__4[[#This Row],[produccion]],supplementary_offering_offeringid__4[[#This Row],[json]])</f>
        <v>{"990000458":{"legacyid":"168771484287","name":"400MIN TD, SMS TD y Voz a Tigo infinito, 1 GB WA+Mail+FB P1","mode":"I","amount":"13930","resources":[
				{
					"partition": "11823",
					"amountPartition": "2678400",
					"amountType": "seconds"
				},
				{
					"partition": "12223",
					"amountPartition": "24000",
					"amountType": "seconds"
				}
			]}}</v>
      </c>
    </row>
    <row r="984" spans="1:11" x14ac:dyDescent="0.25">
      <c r="A984" s="61" t="s">
        <v>5184</v>
      </c>
      <c r="B984" t="s">
        <v>5183</v>
      </c>
      <c r="C984" t="str">
        <f>findKey(supplementary_offering_offeringid__4[[#This Row],[Value.legacyid]])</f>
        <v>168771485055</v>
      </c>
      <c r="D984" t="s">
        <v>2134</v>
      </c>
      <c r="E984" t="s">
        <v>2189</v>
      </c>
      <c r="F984" s="61" t="s">
        <v>6190</v>
      </c>
      <c r="G984" s="71" t="s">
        <v>6336</v>
      </c>
      <c r="H984" s="61"/>
      <c r="J984" t="str">
        <f>ToJsonArray(supplementary_offering_offeringid__4[[#Headers],[legacyid]:[activityId]],supplementary_offering_offeringid__4[[#This Row],[legacyid]:[activityId]])</f>
        <v>{"legacyid":"168771485055","name":"400MIN TD, SMS TD y Voz a Tigo infinito, 1 GB WA+Mail+FB P3","mode":"I","amount":"21614","resources":[
				{
					"partition": "22823",
					"amountPartition": "62914560",
					"amountType": "kilobytes"
				},
				{
					"partition": "22423",
					"amountPartition": "1048576",
					"amountType": "kilobytes"
				}
			]}</v>
      </c>
      <c r="K984" t="str">
        <f>ToJsonArray(supplementary_offering_offeringid__4[[#This Row],[produccion]],supplementary_offering_offeringid__4[[#This Row],[json]])</f>
        <v>{"990000459":{"legacyid":"168771485055","name":"400MIN TD, SMS TD y Voz a Tigo infinito, 1 GB WA+Mail+FB P3","mode":"I","amount":"21614","resources":[
				{
					"partition": "22823",
					"amountPartition": "62914560",
					"amountType": "kilobytes"
				},
				{
					"partition": "22423",
					"amountPartition": "1048576",
					"amountType": "kilobytes"
				}
			]}}</v>
      </c>
    </row>
    <row r="985" spans="1:11" x14ac:dyDescent="0.25">
      <c r="A985" s="61" t="s">
        <v>5186</v>
      </c>
      <c r="B985" t="s">
        <v>5185</v>
      </c>
      <c r="C985" t="str">
        <f>findKey(supplementary_offering_offeringid__4[[#This Row],[Value.legacyid]])</f>
        <v>358124949869</v>
      </c>
      <c r="D985" t="s">
        <v>2011</v>
      </c>
      <c r="E985" t="s">
        <v>2189</v>
      </c>
      <c r="F985" s="61" t="s">
        <v>6191</v>
      </c>
      <c r="G985" s="71" t="s">
        <v>6337</v>
      </c>
      <c r="H985" s="61"/>
      <c r="J985" t="str">
        <f>ToJsonArray(supplementary_offering_offeringid__4[[#Headers],[legacyid]:[activityId]],supplementary_offering_offeringid__4[[#This Row],[legacyid]:[activityId]])</f>
        <v>{"legacyid":"358124949869","name":"1000 MIN TD, SMS y Voz a Tigo inf, 6.5 GB, WA+Mail+FB, CUG P1","mode":"I","amount":"24373","resources":[
				{
					"partition": "12323",
					"amountPartition": "2678400",
					"amountType": "seconds"
				},
				{
					"partition": "11823",
					"amountPartition": "2678400",
					"amountType": "seconds"
				},
				{
					"partition": "12223",
					"amountPartition": "60000",
					"amountType": "seconds"
				}
			]}</v>
      </c>
      <c r="K985" t="str">
        <f>ToJsonArray(supplementary_offering_offeringid__4[[#This Row],[produccion]],supplementary_offering_offeringid__4[[#This Row],[json]])</f>
        <v>{"990000460":{"legacyid":"358124949869","name":"1000 MIN TD, SMS y Voz a Tigo inf, 6.5 GB, WA+Mail+FB, CUG P1","mode":"I","amount":"24373","resources":[
				{
					"partition": "12323",
					"amountPartition": "2678400",
					"amountType": "seconds"
				},
				{
					"partition": "11823",
					"amountPartition": "2678400",
					"amountType": "seconds"
				},
				{
					"partition": "12223",
					"amountPartition": "60000",
					"amountType": "seconds"
				}
			]}}</v>
      </c>
    </row>
    <row r="986" spans="1:11" x14ac:dyDescent="0.25">
      <c r="A986" s="61" t="s">
        <v>5188</v>
      </c>
      <c r="B986" t="s">
        <v>5187</v>
      </c>
      <c r="C986" t="str">
        <f>findKey(supplementary_offering_offeringid__4[[#This Row],[Value.legacyid]])</f>
        <v>358124951405</v>
      </c>
      <c r="D986" t="s">
        <v>2013</v>
      </c>
      <c r="E986" t="s">
        <v>2189</v>
      </c>
      <c r="F986" s="61" t="s">
        <v>6192</v>
      </c>
      <c r="G986" s="71" t="s">
        <v>6338</v>
      </c>
      <c r="H986" s="61"/>
      <c r="J986" t="str">
        <f>ToJsonArray(supplementary_offering_offeringid__4[[#Headers],[legacyid]:[activityId]],supplementary_offering_offeringid__4[[#This Row],[legacyid]:[activityId]])</f>
        <v>{"legacyid":"358124951405","name":"1000 MIN TD, SMS y Voz a Tigo inf, 6.5 GB, WA+Mail+FB inf P3","mode":"I","amount":"25389","resources":[
				{
					"partition": "22823",
					"amountPartition": "62914560",
					"amountType": "kilobytes"
				},
				{
					"partition": "22423",
					"amountPartition": "6815744",
					"amountType": "kilobytes"
				}
			]}</v>
      </c>
      <c r="K986" t="str">
        <f>ToJsonArray(supplementary_offering_offeringid__4[[#This Row],[produccion]],supplementary_offering_offeringid__4[[#This Row],[json]])</f>
        <v>{"990000461":{"legacyid":"358124951405","name":"1000 MIN TD, SMS y Voz a Tigo inf, 6.5 GB, WA+Mail+FB inf P3","mode":"I","amount":"25389","resources":[
				{
					"partition": "22823",
					"amountPartition": "62914560",
					"amountType": "kilobytes"
				},
				{
					"partition": "22423",
					"amountPartition": "6815744",
					"amountType": "kilobytes"
				}
			]}}</v>
      </c>
    </row>
    <row r="987" spans="1:11" x14ac:dyDescent="0.25">
      <c r="A987" s="61" t="s">
        <v>5190</v>
      </c>
      <c r="B987" t="s">
        <v>5189</v>
      </c>
      <c r="C987" t="str">
        <f>findKey(supplementary_offering_offeringid__4[[#This Row],[Value.legacyid]])</f>
        <v>358124952941</v>
      </c>
      <c r="D987" t="s">
        <v>2012</v>
      </c>
      <c r="E987" t="s">
        <v>2189</v>
      </c>
      <c r="F987" s="61" t="s">
        <v>6193</v>
      </c>
      <c r="G987" s="71" t="s">
        <v>6321</v>
      </c>
      <c r="H987" s="61"/>
      <c r="J987" t="str">
        <f>ToJsonArray(supplementary_offering_offeringid__4[[#Headers],[legacyid]:[activityId]],supplementary_offering_offeringid__4[[#This Row],[legacyid]:[activityId]])</f>
        <v>{"legacyid":"358124952941","name":"1000 MIN TD, SMS y Voz a Tigo inf, 6.5 GB, WA+Mail+FB inf P2","mode":"I","amount":"1050","resources":[
				{
					"partition": "32223",
					"amountPartition": "223200",
					"amountType": "sms"
				}
			]}</v>
      </c>
      <c r="K987" t="str">
        <f>ToJsonArray(supplementary_offering_offeringid__4[[#This Row],[produccion]],supplementary_offering_offeringid__4[[#This Row],[json]])</f>
        <v>{"990000462":{"legacyid":"358124952941","name":"1000 MIN TD, SMS y Voz a Tigo inf, 6.5 GB, WA+Mail+FB inf P2","mode":"I","amount":"1050","resources":[
				{
					"partition": "32223",
					"amountPartition": "223200",
					"amountType": "sms"
				}
			]}}</v>
      </c>
    </row>
    <row r="988" spans="1:11" x14ac:dyDescent="0.25">
      <c r="A988" s="61" t="s">
        <v>5192</v>
      </c>
      <c r="B988" t="s">
        <v>5191</v>
      </c>
      <c r="C988" t="str">
        <f>findKey(supplementary_offering_offeringid__4[[#This Row],[Value.legacyid]])</f>
        <v>168771482559</v>
      </c>
      <c r="D988" t="s">
        <v>2131</v>
      </c>
      <c r="E988" t="s">
        <v>2189</v>
      </c>
      <c r="F988" s="61" t="s">
        <v>6194</v>
      </c>
      <c r="G988" s="71" t="s">
        <v>6339</v>
      </c>
      <c r="H988" s="61"/>
      <c r="J988" t="str">
        <f>ToJsonArray(supplementary_offering_offeringid__4[[#Headers],[legacyid]:[activityId]],supplementary_offering_offeringid__4[[#This Row],[legacyid]:[activityId]])</f>
        <v>{"legacyid":"168771482559","name":"1500MIN TD,SMS TD y Voz a Tigo infinito, 3,5 GB WA+ Mail+FB P3","mode":"I","amount":"41840","resources":[
				{
					"partition": "22823",
					"amountPartition": "62914560",
					"amountType": "kilobytes"
				},
				{
					"partition": "22423",
					"amountPartition": "3670016",
					"amountType": "kilobytes"
				}
			]}</v>
      </c>
      <c r="K988" t="str">
        <f>ToJsonArray(supplementary_offering_offeringid__4[[#This Row],[produccion]],supplementary_offering_offeringid__4[[#This Row],[json]])</f>
        <v>{"990000463":{"legacyid":"168771482559","name":"1500MIN TD,SMS TD y Voz a Tigo infinito, 3,5 GB WA+ Mail+FB P3","mode":"I","amount":"41840","resources":[
				{
					"partition": "22823",
					"amountPartition": "62914560",
					"amountType": "kilobytes"
				},
				{
					"partition": "22423",
					"amountPartition": "3670016",
					"amountType": "kilobytes"
				}
			]}}</v>
      </c>
    </row>
    <row r="989" spans="1:11" x14ac:dyDescent="0.25">
      <c r="A989" s="61" t="s">
        <v>5194</v>
      </c>
      <c r="B989" t="s">
        <v>5193</v>
      </c>
      <c r="C989" t="str">
        <f>findKey(supplementary_offering_offeringid__4[[#This Row],[Value.legacyid]])</f>
        <v>168771483327</v>
      </c>
      <c r="D989" t="s">
        <v>2009</v>
      </c>
      <c r="E989" t="s">
        <v>2189</v>
      </c>
      <c r="F989" s="61" t="s">
        <v>6195</v>
      </c>
      <c r="G989" s="71" t="s">
        <v>6340</v>
      </c>
      <c r="H989" s="61"/>
      <c r="J989" t="str">
        <f>ToJsonArray(supplementary_offering_offeringid__4[[#Headers],[legacyid]:[activityId]],supplementary_offering_offeringid__4[[#This Row],[legacyid]:[activityId]])</f>
        <v>{"legacyid":"168771483327","name":"1500MIN TD,SMS TD y Voz a Tigo infinito, 3,5 GB WA+ Mail+FB P1","mode":"I","amount":"26964","resources":[
				{
					"partition": "11823",
					"amountPartition": "2678400",
					"amountType": "seconds"
				},
				{
					"partition": "12223",
					"amountPartition": "90000",
					"amountType": "seconds"
				}
			]}</v>
      </c>
      <c r="K989" t="str">
        <f>ToJsonArray(supplementary_offering_offeringid__4[[#This Row],[produccion]],supplementary_offering_offeringid__4[[#This Row],[json]])</f>
        <v>{"990000464":{"legacyid":"168771483327","name":"1500MIN TD,SMS TD y Voz a Tigo infinito, 3,5 GB WA+ Mail+FB P1","mode":"I","amount":"26964","resources":[
				{
					"partition": "11823",
					"amountPartition": "2678400",
					"amountType": "seconds"
				},
				{
					"partition": "12223",
					"amountPartition": "90000",
					"amountType": "seconds"
				}
			]}}</v>
      </c>
    </row>
    <row r="990" spans="1:11" x14ac:dyDescent="0.25">
      <c r="A990" s="61" t="s">
        <v>5196</v>
      </c>
      <c r="B990" t="s">
        <v>5195</v>
      </c>
      <c r="C990" t="str">
        <f>findKey(supplementary_offering_offeringid__4[[#This Row],[Value.legacyid]])</f>
        <v>168771484095</v>
      </c>
      <c r="D990" t="s">
        <v>2010</v>
      </c>
      <c r="E990" t="s">
        <v>2189</v>
      </c>
      <c r="F990" s="61" t="s">
        <v>6174</v>
      </c>
      <c r="G990" s="71" t="s">
        <v>6321</v>
      </c>
      <c r="H990" s="61"/>
      <c r="J990" t="str">
        <f>ToJsonArray(supplementary_offering_offeringid__4[[#Headers],[legacyid]:[activityId]],supplementary_offering_offeringid__4[[#This Row],[legacyid]:[activityId]])</f>
        <v>{"legacyid":"168771484095","name":"1500MIN TD,SMS TD y Voz a Tigo infinito, 3,5 GB WA+ Mail+FB P2","mode":"I","amount":"1445","resources":[
				{
					"partition": "32223",
					"amountPartition": "223200",
					"amountType": "sms"
				}
			]}</v>
      </c>
      <c r="K990" t="str">
        <f>ToJsonArray(supplementary_offering_offeringid__4[[#This Row],[produccion]],supplementary_offering_offeringid__4[[#This Row],[json]])</f>
        <v>{"990000465":{"legacyid":"168771484095","name":"1500MIN TD,SMS TD y Voz a Tigo infinito, 3,5 GB WA+ Mail+FB P2","mode":"I","amount":"1445","resources":[
				{
					"partition": "32223",
					"amountPartition": "223200",
					"amountType": "sms"
				}
			]}}</v>
      </c>
    </row>
    <row r="991" spans="1:11" x14ac:dyDescent="0.25">
      <c r="A991" s="61" t="s">
        <v>5198</v>
      </c>
      <c r="B991" t="s">
        <v>5197</v>
      </c>
      <c r="C991" t="str">
        <f>findKey(supplementary_offering_offeringid__4[[#This Row],[Value.legacyid]])</f>
        <v>168771482367</v>
      </c>
      <c r="D991" t="s">
        <v>2137</v>
      </c>
      <c r="E991" t="s">
        <v>2189</v>
      </c>
      <c r="F991" s="61" t="s">
        <v>6196</v>
      </c>
      <c r="G991" s="71" t="s">
        <v>6341</v>
      </c>
      <c r="H991" s="61"/>
      <c r="J991" t="str">
        <f>ToJsonArray(supplementary_offering_offeringid__4[[#Headers],[legacyid]:[activityId]],supplementary_offering_offeringid__4[[#This Row],[legacyid]:[activityId]])</f>
        <v>{"legacyid":"168771482367","name":"500MIN TD, SMS TD y Voz a Tigo infinito, 1,5 GB WA+Mail+FB P3","mode":"I","amount":"23925","resources":[
				{
					"partition": "22423",
					"amountPartition": "1572864",
					"amountType": "kilobytes"
				},
				{
					"partition": "22823",
					"amountPartition": "62914560",
					"amountType": "kilobytes"
				}
			]}</v>
      </c>
      <c r="K991" t="str">
        <f>ToJsonArray(supplementary_offering_offeringid__4[[#This Row],[produccion]],supplementary_offering_offeringid__4[[#This Row],[json]])</f>
        <v>{"990000466":{"legacyid":"168771482367","name":"500MIN TD, SMS TD y Voz a Tigo infinito, 1,5 GB WA+Mail+FB P3","mode":"I","amount":"23925","resources":[
				{
					"partition": "22423",
					"amountPartition": "1572864",
					"amountType": "kilobytes"
				},
				{
					"partition": "22823",
					"amountPartition": "62914560",
					"amountType": "kilobytes"
				}
			]}}</v>
      </c>
    </row>
    <row r="992" spans="1:11" x14ac:dyDescent="0.25">
      <c r="A992" s="61" t="s">
        <v>5200</v>
      </c>
      <c r="B992" t="s">
        <v>5199</v>
      </c>
      <c r="C992" t="str">
        <f>findKey(supplementary_offering_offeringid__4[[#This Row],[Value.legacyid]])</f>
        <v>168771483519</v>
      </c>
      <c r="D992" t="s">
        <v>2135</v>
      </c>
      <c r="E992" t="s">
        <v>2189</v>
      </c>
      <c r="F992" s="61" t="s">
        <v>6197</v>
      </c>
      <c r="G992" s="71" t="s">
        <v>6342</v>
      </c>
      <c r="H992" s="61"/>
      <c r="J992" t="str">
        <f>ToJsonArray(supplementary_offering_offeringid__4[[#Headers],[legacyid]:[activityId]],supplementary_offering_offeringid__4[[#This Row],[legacyid]:[activityId]])</f>
        <v>{"legacyid":"168771483519","name":"500MIN TD, SMS TD y Voz a Tigo infinito, 1,5 GB WA+Mail+FB P1","mode":"I","amount":"15419","resources":[
				{
					"partition": "11823",
					"amountPartition": "2678400",
					"amountType": "seconds"
				},
				{
					"partition": "12223",
					"amountPartition": "30000",
					"amountType": "seconds"
				},
				{
					"partition": "12323",
					"amountPartition": "999999999",
					"amountType": "seconds"
				}
			]}</v>
      </c>
      <c r="K992" t="str">
        <f>ToJsonArray(supplementary_offering_offeringid__4[[#This Row],[produccion]],supplementary_offering_offeringid__4[[#This Row],[json]])</f>
        <v>{"990000467":{"legacyid":"168771483519","name":"500MIN TD, SMS TD y Voz a Tigo infinito, 1,5 GB WA+Mail+FB P1","mode":"I","amount":"15419","resources":[
				{
					"partition": "11823",
					"amountPartition": "2678400",
					"amountType": "seconds"
				},
				{
					"partition": "12223",
					"amountPartition": "30000",
					"amountType": "seconds"
				},
				{
					"partition": "12323",
					"amountPartition": "999999999",
					"amountType": "seconds"
				}
			]}}</v>
      </c>
    </row>
    <row r="993" spans="1:11" x14ac:dyDescent="0.25">
      <c r="A993" s="61" t="s">
        <v>5202</v>
      </c>
      <c r="B993" t="s">
        <v>5201</v>
      </c>
      <c r="C993" t="str">
        <f>findKey(supplementary_offering_offeringid__4[[#This Row],[Value.legacyid]])</f>
        <v>168771483903</v>
      </c>
      <c r="D993" t="s">
        <v>2136</v>
      </c>
      <c r="E993" t="s">
        <v>2189</v>
      </c>
      <c r="F993" s="61" t="s">
        <v>6174</v>
      </c>
      <c r="G993" s="71" t="s">
        <v>6321</v>
      </c>
      <c r="H993" s="61"/>
      <c r="J993" t="str">
        <f>ToJsonArray(supplementary_offering_offeringid__4[[#Headers],[legacyid]:[activityId]],supplementary_offering_offeringid__4[[#This Row],[legacyid]:[activityId]])</f>
        <v>{"legacyid":"168771483903","name":"500MIN TD, SMS TD y Voz a Tigo infinito, 1,5 GB WA+Mail+FB P2","mode":"I","amount":"1445","resources":[
				{
					"partition": "32223",
					"amountPartition": "223200",
					"amountType": "sms"
				}
			]}</v>
      </c>
      <c r="K993" t="str">
        <f>ToJsonArray(supplementary_offering_offeringid__4[[#This Row],[produccion]],supplementary_offering_offeringid__4[[#This Row],[json]])</f>
        <v>{"990000468":{"legacyid":"168771483903","name":"500MIN TD, SMS TD y Voz a Tigo infinito, 1,5 GB WA+Mail+FB P2","mode":"I","amount":"1445","resources":[
				{
					"partition": "32223",
					"amountPartition": "223200",
					"amountType": "sms"
				}
			]}}</v>
      </c>
    </row>
    <row r="994" spans="1:11" x14ac:dyDescent="0.25">
      <c r="A994" s="61" t="s">
        <v>5204</v>
      </c>
      <c r="B994" t="s">
        <v>5203</v>
      </c>
      <c r="C994" t="str">
        <f>findKey(supplementary_offering_offeringid__4[[#This Row],[Value.legacyid]])</f>
        <v>168771483135</v>
      </c>
      <c r="D994" t="s">
        <v>2139</v>
      </c>
      <c r="E994" t="s">
        <v>2189</v>
      </c>
      <c r="F994" s="61" t="s">
        <v>6174</v>
      </c>
      <c r="G994" s="71" t="s">
        <v>6321</v>
      </c>
      <c r="H994" s="61"/>
      <c r="J994" t="str">
        <f>ToJsonArray(supplementary_offering_offeringid__4[[#Headers],[legacyid]:[activityId]],supplementary_offering_offeringid__4[[#This Row],[legacyid]:[activityId]])</f>
        <v>{"legacyid":"168771483135","name":"700MIN TD, SMS TD y Voz a Tigo infinito, 2,5 GB WA+Mail+FB P2","mode":"I","amount":"1445","resources":[
				{
					"partition": "32223",
					"amountPartition": "223200",
					"amountType": "sms"
				}
			]}</v>
      </c>
      <c r="K994" t="str">
        <f>ToJsonArray(supplementary_offering_offeringid__4[[#This Row],[produccion]],supplementary_offering_offeringid__4[[#This Row],[json]])</f>
        <v>{"990000469":{"legacyid":"168771483135","name":"700MIN TD, SMS TD y Voz a Tigo infinito, 2,5 GB WA+Mail+FB P2","mode":"I","amount":"1445","resources":[
				{
					"partition": "32223",
					"amountPartition": "223200",
					"amountType": "sms"
				}
			]}}</v>
      </c>
    </row>
    <row r="995" spans="1:11" x14ac:dyDescent="0.25">
      <c r="A995" s="61" t="s">
        <v>5206</v>
      </c>
      <c r="B995" t="s">
        <v>5205</v>
      </c>
      <c r="C995" t="str">
        <f>findKey(supplementary_offering_offeringid__4[[#This Row],[Value.legacyid]])</f>
        <v>168771484671</v>
      </c>
      <c r="D995" t="s">
        <v>2140</v>
      </c>
      <c r="E995" t="s">
        <v>2189</v>
      </c>
      <c r="F995" s="61" t="s">
        <v>6198</v>
      </c>
      <c r="G995" s="71" t="s">
        <v>6343</v>
      </c>
      <c r="H995" s="61"/>
      <c r="J995" t="str">
        <f>ToJsonArray(supplementary_offering_offeringid__4[[#Headers],[legacyid]:[activityId]],supplementary_offering_offeringid__4[[#This Row],[legacyid]:[activityId]])</f>
        <v>{"legacyid":"168771484671","name":"700MIN TD, SMS TD y Voz a Tigo infinito, 2,5 GB WA+Mail+FB P3","mode":"I","amount":"29705","resources":[
				{
					"partition": "22423",
					"amountPartition": "2621440",
					"amountType": "kilobytes"
				},
				{
					"partition": "22823",
					"amountPartition": "62914560",
					"amountType": "kilobytes"
				}
			]}</v>
      </c>
      <c r="K995" t="str">
        <f>ToJsonArray(supplementary_offering_offeringid__4[[#This Row],[produccion]],supplementary_offering_offeringid__4[[#This Row],[json]])</f>
        <v>{"990000470":{"legacyid":"168771484671","name":"700MIN TD, SMS TD y Voz a Tigo infinito, 2,5 GB WA+Mail+FB P3","mode":"I","amount":"29705","resources":[
				{
					"partition": "22423",
					"amountPartition": "2621440",
					"amountType": "kilobytes"
				},
				{
					"partition": "22823",
					"amountPartition": "62914560",
					"amountType": "kilobytes"
				}
			]}}</v>
      </c>
    </row>
    <row r="996" spans="1:11" x14ac:dyDescent="0.25">
      <c r="A996" s="61" t="s">
        <v>5208</v>
      </c>
      <c r="B996" t="s">
        <v>5207</v>
      </c>
      <c r="C996" t="str">
        <f>findKey(supplementary_offering_offeringid__4[[#This Row],[Value.legacyid]])</f>
        <v>168771485439</v>
      </c>
      <c r="D996" t="s">
        <v>2138</v>
      </c>
      <c r="E996" t="s">
        <v>2189</v>
      </c>
      <c r="F996" s="61" t="s">
        <v>6180</v>
      </c>
      <c r="G996" s="71" t="s">
        <v>6344</v>
      </c>
      <c r="H996" s="61"/>
      <c r="J996" t="str">
        <f>ToJsonArray(supplementary_offering_offeringid__4[[#Headers],[legacyid]:[activityId]],supplementary_offering_offeringid__4[[#This Row],[legacyid]:[activityId]])</f>
        <v>{"legacyid":"168771485439","name":"700MIN TD, SMS TD y Voz a Tigo infinito, 2,5 GB WA+Mail+FB P1","mode":"I","amount":"19142","resources":[
				{
					"partition": "11823",
					"amountPartition": "2678400",
					"amountType": "seconds"
				},
				{
					"partition": "12323",
					"amountPartition": "999999999",
					"amountType": "seconds"
				},
				{
					"partition": "12223",
					"amountPartition": "42000",
					"amountType": "seconds"
				}
			]}</v>
      </c>
      <c r="K996" t="str">
        <f>ToJsonArray(supplementary_offering_offeringid__4[[#This Row],[produccion]],supplementary_offering_offeringid__4[[#This Row],[json]])</f>
        <v>{"990000471":{"legacyid":"168771485439","name":"700MIN TD, SMS TD y Voz a Tigo infinito, 2,5 GB WA+Mail+FB P1","mode":"I","amount":"19142","resources":[
				{
					"partition": "11823",
					"amountPartition": "2678400",
					"amountType": "seconds"
				},
				{
					"partition": "12323",
					"amountPartition": "999999999",
					"amountType": "seconds"
				},
				{
					"partition": "12223",
					"amountPartition": "42000",
					"amountType": "seconds"
				}
			]}}</v>
      </c>
    </row>
    <row r="997" spans="1:11" x14ac:dyDescent="0.25">
      <c r="A997" s="61" t="s">
        <v>5210</v>
      </c>
      <c r="B997" t="s">
        <v>5209</v>
      </c>
      <c r="C997" t="str">
        <f>findKey(supplementary_offering_offeringid__4[[#This Row],[Value.legacyid]])</f>
        <v>17101190600</v>
      </c>
      <c r="D997" t="s">
        <v>1325</v>
      </c>
      <c r="E997" t="s">
        <v>2189</v>
      </c>
      <c r="F997" s="61"/>
      <c r="H997" s="61"/>
      <c r="J997" t="str">
        <f>ToJsonArray(supplementary_offering_offeringid__4[[#Headers],[legacyid]:[activityId]],supplementary_offering_offeringid__4[[#This Row],[legacyid]:[activityId]])</f>
        <v>{"legacyid":"17101190600","name":"Combo B2B ilimitado 20 GB P3","mode":"I"}</v>
      </c>
      <c r="K997" t="str">
        <f>ToJsonArray(supplementary_offering_offeringid__4[[#This Row],[produccion]],supplementary_offering_offeringid__4[[#This Row],[json]])</f>
        <v>{"990000472":{"legacyid":"17101190600","name":"Combo B2B ilimitado 20 GB P3","mode":"I"}}</v>
      </c>
    </row>
    <row r="998" spans="1:11" x14ac:dyDescent="0.25">
      <c r="A998" s="61" t="s">
        <v>5212</v>
      </c>
      <c r="B998" t="s">
        <v>5211</v>
      </c>
      <c r="C998" t="str">
        <f>findKey(supplementary_offering_offeringid__4[[#This Row],[Value.legacyid]])</f>
        <v>17101189832</v>
      </c>
      <c r="D998" t="s">
        <v>1323</v>
      </c>
      <c r="E998" t="s">
        <v>2189</v>
      </c>
      <c r="F998" s="61"/>
      <c r="H998" s="61"/>
      <c r="J998" t="str">
        <f>ToJsonArray(supplementary_offering_offeringid__4[[#Headers],[legacyid]:[activityId]],supplementary_offering_offeringid__4[[#This Row],[legacyid]:[activityId]])</f>
        <v>{"legacyid":"17101189832","name":"Combo B2B ilimitado 20 GB P1","mode":"I"}</v>
      </c>
      <c r="K998" t="str">
        <f>ToJsonArray(supplementary_offering_offeringid__4[[#This Row],[produccion]],supplementary_offering_offeringid__4[[#This Row],[json]])</f>
        <v>{"990000473":{"legacyid":"17101189832","name":"Combo B2B ilimitado 20 GB P1","mode":"I"}}</v>
      </c>
    </row>
    <row r="999" spans="1:11" x14ac:dyDescent="0.25">
      <c r="A999" s="61" t="s">
        <v>5214</v>
      </c>
      <c r="B999" t="s">
        <v>5213</v>
      </c>
      <c r="C999" t="str">
        <f>findKey(supplementary_offering_offeringid__4[[#This Row],[Value.legacyid]])</f>
        <v>17101192904</v>
      </c>
      <c r="D999" t="s">
        <v>1324</v>
      </c>
      <c r="E999" t="s">
        <v>2189</v>
      </c>
      <c r="F999" s="61"/>
      <c r="H999" s="61"/>
      <c r="J999" t="str">
        <f>ToJsonArray(supplementary_offering_offeringid__4[[#Headers],[legacyid]:[activityId]],supplementary_offering_offeringid__4[[#This Row],[legacyid]:[activityId]])</f>
        <v>{"legacyid":"17101192904","name":"Combo B2B ilimitado 20 GB P2","mode":"I"}</v>
      </c>
      <c r="K999" t="str">
        <f>ToJsonArray(supplementary_offering_offeringid__4[[#This Row],[produccion]],supplementary_offering_offeringid__4[[#This Row],[json]])</f>
        <v>{"990000474":{"legacyid":"17101192904","name":"Combo B2B ilimitado 20 GB P2","mode":"I"}}</v>
      </c>
    </row>
    <row r="1000" spans="1:11" x14ac:dyDescent="0.25">
      <c r="A1000" s="61" t="s">
        <v>5216</v>
      </c>
      <c r="B1000" t="s">
        <v>5215</v>
      </c>
      <c r="C1000" t="str">
        <f>findKey(supplementary_offering_offeringid__4[[#This Row],[Value.legacyid]])</f>
        <v>17101189160</v>
      </c>
      <c r="D1000" t="s">
        <v>1327</v>
      </c>
      <c r="E1000" t="s">
        <v>2189</v>
      </c>
      <c r="F1000" s="61"/>
      <c r="H1000" s="61"/>
      <c r="J1000" t="str">
        <f>ToJsonArray(supplementary_offering_offeringid__4[[#Headers],[legacyid]:[activityId]],supplementary_offering_offeringid__4[[#This Row],[legacyid]:[activityId]])</f>
        <v>{"legacyid":"17101189160","name":"Combo B2B ilimitado 35 GB P2","mode":"I"}</v>
      </c>
      <c r="K1000" t="str">
        <f>ToJsonArray(supplementary_offering_offeringid__4[[#This Row],[produccion]],supplementary_offering_offeringid__4[[#This Row],[json]])</f>
        <v>{"990000475":{"legacyid":"17101189160","name":"Combo B2B ilimitado 35 GB P2","mode":"I"}}</v>
      </c>
    </row>
    <row r="1001" spans="1:11" x14ac:dyDescent="0.25">
      <c r="A1001" s="61" t="s">
        <v>5218</v>
      </c>
      <c r="B1001" t="s">
        <v>5217</v>
      </c>
      <c r="C1001" t="str">
        <f>findKey(supplementary_offering_offeringid__4[[#This Row],[Value.legacyid]])</f>
        <v>17101192232</v>
      </c>
      <c r="D1001" t="s">
        <v>1328</v>
      </c>
      <c r="E1001" t="s">
        <v>2189</v>
      </c>
      <c r="F1001" s="61"/>
      <c r="H1001" s="61"/>
      <c r="J1001" t="str">
        <f>ToJsonArray(supplementary_offering_offeringid__4[[#Headers],[legacyid]:[activityId]],supplementary_offering_offeringid__4[[#This Row],[legacyid]:[activityId]])</f>
        <v>{"legacyid":"17101192232","name":"Combo B2B ilimitado 35 GB P3","mode":"I"}</v>
      </c>
      <c r="K1001" t="str">
        <f>ToJsonArray(supplementary_offering_offeringid__4[[#This Row],[produccion]],supplementary_offering_offeringid__4[[#This Row],[json]])</f>
        <v>{"990000476":{"legacyid":"17101192232","name":"Combo B2B ilimitado 35 GB P3","mode":"I"}}</v>
      </c>
    </row>
    <row r="1002" spans="1:11" x14ac:dyDescent="0.25">
      <c r="A1002" s="61" t="s">
        <v>5220</v>
      </c>
      <c r="B1002" t="s">
        <v>5219</v>
      </c>
      <c r="C1002" t="str">
        <f>findKey(supplementary_offering_offeringid__4[[#This Row],[Value.legacyid]])</f>
        <v>17101192136</v>
      </c>
      <c r="D1002" t="s">
        <v>1326</v>
      </c>
      <c r="E1002" t="s">
        <v>2189</v>
      </c>
      <c r="F1002" s="61"/>
      <c r="H1002" s="61"/>
      <c r="J1002" t="str">
        <f>ToJsonArray(supplementary_offering_offeringid__4[[#Headers],[legacyid]:[activityId]],supplementary_offering_offeringid__4[[#This Row],[legacyid]:[activityId]])</f>
        <v>{"legacyid":"17101192136","name":"Combo B2B ilimitado 35 GB P1","mode":"I"}</v>
      </c>
      <c r="K1002" t="str">
        <f>ToJsonArray(supplementary_offering_offeringid__4[[#This Row],[produccion]],supplementary_offering_offeringid__4[[#This Row],[json]])</f>
        <v>{"990000477":{"legacyid":"17101192136","name":"Combo B2B ilimitado 35 GB P1","mode":"I"}}</v>
      </c>
    </row>
    <row r="1003" spans="1:11" x14ac:dyDescent="0.25">
      <c r="A1003" s="61" t="s">
        <v>5222</v>
      </c>
      <c r="B1003" t="s">
        <v>5221</v>
      </c>
      <c r="C1003" t="str">
        <f>findKey(supplementary_offering_offeringid__4[[#This Row],[Value.legacyid]])</f>
        <v>17101190696</v>
      </c>
      <c r="D1003" t="s">
        <v>1329</v>
      </c>
      <c r="E1003" t="s">
        <v>2189</v>
      </c>
      <c r="F1003" s="61"/>
      <c r="H1003" s="61"/>
      <c r="J1003" t="str">
        <f>ToJsonArray(supplementary_offering_offeringid__4[[#Headers],[legacyid]:[activityId]],supplementary_offering_offeringid__4[[#This Row],[legacyid]:[activityId]])</f>
        <v>{"legacyid":"17101190696","name":"Combo B2B ilimitado 50 GB P1","mode":"I"}</v>
      </c>
      <c r="K1003" t="str">
        <f>ToJsonArray(supplementary_offering_offeringid__4[[#This Row],[produccion]],supplementary_offering_offeringid__4[[#This Row],[json]])</f>
        <v>{"990000478":{"legacyid":"17101190696","name":"Combo B2B ilimitado 50 GB P1","mode":"I"}}</v>
      </c>
    </row>
    <row r="1004" spans="1:11" x14ac:dyDescent="0.25">
      <c r="A1004" s="61" t="s">
        <v>5224</v>
      </c>
      <c r="B1004" t="s">
        <v>5223</v>
      </c>
      <c r="C1004" t="str">
        <f>findKey(supplementary_offering_offeringid__4[[#This Row],[Value.legacyid]])</f>
        <v>17101189928</v>
      </c>
      <c r="D1004" t="s">
        <v>1331</v>
      </c>
      <c r="E1004" t="s">
        <v>2189</v>
      </c>
      <c r="F1004" s="61"/>
      <c r="H1004" s="61"/>
      <c r="J1004" t="str">
        <f>ToJsonArray(supplementary_offering_offeringid__4[[#Headers],[legacyid]:[activityId]],supplementary_offering_offeringid__4[[#This Row],[legacyid]:[activityId]])</f>
        <v>{"legacyid":"17101189928","name":"Combo B2B ilimitado 50 GB P3","mode":"I"}</v>
      </c>
      <c r="K1004" t="str">
        <f>ToJsonArray(supplementary_offering_offeringid__4[[#This Row],[produccion]],supplementary_offering_offeringid__4[[#This Row],[json]])</f>
        <v>{"990000479":{"legacyid":"17101189928","name":"Combo B2B ilimitado 50 GB P3","mode":"I"}}</v>
      </c>
    </row>
    <row r="1005" spans="1:11" x14ac:dyDescent="0.25">
      <c r="A1005" s="61" t="s">
        <v>5226</v>
      </c>
      <c r="B1005" t="s">
        <v>5225</v>
      </c>
      <c r="C1005" t="str">
        <f>findKey(supplementary_offering_offeringid__4[[#This Row],[Value.legacyid]])</f>
        <v>17101191464</v>
      </c>
      <c r="D1005" t="s">
        <v>1330</v>
      </c>
      <c r="E1005" t="s">
        <v>2189</v>
      </c>
      <c r="F1005" s="61"/>
      <c r="H1005" s="61"/>
      <c r="J1005" t="str">
        <f>ToJsonArray(supplementary_offering_offeringid__4[[#Headers],[legacyid]:[activityId]],supplementary_offering_offeringid__4[[#This Row],[legacyid]:[activityId]])</f>
        <v>{"legacyid":"17101191464","name":"Combo B2B ilimitado 50 GB P2","mode":"I"}</v>
      </c>
      <c r="K1005" t="str">
        <f>ToJsonArray(supplementary_offering_offeringid__4[[#This Row],[produccion]],supplementary_offering_offeringid__4[[#This Row],[json]])</f>
        <v>{"990000480":{"legacyid":"17101191464","name":"Combo B2B ilimitado 50 GB P2","mode":"I"}}</v>
      </c>
    </row>
    <row r="1006" spans="1:11" x14ac:dyDescent="0.25">
      <c r="A1006" s="61" t="s">
        <v>5228</v>
      </c>
      <c r="B1006" t="s">
        <v>5227</v>
      </c>
      <c r="C1006" t="str">
        <f>findKey(supplementary_offering_offeringid__4[[#This Row],[Value.legacyid]])</f>
        <v>17085863626</v>
      </c>
      <c r="D1006" t="s">
        <v>1191</v>
      </c>
      <c r="E1006" t="s">
        <v>2189</v>
      </c>
      <c r="F1006" s="61"/>
      <c r="H1006" s="61"/>
      <c r="J1006" t="str">
        <f>ToJsonArray(supplementary_offering_offeringid__4[[#Headers],[legacyid]:[activityId]],supplementary_offering_offeringid__4[[#This Row],[legacyid]:[activityId]])</f>
        <v>{"legacyid":"17085863626","name":"Combo SMS Todo destino Infinito P3","mode":"I"}</v>
      </c>
      <c r="K1006" t="str">
        <f>ToJsonArray(supplementary_offering_offeringid__4[[#This Row],[produccion]],supplementary_offering_offeringid__4[[#This Row],[json]])</f>
        <v>{"990000481":{"legacyid":"17085863626","name":"Combo SMS Todo destino Infinito P3","mode":"I"}}</v>
      </c>
    </row>
    <row r="1007" spans="1:11" x14ac:dyDescent="0.25">
      <c r="A1007" s="61" t="s">
        <v>5230</v>
      </c>
      <c r="B1007" t="s">
        <v>5229</v>
      </c>
      <c r="C1007" t="str">
        <f>findKey(supplementary_offering_offeringid__4[[#This Row],[Value.legacyid]])</f>
        <v>17102546677</v>
      </c>
      <c r="D1007" t="s">
        <v>1314</v>
      </c>
      <c r="E1007" t="s">
        <v>2189</v>
      </c>
      <c r="F1007" s="61"/>
      <c r="H1007" s="61"/>
      <c r="J1007" t="str">
        <f>ToJsonArray(supplementary_offering_offeringid__4[[#Headers],[legacyid]:[activityId]],supplementary_offering_offeringid__4[[#This Row],[legacyid]:[activityId]])</f>
        <v>{"legacyid":"17102546677","name":"Combos B2B Voz ilimitado + 8 GB P2","mode":"I"}</v>
      </c>
      <c r="K1007" t="str">
        <f>ToJsonArray(supplementary_offering_offeringid__4[[#This Row],[produccion]],supplementary_offering_offeringid__4[[#This Row],[json]])</f>
        <v>{"990000482":{"legacyid":"17102546677","name":"Combos B2B Voz ilimitado + 8 GB P2","mode":"I"}}</v>
      </c>
    </row>
    <row r="1008" spans="1:11" x14ac:dyDescent="0.25">
      <c r="A1008" s="61" t="s">
        <v>5232</v>
      </c>
      <c r="B1008" t="s">
        <v>5231</v>
      </c>
      <c r="C1008" t="str">
        <f>findKey(supplementary_offering_offeringid__4[[#This Row],[Value.legacyid]])</f>
        <v>368598214742</v>
      </c>
      <c r="D1008" t="s">
        <v>1318</v>
      </c>
      <c r="E1008" t="s">
        <v>2189</v>
      </c>
      <c r="F1008" s="61"/>
      <c r="H1008" s="61"/>
      <c r="J1008" t="str">
        <f>ToJsonArray(supplementary_offering_offeringid__4[[#Headers],[legacyid]:[activityId]],supplementary_offering_offeringid__4[[#This Row],[legacyid]:[activityId]])</f>
        <v>{"legacyid":"368598214742","name":"Combos B2B Voz ilimitado + 8 GB P1","mode":"I"}</v>
      </c>
      <c r="K1008" t="str">
        <f>ToJsonArray(supplementary_offering_offeringid__4[[#This Row],[produccion]],supplementary_offering_offeringid__4[[#This Row],[json]])</f>
        <v>{"990000483":{"legacyid":"368598214742","name":"Combos B2B Voz ilimitado + 8 GB P1","mode":"I"}}</v>
      </c>
    </row>
    <row r="1009" spans="1:11" x14ac:dyDescent="0.25">
      <c r="A1009" s="61" t="s">
        <v>5234</v>
      </c>
      <c r="B1009" t="s">
        <v>5233</v>
      </c>
      <c r="C1009" t="str">
        <f>findKey(supplementary_offering_offeringid__4[[#This Row],[Value.legacyid]])</f>
        <v>368598216278</v>
      </c>
      <c r="D1009" t="s">
        <v>1316</v>
      </c>
      <c r="E1009" t="s">
        <v>2189</v>
      </c>
      <c r="F1009" s="61"/>
      <c r="H1009" s="61"/>
      <c r="J1009" t="str">
        <f>ToJsonArray(supplementary_offering_offeringid__4[[#Headers],[legacyid]:[activityId]],supplementary_offering_offeringid__4[[#This Row],[legacyid]:[activityId]])</f>
        <v>{"legacyid":"368598216278","name":"Combos B2B Voz ilimitado + 8 GB P3","mode":"I"}</v>
      </c>
      <c r="K1009" t="str">
        <f>ToJsonArray(supplementary_offering_offeringid__4[[#This Row],[produccion]],supplementary_offering_offeringid__4[[#This Row],[json]])</f>
        <v>{"990000484":{"legacyid":"368598216278","name":"Combos B2B Voz ilimitado + 8 GB P3","mode":"I"}}</v>
      </c>
    </row>
    <row r="1010" spans="1:11" x14ac:dyDescent="0.25">
      <c r="A1010" s="61">
        <v>990000485</v>
      </c>
      <c r="B1010" t="s">
        <v>5235</v>
      </c>
      <c r="C1010" t="str">
        <f>findKey(supplementary_offering_offeringid__4[[#This Row],[Value.legacyid]])</f>
        <v>17083126904</v>
      </c>
      <c r="D1010" t="s">
        <v>453</v>
      </c>
      <c r="E1010" t="s">
        <v>2189</v>
      </c>
      <c r="F1010" s="61" t="s">
        <v>6199</v>
      </c>
      <c r="G1010" s="71" t="s">
        <v>6345</v>
      </c>
      <c r="H1010" s="61"/>
      <c r="J1010" t="str">
        <f>ToJsonArray(supplementary_offering_offeringid__4[[#Headers],[legacyid]:[activityId]],supplementary_offering_offeringid__4[[#This Row],[legacyid]:[activityId]])</f>
        <v>{"legacyid":"17083126904","name":"PQT Corp CUG 10000","mode":"I","amount":"16760","resources":[
				{
					"partition": "12323",
					"amountPartition": "600000",
					"amountType": "seconds"
				}
			]}</v>
      </c>
      <c r="K1010" t="str">
        <f>ToJsonArray(supplementary_offering_offeringid__4[[#This Row],[produccion]],supplementary_offering_offeringid__4[[#This Row],[json]])</f>
        <v>{"990000485":{"legacyid":"17083126904","name":"PQT Corp CUG 10000","mode":"I","amount":"16760","resources":[
				{
					"partition": "12323",
					"amountPartition": "600000",
					"amountType": "seconds"
				}
			]}}</v>
      </c>
    </row>
    <row r="1011" spans="1:11" x14ac:dyDescent="0.25">
      <c r="A1011" s="61" t="s">
        <v>5238</v>
      </c>
      <c r="B1011" t="s">
        <v>5237</v>
      </c>
      <c r="C1011" t="str">
        <f>findKey(supplementary_offering_offeringid__4[[#This Row],[Value.legacyid]])</f>
        <v>17083127560</v>
      </c>
      <c r="D1011" t="s">
        <v>451</v>
      </c>
      <c r="E1011" t="s">
        <v>2189</v>
      </c>
      <c r="F1011" s="61" t="s">
        <v>6200</v>
      </c>
      <c r="G1011" s="71" t="s">
        <v>6346</v>
      </c>
      <c r="H1011" s="61"/>
      <c r="J1011" t="str">
        <f>ToJsonArray(supplementary_offering_offeringid__4[[#Headers],[legacyid]:[activityId]],supplementary_offering_offeringid__4[[#This Row],[legacyid]:[activityId]])</f>
        <v>{"legacyid":"17083127560","name":"PQT Corp CUG 1000","mode":"I","amount":"9311","resources":[
				{
					"partition": "12323",
					"amountPartition": "60000",
					"amountType": "seconds"
				}
			]}</v>
      </c>
      <c r="K1011" t="str">
        <f>ToJsonArray(supplementary_offering_offeringid__4[[#This Row],[produccion]],supplementary_offering_offeringid__4[[#This Row],[json]])</f>
        <v>{"990000486":{"legacyid":"17083127560","name":"PQT Corp CUG 1000","mode":"I","amount":"9311","resources":[
				{
					"partition": "12323",
					"amountPartition": "60000",
					"amountType": "seconds"
				}
			]}}</v>
      </c>
    </row>
    <row r="1012" spans="1:11" x14ac:dyDescent="0.25">
      <c r="A1012" s="61" t="s">
        <v>5240</v>
      </c>
      <c r="B1012" t="s">
        <v>5239</v>
      </c>
      <c r="C1012" t="str">
        <f>findKey(supplementary_offering_offeringid__4[[#This Row],[Value.legacyid]])</f>
        <v>17083129096</v>
      </c>
      <c r="D1012" t="s">
        <v>452</v>
      </c>
      <c r="E1012" t="s">
        <v>2189</v>
      </c>
      <c r="F1012" s="61" t="s">
        <v>6201</v>
      </c>
      <c r="G1012" s="71" t="s">
        <v>6346</v>
      </c>
      <c r="H1012" s="61"/>
      <c r="J1012" t="str">
        <f>ToJsonArray(supplementary_offering_offeringid__4[[#Headers],[legacyid]:[activityId]],supplementary_offering_offeringid__4[[#This Row],[legacyid]:[activityId]])</f>
        <v>{"legacyid":"17083129096","name":"PQT Corp CUG 5000","mode":"I","amount":"13967","resources":[
				{
					"partition": "12323",
					"amountPartition": "60000",
					"amountType": "seconds"
				}
			]}</v>
      </c>
      <c r="K1012" t="str">
        <f>ToJsonArray(supplementary_offering_offeringid__4[[#This Row],[produccion]],supplementary_offering_offeringid__4[[#This Row],[json]])</f>
        <v>{"990000487":{"legacyid":"17083129096","name":"PQT Corp CUG 5000","mode":"I","amount":"13967","resources":[
				{
					"partition": "12323",
					"amountPartition": "60000",
					"amountType": "seconds"
				}
			]}}</v>
      </c>
    </row>
    <row r="1013" spans="1:11" x14ac:dyDescent="0.25">
      <c r="A1013" s="61" t="s">
        <v>5242</v>
      </c>
      <c r="B1013" t="s">
        <v>5241</v>
      </c>
      <c r="C1013" t="str">
        <f>findKey(supplementary_offering_offeringid__4[[#This Row],[Value.legacyid]])</f>
        <v>17083129120</v>
      </c>
      <c r="D1013" t="s">
        <v>450</v>
      </c>
      <c r="E1013" t="s">
        <v>2189</v>
      </c>
      <c r="F1013" s="61" t="s">
        <v>6202</v>
      </c>
      <c r="G1013" s="71" t="s">
        <v>6346</v>
      </c>
      <c r="H1013" s="61"/>
      <c r="J1013" t="str">
        <f>ToJsonArray(supplementary_offering_offeringid__4[[#Headers],[legacyid]:[activityId]],supplementary_offering_offeringid__4[[#This Row],[legacyid]:[activityId]])</f>
        <v>{"legacyid":"17083129120","name":"PQT Corp CUG 500","mode":"I","amount":"6518","resources":[
				{
					"partition": "12323",
					"amountPartition": "60000",
					"amountType": "seconds"
				}
			]}</v>
      </c>
      <c r="K1013" t="str">
        <f>ToJsonArray(supplementary_offering_offeringid__4[[#This Row],[produccion]],supplementary_offering_offeringid__4[[#This Row],[json]])</f>
        <v>{"990000488":{"legacyid":"17083129120","name":"PQT Corp CUG 500","mode":"I","amount":"6518","resources":[
				{
					"partition": "12323",
					"amountPartition": "60000",
					"amountType": "seconds"
				}
			]}}</v>
      </c>
    </row>
    <row r="1014" spans="1:11" x14ac:dyDescent="0.25">
      <c r="A1014" s="61" t="s">
        <v>5244</v>
      </c>
      <c r="B1014" t="s">
        <v>5243</v>
      </c>
      <c r="C1014" t="str">
        <f>findKey(supplementary_offering_offeringid__4[[#This Row],[Value.legacyid]])</f>
        <v>17083665771</v>
      </c>
      <c r="D1014" t="s">
        <v>698</v>
      </c>
      <c r="E1014" t="s">
        <v>2189</v>
      </c>
      <c r="F1014" s="61" t="s">
        <v>6203</v>
      </c>
      <c r="G1014" s="71" t="s">
        <v>6347</v>
      </c>
      <c r="H1014" s="61"/>
      <c r="J1014" t="str">
        <f>ToJsonArray(supplementary_offering_offeringid__4[[#Headers],[legacyid]:[activityId]],supplementary_offering_offeringid__4[[#This Row],[legacyid]:[activityId]])</f>
        <v>{"legacyid":"17083665771","name":"PQT Corp Navegacion 13GB WA + Mail","mode":"I","amount":"94293","resources":[
				{
					"partition": "22423",
					"amountPartition": "13631488",
					"amountType": "kilobytes"
				},
				{
					"partition": "22823",
					"amountPartition": "62914560",
					"amountType": "kilobytes"
				}
			]}</v>
      </c>
      <c r="K1014" t="str">
        <f>ToJsonArray(supplementary_offering_offeringid__4[[#This Row],[produccion]],supplementary_offering_offeringid__4[[#This Row],[json]])</f>
        <v>{"990000489":{"legacyid":"17083665771","name":"PQT Corp Navegacion 13GB WA + Mail","mode":"I","amount":"94293","resources":[
				{
					"partition": "22423",
					"amountPartition": "13631488",
					"amountType": "kilobytes"
				},
				{
					"partition": "22823",
					"amountPartition": "62914560",
					"amountType": "kilobytes"
				}
			]}}</v>
      </c>
    </row>
    <row r="1015" spans="1:11" x14ac:dyDescent="0.25">
      <c r="A1015" s="61" t="s">
        <v>5246</v>
      </c>
      <c r="B1015" t="s">
        <v>5245</v>
      </c>
      <c r="C1015" t="str">
        <f>findKey(supplementary_offering_offeringid__4[[#This Row],[Value.legacyid]])</f>
        <v>17083664427</v>
      </c>
      <c r="D1015" t="s">
        <v>670</v>
      </c>
      <c r="E1015" t="s">
        <v>2189</v>
      </c>
      <c r="F1015" s="61" t="s">
        <v>6204</v>
      </c>
      <c r="G1015" s="71" t="s">
        <v>6348</v>
      </c>
      <c r="H1015" s="61"/>
      <c r="J1015" t="str">
        <f>ToJsonArray(supplementary_offering_offeringid__4[[#Headers],[legacyid]:[activityId]],supplementary_offering_offeringid__4[[#This Row],[legacyid]:[activityId]])</f>
        <v>{"legacyid":"17083664427","name":"PQT Corp Navegacion 1Gb F2","mode":"I","amount":"24946","resources":[
				{
					"partition": "22423",
					"amountPartition": "1048576",
					"amountType": "kilobytes"
				}
			]}</v>
      </c>
      <c r="K1015" t="str">
        <f>ToJsonArray(supplementary_offering_offeringid__4[[#This Row],[produccion]],supplementary_offering_offeringid__4[[#This Row],[json]])</f>
        <v>{"990000490":{"legacyid":"17083664427","name":"PQT Corp Navegacion 1Gb F2","mode":"I","amount":"24946","resources":[
				{
					"partition": "22423",
					"amountPartition": "1048576",
					"amountType": "kilobytes"
				}
			]}}</v>
      </c>
    </row>
    <row r="1016" spans="1:11" x14ac:dyDescent="0.25">
      <c r="A1016" s="61" t="s">
        <v>5248</v>
      </c>
      <c r="B1016" t="s">
        <v>5247</v>
      </c>
      <c r="C1016" t="str">
        <f>findKey(supplementary_offering_offeringid__4[[#This Row],[Value.legacyid]])</f>
        <v>17083122473</v>
      </c>
      <c r="D1016" t="s">
        <v>802</v>
      </c>
      <c r="E1016" t="s">
        <v>2189</v>
      </c>
      <c r="F1016" s="61" t="s">
        <v>6205</v>
      </c>
      <c r="G1016" s="71" t="s">
        <v>6349</v>
      </c>
      <c r="H1016" s="61"/>
      <c r="I1016" s="61" t="s">
        <v>6170</v>
      </c>
      <c r="J1016" t="str">
        <f>ToJsonArray(supplementary_offering_offeringid__4[[#Headers],[legacyid]:[activityId]],supplementary_offering_offeringid__4[[#This Row],[legacyid]:[activityId]])</f>
        <v>{"legacyid":"17083122473","name":"PQT Corp Navegacion 250Mb","mode":"I","amount":"14351","resources":[
				{
					"partition": "22423",
					"amountPartition": "256000",
					"amountType": "kilobytes"
				}
			],"activityId":"76"}</v>
      </c>
      <c r="K1016" t="str">
        <f>ToJsonArray(supplementary_offering_offeringid__4[[#This Row],[produccion]],supplementary_offering_offeringid__4[[#This Row],[json]])</f>
        <v>{"990000491":{"legacyid":"17083122473","name":"PQT Corp Navegacion 250Mb","mode":"I","amount":"14351","resources":[
				{
					"partition": "22423",
					"amountPartition": "256000",
					"amountType": "kilobytes"
				}
			],"activityId":"76"}}</v>
      </c>
    </row>
    <row r="1017" spans="1:11" x14ac:dyDescent="0.25">
      <c r="A1017" s="61" t="s">
        <v>5250</v>
      </c>
      <c r="B1017" t="s">
        <v>5249</v>
      </c>
      <c r="C1017" t="str">
        <f>findKey(supplementary_offering_offeringid__4[[#This Row],[Value.legacyid]])</f>
        <v>17083664331</v>
      </c>
      <c r="D1017" t="s">
        <v>668</v>
      </c>
      <c r="E1017" t="s">
        <v>2189</v>
      </c>
      <c r="F1017" s="61" t="s">
        <v>6206</v>
      </c>
      <c r="G1017" s="71" t="s">
        <v>6350</v>
      </c>
      <c r="H1017" s="61"/>
      <c r="I1017" s="61" t="s">
        <v>6170</v>
      </c>
      <c r="J1017" t="str">
        <f>ToJsonArray(supplementary_offering_offeringid__4[[#Headers],[legacyid]:[activityId]],supplementary_offering_offeringid__4[[#This Row],[legacyid]:[activityId]])</f>
        <v>{"legacyid":"17083664331","name":"PQT Corp Navegacion 500MB WA + Mail","mode":"I","amount":"21094","resources":[
				{
					"partition": "22423",
					"amountPartition": "512000",
					"amountType": "kilobytes"
				},
				{
					"partition": "22823",
					"amountPartition": "62914560",
					"amountType": "kilobytes"
				}
			],"activityId":"76"}</v>
      </c>
      <c r="K1017" t="str">
        <f>ToJsonArray(supplementary_offering_offeringid__4[[#This Row],[produccion]],supplementary_offering_offeringid__4[[#This Row],[json]])</f>
        <v>{"990000492":{"legacyid":"17083664331","name":"PQT Corp Navegacion 500MB WA + Mail","mode":"I","amount":"21094","resources":[
				{
					"partition": "22423",
					"amountPartition": "512000",
					"amountType": "kilobytes"
				},
				{
					"partition": "22823",
					"amountPartition": "62914560",
					"amountType": "kilobytes"
				}
			],"activityId":"76"}}</v>
      </c>
    </row>
    <row r="1018" spans="1:11" x14ac:dyDescent="0.25">
      <c r="A1018" s="61" t="s">
        <v>5252</v>
      </c>
      <c r="B1018" t="s">
        <v>5251</v>
      </c>
      <c r="C1018" t="str">
        <f>findKey(supplementary_offering_offeringid__4[[#This Row],[Value.legacyid]])</f>
        <v>17083666347</v>
      </c>
      <c r="D1018" t="s">
        <v>690</v>
      </c>
      <c r="E1018" t="s">
        <v>2189</v>
      </c>
      <c r="F1018" s="61" t="s">
        <v>6207</v>
      </c>
      <c r="G1018" s="71" t="s">
        <v>6351</v>
      </c>
      <c r="H1018" s="61"/>
      <c r="I1018" s="61" t="s">
        <v>6170</v>
      </c>
      <c r="J1018" t="str">
        <f>ToJsonArray(supplementary_offering_offeringid__4[[#Headers],[legacyid]:[activityId]],supplementary_offering_offeringid__4[[#This Row],[legacyid]:[activityId]])</f>
        <v>{"legacyid":"17083666347","name":"PQT Corp Navegacion 9GB WA + Mail","mode":"I","amount":"75030","resources":[
				{
					"partition": "22423",
					"amountPartition": "9437184",
					"amountType": "kilobytes"
				},
				{
					"partition": "22823",
					"amountPartition": "62914560",
					"amountType": "kilobytes"
				}
			],"activityId":"76"}</v>
      </c>
      <c r="K1018" t="str">
        <f>ToJsonArray(supplementary_offering_offeringid__4[[#This Row],[produccion]],supplementary_offering_offeringid__4[[#This Row],[json]])</f>
        <v>{"990000493":{"legacyid":"17083666347","name":"PQT Corp Navegacion 9GB WA + Mail","mode":"I","amount":"75030","resources":[
				{
					"partition": "22423",
					"amountPartition": "9437184",
					"amountType": "kilobytes"
				},
				{
					"partition": "22823",
					"amountPartition": "62914560",
					"amountType": "kilobytes"
				}
			],"activityId":"76"}}</v>
      </c>
    </row>
    <row r="1019" spans="1:11" x14ac:dyDescent="0.25">
      <c r="A1019" s="61" t="s">
        <v>5254</v>
      </c>
      <c r="B1019" t="s">
        <v>5253</v>
      </c>
      <c r="C1019" t="str">
        <f>findKey(supplementary_offering_offeringid__4[[#This Row],[Value.legacyid]])</f>
        <v>17083663083</v>
      </c>
      <c r="D1019" t="s">
        <v>704</v>
      </c>
      <c r="E1019" t="s">
        <v>2189</v>
      </c>
      <c r="F1019" s="61" t="s">
        <v>6208</v>
      </c>
      <c r="G1019" s="71" t="s">
        <v>6352</v>
      </c>
      <c r="H1019" s="61"/>
      <c r="I1019" s="61" t="s">
        <v>6209</v>
      </c>
      <c r="J1019" t="str">
        <f>ToJsonArray(supplementary_offering_offeringid__4[[#Headers],[legacyid]:[activityId]],supplementary_offering_offeringid__4[[#This Row],[legacyid]:[activityId]])</f>
        <v>{"legacyid":"17083663083","name":"PQT Corp Navegacion Infinita WA + Mail","mode":"I","amount":"290776","resources":[
				{
					"partition": "22823",
					"amountPartition": "62914560",
					"amountType": "kilobytes"
				},
				{
					"partition": "22423",
					"amountPartition": "419430400",
					"amountType": "kilobytes"
				}
			],"activityId":"74"}</v>
      </c>
      <c r="K1019" t="str">
        <f>ToJsonArray(supplementary_offering_offeringid__4[[#This Row],[produccion]],supplementary_offering_offeringid__4[[#This Row],[json]])</f>
        <v>{"990000494":{"legacyid":"17083663083","name":"PQT Corp Navegacion Infinita WA + Mail","mode":"I","amount":"290776","resources":[
				{
					"partition": "22823",
					"amountPartition": "62914560",
					"amountType": "kilobytes"
				},
				{
					"partition": "22423",
					"amountPartition": "419430400",
					"amountType": "kilobytes"
				}
			],"activityId":"74"}}</v>
      </c>
    </row>
    <row r="1020" spans="1:11" x14ac:dyDescent="0.25">
      <c r="A1020" s="61" t="s">
        <v>5256</v>
      </c>
      <c r="B1020" t="s">
        <v>5255</v>
      </c>
      <c r="C1020" t="str">
        <f>findKey(supplementary_offering_offeringid__4[[#This Row],[Value.legacyid]])</f>
        <v>67108981554</v>
      </c>
      <c r="D1020" t="s">
        <v>667</v>
      </c>
      <c r="E1020" t="s">
        <v>2189</v>
      </c>
      <c r="F1020" s="61" t="s">
        <v>6210</v>
      </c>
      <c r="G1020" s="71" t="s">
        <v>6353</v>
      </c>
      <c r="H1020" s="61"/>
      <c r="I1020" s="61" t="s">
        <v>6209</v>
      </c>
      <c r="J1020" t="str">
        <f>ToJsonArray(supplementary_offering_offeringid__4[[#Headers],[legacyid]:[activityId]],supplementary_offering_offeringid__4[[#This Row],[legacyid]:[activityId]])</f>
        <v>{"legacyid":"67108981554","name":"PQT Corp Tigo 100 MIN","mode":"I","amount":"1863","resources":[
				{
					"partition": "11823",
					"amountPartition": "6000",
					"amountType": "seconds"
				}
			],"activityId":"74"}</v>
      </c>
      <c r="K1020" t="str">
        <f>ToJsonArray(supplementary_offering_offeringid__4[[#This Row],[produccion]],supplementary_offering_offeringid__4[[#This Row],[json]])</f>
        <v>{"990000495":{"legacyid":"67108981554","name":"PQT Corp Tigo 100 MIN","mode":"I","amount":"1863","resources":[
				{
					"partition": "11823",
					"amountPartition": "6000",
					"amountType": "seconds"
				}
			],"activityId":"74"}}</v>
      </c>
    </row>
    <row r="1021" spans="1:11" x14ac:dyDescent="0.25">
      <c r="A1021" s="61" t="s">
        <v>5258</v>
      </c>
      <c r="B1021" t="s">
        <v>5257</v>
      </c>
      <c r="C1021" t="str">
        <f>findKey(supplementary_offering_offeringid__4[[#This Row],[Value.legacyid]])</f>
        <v>17083126024</v>
      </c>
      <c r="D1021" t="s">
        <v>455</v>
      </c>
      <c r="E1021" t="s">
        <v>2189</v>
      </c>
      <c r="F1021" s="61" t="s">
        <v>6200</v>
      </c>
      <c r="G1021" s="71" t="s">
        <v>6354</v>
      </c>
      <c r="H1021" s="61"/>
      <c r="I1021" s="61" t="s">
        <v>6209</v>
      </c>
      <c r="J1021" t="str">
        <f>ToJsonArray(supplementary_offering_offeringid__4[[#Headers],[legacyid]:[activityId]],supplementary_offering_offeringid__4[[#This Row],[legacyid]:[activityId]])</f>
        <v>{"legacyid":"17083126024","name":"PQT Corp Tigo 150","mode":"I","amount":"9311","resources":[
				{
					"partition": "11823",
					"amountPartition": "9000",
					"amountType": "seconds"
				}
			],"activityId":"74"}</v>
      </c>
      <c r="K1021" t="str">
        <f>ToJsonArray(supplementary_offering_offeringid__4[[#This Row],[produccion]],supplementary_offering_offeringid__4[[#This Row],[json]])</f>
        <v>{"990000496":{"legacyid":"17083126024","name":"PQT Corp Tigo 150","mode":"I","amount":"9311","resources":[
				{
					"partition": "11823",
					"amountPartition": "9000",
					"amountType": "seconds"
				}
			],"activityId":"74"}}</v>
      </c>
    </row>
    <row r="1022" spans="1:11" x14ac:dyDescent="0.25">
      <c r="A1022" s="61" t="s">
        <v>5260</v>
      </c>
      <c r="B1022" t="s">
        <v>5259</v>
      </c>
      <c r="C1022" t="str">
        <f>findKey(supplementary_offering_offeringid__4[[#This Row],[Value.legacyid]])</f>
        <v>17083126792</v>
      </c>
      <c r="D1022" t="s">
        <v>457</v>
      </c>
      <c r="E1022" t="s">
        <v>2189</v>
      </c>
      <c r="F1022" s="61" t="s">
        <v>6211</v>
      </c>
      <c r="G1022" s="71" t="s">
        <v>6355</v>
      </c>
      <c r="H1022" s="61"/>
      <c r="I1022" s="61" t="s">
        <v>6209</v>
      </c>
      <c r="J1022" t="str">
        <f>ToJsonArray(supplementary_offering_offeringid__4[[#Headers],[legacyid]:[activityId]],supplementary_offering_offeringid__4[[#This Row],[legacyid]:[activityId]])</f>
        <v>{"legacyid":"17083126792","name":"PQT Corp Tigo 500","mode":"I","amount":"27932","resources":[
				{
					"partition": "11823",
					"amountPartition": "30000",
					"amountType": "seconds"
				}
			],"activityId":"74"}</v>
      </c>
      <c r="K1022" t="str">
        <f>ToJsonArray(supplementary_offering_offeringid__4[[#This Row],[produccion]],supplementary_offering_offeringid__4[[#This Row],[json]])</f>
        <v>{"990000497":{"legacyid":"17083126792","name":"PQT Corp Tigo 500","mode":"I","amount":"27932","resources":[
				{
					"partition": "11823",
					"amountPartition": "30000",
					"amountType": "seconds"
				}
			],"activityId":"74"}}</v>
      </c>
    </row>
    <row r="1023" spans="1:11" x14ac:dyDescent="0.25">
      <c r="A1023" s="61" t="s">
        <v>5262</v>
      </c>
      <c r="B1023" t="s">
        <v>5261</v>
      </c>
      <c r="C1023" t="str">
        <f>findKey(supplementary_offering_offeringid__4[[#This Row],[Value.legacyid]])</f>
        <v>17083129840</v>
      </c>
      <c r="D1023" t="s">
        <v>458</v>
      </c>
      <c r="E1023" t="s">
        <v>2189</v>
      </c>
      <c r="F1023" s="61" t="s">
        <v>6212</v>
      </c>
      <c r="G1023" s="71" t="s">
        <v>6356</v>
      </c>
      <c r="H1023" s="61"/>
      <c r="I1023" s="61"/>
      <c r="J1023" t="str">
        <f>ToJsonArray(supplementary_offering_offeringid__4[[#Headers],[legacyid]:[activityId]],supplementary_offering_offeringid__4[[#This Row],[legacyid]:[activityId]])</f>
        <v>{"legacyid":"17083129840","name":"PQT Corp Tigo 700","mode":"I","amount":"37242","resources":[
				{
					"partition": "11823",
					"amountPartition": "42000",
					"amountType": "seconds"
				}
			]}</v>
      </c>
      <c r="K1023" t="str">
        <f>ToJsonArray(supplementary_offering_offeringid__4[[#This Row],[produccion]],supplementary_offering_offeringid__4[[#This Row],[json]])</f>
        <v>{"990000498":{"legacyid":"17083129840","name":"PQT Corp Tigo 700","mode":"I","amount":"37242","resources":[
				{
					"partition": "11823",
					"amountPartition": "42000",
					"amountType": "seconds"
				}
			]}}</v>
      </c>
    </row>
    <row r="1024" spans="1:11" x14ac:dyDescent="0.25">
      <c r="A1024" s="61" t="s">
        <v>5264</v>
      </c>
      <c r="B1024" t="s">
        <v>5263</v>
      </c>
      <c r="C1024" t="str">
        <f>findKey(supplementary_offering_offeringid__4[[#This Row],[Value.legacyid]])</f>
        <v>17083126768</v>
      </c>
      <c r="D1024" t="s">
        <v>459</v>
      </c>
      <c r="E1024" t="s">
        <v>2189</v>
      </c>
      <c r="F1024" s="61" t="s">
        <v>6213</v>
      </c>
      <c r="G1024" s="71" t="s">
        <v>6357</v>
      </c>
      <c r="H1024" s="61" t="s">
        <v>6209</v>
      </c>
      <c r="I1024" s="61"/>
      <c r="J1024" t="str">
        <f>ToJsonArray(supplementary_offering_offeringid__4[[#Headers],[legacyid]:[activityId]],supplementary_offering_offeringid__4[[#This Row],[legacyid]:[activityId]])</f>
        <v>{"legacyid":"17083126768","name":"PQT Corp Tigo 900","mode":"I","amount":"46552","resources":[
				{
					"partition": "11823",
					"amountPartition": "54000",
					"amountType": "seconds"
				}
			],"activity":"74"}</v>
      </c>
      <c r="K1024" t="str">
        <f>ToJsonArray(supplementary_offering_offeringid__4[[#This Row],[produccion]],supplementary_offering_offeringid__4[[#This Row],[json]])</f>
        <v>{"990001022":{"legacyid":"17083126768","name":"PQT Corp Tigo 900","mode":"I","amount":"46552","resources":[
				{
					"partition": "11823",
					"amountPartition": "54000",
					"amountType": "seconds"
				}
			],"activity":"74"}}</v>
      </c>
    </row>
    <row r="1025" spans="1:11" x14ac:dyDescent="0.25">
      <c r="A1025" s="61" t="s">
        <v>5266</v>
      </c>
      <c r="B1025" t="s">
        <v>5265</v>
      </c>
      <c r="C1025" t="str">
        <f>findKey(supplementary_offering_offeringid__4[[#This Row],[Value.legacyid]])</f>
        <v>168771482079</v>
      </c>
      <c r="D1025" t="s">
        <v>2142</v>
      </c>
      <c r="E1025" t="s">
        <v>2189</v>
      </c>
      <c r="F1025" s="61" t="s">
        <v>6174</v>
      </c>
      <c r="G1025" s="71" t="s">
        <v>6358</v>
      </c>
      <c r="H1025" s="61"/>
      <c r="I1025" s="61" t="s">
        <v>6214</v>
      </c>
      <c r="J1025" t="str">
        <f>ToJsonArray(supplementary_offering_offeringid__4[[#Headers],[legacyid]:[activityId]],supplementary_offering_offeringid__4[[#This Row],[legacyid]:[activityId]])</f>
        <v>{"legacyid":"168771482079","name":"PQTCorp TD 1300MIN Voz OnNet y SMS Infinitos P2","mode":"I","amount":"1445","resources":[
				{
					"partition": "32223",
					"amountPartition": "999999999",
					"amountType": "sms"
				}
			],"activityId":"75"}</v>
      </c>
      <c r="K1025" t="str">
        <f>ToJsonArray(supplementary_offering_offeringid__4[[#This Row],[produccion]],supplementary_offering_offeringid__4[[#This Row],[json]])</f>
        <v>{"990000499":{"legacyid":"168771482079","name":"PQTCorp TD 1300MIN Voz OnNet y SMS Infinitos P2","mode":"I","amount":"1445","resources":[
				{
					"partition": "32223",
					"amountPartition": "999999999",
					"amountType": "sms"
				}
			],"activityId":"75"}}</v>
      </c>
    </row>
    <row r="1026" spans="1:11" x14ac:dyDescent="0.25">
      <c r="A1026" s="61" t="s">
        <v>5268</v>
      </c>
      <c r="B1026" t="s">
        <v>5267</v>
      </c>
      <c r="C1026" t="str">
        <f>findKey(supplementary_offering_offeringid__4[[#This Row],[Value.legacyid]])</f>
        <v>168771484383</v>
      </c>
      <c r="D1026" t="s">
        <v>2141</v>
      </c>
      <c r="E1026" t="s">
        <v>2189</v>
      </c>
      <c r="F1026" s="61" t="s">
        <v>6215</v>
      </c>
      <c r="G1026" s="71" t="s">
        <v>6359</v>
      </c>
      <c r="H1026" s="61"/>
      <c r="I1026" s="61" t="s">
        <v>6214</v>
      </c>
      <c r="J1026" t="str">
        <f>ToJsonArray(supplementary_offering_offeringid__4[[#Headers],[legacyid]:[activityId]],supplementary_offering_offeringid__4[[#This Row],[legacyid]:[activityId]])</f>
        <v>{"legacyid":"168771484383","name":"PQTCorp TD 1300MIN Voz OnNet y SMS Infinitos P1","mode":"I","amount":"56236","resources":[
				{
					"partition": "12223",
					"amountPartition": "78000",
					"amountType": "seconds"
				},
				{
					"partition": "11823",
					"amountPartition": "2678400",
					"amountType": "seconds"
				}
			],"activityId":"75"}</v>
      </c>
      <c r="K1026" t="str">
        <f>ToJsonArray(supplementary_offering_offeringid__4[[#This Row],[produccion]],supplementary_offering_offeringid__4[[#This Row],[json]])</f>
        <v>{"990000500":{"legacyid":"168771484383","name":"PQTCorp TD 1300MIN Voz OnNet y SMS Infinitos P1","mode":"I","amount":"56236","resources":[
				{
					"partition": "12223",
					"amountPartition": "78000",
					"amountType": "seconds"
				},
				{
					"partition": "11823",
					"amountPartition": "2678400",
					"amountType": "seconds"
				}
			],"activityId":"75"}}</v>
      </c>
    </row>
    <row r="1027" spans="1:11" x14ac:dyDescent="0.25">
      <c r="A1027" s="61" t="s">
        <v>5270</v>
      </c>
      <c r="B1027" t="s">
        <v>5269</v>
      </c>
      <c r="C1027" t="str">
        <f>findKey(supplementary_offering_offeringid__4[[#This Row],[Value.legacyid]])</f>
        <v>168771483615</v>
      </c>
      <c r="D1027" t="s">
        <v>2144</v>
      </c>
      <c r="E1027" t="s">
        <v>2189</v>
      </c>
      <c r="F1027" s="61" t="s">
        <v>6216</v>
      </c>
      <c r="G1027" s="71" t="s">
        <v>6358</v>
      </c>
      <c r="H1027" s="61"/>
      <c r="I1027" s="61" t="s">
        <v>6214</v>
      </c>
      <c r="J1027" t="str">
        <f>ToJsonArray(supplementary_offering_offeringid__4[[#Headers],[legacyid]:[activityId]],supplementary_offering_offeringid__4[[#This Row],[legacyid]:[activityId]])</f>
        <v>{"legacyid":"168771483615","name":"PQTCorp TD 2000MIN Voz OnNet y SMS Infinitos P2","mode":"I","amount":"1293","resources":[
				{
					"partition": "32223",
					"amountPartition": "999999999",
					"amountType": "sms"
				}
			],"activityId":"75"}</v>
      </c>
      <c r="K1027" t="str">
        <f>ToJsonArray(supplementary_offering_offeringid__4[[#This Row],[produccion]],supplementary_offering_offeringid__4[[#This Row],[json]])</f>
        <v>{"990000501":{"legacyid":"168771483615","name":"PQTCorp TD 2000MIN Voz OnNet y SMS Infinitos P2","mode":"I","amount":"1293","resources":[
				{
					"partition": "32223",
					"amountPartition": "999999999",
					"amountType": "sms"
				}
			],"activityId":"75"}}</v>
      </c>
    </row>
    <row r="1028" spans="1:11" x14ac:dyDescent="0.25">
      <c r="A1028" s="61" t="s">
        <v>5272</v>
      </c>
      <c r="B1028" t="s">
        <v>5271</v>
      </c>
      <c r="C1028" t="str">
        <f>findKey(supplementary_offering_offeringid__4[[#This Row],[Value.legacyid]])</f>
        <v>168771485151</v>
      </c>
      <c r="D1028" t="s">
        <v>2143</v>
      </c>
      <c r="E1028" t="s">
        <v>2189</v>
      </c>
      <c r="F1028" s="61" t="s">
        <v>6217</v>
      </c>
      <c r="G1028" s="71" t="s">
        <v>6360</v>
      </c>
      <c r="H1028" s="61"/>
      <c r="I1028" s="61"/>
      <c r="J1028" t="str">
        <f>ToJsonArray(supplementary_offering_offeringid__4[[#Headers],[legacyid]:[activityId]],supplementary_offering_offeringid__4[[#This Row],[legacyid]:[activityId]])</f>
        <v>{"legacyid":"168771485151","name":"PQTCorp TD 2000MIN Voz OnNet y SMS Infinitos P1","mode":"I","amount":"67000","resources":[
				{
					"partition": "11823",
					"amountPartition": "999999999",
					"amountType": "seconds"
				},
				{
					"partition": "12223",
					"amountPartition": "120000",
					"amountType": "seconds"
				}
			]}</v>
      </c>
      <c r="K1028" t="str">
        <f>ToJsonArray(supplementary_offering_offeringid__4[[#This Row],[produccion]],supplementary_offering_offeringid__4[[#This Row],[json]])</f>
        <v>{"990000502":{"legacyid":"168771485151","name":"PQTCorp TD 2000MIN Voz OnNet y SMS Infinitos P1","mode":"I","amount":"67000","resources":[
				{
					"partition": "11823",
					"amountPartition": "999999999",
					"amountType": "seconds"
				},
				{
					"partition": "12223",
					"amountPartition": "120000",
					"amountType": "seconds"
				}
			]}}</v>
      </c>
    </row>
    <row r="1029" spans="1:11" x14ac:dyDescent="0.25">
      <c r="A1029" s="61" t="s">
        <v>5274</v>
      </c>
      <c r="B1029" t="s">
        <v>5273</v>
      </c>
      <c r="C1029" t="str">
        <f>findKey(supplementary_offering_offeringid__4[[#This Row],[Value.legacyid]])</f>
        <v>168771482175</v>
      </c>
      <c r="D1029" t="s">
        <v>2147</v>
      </c>
      <c r="E1029" t="s">
        <v>2189</v>
      </c>
      <c r="F1029" s="61" t="s">
        <v>6216</v>
      </c>
      <c r="G1029" s="71" t="s">
        <v>6318</v>
      </c>
      <c r="H1029" s="61"/>
      <c r="I1029" s="61"/>
      <c r="J1029" t="str">
        <f>ToJsonArray(supplementary_offering_offeringid__4[[#Headers],[legacyid]:[activityId]],supplementary_offering_offeringid__4[[#This Row],[legacyid]:[activityId]])</f>
        <v>{"legacyid":"168771482175","name":"PQTCorp TD 500MIN 100SMS y Voz a NIT Infinito CUG P2","mode":"I","amount":"1293","resources":[
				{
					"partition": "32223",
					"amountPartition": "100",
					"amountType": "sms"
				}
			]}</v>
      </c>
      <c r="K1029" t="str">
        <f>ToJsonArray(supplementary_offering_offeringid__4[[#This Row],[produccion]],supplementary_offering_offeringid__4[[#This Row],[json]])</f>
        <v>{"990000503":{"legacyid":"168771482175","name":"PQTCorp TD 500MIN 100SMS y Voz a NIT Infinito CUG P2","mode":"I","amount":"1293","resources":[
				{
					"partition": "32223",
					"amountPartition": "100",
					"amountType": "sms"
				}
			]}}</v>
      </c>
    </row>
    <row r="1030" spans="1:11" x14ac:dyDescent="0.25">
      <c r="A1030" s="61" t="s">
        <v>5276</v>
      </c>
      <c r="B1030" t="s">
        <v>5275</v>
      </c>
      <c r="C1030" t="str">
        <f>findKey(supplementary_offering_offeringid__4[[#This Row],[Value.legacyid]])</f>
        <v>168771483711</v>
      </c>
      <c r="D1030" t="s">
        <v>2145</v>
      </c>
      <c r="E1030" t="s">
        <v>2189</v>
      </c>
      <c r="F1030" s="61" t="s">
        <v>6218</v>
      </c>
      <c r="G1030" s="71" t="s">
        <v>6361</v>
      </c>
      <c r="H1030" s="61"/>
      <c r="I1030" s="61"/>
      <c r="J1030" t="str">
        <f>ToJsonArray(supplementary_offering_offeringid__4[[#Headers],[legacyid]:[activityId]],supplementary_offering_offeringid__4[[#This Row],[legacyid]:[activityId]])</f>
        <v>{"legacyid":"168771483711","name":"PQTCorp TD 500MIN 100SMS y Voz a NIT Infinito CUG P1","mode":"I","amount":"25333","resources":[
				{
					"partition": "12323",
					"amountPartition": "2400000",
					"amountType": "seconds"
				},
				{
					"partition": "12223",
					"amountPartition": "30000",
					"amountType": "seconds"
				}
			]}</v>
      </c>
      <c r="K1030" t="str">
        <f>ToJsonArray(supplementary_offering_offeringid__4[[#This Row],[produccion]],supplementary_offering_offeringid__4[[#This Row],[json]])</f>
        <v>{"990000504":{"legacyid":"168771483711","name":"PQTCorp TD 500MIN 100SMS y Voz a NIT Infinito CUG P1","mode":"I","amount":"25333","resources":[
				{
					"partition": "12323",
					"amountPartition": "2400000",
					"amountType": "seconds"
				},
				{
					"partition": "12223",
					"amountPartition": "30000",
					"amountType": "seconds"
				}
			]}}</v>
      </c>
    </row>
    <row r="1031" spans="1:11" x14ac:dyDescent="0.25">
      <c r="A1031" s="61" t="s">
        <v>5278</v>
      </c>
      <c r="B1031" t="s">
        <v>5277</v>
      </c>
      <c r="C1031" t="str">
        <f>findKey(supplementary_offering_offeringid__4[[#This Row],[Value.legacyid]])</f>
        <v>168771482943</v>
      </c>
      <c r="D1031" t="s">
        <v>2146</v>
      </c>
      <c r="E1031" t="s">
        <v>2189</v>
      </c>
      <c r="F1031" s="61" t="s">
        <v>6174</v>
      </c>
      <c r="G1031" s="71" t="s">
        <v>6318</v>
      </c>
      <c r="H1031" s="61"/>
      <c r="I1031" s="61"/>
      <c r="J1031" t="str">
        <f>ToJsonArray(supplementary_offering_offeringid__4[[#Headers],[legacyid]:[activityId]],supplementary_offering_offeringid__4[[#This Row],[legacyid]:[activityId]])</f>
        <v>{"legacyid":"168771482943","name":"PQTCorp TD 600MIN 100SMS y Voz a NIT Infinito CUG P2","mode":"I","amount":"1445","resources":[
				{
					"partition": "32223",
					"amountPartition": "100",
					"amountType": "sms"
				}
			]}</v>
      </c>
      <c r="K1031" t="str">
        <f>ToJsonArray(supplementary_offering_offeringid__4[[#This Row],[produccion]],supplementary_offering_offeringid__4[[#This Row],[json]])</f>
        <v>{"990000505":{"legacyid":"168771482943","name":"PQTCorp TD 600MIN 100SMS y Voz a NIT Infinito CUG P2","mode":"I","amount":"1445","resources":[
				{
					"partition": "32223",
					"amountPartition": "100",
					"amountType": "sms"
				}
			]}}</v>
      </c>
    </row>
    <row r="1032" spans="1:11" x14ac:dyDescent="0.25">
      <c r="A1032" s="61" t="s">
        <v>5280</v>
      </c>
      <c r="B1032" t="s">
        <v>5279</v>
      </c>
      <c r="C1032" t="str">
        <f>findKey(supplementary_offering_offeringid__4[[#This Row],[Value.legacyid]])</f>
        <v>168771485247</v>
      </c>
      <c r="D1032" t="s">
        <v>2148</v>
      </c>
      <c r="E1032" t="s">
        <v>2189</v>
      </c>
      <c r="F1032" s="61" t="s">
        <v>6219</v>
      </c>
      <c r="G1032" s="71" t="s">
        <v>6362</v>
      </c>
      <c r="H1032" s="61"/>
      <c r="I1032" s="61"/>
      <c r="J1032" t="str">
        <f>ToJsonArray(supplementary_offering_offeringid__4[[#Headers],[legacyid]:[activityId]],supplementary_offering_offeringid__4[[#This Row],[legacyid]:[activityId]])</f>
        <v>{"legacyid":"168771485247","name":"PQTCorp TD 600MIN 100SMS y Voz a NIT Infinito CUG P1","mode":"I","amount":"32960","resources":[
				{
					"partition": "12223",
					"amountPartition": "36000",
					"amountType": "seconds"
				},
				{
					"partition": "12323",
					"amountPartition": "2400000",
					"amountType": "seconds"
				}
			]}</v>
      </c>
      <c r="K1032" t="str">
        <f>ToJsonArray(supplementary_offering_offeringid__4[[#This Row],[produccion]],supplementary_offering_offeringid__4[[#This Row],[json]])</f>
        <v>{"990000506":{"legacyid":"168771485247","name":"PQTCorp TD 600MIN 100SMS y Voz a NIT Infinito CUG P1","mode":"I","amount":"32960","resources":[
				{
					"partition": "12223",
					"amountPartition": "36000",
					"amountType": "seconds"
				},
				{
					"partition": "12323",
					"amountPartition": "2400000",
					"amountType": "seconds"
				}
			]}}</v>
      </c>
    </row>
    <row r="1033" spans="1:11" x14ac:dyDescent="0.25">
      <c r="A1033" s="61" t="s">
        <v>5282</v>
      </c>
      <c r="B1033" t="s">
        <v>5281</v>
      </c>
      <c r="C1033" t="str">
        <f>findKey(supplementary_offering_offeringid__4[[#This Row],[Value.legacyid]])</f>
        <v>168771482751</v>
      </c>
      <c r="D1033" t="s">
        <v>185</v>
      </c>
      <c r="E1033" t="s">
        <v>2189</v>
      </c>
      <c r="F1033" s="61" t="s">
        <v>6216</v>
      </c>
      <c r="G1033" s="71" t="s">
        <v>6321</v>
      </c>
      <c r="H1033" s="61"/>
      <c r="I1033" s="61"/>
      <c r="J1033" t="str">
        <f>ToJsonArray(supplementary_offering_offeringid__4[[#Headers],[legacyid]:[activityId]],supplementary_offering_offeringid__4[[#This Row],[legacyid]:[activityId]])</f>
        <v>{"legacyid":"168771482751","name":"PQTCorp TD Voz y SMS Infinitos P2","mode":"I","amount":"1293","resources":[
				{
					"partition": "32223",
					"amountPartition": "223200",
					"amountType": "sms"
				}
			]}</v>
      </c>
      <c r="K1033" t="str">
        <f>ToJsonArray(supplementary_offering_offeringid__4[[#This Row],[produccion]],supplementary_offering_offeringid__4[[#This Row],[json]])</f>
        <v>{"990000507":{"legacyid":"168771482751","name":"PQTCorp TD Voz y SMS Infinitos P2","mode":"I","amount":"1293","resources":[
				{
					"partition": "32223",
					"amountPartition": "223200",
					"amountType": "sms"
				}
			]}}</v>
      </c>
    </row>
    <row r="1034" spans="1:11" x14ac:dyDescent="0.25">
      <c r="A1034" s="61" t="s">
        <v>5284</v>
      </c>
      <c r="B1034" t="s">
        <v>5283</v>
      </c>
      <c r="C1034" t="str">
        <f>findKey(supplementary_offering_offeringid__4[[#This Row],[Value.legacyid]])</f>
        <v>168771485631</v>
      </c>
      <c r="D1034" t="s">
        <v>2149</v>
      </c>
      <c r="E1034" t="s">
        <v>2189</v>
      </c>
      <c r="F1034" s="61" t="s">
        <v>6220</v>
      </c>
      <c r="G1034" s="71" t="s">
        <v>6363</v>
      </c>
      <c r="H1034" s="61"/>
      <c r="I1034" s="61"/>
      <c r="J1034" t="str">
        <f>ToJsonArray(supplementary_offering_offeringid__4[[#Headers],[legacyid]:[activityId]],supplementary_offering_offeringid__4[[#This Row],[legacyid]:[activityId]])</f>
        <v>{"legacyid":"168771485631","name":"PQTCorp TD Voz y SMS Infinitos P1","mode":"I","amount":"75333","resources":[
				{
					"partition": "12223",
					"amountPartition": "2592000",
					"amountType": "seconds"
				}
			]}</v>
      </c>
      <c r="K1034" t="str">
        <f>ToJsonArray(supplementary_offering_offeringid__4[[#This Row],[produccion]],supplementary_offering_offeringid__4[[#This Row],[json]])</f>
        <v>{"990000508":{"legacyid":"168771485631","name":"PQTCorp TD Voz y SMS Infinitos P1","mode":"I","amount":"75333","resources":[
				{
					"partition": "12223",
					"amountPartition": "2592000",
					"amountType": "seconds"
				}
			]}}</v>
      </c>
    </row>
    <row r="1035" spans="1:11" x14ac:dyDescent="0.25">
      <c r="A1035" s="61" t="s">
        <v>5286</v>
      </c>
      <c r="B1035" t="s">
        <v>5285</v>
      </c>
      <c r="C1035" t="str">
        <f>findKey(supplementary_offering_offeringid__4[[#This Row],[Value.legacyid]])</f>
        <v>168771481695</v>
      </c>
      <c r="D1035" t="s">
        <v>194</v>
      </c>
      <c r="E1035" t="s">
        <v>2189</v>
      </c>
      <c r="F1035" s="61" t="s">
        <v>6221</v>
      </c>
      <c r="G1035" s="71" t="s">
        <v>6364</v>
      </c>
      <c r="H1035" s="61"/>
      <c r="I1035" s="61"/>
      <c r="J1035" t="str">
        <f>ToJsonArray(supplementary_offering_offeringid__4[[#Headers],[legacyid]:[activityId]],supplementary_offering_offeringid__4[[#This Row],[legacyid]:[activityId]])</f>
        <v>{"legacyid":"168771481695","name":"Prom Voz y SMS TD infinitos, 12 GB WA + Mail + FB P3","mode":"I","amount":"93272","resources":[
				{
					"partition": "22423",
					"amountPartition": "12582912",
					"amountType": "kilobytes"
				},
				{
					"partition": "22823",
					"amountPartition": "62914560",
					"amountType": "kilobytes"
				}
			]}</v>
      </c>
      <c r="K1035" t="str">
        <f>ToJsonArray(supplementary_offering_offeringid__4[[#This Row],[produccion]],supplementary_offering_offeringid__4[[#This Row],[json]])</f>
        <v>{"990000509":{"legacyid":"168771481695","name":"Prom Voz y SMS TD infinitos, 12 GB WA + Mail + FB P3","mode":"I","amount":"93272","resources":[
				{
					"partition": "22423",
					"amountPartition": "12582912",
					"amountType": "kilobytes"
				},
				{
					"partition": "22823",
					"amountPartition": "62914560",
					"amountType": "kilobytes"
				}
			]}}</v>
      </c>
    </row>
    <row r="1036" spans="1:11" x14ac:dyDescent="0.25">
      <c r="A1036" s="61" t="s">
        <v>5288</v>
      </c>
      <c r="B1036" t="s">
        <v>5287</v>
      </c>
      <c r="C1036" t="str">
        <f>findKey(supplementary_offering_offeringid__4[[#This Row],[Value.legacyid]])</f>
        <v>168771483039</v>
      </c>
      <c r="D1036" t="s">
        <v>193</v>
      </c>
      <c r="E1036" t="s">
        <v>2189</v>
      </c>
      <c r="F1036" s="61" t="s">
        <v>6222</v>
      </c>
      <c r="G1036" s="71" t="s">
        <v>6365</v>
      </c>
      <c r="H1036" s="61"/>
      <c r="I1036" s="61"/>
      <c r="J1036" t="str">
        <f>ToJsonArray(supplementary_offering_offeringid__4[[#Headers],[legacyid]:[activityId]],supplementary_offering_offeringid__4[[#This Row],[legacyid]:[activityId]])</f>
        <v>{"legacyid":"168771483039","name":"Prom Voz y SMS TD infinitos, 12 GB WA + Mail + FB P1","mode":"I","amount":"60109","resources":[
				{
					"partition": "12223",
					"amountPartition": "2678400",
					"amountType": "seconds"
				}
			]}</v>
      </c>
      <c r="K1036" t="str">
        <f>ToJsonArray(supplementary_offering_offeringid__4[[#This Row],[produccion]],supplementary_offering_offeringid__4[[#This Row],[json]])</f>
        <v>{"990000510":{"legacyid":"168771483039","name":"Prom Voz y SMS TD infinitos, 12 GB WA + Mail + FB P1","mode":"I","amount":"60109","resources":[
				{
					"partition": "12223",
					"amountPartition": "2678400",
					"amountType": "seconds"
				}
			]}}</v>
      </c>
    </row>
    <row r="1037" spans="1:11" x14ac:dyDescent="0.25">
      <c r="A1037" s="61" t="s">
        <v>5290</v>
      </c>
      <c r="B1037" t="s">
        <v>5289</v>
      </c>
      <c r="C1037" t="str">
        <f>findKey(supplementary_offering_offeringid__4[[#This Row],[Value.legacyid]])</f>
        <v>168771484575</v>
      </c>
      <c r="D1037" t="s">
        <v>195</v>
      </c>
      <c r="E1037" t="s">
        <v>2189</v>
      </c>
      <c r="F1037" s="61" t="s">
        <v>6174</v>
      </c>
      <c r="G1037" s="71" t="s">
        <v>6321</v>
      </c>
      <c r="H1037" s="61"/>
      <c r="I1037" s="61"/>
      <c r="J1037" t="str">
        <f>ToJsonArray(supplementary_offering_offeringid__4[[#Headers],[legacyid]:[activityId]],supplementary_offering_offeringid__4[[#This Row],[legacyid]:[activityId]])</f>
        <v>{"legacyid":"168771484575","name":"Prom Voz y SMS TD infinitos, 12 GB WA + Mail + FB P2","mode":"I","amount":"1445","resources":[
				{
					"partition": "32223",
					"amountPartition": "223200",
					"amountType": "sms"
				}
			]}</v>
      </c>
      <c r="K1037" t="str">
        <f>ToJsonArray(supplementary_offering_offeringid__4[[#This Row],[produccion]],supplementary_offering_offeringid__4[[#This Row],[json]])</f>
        <v>{"990000511":{"legacyid":"168771484575","name":"Prom Voz y SMS TD infinitos, 12 GB WA + Mail + FB P2","mode":"I","amount":"1445","resources":[
				{
					"partition": "32223",
					"amountPartition": "223200",
					"amountType": "sms"
				}
			]}}</v>
      </c>
    </row>
    <row r="1038" spans="1:11" x14ac:dyDescent="0.25">
      <c r="A1038" s="61" t="s">
        <v>5292</v>
      </c>
      <c r="B1038" t="s">
        <v>5291</v>
      </c>
      <c r="C1038" t="str">
        <f>findKey(supplementary_offering_offeringid__4[[#This Row],[Value.legacyid]])</f>
        <v>168771483231</v>
      </c>
      <c r="D1038" t="s">
        <v>197</v>
      </c>
      <c r="E1038" t="s">
        <v>2189</v>
      </c>
      <c r="F1038" s="61" t="s">
        <v>6174</v>
      </c>
      <c r="G1038" s="71" t="s">
        <v>6321</v>
      </c>
      <c r="H1038" s="61"/>
      <c r="I1038" s="61"/>
      <c r="J1038" t="str">
        <f>ToJsonArray(supplementary_offering_offeringid__4[[#Headers],[legacyid]:[activityId]],supplementary_offering_offeringid__4[[#This Row],[legacyid]:[activityId]])</f>
        <v>{"legacyid":"168771483231","name":"Prom Voz y SMS TD infinitos, 3,5 GB WA + Mail + FB P2","mode":"I","amount":"1445","resources":[
				{
					"partition": "32223",
					"amountPartition": "223200",
					"amountType": "sms"
				}
			]}</v>
      </c>
      <c r="K1038" t="str">
        <f>ToJsonArray(supplementary_offering_offeringid__4[[#This Row],[produccion]],supplementary_offering_offeringid__4[[#This Row],[json]])</f>
        <v>{"990000512":{"legacyid":"168771483231","name":"Prom Voz y SMS TD infinitos, 3,5 GB WA + Mail + FB P2","mode":"I","amount":"1445","resources":[
				{
					"partition": "32223",
					"amountPartition": "223200",
					"amountType": "sms"
				}
			]}}</v>
      </c>
    </row>
    <row r="1039" spans="1:11" x14ac:dyDescent="0.25">
      <c r="A1039" s="61" t="s">
        <v>5294</v>
      </c>
      <c r="B1039" t="s">
        <v>5293</v>
      </c>
      <c r="C1039" t="str">
        <f>findKey(supplementary_offering_offeringid__4[[#This Row],[Value.legacyid]])</f>
        <v>168771483999</v>
      </c>
      <c r="D1039" t="s">
        <v>198</v>
      </c>
      <c r="E1039" t="s">
        <v>2189</v>
      </c>
      <c r="F1039" s="61" t="s">
        <v>6223</v>
      </c>
      <c r="G1039" s="71" t="s">
        <v>6323</v>
      </c>
      <c r="H1039" s="61"/>
      <c r="I1039" s="61"/>
      <c r="J1039" t="str">
        <f>ToJsonArray(supplementary_offering_offeringid__4[[#Headers],[legacyid]:[activityId]],supplementary_offering_offeringid__4[[#This Row],[legacyid]:[activityId]])</f>
        <v>{"legacyid":"168771483999","name":"Prom Voz y SMS TD infinitos, 3,5 GB WA + Mail + FB P3","mode":"I","amount":"43574","resources":[
				{
					"partition": "22423",
					"amountPartition": "3670016",
					"amountType": "kilobytes"
				},
				{
					"partition": "22823",
					"amountPartition": "62914560",
					"amountType": "kilobytes"
				}
			]}</v>
      </c>
      <c r="K1039" t="str">
        <f>ToJsonArray(supplementary_offering_offeringid__4[[#This Row],[produccion]],supplementary_offering_offeringid__4[[#This Row],[json]])</f>
        <v>{"990000513":{"legacyid":"168771483999","name":"Prom Voz y SMS TD infinitos, 3,5 GB WA + Mail + FB P3","mode":"I","amount":"43574","resources":[
				{
					"partition": "22423",
					"amountPartition": "3670016",
					"amountType": "kilobytes"
				},
				{
					"partition": "22823",
					"amountPartition": "62914560",
					"amountType": "kilobytes"
				}
			]}}</v>
      </c>
    </row>
    <row r="1040" spans="1:11" x14ac:dyDescent="0.25">
      <c r="A1040" s="61" t="s">
        <v>5296</v>
      </c>
      <c r="B1040" t="s">
        <v>5295</v>
      </c>
      <c r="C1040" t="str">
        <f>findKey(supplementary_offering_offeringid__4[[#This Row],[Value.legacyid]])</f>
        <v>168771484767</v>
      </c>
      <c r="D1040" t="s">
        <v>196</v>
      </c>
      <c r="E1040" t="s">
        <v>2189</v>
      </c>
      <c r="F1040" s="61" t="s">
        <v>6224</v>
      </c>
      <c r="G1040" s="71" t="s">
        <v>6366</v>
      </c>
      <c r="H1040" s="61"/>
      <c r="I1040" s="61"/>
      <c r="J1040" t="str">
        <f>ToJsonArray(supplementary_offering_offeringid__4[[#Headers],[legacyid]:[activityId]],supplementary_offering_offeringid__4[[#This Row],[legacyid]:[activityId]])</f>
        <v>{"legacyid":"168771484767","name":"Prom Voz y SMS TD infinitos, 3,5 GB WA + Mail + FB P1","mode":"I","amount":"28081","resources":[
				{
					"partition": "12223",
					"amountPartition": "2678400",
					"amountType": "seconds"
				},
				{
					"partition": "12323",
					"amountPartition": "999999999",
					"amountType": "seconds"
				}
			]}</v>
      </c>
      <c r="K1040" t="str">
        <f>ToJsonArray(supplementary_offering_offeringid__4[[#This Row],[produccion]],supplementary_offering_offeringid__4[[#This Row],[json]])</f>
        <v>{"990000514":{"legacyid":"168771484767","name":"Prom Voz y SMS TD infinitos, 3,5 GB WA + Mail + FB P1","mode":"I","amount":"28081","resources":[
				{
					"partition": "12223",
					"amountPartition": "2678400",
					"amountType": "seconds"
				},
				{
					"partition": "12323",
					"amountPartition": "999999999",
					"amountType": "seconds"
				}
			]}}</v>
      </c>
    </row>
    <row r="1041" spans="1:11" x14ac:dyDescent="0.25">
      <c r="A1041" s="61" t="s">
        <v>5298</v>
      </c>
      <c r="B1041" t="s">
        <v>5297</v>
      </c>
      <c r="C1041" t="str">
        <f>findKey(supplementary_offering_offeringid__4[[#This Row],[Value.legacyid]])</f>
        <v>168771482463</v>
      </c>
      <c r="D1041" t="s">
        <v>199</v>
      </c>
      <c r="E1041" t="s">
        <v>2189</v>
      </c>
      <c r="F1041" s="61"/>
      <c r="H1041" s="61"/>
      <c r="I1041" s="61"/>
      <c r="J1041" t="str">
        <f>ToJsonArray(supplementary_offering_offeringid__4[[#Headers],[legacyid]:[activityId]],supplementary_offering_offeringid__4[[#This Row],[legacyid]:[activityId]])</f>
        <v>{"legacyid":"168771482463","name":"Prom Voz y SMS TD infinitos, 8 GB WA + Mail FB P1","mode":"I"}</v>
      </c>
      <c r="K1041" t="str">
        <f>ToJsonArray(supplementary_offering_offeringid__4[[#This Row],[produccion]],supplementary_offering_offeringid__4[[#This Row],[json]])</f>
        <v>{"990000515":{"legacyid":"168771482463","name":"Prom Voz y SMS TD infinitos, 8 GB WA + Mail FB P1","mode":"I"}}</v>
      </c>
    </row>
    <row r="1042" spans="1:11" x14ac:dyDescent="0.25">
      <c r="A1042" s="61" t="s">
        <v>5300</v>
      </c>
      <c r="B1042" t="s">
        <v>5299</v>
      </c>
      <c r="C1042" t="str">
        <f>findKey(supplementary_offering_offeringid__4[[#This Row],[Value.legacyid]])</f>
        <v>17101202391</v>
      </c>
      <c r="D1042" t="s">
        <v>201</v>
      </c>
      <c r="E1042" t="s">
        <v>2189</v>
      </c>
      <c r="F1042" s="61"/>
      <c r="H1042" s="61"/>
      <c r="I1042" s="61"/>
      <c r="J1042" t="str">
        <f>ToJsonArray(supplementary_offering_offeringid__4[[#Headers],[legacyid]:[activityId]],supplementary_offering_offeringid__4[[#This Row],[legacyid]:[activityId]])</f>
        <v>{"legacyid":"17101202391","name":"Prom Voz y SMS TD infinitos, 8 GB WA + Mail FB P3","mode":"I"}</v>
      </c>
      <c r="K1042" t="str">
        <f>ToJsonArray(supplementary_offering_offeringid__4[[#This Row],[produccion]],supplementary_offering_offeringid__4[[#This Row],[json]])</f>
        <v>{"990000516":{"legacyid":"17101202391","name":"Prom Voz y SMS TD infinitos, 8 GB WA + Mail FB P3","mode":"I"}}</v>
      </c>
    </row>
    <row r="1043" spans="1:11" x14ac:dyDescent="0.25">
      <c r="A1043" s="61" t="s">
        <v>5302</v>
      </c>
      <c r="B1043" t="s">
        <v>5301</v>
      </c>
      <c r="C1043" t="str">
        <f>findKey(supplementary_offering_offeringid__4[[#This Row],[Value.legacyid]])</f>
        <v>17101203927</v>
      </c>
      <c r="D1043" t="s">
        <v>200</v>
      </c>
      <c r="E1043" t="s">
        <v>2189</v>
      </c>
      <c r="F1043" s="61"/>
      <c r="H1043" s="61"/>
      <c r="I1043" s="61"/>
      <c r="J1043" t="str">
        <f>ToJsonArray(supplementary_offering_offeringid__4[[#Headers],[legacyid]:[activityId]],supplementary_offering_offeringid__4[[#This Row],[legacyid]:[activityId]])</f>
        <v>{"legacyid":"17101203927","name":"Prom Voz y SMS TD infinitos, 8 GB WA + Mail FB P2","mode":"I"}</v>
      </c>
      <c r="K1043" t="str">
        <f>ToJsonArray(supplementary_offering_offeringid__4[[#This Row],[produccion]],supplementary_offering_offeringid__4[[#This Row],[json]])</f>
        <v>{"990000517":{"legacyid":"17101203927","name":"Prom Voz y SMS TD infinitos, 8 GB WA + Mail FB P2","mode":"I"}}</v>
      </c>
    </row>
    <row r="1044" spans="1:11" x14ac:dyDescent="0.25">
      <c r="A1044" s="61">
        <v>990000518</v>
      </c>
      <c r="B1044" t="s">
        <v>5303</v>
      </c>
      <c r="C1044" t="str">
        <f>findKey(supplementary_offering_offeringid__4[[#This Row],[Value.legacyid]])</f>
        <v>168771486464</v>
      </c>
      <c r="D1044" t="s">
        <v>202</v>
      </c>
      <c r="E1044" t="s">
        <v>2189</v>
      </c>
      <c r="F1044" s="61" t="s">
        <v>6225</v>
      </c>
      <c r="G1044" s="71" t="s">
        <v>6366</v>
      </c>
      <c r="H1044" s="61"/>
      <c r="I1044" s="61"/>
      <c r="J1044" t="str">
        <f>ToJsonArray(supplementary_offering_offeringid__4[[#Headers],[legacyid]:[activityId]],supplementary_offering_offeringid__4[[#This Row],[legacyid]:[activityId]])</f>
        <v>{"legacyid":"168771486464","name":"Voz y SMS TD infinitos, 4 GB WA + Mail + FB P1","mode":"I","amount":"30688","resources":[
				{
					"partition": "12223",
					"amountPartition": "2678400",
					"amountType": "seconds"
				},
				{
					"partition": "12323",
					"amountPartition": "999999999",
					"amountType": "seconds"
				}
			]}</v>
      </c>
      <c r="K1044" t="str">
        <f>ToJsonArray(supplementary_offering_offeringid__4[[#This Row],[produccion]],supplementary_offering_offeringid__4[[#This Row],[json]])</f>
        <v>{"990000518":{"legacyid":"168771486464","name":"Voz y SMS TD infinitos, 4 GB WA + Mail + FB P1","mode":"I","amount":"30688","resources":[
				{
					"partition": "12223",
					"amountPartition": "2678400",
					"amountType": "seconds"
				},
				{
					"partition": "12323",
					"amountPartition": "999999999",
					"amountType": "seconds"
				}
			]}}</v>
      </c>
    </row>
    <row r="1045" spans="1:11" x14ac:dyDescent="0.25">
      <c r="A1045" s="61" t="s">
        <v>5306</v>
      </c>
      <c r="B1045" t="s">
        <v>5305</v>
      </c>
      <c r="C1045" t="str">
        <f>findKey(supplementary_offering_offeringid__4[[#This Row],[Value.legacyid]])</f>
        <v>168771488000</v>
      </c>
      <c r="D1045" t="s">
        <v>203</v>
      </c>
      <c r="E1045" t="s">
        <v>2189</v>
      </c>
      <c r="F1045" s="61" t="s">
        <v>6174</v>
      </c>
      <c r="G1045" s="71" t="s">
        <v>6321</v>
      </c>
      <c r="H1045" s="61"/>
      <c r="I1045" s="61"/>
      <c r="J1045" t="str">
        <f>ToJsonArray(supplementary_offering_offeringid__4[[#Headers],[legacyid]:[activityId]],supplementary_offering_offeringid__4[[#This Row],[legacyid]:[activityId]])</f>
        <v>{"legacyid":"168771488000","name":"Voz y SMS TD infinitos, 4 GB WA + Mail + FB P2","mode":"I","amount":"1445","resources":[
				{
					"partition": "32223",
					"amountPartition": "223200",
					"amountType": "sms"
				}
			]}</v>
      </c>
      <c r="K1045" t="str">
        <f>ToJsonArray(supplementary_offering_offeringid__4[[#This Row],[produccion]],supplementary_offering_offeringid__4[[#This Row],[json]])</f>
        <v>{"990000519":{"legacyid":"168771488000","name":"Voz y SMS TD infinitos, 4 GB WA + Mail + FB P2","mode":"I","amount":"1445","resources":[
				{
					"partition": "32223",
					"amountPartition": "223200",
					"amountType": "sms"
				}
			]}}</v>
      </c>
    </row>
    <row r="1046" spans="1:11" x14ac:dyDescent="0.25">
      <c r="A1046" s="61" t="s">
        <v>5308</v>
      </c>
      <c r="B1046" t="s">
        <v>5307</v>
      </c>
      <c r="C1046" t="str">
        <f>findKey(supplementary_offering_offeringid__4[[#This Row],[Value.legacyid]])</f>
        <v>168771489536</v>
      </c>
      <c r="D1046" t="s">
        <v>204</v>
      </c>
      <c r="E1046" t="s">
        <v>2189</v>
      </c>
      <c r="F1046" s="61" t="s">
        <v>6226</v>
      </c>
      <c r="G1046" s="71" t="s">
        <v>6367</v>
      </c>
      <c r="H1046" s="61"/>
      <c r="I1046" s="61"/>
      <c r="J1046" t="str">
        <f>ToJsonArray(supplementary_offering_offeringid__4[[#Headers],[legacyid]:[activityId]],supplementary_offering_offeringid__4[[#This Row],[legacyid]:[activityId]])</f>
        <v>{"legacyid":"168771489536","name":"Voz y SMS TD infinitos, 4 GB WA + Mail + FB P3","mode":"I","amount":"47619","resources":[
				{
					"partition": "22423",
					"amountPartition": "4194304",
					"amountType": "kilobytes"
				},
				{
					"partition": "22823",
					"amountPartition": "62914560",
					"amountType": "kilobytes"
				}
			]}</v>
      </c>
      <c r="K1046" t="str">
        <f>ToJsonArray(supplementary_offering_offeringid__4[[#This Row],[produccion]],supplementary_offering_offeringid__4[[#This Row],[json]])</f>
        <v>{"990000520":{"legacyid":"168771489536","name":"Voz y SMS TD infinitos, 4 GB WA + Mail + FB P3","mode":"I","amount":"47619","resources":[
				{
					"partition": "22423",
					"amountPartition": "4194304",
					"amountType": "kilobytes"
				},
				{
					"partition": "22823",
					"amountPartition": "62914560",
					"amountType": "kilobytes"
				}
			]}}</v>
      </c>
    </row>
    <row r="1047" spans="1:11" x14ac:dyDescent="0.25">
      <c r="A1047" s="61" t="s">
        <v>5310</v>
      </c>
      <c r="B1047" t="s">
        <v>5309</v>
      </c>
      <c r="C1047" t="str">
        <f>findKey(supplementary_offering_offeringid__4[[#This Row],[Value.legacyid]])</f>
        <v>168771486080</v>
      </c>
      <c r="D1047" t="s">
        <v>207</v>
      </c>
      <c r="E1047" t="s">
        <v>2189</v>
      </c>
      <c r="F1047" s="61" t="s">
        <v>6227</v>
      </c>
      <c r="G1047" s="71" t="s">
        <v>6324</v>
      </c>
      <c r="H1047" s="61"/>
      <c r="I1047" s="61"/>
      <c r="J1047" t="str">
        <f>ToJsonArray(supplementary_offering_offeringid__4[[#Headers],[legacyid]:[activityId]],supplementary_offering_offeringid__4[[#This Row],[legacyid]:[activityId]])</f>
        <v>{"legacyid":"168771486080","name":"Voz y SMS TD infinitos, 5 GB WA + Mail + FB P3","mode":"I","amount":"52820","resources":[
				{
					"partition": "22823",
					"amountPartition": "62914560",
					"amountType": "kilobytes"
				},
				{
					"partition": "22423",
					"amountPartition": "5242880",
					"amountType": "kilobytes"
				}
			]}</v>
      </c>
      <c r="K1047" t="str">
        <f>ToJsonArray(supplementary_offering_offeringid__4[[#This Row],[produccion]],supplementary_offering_offeringid__4[[#This Row],[json]])</f>
        <v>{"990000521":{"legacyid":"168771486080","name":"Voz y SMS TD infinitos, 5 GB WA + Mail + FB P3","mode":"I","amount":"52820","resources":[
				{
					"partition": "22823",
					"amountPartition": "62914560",
					"amountType": "kilobytes"
				},
				{
					"partition": "22423",
					"amountPartition": "5242880",
					"amountType": "kilobytes"
				}
			]}}</v>
      </c>
    </row>
    <row r="1048" spans="1:11" x14ac:dyDescent="0.25">
      <c r="A1048" s="61" t="s">
        <v>5312</v>
      </c>
      <c r="B1048" t="s">
        <v>5311</v>
      </c>
      <c r="C1048" t="str">
        <f>findKey(supplementary_offering_offeringid__4[[#This Row],[Value.legacyid]])</f>
        <v>168771486848</v>
      </c>
      <c r="D1048" t="s">
        <v>205</v>
      </c>
      <c r="E1048" t="s">
        <v>2189</v>
      </c>
      <c r="F1048" s="61" t="s">
        <v>6228</v>
      </c>
      <c r="G1048" s="71" t="s">
        <v>6368</v>
      </c>
      <c r="H1048" s="61"/>
      <c r="I1048" s="61"/>
      <c r="J1048" t="str">
        <f>ToJsonArray(supplementary_offering_offeringid__4[[#Headers],[legacyid]:[activityId]],supplementary_offering_offeringid__4[[#This Row],[legacyid]:[activityId]])</f>
        <v>{"legacyid":"168771486848","name":"Voz y SMS TD infinitos, 5 GB WA + Mail + FB P1","mode":"I","amount":"34040","resources":[
				{
					"partition": "12323",
					"amountPartition": "999999999",
					"amountType": "seconds"
				},
				{
					"partition": "12223",
					"amountPartition": "2678400",
					"amountType": "seconds"
				}
			]}</v>
      </c>
      <c r="K1048" t="str">
        <f>ToJsonArray(supplementary_offering_offeringid__4[[#This Row],[produccion]],supplementary_offering_offeringid__4[[#This Row],[json]])</f>
        <v>{"990000522":{"legacyid":"168771486848","name":"Voz y SMS TD infinitos, 5 GB WA + Mail + FB P1","mode":"I","amount":"34040","resources":[
				{
					"partition": "12323",
					"amountPartition": "999999999",
					"amountType": "seconds"
				},
				{
					"partition": "12223",
					"amountPartition": "2678400",
					"amountType": "seconds"
				}
			]}}</v>
      </c>
    </row>
    <row r="1049" spans="1:11" x14ac:dyDescent="0.25">
      <c r="A1049" s="61" t="s">
        <v>5314</v>
      </c>
      <c r="B1049" t="s">
        <v>5313</v>
      </c>
      <c r="C1049" t="str">
        <f>findKey(supplementary_offering_offeringid__4[[#This Row],[Value.legacyid]])</f>
        <v>168771488384</v>
      </c>
      <c r="D1049" t="s">
        <v>206</v>
      </c>
      <c r="E1049" t="s">
        <v>2189</v>
      </c>
      <c r="F1049" s="61" t="s">
        <v>6174</v>
      </c>
      <c r="G1049" s="71" t="s">
        <v>6321</v>
      </c>
      <c r="H1049" s="61"/>
      <c r="I1049" s="61"/>
      <c r="J1049" t="str">
        <f>ToJsonArray(supplementary_offering_offeringid__4[[#Headers],[legacyid]:[activityId]],supplementary_offering_offeringid__4[[#This Row],[legacyid]:[activityId]])</f>
        <v>{"legacyid":"168771488384","name":"Voz y SMS TD infinitos, 5 GB WA + Mail + FB P2","mode":"I","amount":"1445","resources":[
				{
					"partition": "32223",
					"amountPartition": "223200",
					"amountType": "sms"
				}
			]}</v>
      </c>
      <c r="K1049" t="str">
        <f>ToJsonArray(supplementary_offering_offeringid__4[[#This Row],[produccion]],supplementary_offering_offeringid__4[[#This Row],[json]])</f>
        <v>{"990000523":{"legacyid":"168771488384","name":"Voz y SMS TD infinitos, 5 GB WA + Mail + FB P2","mode":"I","amount":"1445","resources":[
				{
					"partition": "32223",
					"amountPartition": "223200",
					"amountType": "sms"
				}
			]}}</v>
      </c>
    </row>
    <row r="1050" spans="1:11" x14ac:dyDescent="0.25">
      <c r="A1050" s="61" t="s">
        <v>5316</v>
      </c>
      <c r="B1050" t="s">
        <v>5315</v>
      </c>
      <c r="C1050" t="str">
        <f>findKey(supplementary_offering_offeringid__4[[#This Row],[Value.legacyid]])</f>
        <v>168771487616</v>
      </c>
      <c r="D1050" t="s">
        <v>209</v>
      </c>
      <c r="E1050" t="s">
        <v>2189</v>
      </c>
      <c r="F1050" s="61" t="s">
        <v>6174</v>
      </c>
      <c r="G1050" s="71" t="s">
        <v>6321</v>
      </c>
      <c r="H1050" s="61"/>
      <c r="I1050" s="61"/>
      <c r="J1050" t="str">
        <f>ToJsonArray(supplementary_offering_offeringid__4[[#Headers],[legacyid]:[activityId]],supplementary_offering_offeringid__4[[#This Row],[legacyid]:[activityId]])</f>
        <v>{"legacyid":"168771487616","name":"Voz y SMS TD infinitos, 6 GB WA + Mail + FB P2","mode":"I","amount":"1445","resources":[
				{
					"partition": "32223",
					"amountPartition": "223200",
					"amountType": "sms"
				}
			]}</v>
      </c>
      <c r="K1050" t="str">
        <f>ToJsonArray(supplementary_offering_offeringid__4[[#This Row],[produccion]],supplementary_offering_offeringid__4[[#This Row],[json]])</f>
        <v>{"990000524":{"legacyid":"168771487616","name":"Voz y SMS TD infinitos, 6 GB WA + Mail + FB P2","mode":"I","amount":"1445","resources":[
				{
					"partition": "32223",
					"amountPartition": "223200",
					"amountType": "sms"
				}
			]}}</v>
      </c>
    </row>
    <row r="1051" spans="1:11" x14ac:dyDescent="0.25">
      <c r="A1051" s="61" t="s">
        <v>5318</v>
      </c>
      <c r="B1051" t="s">
        <v>5317</v>
      </c>
      <c r="C1051" t="str">
        <f>findKey(supplementary_offering_offeringid__4[[#This Row],[Value.legacyid]])</f>
        <v>168771487808</v>
      </c>
      <c r="D1051" t="s">
        <v>210</v>
      </c>
      <c r="E1051" t="s">
        <v>2189</v>
      </c>
      <c r="F1051" s="61" t="s">
        <v>6229</v>
      </c>
      <c r="G1051" s="71" t="s">
        <v>6369</v>
      </c>
      <c r="H1051" s="61"/>
      <c r="I1051" s="61"/>
      <c r="J1051" t="str">
        <f>ToJsonArray(supplementary_offering_offeringid__4[[#Headers],[legacyid]:[activityId]],supplementary_offering_offeringid__4[[#This Row],[legacyid]:[activityId]])</f>
        <v>{"legacyid":"168771487808","name":"Voz y SMS TD infinitos, 6 GB WA + Mail + FB P3","mode":"I","amount":"60911","resources":[
				{
					"partition": "22423",
					"amountPartition": "6291456",
					"amountType": "kilobytes"
				},
				{
					"partition": "22823",
					"amountPartition": "62914560",
					"amountType": "kilobytes"
				}
			]}</v>
      </c>
      <c r="K1051" t="str">
        <f>ToJsonArray(supplementary_offering_offeringid__4[[#This Row],[produccion]],supplementary_offering_offeringid__4[[#This Row],[json]])</f>
        <v>{"990000525":{"legacyid":"168771487808","name":"Voz y SMS TD infinitos, 6 GB WA + Mail + FB P3","mode":"I","amount":"60911","resources":[
				{
					"partition": "22423",
					"amountPartition": "6291456",
					"amountType": "kilobytes"
				},
				{
					"partition": "22823",
					"amountPartition": "62914560",
					"amountType": "kilobytes"
				}
			]}}</v>
      </c>
    </row>
    <row r="1052" spans="1:11" x14ac:dyDescent="0.25">
      <c r="A1052" s="61" t="s">
        <v>5320</v>
      </c>
      <c r="B1052" t="s">
        <v>5319</v>
      </c>
      <c r="C1052" t="str">
        <f>findKey(supplementary_offering_offeringid__4[[#This Row],[Value.legacyid]])</f>
        <v>168771489152</v>
      </c>
      <c r="D1052" t="s">
        <v>208</v>
      </c>
      <c r="E1052" t="s">
        <v>2189</v>
      </c>
      <c r="F1052" s="61" t="s">
        <v>6230</v>
      </c>
      <c r="G1052" s="71" t="s">
        <v>6368</v>
      </c>
      <c r="H1052" s="61"/>
      <c r="I1052" s="61"/>
      <c r="J1052" t="str">
        <f>ToJsonArray(supplementary_offering_offeringid__4[[#Headers],[legacyid]:[activityId]],supplementary_offering_offeringid__4[[#This Row],[legacyid]:[activityId]])</f>
        <v>{"legacyid":"168771489152","name":"Voz y SMS TD infinitos, 6 GB WA + Mail + FB P1","mode":"I","amount":"39253","resources":[
				{
					"partition": "12323",
					"amountPartition": "999999999",
					"amountType": "seconds"
				},
				{
					"partition": "12223",
					"amountPartition": "2678400",
					"amountType": "seconds"
				}
			]}</v>
      </c>
      <c r="K1052" t="str">
        <f>ToJsonArray(supplementary_offering_offeringid__4[[#This Row],[produccion]],supplementary_offering_offeringid__4[[#This Row],[json]])</f>
        <v>{"990000526":{"legacyid":"168771489152","name":"Voz y SMS TD infinitos, 6 GB WA + Mail + FB P1","mode":"I","amount":"39253","resources":[
				{
					"partition": "12323",
					"amountPartition": "999999999",
					"amountType": "seconds"
				},
				{
					"partition": "12223",
					"amountPartition": "2678400",
					"amountType": "seconds"
				}
			]}}</v>
      </c>
    </row>
    <row r="1053" spans="1:11" x14ac:dyDescent="0.25">
      <c r="A1053" s="61" t="s">
        <v>5322</v>
      </c>
      <c r="B1053" t="s">
        <v>5321</v>
      </c>
      <c r="C1053" t="str">
        <f>findKey(supplementary_offering_offeringid__4[[#This Row],[Value.legacyid]])</f>
        <v>168771486272</v>
      </c>
      <c r="D1053" t="s">
        <v>211</v>
      </c>
      <c r="E1053" t="s">
        <v>2189</v>
      </c>
      <c r="F1053" s="61" t="s">
        <v>6231</v>
      </c>
      <c r="G1053" s="71" t="s">
        <v>6366</v>
      </c>
      <c r="H1053" s="61"/>
      <c r="I1053" s="61"/>
      <c r="J1053" t="str">
        <f>ToJsonArray(supplementary_offering_offeringid__4[[#Headers],[legacyid]:[activityId]],supplementary_offering_offeringid__4[[#This Row],[legacyid]:[activityId]])</f>
        <v>{"legacyid":"168771486272","name":"Voz y SMS TD infinitos, 7 GB WA + Mail + FB P1","mode":"I","amount":"44467","resources":[
				{
					"partition": "12223",
					"amountPartition": "2678400",
					"amountType": "seconds"
				},
				{
					"partition": "12323",
					"amountPartition": "999999999",
					"amountType": "seconds"
				}
			]}</v>
      </c>
      <c r="K1053" t="str">
        <f>ToJsonArray(supplementary_offering_offeringid__4[[#This Row],[produccion]],supplementary_offering_offeringid__4[[#This Row],[json]])</f>
        <v>{"990000527":{"legacyid":"168771486272","name":"Voz y SMS TD infinitos, 7 GB WA + Mail + FB P1","mode":"I","amount":"44467","resources":[
				{
					"partition": "12223",
					"amountPartition": "2678400",
					"amountType": "seconds"
				},
				{
					"partition": "12323",
					"amountPartition": "999999999",
					"amountType": "seconds"
				}
			]}}</v>
      </c>
    </row>
    <row r="1054" spans="1:11" x14ac:dyDescent="0.25">
      <c r="A1054" s="61" t="s">
        <v>5324</v>
      </c>
      <c r="B1054" t="s">
        <v>5323</v>
      </c>
      <c r="C1054" t="str">
        <f>findKey(supplementary_offering_offeringid__4[[#This Row],[Value.legacyid]])</f>
        <v>168771487040</v>
      </c>
      <c r="D1054" t="s">
        <v>213</v>
      </c>
      <c r="E1054" t="s">
        <v>2189</v>
      </c>
      <c r="F1054" s="61" t="s">
        <v>6232</v>
      </c>
      <c r="G1054" s="71" t="s">
        <v>6370</v>
      </c>
      <c r="H1054" s="61"/>
      <c r="I1054" s="61"/>
      <c r="J1054" t="str">
        <f>ToJsonArray(supplementary_offering_offeringid__4[[#Headers],[legacyid]:[activityId]],supplementary_offering_offeringid__4[[#This Row],[legacyid]:[activityId]])</f>
        <v>{"legacyid":"168771487040","name":"Voz y SMS TD infinitos, 7 GB WA + Mail + FB P3","mode":"I","amount":"69001","resources":[
				{
					"partition": "22823",
					"amountPartition": "62914560",
					"amountType": "kilobytes"
				},
				{
					"partition": "22423",
					"amountPartition": "7340032",
					"amountType": "kilobytes"
				}
			]}</v>
      </c>
      <c r="K1054" t="str">
        <f>ToJsonArray(supplementary_offering_offeringid__4[[#This Row],[produccion]],supplementary_offering_offeringid__4[[#This Row],[json]])</f>
        <v>{"990000528":{"legacyid":"168771487040","name":"Voz y SMS TD infinitos, 7 GB WA + Mail + FB P3","mode":"I","amount":"69001","resources":[
				{
					"partition": "22823",
					"amountPartition": "62914560",
					"amountType": "kilobytes"
				},
				{
					"partition": "22423",
					"amountPartition": "7340032",
					"amountType": "kilobytes"
				}
			]}}</v>
      </c>
    </row>
    <row r="1055" spans="1:11" x14ac:dyDescent="0.25">
      <c r="A1055" s="61" t="s">
        <v>5326</v>
      </c>
      <c r="B1055" t="s">
        <v>5325</v>
      </c>
      <c r="C1055" t="str">
        <f>findKey(supplementary_offering_offeringid__4[[#This Row],[Value.legacyid]])</f>
        <v>168771489344</v>
      </c>
      <c r="D1055" t="s">
        <v>212</v>
      </c>
      <c r="E1055" t="s">
        <v>2189</v>
      </c>
      <c r="F1055" s="61" t="s">
        <v>6174</v>
      </c>
      <c r="G1055" s="71" t="s">
        <v>6321</v>
      </c>
      <c r="H1055" s="61"/>
      <c r="I1055" s="61"/>
      <c r="J1055" t="str">
        <f>ToJsonArray(supplementary_offering_offeringid__4[[#Headers],[legacyid]:[activityId]],supplementary_offering_offeringid__4[[#This Row],[legacyid]:[activityId]])</f>
        <v>{"legacyid":"168771489344","name":"Voz y SMS TD infinitos, 7 GB WA + Mail + FB P2","mode":"I","amount":"1445","resources":[
				{
					"partition": "32223",
					"amountPartition": "223200",
					"amountType": "sms"
				}
			]}</v>
      </c>
      <c r="K1055" t="str">
        <f>ToJsonArray(supplementary_offering_offeringid__4[[#This Row],[produccion]],supplementary_offering_offeringid__4[[#This Row],[json]])</f>
        <v>{"990000529":{"legacyid":"168771489344","name":"Voz y SMS TD infinitos, 7 GB WA + Mail + FB P2","mode":"I","amount":"1445","resources":[
				{
					"partition": "32223",
					"amountPartition": "223200",
					"amountType": "sms"
				}
			]}}</v>
      </c>
    </row>
    <row r="1056" spans="1:11" x14ac:dyDescent="0.25">
      <c r="A1056" s="61" t="s">
        <v>5328</v>
      </c>
      <c r="B1056" t="s">
        <v>5327</v>
      </c>
      <c r="C1056" t="str">
        <f>findKey(supplementary_offering_offeringid__4[[#This Row],[Value.legacyid]])</f>
        <v>358124950637</v>
      </c>
      <c r="D1056" t="s">
        <v>2018</v>
      </c>
      <c r="E1056" t="s">
        <v>2189</v>
      </c>
      <c r="F1056" s="61" t="s">
        <v>6233</v>
      </c>
      <c r="G1056" s="71" t="s">
        <v>6321</v>
      </c>
      <c r="H1056" s="61"/>
      <c r="I1056" s="61"/>
      <c r="J1056" t="str">
        <f>ToJsonArray(supplementary_offering_offeringid__4[[#Headers],[legacyid]:[activityId]],supplementary_offering_offeringid__4[[#This Row],[legacyid]:[activityId]])</f>
        <v>{"legacyid":"358124950637","name":"Voz y SMS TD infinitos, 7 GB, WA+Mail+FB P2","mode":"I","amount":"1369","resources":[
				{
					"partition": "32223",
					"amountPartition": "223200",
					"amountType": "sms"
				}
			]}</v>
      </c>
      <c r="K1056" t="str">
        <f>ToJsonArray(supplementary_offering_offeringid__4[[#This Row],[produccion]],supplementary_offering_offeringid__4[[#This Row],[json]])</f>
        <v>{"990000530":{"legacyid":"358124950637","name":"Voz y SMS TD infinitos, 7 GB, WA+Mail+FB P2","mode":"I","amount":"1369","resources":[
				{
					"partition": "32223",
					"amountPartition": "223200",
					"amountType": "sms"
				}
			]}}</v>
      </c>
    </row>
    <row r="1057" spans="1:11" x14ac:dyDescent="0.25">
      <c r="A1057" s="61" t="s">
        <v>5330</v>
      </c>
      <c r="B1057" t="s">
        <v>5329</v>
      </c>
      <c r="C1057" t="str">
        <f>findKey(supplementary_offering_offeringid__4[[#This Row],[Value.legacyid]])</f>
        <v>358124952173</v>
      </c>
      <c r="D1057" t="s">
        <v>2019</v>
      </c>
      <c r="E1057" t="s">
        <v>2189</v>
      </c>
      <c r="F1057" s="61" t="s">
        <v>6234</v>
      </c>
      <c r="G1057" s="71" t="s">
        <v>6325</v>
      </c>
      <c r="H1057" s="61"/>
      <c r="I1057" s="61"/>
      <c r="J1057" t="str">
        <f>ToJsonArray(supplementary_offering_offeringid__4[[#Headers],[legacyid]:[activityId]],supplementary_offering_offeringid__4[[#This Row],[legacyid]:[activityId]])</f>
        <v>{"legacyid":"358124952173","name":"Voz y SMS TD infinitos, 7 GB, WA+Mail+FB P3","mode":"I","amount":"33109","resources":[
				{
					"partition": "22423",
					"amountPartition": "7340032",
					"amountType": "kilobytes"
				},
				{
					"partition": "22823",
					"amountPartition": "62914560",
					"amountType": "kilobytes"
				}
			]}</v>
      </c>
      <c r="K1057" t="str">
        <f>ToJsonArray(supplementary_offering_offeringid__4[[#This Row],[produccion]],supplementary_offering_offeringid__4[[#This Row],[json]])</f>
        <v>{"990000531":{"legacyid":"358124952173","name":"Voz y SMS TD infinitos, 7 GB, WA+Mail+FB P3","mode":"I","amount":"33109","resources":[
				{
					"partition": "22423",
					"amountPartition": "7340032",
					"amountType": "kilobytes"
				},
				{
					"partition": "22823",
					"amountPartition": "62914560",
					"amountType": "kilobytes"
				}
			]}}</v>
      </c>
    </row>
    <row r="1058" spans="1:11" x14ac:dyDescent="0.25">
      <c r="A1058" s="61" t="s">
        <v>5332</v>
      </c>
      <c r="B1058" t="s">
        <v>5331</v>
      </c>
      <c r="C1058" t="str">
        <f>findKey(supplementary_offering_offeringid__4[[#This Row],[Value.legacyid]])</f>
        <v>358124953517</v>
      </c>
      <c r="D1058" t="s">
        <v>2017</v>
      </c>
      <c r="E1058" t="s">
        <v>2189</v>
      </c>
      <c r="F1058" s="61" t="s">
        <v>6235</v>
      </c>
      <c r="G1058" s="71" t="s">
        <v>6320</v>
      </c>
      <c r="H1058" s="61"/>
      <c r="I1058" s="61"/>
      <c r="J1058" t="str">
        <f>ToJsonArray(supplementary_offering_offeringid__4[[#Headers],[legacyid]:[activityId]],supplementary_offering_offeringid__4[[#This Row],[legacyid]:[activityId]])</f>
        <v>{"legacyid":"358124953517","name":"Voz y SMS TD infinitos, 7 GB, WA+Mail+FB CUG P1","mode":"I","amount":"31785","resources":[
				{
					"partition": "12223",
					"amountPartition": "2678400",
					"amountType": "seconds"
				},
				{
					"partition": "12323",
					"amountPartition": "2678400",
					"amountType": "seconds"
				}
			]}</v>
      </c>
      <c r="K1058" t="str">
        <f>ToJsonArray(supplementary_offering_offeringid__4[[#This Row],[produccion]],supplementary_offering_offeringid__4[[#This Row],[json]])</f>
        <v>{"990000532":{"legacyid":"358124953517","name":"Voz y SMS TD infinitos, 7 GB, WA+Mail+FB CUG P1","mode":"I","amount":"31785","resources":[
				{
					"partition": "12223",
					"amountPartition": "2678400",
					"amountType": "seconds"
				},
				{
					"partition": "12323",
					"amountPartition": "2678400",
					"amountType": "seconds"
				}
			]}}</v>
      </c>
    </row>
    <row r="1059" spans="1:11" x14ac:dyDescent="0.25">
      <c r="A1059" s="61" t="s">
        <v>5334</v>
      </c>
      <c r="B1059" t="s">
        <v>5333</v>
      </c>
      <c r="C1059" t="str">
        <f>findKey(supplementary_offering_offeringid__4[[#This Row],[Value.legacyid]])</f>
        <v>168771485888</v>
      </c>
      <c r="D1059" t="s">
        <v>216</v>
      </c>
      <c r="E1059" t="s">
        <v>2189</v>
      </c>
      <c r="F1059" s="61" t="s">
        <v>6236</v>
      </c>
      <c r="G1059" s="71" t="s">
        <v>6321</v>
      </c>
      <c r="H1059" s="61"/>
      <c r="I1059" s="61"/>
      <c r="J1059" t="str">
        <f>ToJsonArray(supplementary_offering_offeringid__4[[#Headers],[legacyid]:[activityId]],supplementary_offering_offeringid__4[[#This Row],[legacyid]:[activityId]])</f>
        <v>{"legacyid":"168771485888","name":"Voz y SMS TD infinitos, 8 GB WA + Mail + FB P2","mode":"I","amount":"1332","resources":[
				{
					"partition": "32223",
					"amountPartition": "223200",
					"amountType": "sms"
				}
			]}</v>
      </c>
      <c r="K1059" t="str">
        <f>ToJsonArray(supplementary_offering_offeringid__4[[#This Row],[produccion]],supplementary_offering_offeringid__4[[#This Row],[json]])</f>
        <v>{"990000533":{"legacyid":"168771485888","name":"Voz y SMS TD infinitos, 8 GB WA + Mail + FB P2","mode":"I","amount":"1332","resources":[
				{
					"partition": "32223",
					"amountPartition": "223200",
					"amountType": "sms"
				}
			]}}</v>
      </c>
    </row>
    <row r="1060" spans="1:11" x14ac:dyDescent="0.25">
      <c r="A1060" s="61" t="s">
        <v>5336</v>
      </c>
      <c r="B1060" t="s">
        <v>5335</v>
      </c>
      <c r="C1060" t="str">
        <f>findKey(supplementary_offering_offeringid__4[[#This Row],[Value.legacyid]])</f>
        <v>168771488576</v>
      </c>
      <c r="D1060" t="s">
        <v>214</v>
      </c>
      <c r="E1060" t="s">
        <v>2189</v>
      </c>
      <c r="F1060" s="61" t="s">
        <v>6237</v>
      </c>
      <c r="G1060" s="71" t="s">
        <v>6368</v>
      </c>
      <c r="H1060" s="61"/>
      <c r="I1060" s="61"/>
      <c r="J1060" t="str">
        <f>ToJsonArray(supplementary_offering_offeringid__4[[#Headers],[legacyid]:[activityId]],supplementary_offering_offeringid__4[[#This Row],[legacyid]:[activityId]])</f>
        <v>{"legacyid":"168771488576","name":"Voz y SMS TD infinitos, 8 GB WA + Mail + FB P1","mode":"I","amount":"44771","resources":[
				{
					"partition": "12323",
					"amountPartition": "999999999",
					"amountType": "seconds"
				},
				{
					"partition": "12223",
					"amountPartition": "2678400",
					"amountType": "seconds"
				}
			]}</v>
      </c>
      <c r="K1060" t="str">
        <f>ToJsonArray(supplementary_offering_offeringid__4[[#This Row],[produccion]],supplementary_offering_offeringid__4[[#This Row],[json]])</f>
        <v>{"990000534":{"legacyid":"168771488576","name":"Voz y SMS TD infinitos, 8 GB WA + Mail + FB P1","mode":"I","amount":"44771","resources":[
				{
					"partition": "12323",
					"amountPartition": "999999999",
					"amountType": "seconds"
				},
				{
					"partition": "12223",
					"amountPartition": "2678400",
					"amountType": "seconds"
				}
			]}}</v>
      </c>
    </row>
    <row r="1061" spans="1:11" x14ac:dyDescent="0.25">
      <c r="A1061" s="61" t="s">
        <v>5338</v>
      </c>
      <c r="B1061" t="s">
        <v>5337</v>
      </c>
      <c r="C1061" t="str">
        <f>findKey(supplementary_offering_offeringid__4[[#This Row],[Value.legacyid]])</f>
        <v>168771488960</v>
      </c>
      <c r="D1061" t="s">
        <v>215</v>
      </c>
      <c r="E1061" t="s">
        <v>2189</v>
      </c>
      <c r="F1061" s="61" t="s">
        <v>6238</v>
      </c>
      <c r="G1061" s="71" t="s">
        <v>6371</v>
      </c>
      <c r="H1061" s="61"/>
      <c r="I1061" s="61"/>
      <c r="J1061" t="str">
        <f>ToJsonArray(supplementary_offering_offeringid__4[[#Headers],[legacyid]:[activityId]],supplementary_offering_offeringid__4[[#This Row],[legacyid]:[activityId]])</f>
        <v>{"legacyid":"168771488960","name":"Voz y SMS TD infinitos, 8 GB WA + Mail + FB P3","mode":"I","amount":"69472","resources":[
				{
					"partition": "22423",
					"amountPartition": "8388608",
					"amountType": "kilobytes"
				},
				{
					"partition": "22823",
					"amountPartition": "62914560",
					"amountType": "kilobytes"
				}
			]}</v>
      </c>
      <c r="K1061" t="str">
        <f>ToJsonArray(supplementary_offering_offeringid__4[[#This Row],[produccion]],supplementary_offering_offeringid__4[[#This Row],[json]])</f>
        <v>{"990000535":{"legacyid":"168771488960","name":"Voz y SMS TD infinitos, 8 GB WA + Mail + FB P3","mode":"I","amount":"69472","resources":[
				{
					"partition": "22423",
					"amountPartition": "8388608",
					"amountType": "kilobytes"
				},
				{
					"partition": "22823",
					"amountPartition": "62914560",
					"amountType": "kilobytes"
				}
			]}}</v>
      </c>
    </row>
    <row r="1062" spans="1:11" x14ac:dyDescent="0.25">
      <c r="A1062" s="61" t="s">
        <v>5340</v>
      </c>
      <c r="B1062" t="s">
        <v>5339</v>
      </c>
      <c r="C1062" t="str">
        <f>findKey(supplementary_offering_offeringid__4[[#This Row],[Value.legacyid]])</f>
        <v>17083665387</v>
      </c>
      <c r="D1062" t="s">
        <v>707</v>
      </c>
      <c r="E1062" t="s">
        <v>2189</v>
      </c>
      <c r="F1062" s="61" t="s">
        <v>6205</v>
      </c>
      <c r="G1062" s="71" t="s">
        <v>6372</v>
      </c>
      <c r="H1062" s="61"/>
      <c r="I1062" s="61"/>
      <c r="J1062" t="str">
        <f>ToJsonArray(supplementary_offering_offeringid__4[[#Headers],[legacyid]:[activityId]],supplementary_offering_offeringid__4[[#This Row],[legacyid]:[activityId]])</f>
        <v>{"legacyid":"17083665387","name":"WHATSAPP + Mail","mode":"I","amount":"14351","resources":[
				{
					"partition": "22423",
					"amountPartition": "1",
					"amountType": "kilobytes"
				},
				{
					"partition": "22823",
					"amountPartition": "62914560",
					"amountType": "kilobytes"
				}
			]}</v>
      </c>
      <c r="K1062" t="str">
        <f>ToJsonArray(supplementary_offering_offeringid__4[[#This Row],[produccion]],supplementary_offering_offeringid__4[[#This Row],[json]])</f>
        <v>{"990000536":{"legacyid":"17083665387","name":"WHATSAPP + Mail","mode":"I","amount":"14351","resources":[
				{
					"partition": "22423",
					"amountPartition": "1",
					"amountType": "kilobytes"
				},
				{
					"partition": "22823",
					"amountPartition": "62914560",
					"amountType": "kilobytes"
				}
			]}}</v>
      </c>
    </row>
    <row r="1063" spans="1:11" x14ac:dyDescent="0.25">
      <c r="A1063" s="61" t="s">
        <v>5342</v>
      </c>
      <c r="B1063" t="s">
        <v>5341</v>
      </c>
      <c r="C1063" t="str">
        <f>findKey(supplementary_offering_offeringid__4[[#This Row],[Value.legacyid]])</f>
        <v>17083663851</v>
      </c>
      <c r="D1063" t="s">
        <v>706</v>
      </c>
      <c r="E1063" t="s">
        <v>2189</v>
      </c>
      <c r="F1063" s="61" t="s">
        <v>6239</v>
      </c>
      <c r="G1063" s="71" t="s">
        <v>6372</v>
      </c>
      <c r="H1063" s="61"/>
      <c r="I1063" s="61" t="s">
        <v>6170</v>
      </c>
      <c r="J1063" t="str">
        <f>ToJsonArray(supplementary_offering_offeringid__4[[#Headers],[legacyid]:[activityId]],supplementary_offering_offeringid__4[[#This Row],[legacyid]:[activityId]])</f>
        <v>{"legacyid":"17083663851","name":"WHATSAPP","mode":"I","amount":"9536","resources":[
				{
					"partition": "22423",
					"amountPartition": "1",
					"amountType": "kilobytes"
				},
				{
					"partition": "22823",
					"amountPartition": "62914560",
					"amountType": "kilobytes"
				}
			],"activityId":"76"}</v>
      </c>
      <c r="K1063" t="str">
        <f>ToJsonArray(supplementary_offering_offeringid__4[[#This Row],[produccion]],supplementary_offering_offeringid__4[[#This Row],[json]])</f>
        <v>{"990000537":{"legacyid":"17083663851","name":"WHATSAPP","mode":"I","amount":"9536","resources":[
				{
					"partition": "22423",
					"amountPartition": "1",
					"amountType": "kilobytes"
				},
				{
					"partition": "22823",
					"amountPartition": "62914560",
					"amountType": "kilobytes"
				}
			],"activityId":"76"}}</v>
      </c>
    </row>
    <row r="1064" spans="1:11" x14ac:dyDescent="0.25">
      <c r="A1064" s="61" t="s">
        <v>5344</v>
      </c>
      <c r="B1064" t="s">
        <v>5343</v>
      </c>
      <c r="C1064" t="str">
        <f>findKey(supplementary_offering_offeringid__4[[#This Row],[Value.legacyid]])</f>
        <v>17083118079</v>
      </c>
      <c r="D1064" t="s">
        <v>1139</v>
      </c>
      <c r="E1064" t="s">
        <v>2189</v>
      </c>
      <c r="F1064" s="61"/>
      <c r="H1064" s="61"/>
      <c r="J1064" t="str">
        <f>ToJsonArray(supplementary_offering_offeringid__4[[#Headers],[legacyid]:[activityId]],supplementary_offering_offeringid__4[[#This Row],[legacyid]:[activityId]])</f>
        <v>{"legacyid":"17083118079","name":"PQT Reventa TodoDestino 1200MIN","mode":"I"}</v>
      </c>
      <c r="K1064" t="str">
        <f>ToJsonArray(supplementary_offering_offeringid__4[[#This Row],[produccion]],supplementary_offering_offeringid__4[[#This Row],[json]])</f>
        <v>{"990000538":{"legacyid":"17083118079","name":"PQT Reventa TodoDestino 1200MIN","mode":"I"}}</v>
      </c>
    </row>
    <row r="1065" spans="1:11" x14ac:dyDescent="0.25">
      <c r="A1065" s="61" t="s">
        <v>5346</v>
      </c>
      <c r="B1065" t="s">
        <v>5345</v>
      </c>
      <c r="C1065" t="str">
        <f>findKey(supplementary_offering_offeringid__4[[#This Row],[Value.legacyid]])</f>
        <v>67111490377</v>
      </c>
      <c r="D1065" t="s">
        <v>2164</v>
      </c>
      <c r="E1065" t="s">
        <v>2189</v>
      </c>
      <c r="F1065" s="61"/>
      <c r="H1065" s="61"/>
      <c r="J1065" t="str">
        <f>ToJsonArray(supplementary_offering_offeringid__4[[#Headers],[legacyid]:[activityId]],supplementary_offering_offeringid__4[[#This Row],[legacyid]:[activityId]])</f>
        <v>{"legacyid":"67111490377","name":"Combo 1000MIN TD y  Voz a Tigo infinito","mode":"I"}</v>
      </c>
      <c r="K1065" t="str">
        <f>ToJsonArray(supplementary_offering_offeringid__4[[#This Row],[produccion]],supplementary_offering_offeringid__4[[#This Row],[json]])</f>
        <v>{"990000539":{"legacyid":"67111490377","name":"Combo 1000MIN TD y  Voz a Tigo infinito","mode":"I"}}</v>
      </c>
    </row>
    <row r="1066" spans="1:11" x14ac:dyDescent="0.25">
      <c r="A1066" s="61" t="s">
        <v>5348</v>
      </c>
      <c r="B1066" t="s">
        <v>5347</v>
      </c>
      <c r="C1066" t="str">
        <f>findKey(supplementary_offering_offeringid__4[[#This Row],[Value.legacyid]])</f>
        <v>17083125140</v>
      </c>
      <c r="D1066" t="s">
        <v>991</v>
      </c>
      <c r="E1066" t="s">
        <v>2189</v>
      </c>
      <c r="F1066" s="61" t="s">
        <v>6174</v>
      </c>
      <c r="G1066" s="71" t="s">
        <v>6321</v>
      </c>
      <c r="H1066" s="61"/>
      <c r="J1066" t="str">
        <f>ToJsonArray(supplementary_offering_offeringid__4[[#Headers],[legacyid]:[activityId]],supplementary_offering_offeringid__4[[#This Row],[legacyid]:[activityId]])</f>
        <v>{"legacyid":"17083125140","name":"Combo SMS TD infinitos","mode":"I","amount":"1445","resources":[
				{
					"partition": "32223",
					"amountPartition": "223200",
					"amountType": "sms"
				}
			]}</v>
      </c>
      <c r="K1066" t="str">
        <f>ToJsonArray(supplementary_offering_offeringid__4[[#This Row],[produccion]],supplementary_offering_offeringid__4[[#This Row],[json]])</f>
        <v>{"990000540":{"legacyid":"17083125140","name":"Combo SMS TD infinitos","mode":"I","amount":"1445","resources":[
				{
					"partition": "32223",
					"amountPartition": "223200",
					"amountType": "sms"
				}
			]}}</v>
      </c>
    </row>
    <row r="1067" spans="1:11" x14ac:dyDescent="0.25">
      <c r="A1067" s="61" t="s">
        <v>5350</v>
      </c>
      <c r="B1067" t="s">
        <v>5349</v>
      </c>
      <c r="C1067" t="str">
        <f>findKey(supplementary_offering_offeringid__4[[#This Row],[Value.legacyid]])</f>
        <v>17083658875</v>
      </c>
      <c r="D1067" t="s">
        <v>1029</v>
      </c>
      <c r="E1067" t="s">
        <v>2189</v>
      </c>
      <c r="F1067" s="61"/>
      <c r="H1067" s="61"/>
      <c r="J1067" t="str">
        <f>ToJsonArray(supplementary_offering_offeringid__4[[#Headers],[legacyid]:[activityId]],supplementary_offering_offeringid__4[[#This Row],[legacyid]:[activityId]])</f>
        <v>{"legacyid":"17083658875","name":"Combo datos 3GB WA + Mail   2","mode":"I"}</v>
      </c>
      <c r="K1067" t="str">
        <f>ToJsonArray(supplementary_offering_offeringid__4[[#This Row],[produccion]],supplementary_offering_offeringid__4[[#This Row],[json]])</f>
        <v>{"990000541":{"legacyid":"17083658875","name":"Combo datos 3GB WA + Mail   2","mode":"I"}}</v>
      </c>
    </row>
    <row r="1068" spans="1:11" x14ac:dyDescent="0.25">
      <c r="A1068" s="61" t="s">
        <v>5352</v>
      </c>
      <c r="B1068" t="s">
        <v>5351</v>
      </c>
      <c r="C1068" t="str">
        <f>findKey(supplementary_offering_offeringid__4[[#This Row],[Value.legacyid]])</f>
        <v>20112863810</v>
      </c>
      <c r="D1068" t="s">
        <v>2166</v>
      </c>
      <c r="E1068" t="s">
        <v>2189</v>
      </c>
      <c r="F1068" s="61" t="s">
        <v>6240</v>
      </c>
      <c r="G1068" s="71" t="s">
        <v>6373</v>
      </c>
      <c r="H1068" s="61"/>
      <c r="J1068" t="str">
        <f>ToJsonArray(supplementary_offering_offeringid__4[[#Headers],[legacyid]:[activityId]],supplementary_offering_offeringid__4[[#This Row],[legacyid]:[activityId]])</f>
        <v>{"legacyid":"20112863810","name":"Combo datos 1,2GB WA + Mail 1","mode":"I","amount":"14640","resources":[
				{
					"partition": "22423",
					"amountPartition": "1258292",
					"amountType": "kilobytes"
				},
				{
					"partition": "22823",
					"amountPartition": "62914560",
					"amountType": "kilobytes"
				}
			]}</v>
      </c>
      <c r="K1068" t="str">
        <f>ToJsonArray(supplementary_offering_offeringid__4[[#This Row],[produccion]],supplementary_offering_offeringid__4[[#This Row],[json]])</f>
        <v>{"990000542":{"legacyid":"20112863810","name":"Combo datos 1,2GB WA + Mail 1","mode":"I","amount":"14640","resources":[
				{
					"partition": "22423",
					"amountPartition": "1258292",
					"amountType": "kilobytes"
				},
				{
					"partition": "22823",
					"amountPartition": "62914560",
					"amountType": "kilobytes"
				}
			]}}</v>
      </c>
    </row>
    <row r="1069" spans="1:11" x14ac:dyDescent="0.25">
      <c r="A1069" s="61" t="s">
        <v>5354</v>
      </c>
      <c r="B1069" t="s">
        <v>5353</v>
      </c>
      <c r="C1069" t="str">
        <f>findKey(supplementary_offering_offeringid__4[[#This Row],[Value.legacyid]])</f>
        <v>17083122376</v>
      </c>
      <c r="D1069" t="s">
        <v>993</v>
      </c>
      <c r="E1069" t="s">
        <v>2189</v>
      </c>
      <c r="F1069" s="61" t="s">
        <v>6241</v>
      </c>
      <c r="G1069" s="71" t="s">
        <v>6374</v>
      </c>
      <c r="H1069" s="61"/>
      <c r="J1069" t="str">
        <f>ToJsonArray(supplementary_offering_offeringid__4[[#Headers],[legacyid]:[activityId]],supplementary_offering_offeringid__4[[#This Row],[legacyid]:[activityId]])</f>
        <v>{"legacyid":"17083122376","name":"Combo 100MIN TD  y Voz a Tigo infinito","mode":"I","amount":"14153","resources":[
				{
					"partition": "11823",
					"amountPartition": "2678400",
					"amountType": "seconds"
				},
				{
					"partition": "13223",
					"amountPartition": "6000",
					"amountType": "seconds"
				}
			]}</v>
      </c>
      <c r="K1069" t="str">
        <f>ToJsonArray(supplementary_offering_offeringid__4[[#This Row],[produccion]],supplementary_offering_offeringid__4[[#This Row],[json]])</f>
        <v>{"990000543":{"legacyid":"17083122376","name":"Combo 100MIN TD  y Voz a Tigo infinito","mode":"I","amount":"14153","resources":[
				{
					"partition": "11823",
					"amountPartition": "2678400",
					"amountType": "seconds"
				},
				{
					"partition": "13223",
					"amountPartition": "6000",
					"amountType": "seconds"
				}
			]}}</v>
      </c>
    </row>
    <row r="1070" spans="1:11" x14ac:dyDescent="0.25">
      <c r="A1070" s="61" t="s">
        <v>5356</v>
      </c>
      <c r="B1070" t="s">
        <v>5355</v>
      </c>
      <c r="C1070" t="str">
        <f>findKey(supplementary_offering_offeringid__4[[#This Row],[Value.legacyid]])</f>
        <v>17085862090</v>
      </c>
      <c r="D1070" t="s">
        <v>1188</v>
      </c>
      <c r="E1070" t="s">
        <v>2189</v>
      </c>
      <c r="F1070" s="61"/>
      <c r="H1070" s="61"/>
      <c r="J1070" t="str">
        <f>ToJsonArray(supplementary_offering_offeringid__4[[#Headers],[legacyid]:[activityId]],supplementary_offering_offeringid__4[[#This Row],[legacyid]:[activityId]])</f>
        <v>{"legacyid":"17085862090","name":"Combo 500 Min TD; Min Tigo Infinitos; Min CUG Infinitos P1","mode":"I"}</v>
      </c>
      <c r="K1070" t="str">
        <f>ToJsonArray(supplementary_offering_offeringid__4[[#This Row],[produccion]],supplementary_offering_offeringid__4[[#This Row],[json]])</f>
        <v>{"990000544":{"legacyid":"17085862090","name":"Combo 500 Min TD; Min Tigo Infinitos; Min CUG Infinitos P1","mode":"I"}}</v>
      </c>
    </row>
    <row r="1071" spans="1:11" x14ac:dyDescent="0.25">
      <c r="A1071" s="61" t="s">
        <v>5358</v>
      </c>
      <c r="B1071" t="s">
        <v>5357</v>
      </c>
      <c r="C1071" t="str">
        <f>findKey(supplementary_offering_offeringid__4[[#This Row],[Value.legacyid]])</f>
        <v>17085865162</v>
      </c>
      <c r="D1071" t="s">
        <v>1189</v>
      </c>
      <c r="E1071" t="s">
        <v>2189</v>
      </c>
      <c r="F1071" s="61"/>
      <c r="H1071" s="61"/>
      <c r="J1071" t="str">
        <f>ToJsonArray(supplementary_offering_offeringid__4[[#Headers],[legacyid]:[activityId]],supplementary_offering_offeringid__4[[#This Row],[legacyid]:[activityId]])</f>
        <v>{"legacyid":"17085865162","name":"Combo 2.5 GB;WA, Mail y facebook Infinito P2","mode":"I"}</v>
      </c>
      <c r="K1071" t="str">
        <f>ToJsonArray(supplementary_offering_offeringid__4[[#This Row],[produccion]],supplementary_offering_offeringid__4[[#This Row],[json]])</f>
        <v>{"990000545":{"legacyid":"17085865162","name":"Combo 2.5 GB;WA, Mail y facebook Infinito P2","mode":"I"}}</v>
      </c>
    </row>
    <row r="1072" spans="1:11" x14ac:dyDescent="0.25">
      <c r="A1072" s="61" t="s">
        <v>5360</v>
      </c>
      <c r="B1072" t="s">
        <v>5359</v>
      </c>
      <c r="C1072" t="str">
        <f>findKey(supplementary_offering_offeringid__4[[#This Row],[Value.legacyid]])</f>
        <v>17083125122</v>
      </c>
      <c r="D1072" t="s">
        <v>413</v>
      </c>
      <c r="E1072" t="s">
        <v>2189</v>
      </c>
      <c r="F1072" s="61" t="s">
        <v>6242</v>
      </c>
      <c r="G1072" s="71" t="s">
        <v>6375</v>
      </c>
      <c r="H1072" s="61"/>
      <c r="J1072" t="str">
        <f>ToJsonArray(supplementary_offering_offeringid__4[[#Headers],[legacyid]:[activityId]],supplementary_offering_offeringid__4[[#This Row],[legacyid]:[activityId]])</f>
        <v>{"legacyid":"17083125122","name":"PQT Corp SMS Todo Destino 1000","mode":"I","amount":"9631","resources":[
				{
					"partition": "32223",
					"amountPartition": "1000",
					"amountType": "sms"
				}
			]}</v>
      </c>
      <c r="K1072" t="str">
        <f>ToJsonArray(supplementary_offering_offeringid__4[[#This Row],[produccion]],supplementary_offering_offeringid__4[[#This Row],[json]])</f>
        <v>{"990000546":{"legacyid":"17083125122","name":"PQT Corp SMS Todo Destino 1000","mode":"I","amount":"9631","resources":[
				{
					"partition": "32223",
					"amountPartition": "1000",
					"amountType": "sms"
				}
			]}}</v>
      </c>
    </row>
    <row r="1073" spans="1:11" x14ac:dyDescent="0.25">
      <c r="A1073" s="61" t="s">
        <v>5362</v>
      </c>
      <c r="B1073" t="s">
        <v>5361</v>
      </c>
      <c r="C1073" t="str">
        <f>findKey(supplementary_offering_offeringid__4[[#This Row],[Value.legacyid]])</f>
        <v>17083665963</v>
      </c>
      <c r="D1073" t="s">
        <v>674</v>
      </c>
      <c r="E1073" t="s">
        <v>2189</v>
      </c>
      <c r="F1073" s="61" t="s">
        <v>6243</v>
      </c>
      <c r="G1073" s="71" t="s">
        <v>6343</v>
      </c>
      <c r="H1073" s="61"/>
      <c r="J1073" t="str">
        <f>ToJsonArray(supplementary_offering_offeringid__4[[#Headers],[legacyid]:[activityId]],supplementary_offering_offeringid__4[[#This Row],[legacyid]:[activityId]])</f>
        <v>{"legacyid":"17083665963","name":"PQT Corp Navegacion 2,5 GB WA + Mail","mode":"I","amount":"36503","resources":[
				{
					"partition": "22423",
					"amountPartition": "2621440",
					"amountType": "kilobytes"
				},
				{
					"partition": "22823",
					"amountPartition": "62914560",
					"amountType": "kilobytes"
				}
			]}</v>
      </c>
      <c r="K1073" t="str">
        <f>ToJsonArray(supplementary_offering_offeringid__4[[#This Row],[produccion]],supplementary_offering_offeringid__4[[#This Row],[json]])</f>
        <v>{"990000547":{"legacyid":"17083665963","name":"PQT Corp Navegacion 2,5 GB WA + Mail","mode":"I","amount":"36503","resources":[
				{
					"partition": "22423",
					"amountPartition": "2621440",
					"amountType": "kilobytes"
				},
				{
					"partition": "22823",
					"amountPartition": "62914560",
					"amountType": "kilobytes"
				}
			]}}</v>
      </c>
    </row>
    <row r="1074" spans="1:11" x14ac:dyDescent="0.25">
      <c r="A1074" s="61" t="s">
        <v>5364</v>
      </c>
      <c r="B1074" t="s">
        <v>5363</v>
      </c>
      <c r="C1074" t="str">
        <f>findKey(supplementary_offering_offeringid__4[[#This Row],[Value.legacyid]])</f>
        <v>17083663659</v>
      </c>
      <c r="D1074" t="s">
        <v>676</v>
      </c>
      <c r="E1074" t="s">
        <v>2189</v>
      </c>
      <c r="F1074" s="61"/>
      <c r="H1074" s="61"/>
      <c r="J1074" t="str">
        <f>ToJsonArray(supplementary_offering_offeringid__4[[#Headers],[legacyid]:[activityId]],supplementary_offering_offeringid__4[[#This Row],[legacyid]:[activityId]])</f>
        <v>{"legacyid":"17083663659","name":"PQT Corp Navegacion 2GB WA + Mail","mode":"I"}</v>
      </c>
      <c r="K1074" t="str">
        <f>ToJsonArray(supplementary_offering_offeringid__4[[#This Row],[produccion]],supplementary_offering_offeringid__4[[#This Row],[json]])</f>
        <v>{"990000548":{"legacyid":"17083663659","name":"PQT Corp Navegacion 2GB WA + Mail","mode":"I"}}</v>
      </c>
    </row>
    <row r="1075" spans="1:11" x14ac:dyDescent="0.25">
      <c r="A1075" s="61" t="s">
        <v>5366</v>
      </c>
      <c r="B1075" t="s">
        <v>5365</v>
      </c>
      <c r="C1075" t="str">
        <f>findKey(supplementary_offering_offeringid__4[[#This Row],[Value.legacyid]])</f>
        <v>17083662363</v>
      </c>
      <c r="D1075" t="s">
        <v>226</v>
      </c>
      <c r="E1075" t="s">
        <v>2189</v>
      </c>
      <c r="F1075" s="61"/>
      <c r="H1075" s="61"/>
      <c r="J1075" t="str">
        <f>ToJsonArray(supplementary_offering_offeringid__4[[#Headers],[legacyid]:[activityId]],supplementary_offering_offeringid__4[[#This Row],[legacyid]:[activityId]])</f>
        <v>{"legacyid":"17083662363","name":"PQT Corp Navegacion 1 Smart -1","mode":"I"}</v>
      </c>
      <c r="K1075" t="str">
        <f>ToJsonArray(supplementary_offering_offeringid__4[[#This Row],[produccion]],supplementary_offering_offeringid__4[[#This Row],[json]])</f>
        <v>{"990000549":{"legacyid":"17083662363","name":"PQT Corp Navegacion 1 Smart -1","mode":"I"}}</v>
      </c>
    </row>
    <row r="1076" spans="1:11" x14ac:dyDescent="0.25">
      <c r="A1076" s="61" t="s">
        <v>5368</v>
      </c>
      <c r="B1076" t="s">
        <v>5367</v>
      </c>
      <c r="C1076" t="str">
        <f>findKey(supplementary_offering_offeringid__4[[#This Row],[Value.legacyid]])</f>
        <v>17083092934</v>
      </c>
      <c r="D1076" t="s">
        <v>416</v>
      </c>
      <c r="E1076" t="s">
        <v>2189</v>
      </c>
      <c r="F1076" s="61" t="s">
        <v>6244</v>
      </c>
      <c r="G1076" s="71" t="s">
        <v>6376</v>
      </c>
      <c r="H1076" s="61"/>
      <c r="J1076" t="str">
        <f>ToJsonArray(supplementary_offering_offeringid__4[[#Headers],[legacyid]:[activityId]],supplementary_offering_offeringid__4[[#This Row],[legacyid]:[activityId]])</f>
        <v>{"legacyid":"17083092934","name":"PQT Corp SMS Tigo 10000","mode":"I","amount":"4816","resources":[
				{
					"partition": "31823",
					"amountPartition": "10000",
					"amountType": "sms"
				}
			]}</v>
      </c>
      <c r="K1076" t="str">
        <f>ToJsonArray(supplementary_offering_offeringid__4[[#This Row],[produccion]],supplementary_offering_offeringid__4[[#This Row],[json]])</f>
        <v>{"990000550":{"legacyid":"17083092934","name":"PQT Corp SMS Tigo 10000","mode":"I","amount":"4816","resources":[
				{
					"partition": "31823",
					"amountPartition": "10000",
					"amountType": "sms"
				}
			]}}</v>
      </c>
    </row>
    <row r="1077" spans="1:11" x14ac:dyDescent="0.25">
      <c r="A1077" s="61" t="s">
        <v>5370</v>
      </c>
      <c r="B1077" t="s">
        <v>5369</v>
      </c>
      <c r="C1077" t="str">
        <f>findKey(supplementary_offering_offeringid__4[[#This Row],[Value.legacyid]])</f>
        <v>17083122448</v>
      </c>
      <c r="D1077" t="s">
        <v>637</v>
      </c>
      <c r="E1077" t="s">
        <v>2189</v>
      </c>
      <c r="F1077" s="61" t="s">
        <v>6245</v>
      </c>
      <c r="G1077" s="71" t="s">
        <v>6377</v>
      </c>
      <c r="H1077" s="61"/>
      <c r="J1077" t="str">
        <f>ToJsonArray(supplementary_offering_offeringid__4[[#Headers],[legacyid]:[activityId]],supplementary_offering_offeringid__4[[#This Row],[legacyid]:[activityId]])</f>
        <v>{"legacyid":"17083122448","name":"PQT Corp TodoDestino 100MIN F2","mode":"I","amount":"15195","resources":[
				{
					"partition": "12223",
					"amountPartition": "6000",
					"amountType": "seconds"
				}
			]}</v>
      </c>
      <c r="K1077" t="str">
        <f>ToJsonArray(supplementary_offering_offeringid__4[[#This Row],[produccion]],supplementary_offering_offeringid__4[[#This Row],[json]])</f>
        <v>{"990000551":{"legacyid":"17083122448","name":"PQT Corp TodoDestino 100MIN F2","mode":"I","amount":"15195","resources":[
				{
					"partition": "12223",
					"amountPartition": "6000",
					"amountType": "seconds"
				}
			]}}</v>
      </c>
    </row>
    <row r="1078" spans="1:11" x14ac:dyDescent="0.25">
      <c r="A1078" s="61" t="s">
        <v>5372</v>
      </c>
      <c r="B1078" t="s">
        <v>5371</v>
      </c>
      <c r="C1078" t="str">
        <f>findKey(supplementary_offering_offeringid__4[[#This Row],[Value.legacyid]])</f>
        <v>17083125624</v>
      </c>
      <c r="D1078" t="s">
        <v>635</v>
      </c>
      <c r="E1078" t="s">
        <v>2189</v>
      </c>
      <c r="F1078" s="61" t="s">
        <v>6246</v>
      </c>
      <c r="G1078" s="71" t="s">
        <v>6378</v>
      </c>
      <c r="H1078" s="61"/>
      <c r="J1078" t="str">
        <f>ToJsonArray(supplementary_offering_offeringid__4[[#Headers],[legacyid]:[activityId]],supplementary_offering_offeringid__4[[#This Row],[legacyid]:[activityId]])</f>
        <v>{"legacyid":"17083125624","name":"PQT Corp TodoDestino 10SMS F2","mode":"I","amount":"655","resources":[
				{
					"partition": "32223",
					"amountPartition": "10",
					"amountType": "sms"
				}
			]}</v>
      </c>
      <c r="K1078" t="str">
        <f>ToJsonArray(supplementary_offering_offeringid__4[[#This Row],[produccion]],supplementary_offering_offeringid__4[[#This Row],[json]])</f>
        <v>{"990000552":{"legacyid":"17083125624","name":"PQT Corp TodoDestino 10SMS F2","mode":"I","amount":"655","resources":[
				{
					"partition": "32223",
					"amountPartition": "10",
					"amountType": "sms"
				}
			]}}</v>
      </c>
    </row>
    <row r="1079" spans="1:11" x14ac:dyDescent="0.25">
      <c r="A1079" s="61" t="s">
        <v>5374</v>
      </c>
      <c r="B1079" t="s">
        <v>5373</v>
      </c>
      <c r="C1079" t="str">
        <f>findKey(supplementary_offering_offeringid__4[[#This Row],[Value.legacyid]])</f>
        <v>17083123144</v>
      </c>
      <c r="D1079" t="s">
        <v>551</v>
      </c>
      <c r="E1079" t="s">
        <v>2189</v>
      </c>
      <c r="F1079" s="61"/>
      <c r="H1079" s="61"/>
      <c r="J1079" t="str">
        <f>ToJsonArray(supplementary_offering_offeringid__4[[#Headers],[legacyid]:[activityId]],supplementary_offering_offeringid__4[[#This Row],[legacyid]:[activityId]])</f>
        <v>{"legacyid":"17083123144","name":"PQT Corp Todo destino 1300","mode":"I"}</v>
      </c>
      <c r="K1079" t="str">
        <f>ToJsonArray(supplementary_offering_offeringid__4[[#This Row],[produccion]],supplementary_offering_offeringid__4[[#This Row],[json]])</f>
        <v>{"990000553":{"legacyid":"17083123144","name":"PQT Corp Todo destino 1300","mode":"I"}}</v>
      </c>
    </row>
    <row r="1080" spans="1:11" x14ac:dyDescent="0.25">
      <c r="A1080" s="61" t="s">
        <v>5376</v>
      </c>
      <c r="B1080" t="s">
        <v>5375</v>
      </c>
      <c r="C1080" t="str">
        <f>findKey(supplementary_offering_offeringid__4[[#This Row],[Value.legacyid]])</f>
        <v>17083122068</v>
      </c>
      <c r="D1080" t="s">
        <v>552</v>
      </c>
      <c r="E1080" t="s">
        <v>2189</v>
      </c>
      <c r="F1080" s="61"/>
      <c r="H1080" s="61"/>
      <c r="J1080" t="str">
        <f>ToJsonArray(supplementary_offering_offeringid__4[[#Headers],[legacyid]:[activityId]],supplementary_offering_offeringid__4[[#This Row],[legacyid]:[activityId]])</f>
        <v>{"legacyid":"17083122068","name":"PQT Corp Todo destino 1300 SMS","mode":"I"}</v>
      </c>
      <c r="K1080" t="str">
        <f>ToJsonArray(supplementary_offering_offeringid__4[[#This Row],[produccion]],supplementary_offering_offeringid__4[[#This Row],[json]])</f>
        <v>{"990000554":{"legacyid":"17083122068","name":"PQT Corp Todo destino 1300 SMS","mode":"I"}}</v>
      </c>
    </row>
    <row r="1081" spans="1:11" x14ac:dyDescent="0.25">
      <c r="A1081" s="61" t="s">
        <v>5378</v>
      </c>
      <c r="B1081" t="s">
        <v>5377</v>
      </c>
      <c r="C1081" t="str">
        <f>findKey(supplementary_offering_offeringid__4[[#This Row],[Value.legacyid]])</f>
        <v>17083657863</v>
      </c>
      <c r="D1081" t="s">
        <v>657</v>
      </c>
      <c r="E1081" t="s">
        <v>2189</v>
      </c>
      <c r="F1081" s="61" t="s">
        <v>6247</v>
      </c>
      <c r="G1081" s="71" t="s">
        <v>6379</v>
      </c>
      <c r="H1081" s="61"/>
      <c r="J1081" t="str">
        <f>ToJsonArray(supplementary_offering_offeringid__4[[#Headers],[legacyid]:[activityId]],supplementary_offering_offeringid__4[[#This Row],[legacyid]:[activityId]])</f>
        <v>{"legacyid":"17083657863","name":"PQT Corp TodoDestino 1500MIN y Voz a Tigo Infinito F2","mode":"I","amount":"65547","resources":[
				{
					"partition": "12323",
					"amountPartition": "2678400",
					"amountType": "seconds"
				},
				{
					"partition": "12223",
					"amountPartition": "90000",
					"amountType": "seconds"
				}
			]}</v>
      </c>
      <c r="K1081" t="str">
        <f>ToJsonArray(supplementary_offering_offeringid__4[[#This Row],[produccion]],supplementary_offering_offeringid__4[[#This Row],[json]])</f>
        <v>{"990000555":{"legacyid":"17083657863","name":"PQT Corp TodoDestino 1500MIN y Voz a Tigo Infinito F2","mode":"I","amount":"65547","resources":[
				{
					"partition": "12323",
					"amountPartition": "2678400",
					"amountType": "seconds"
				},
				{
					"partition": "12223",
					"amountPartition": "90000",
					"amountType": "seconds"
				}
			]}}</v>
      </c>
    </row>
    <row r="1082" spans="1:11" x14ac:dyDescent="0.25">
      <c r="A1082" s="61" t="s">
        <v>5380</v>
      </c>
      <c r="B1082" t="s">
        <v>5379</v>
      </c>
      <c r="C1082" t="str">
        <f>findKey(supplementary_offering_offeringid__4[[#This Row],[Value.legacyid]])</f>
        <v>17083657095</v>
      </c>
      <c r="D1082" t="s">
        <v>661</v>
      </c>
      <c r="E1082" t="s">
        <v>2189</v>
      </c>
      <c r="F1082" s="61" t="s">
        <v>6248</v>
      </c>
      <c r="G1082" s="71" t="s">
        <v>6380</v>
      </c>
      <c r="H1082" s="61"/>
      <c r="J1082" t="str">
        <f>ToJsonArray(supplementary_offering_offeringid__4[[#Headers],[legacyid]:[activityId]],supplementary_offering_offeringid__4[[#This Row],[legacyid]:[activityId]])</f>
        <v>{"legacyid":"17083657095","name":"PQT Corp TodoDestino 2000MIN y Voz a Tigo Infinito F2","mode":"I","amount":"74857","resources":[
				{
					"partition": "12323",
					"amountPartition": "2678400",
					"amountType": "seconds"
				},
				{
					"partition": "12223",
					"amountPartition": "120000",
					"amountType": "seconds"
				}
			]}</v>
      </c>
      <c r="K1082" t="str">
        <f>ToJsonArray(supplementary_offering_offeringid__4[[#This Row],[produccion]],supplementary_offering_offeringid__4[[#This Row],[json]])</f>
        <v>{"990000556":{"legacyid":"17083657095","name":"PQT Corp TodoDestino 2000MIN y Voz a Tigo Infinito F2","mode":"I","amount":"74857","resources":[
				{
					"partition": "12323",
					"amountPartition": "2678400",
					"amountType": "seconds"
				},
				{
					"partition": "12223",
					"amountPartition": "120000",
					"amountType": "seconds"
				}
			]}}</v>
      </c>
    </row>
    <row r="1083" spans="1:11" x14ac:dyDescent="0.25">
      <c r="A1083" s="61" t="s">
        <v>5382</v>
      </c>
      <c r="B1083" t="s">
        <v>5381</v>
      </c>
      <c r="C1083" t="str">
        <f>findKey(supplementary_offering_offeringid__4[[#This Row],[Value.legacyid]])</f>
        <v>17083655943</v>
      </c>
      <c r="D1083" t="s">
        <v>651</v>
      </c>
      <c r="E1083" t="s">
        <v>2189</v>
      </c>
      <c r="F1083" s="61" t="s">
        <v>6249</v>
      </c>
      <c r="G1083" s="71" t="s">
        <v>6381</v>
      </c>
      <c r="H1083" s="61"/>
      <c r="J1083" t="str">
        <f>ToJsonArray(supplementary_offering_offeringid__4[[#Headers],[legacyid]:[activityId]],supplementary_offering_offeringid__4[[#This Row],[legacyid]:[activityId]])</f>
        <v>{"legacyid":"17083655943","name":"PQT Corp TodoDestino 800MIN y Voz a NIT Infinito F2","mode":"I","amount":"38547","resources":[
				{
					"partition": "12223",
					"amountPartition": "48000",
					"amountType": "seconds"
				},
				{
					"partition": "12323",
					"amountPartition": "2678400",
					"amountType": "seconds"
				}
			]}</v>
      </c>
      <c r="K1083" t="str">
        <f>ToJsonArray(supplementary_offering_offeringid__4[[#This Row],[produccion]],supplementary_offering_offeringid__4[[#This Row],[json]])</f>
        <v>{"990000557":{"legacyid":"17083655943","name":"PQT Corp TodoDestino 800MIN y Voz a NIT Infinito F2","mode":"I","amount":"38547","resources":[
				{
					"partition": "12223",
					"amountPartition": "48000",
					"amountType": "seconds"
				},
				{
					"partition": "12323",
					"amountPartition": "2678400",
					"amountType": "seconds"
				}
			]}}</v>
      </c>
    </row>
    <row r="1084" spans="1:11" x14ac:dyDescent="0.25">
      <c r="A1084" s="61" t="s">
        <v>5384</v>
      </c>
      <c r="B1084" t="s">
        <v>5383</v>
      </c>
      <c r="C1084" t="str">
        <f>findKey(supplementary_offering_offeringid__4[[#This Row],[Value.legacyid]])</f>
        <v>67111492841</v>
      </c>
      <c r="D1084" t="s">
        <v>2168</v>
      </c>
      <c r="E1084" t="s">
        <v>2189</v>
      </c>
      <c r="F1084" s="61" t="s">
        <v>6250</v>
      </c>
      <c r="G1084" s="71" t="s">
        <v>6382</v>
      </c>
      <c r="H1084" s="61"/>
      <c r="J1084" t="str">
        <f>ToJsonArray(supplementary_offering_offeringid__4[[#Headers],[legacyid]:[activityId]],supplementary_offering_offeringid__4[[#This Row],[legacyid]:[activityId]])</f>
        <v>{"legacyid":"67111492841","name":"Combo datos 10GB WA + Mail 1","mode":"I","amount":"62221","resources":[
				{
					"partition": "22423",
					"amountPartition": "10485760",
					"amountType": "kilobytes"
				},
				{
					"partition": "22823",
					"amountPartition": "62914560",
					"amountType": "kilobytes"
				}
			]}</v>
      </c>
      <c r="K1084" t="str">
        <f>ToJsonArray(supplementary_offering_offeringid__4[[#This Row],[produccion]],supplementary_offering_offeringid__4[[#This Row],[json]])</f>
        <v>{"990000558":{"legacyid":"67111492841","name":"Combo datos 10GB WA + Mail 1","mode":"I","amount":"62221","resources":[
				{
					"partition": "22423",
					"amountPartition": "10485760",
					"amountType": "kilobytes"
				},
				{
					"partition": "22823",
					"amountPartition": "62914560",
					"amountType": "kilobytes"
				}
			]}}</v>
      </c>
    </row>
    <row r="1085" spans="1:11" x14ac:dyDescent="0.25">
      <c r="A1085" s="61" t="s">
        <v>5386</v>
      </c>
      <c r="B1085" t="s">
        <v>5385</v>
      </c>
      <c r="C1085" t="str">
        <f>findKey(supplementary_offering_offeringid__4[[#This Row],[Value.legacyid]])</f>
        <v>17083662299</v>
      </c>
      <c r="D1085" t="s">
        <v>1011</v>
      </c>
      <c r="E1085" t="s">
        <v>2189</v>
      </c>
      <c r="F1085" s="61" t="s">
        <v>6251</v>
      </c>
      <c r="G1085" s="71" t="s">
        <v>6383</v>
      </c>
      <c r="H1085" s="61"/>
      <c r="J1085" t="str">
        <f>ToJsonArray(supplementary_offering_offeringid__4[[#Headers],[legacyid]:[activityId]],supplementary_offering_offeringid__4[[#This Row],[legacyid]:[activityId]])</f>
        <v>{"legacyid":"17083662299","name":"Combo Voz Todo Destino infinito 3","mode":"I","amount":"70574","resources":[
				{
					"partition": "13223",
					"amountPartition": "999999999",
					"amountType": "seconds"
				},
				{
					"partition": "12323",
					"amountPartition": "999999999",
					"amountType": "seconds"
				},
				{
					"partition": "12323",
					"amountPartition": "999999999",
					"amountType": "seconds"
				},
				{
					"partition": "22823",
					"amountPartition": "62914560",
					"amountType": "seconds"
				}
			]}</v>
      </c>
      <c r="K1085" t="str">
        <f>ToJsonArray(supplementary_offering_offeringid__4[[#This Row],[produccion]],supplementary_offering_offeringid__4[[#This Row],[json]])</f>
        <v>{"990000559":{"legacyid":"17083662299","name":"Combo Voz Todo Destino infinito 3","mode":"I","amount":"70574","resources":[
				{
					"partition": "13223",
					"amountPartition": "999999999",
					"amountType": "seconds"
				},
				{
					"partition": "12323",
					"amountPartition": "999999999",
					"amountType": "seconds"
				},
				{
					"partition": "12323",
					"amountPartition": "999999999",
					"amountType": "seconds"
				},
				{
					"partition": "22823",
					"amountPartition": "62914560",
					"amountType": "seconds"
				}
			]}}</v>
      </c>
    </row>
    <row r="1086" spans="1:11" x14ac:dyDescent="0.25">
      <c r="A1086" s="61" t="s">
        <v>5388</v>
      </c>
      <c r="B1086" t="s">
        <v>5387</v>
      </c>
      <c r="C1086" t="str">
        <f>findKey(supplementary_offering_offeringid__4[[#This Row],[Value.legacyid]])</f>
        <v>17083660859</v>
      </c>
      <c r="D1086" t="s">
        <v>1015</v>
      </c>
      <c r="E1086" t="s">
        <v>2189</v>
      </c>
      <c r="F1086" s="61"/>
      <c r="H1086" s="61"/>
      <c r="J1086" t="str">
        <f>ToJsonArray(supplementary_offering_offeringid__4[[#Headers],[legacyid]:[activityId]],supplementary_offering_offeringid__4[[#This Row],[legacyid]:[activityId]])</f>
        <v>{"legacyid":"17083660859","name":"Combo Voz Todo Destino infinito 5","mode":"I"}</v>
      </c>
      <c r="K1086" t="str">
        <f>ToJsonArray(supplementary_offering_offeringid__4[[#This Row],[produccion]],supplementary_offering_offeringid__4[[#This Row],[json]])</f>
        <v>{"990000560":{"legacyid":"17083660859","name":"Combo Voz Todo Destino infinito 5","mode":"I"}}</v>
      </c>
    </row>
    <row r="1087" spans="1:11" x14ac:dyDescent="0.25">
      <c r="A1087" s="61" t="s">
        <v>5390</v>
      </c>
      <c r="B1087" t="s">
        <v>5389</v>
      </c>
      <c r="C1087" t="str">
        <f>findKey(supplementary_offering_offeringid__4[[#This Row],[Value.legacyid]])</f>
        <v>17083660795</v>
      </c>
      <c r="D1087" t="s">
        <v>1037</v>
      </c>
      <c r="E1087" t="s">
        <v>2189</v>
      </c>
      <c r="F1087" s="61"/>
      <c r="H1087" s="61"/>
      <c r="J1087" t="str">
        <f>ToJsonArray(supplementary_offering_offeringid__4[[#Headers],[legacyid]:[activityId]],supplementary_offering_offeringid__4[[#This Row],[legacyid]:[activityId]])</f>
        <v>{"legacyid":"17083660795","name":"Combo datos 11GB WA + Mail","mode":"I"}</v>
      </c>
      <c r="K1087" t="str">
        <f>ToJsonArray(supplementary_offering_offeringid__4[[#This Row],[produccion]],supplementary_offering_offeringid__4[[#This Row],[json]])</f>
        <v>{"990000561":{"legacyid":"17083660795","name":"Combo datos 11GB WA + Mail","mode":"I"}}</v>
      </c>
    </row>
    <row r="1088" spans="1:11" x14ac:dyDescent="0.25">
      <c r="A1088" s="61" t="s">
        <v>5392</v>
      </c>
      <c r="B1088" t="s">
        <v>5391</v>
      </c>
      <c r="C1088" t="str">
        <f>findKey(supplementary_offering_offeringid__4[[#This Row],[Value.legacyid]])</f>
        <v>17083658503</v>
      </c>
      <c r="D1088" t="s">
        <v>221</v>
      </c>
      <c r="E1088" t="s">
        <v>2189</v>
      </c>
      <c r="F1088" s="61"/>
      <c r="H1088" s="61"/>
      <c r="J1088" t="str">
        <f>ToJsonArray(supplementary_offering_offeringid__4[[#Headers],[legacyid]:[activityId]],supplementary_offering_offeringid__4[[#This Row],[legacyid]:[activityId]])</f>
        <v>{"legacyid":"17083658503","name":"Combo  Smart P1","mode":"I"}</v>
      </c>
      <c r="K1088" t="str">
        <f>ToJsonArray(supplementary_offering_offeringid__4[[#This Row],[produccion]],supplementary_offering_offeringid__4[[#This Row],[json]])</f>
        <v>{"990000562":{"legacyid":"17083658503","name":"Combo  Smart P1","mode":"I"}}</v>
      </c>
    </row>
    <row r="1089" spans="1:11" x14ac:dyDescent="0.25">
      <c r="A1089" s="61" t="s">
        <v>5394</v>
      </c>
      <c r="B1089" t="s">
        <v>5393</v>
      </c>
      <c r="C1089" t="str">
        <f>findKey(supplementary_offering_offeringid__4[[#This Row],[Value.legacyid]])</f>
        <v>17083659259</v>
      </c>
      <c r="D1089" t="s">
        <v>1039</v>
      </c>
      <c r="E1089" t="s">
        <v>2189</v>
      </c>
      <c r="F1089" s="61"/>
      <c r="H1089" s="61"/>
      <c r="J1089" t="str">
        <f>ToJsonArray(supplementary_offering_offeringid__4[[#Headers],[legacyid]:[activityId]],supplementary_offering_offeringid__4[[#This Row],[legacyid]:[activityId]])</f>
        <v>{"legacyid":"17083659259","name":"Combo datos 12GB WA + Mail","mode":"I"}</v>
      </c>
      <c r="K1089" t="str">
        <f>ToJsonArray(supplementary_offering_offeringid__4[[#This Row],[produccion]],supplementary_offering_offeringid__4[[#This Row],[json]])</f>
        <v>{"990000563":{"legacyid":"17083659259","name":"Combo datos 12GB WA + Mail","mode":"I"}}</v>
      </c>
    </row>
    <row r="1090" spans="1:11" x14ac:dyDescent="0.25">
      <c r="A1090" s="61" t="s">
        <v>5396</v>
      </c>
      <c r="B1090" t="s">
        <v>5395</v>
      </c>
      <c r="C1090" t="str">
        <f>findKey(supplementary_offering_offeringid__4[[#This Row],[Value.legacyid]])</f>
        <v>17083658555</v>
      </c>
      <c r="D1090" t="s">
        <v>1017</v>
      </c>
      <c r="E1090" t="s">
        <v>2189</v>
      </c>
      <c r="F1090" s="61"/>
      <c r="H1090" s="61"/>
      <c r="J1090" t="str">
        <f>ToJsonArray(supplementary_offering_offeringid__4[[#Headers],[legacyid]:[activityId]],supplementary_offering_offeringid__4[[#This Row],[legacyid]:[activityId]])</f>
        <v>{"legacyid":"17083658555","name":"Combo Voz Todo Destino infinito 6","mode":"I"}</v>
      </c>
      <c r="K1090" t="str">
        <f>ToJsonArray(supplementary_offering_offeringid__4[[#This Row],[produccion]],supplementary_offering_offeringid__4[[#This Row],[json]])</f>
        <v>{"990000564":{"legacyid":"17083658555","name":"Combo Voz Todo Destino infinito 6","mode":"I"}}</v>
      </c>
    </row>
    <row r="1091" spans="1:11" x14ac:dyDescent="0.25">
      <c r="A1091" s="61" t="s">
        <v>5398</v>
      </c>
      <c r="B1091" t="s">
        <v>5397</v>
      </c>
      <c r="C1091" t="str">
        <f>findKey(supplementary_offering_offeringid__4[[#This Row],[Value.legacyid]])</f>
        <v>17083659227</v>
      </c>
      <c r="D1091" t="s">
        <v>1009</v>
      </c>
      <c r="E1091" t="s">
        <v>2189</v>
      </c>
      <c r="F1091" s="61"/>
      <c r="H1091" s="61"/>
      <c r="J1091" t="str">
        <f>ToJsonArray(supplementary_offering_offeringid__4[[#Headers],[legacyid]:[activityId]],supplementary_offering_offeringid__4[[#This Row],[legacyid]:[activityId]])</f>
        <v>{"legacyid":"17083659227","name":"Combo Voz Todo Destino infinito 2","mode":"I"}</v>
      </c>
      <c r="K1091" t="str">
        <f>ToJsonArray(supplementary_offering_offeringid__4[[#This Row],[produccion]],supplementary_offering_offeringid__4[[#This Row],[json]])</f>
        <v>{"990000565":{"legacyid":"17083659227","name":"Combo Voz Todo Destino infinito 2","mode":"I"}}</v>
      </c>
    </row>
    <row r="1092" spans="1:11" x14ac:dyDescent="0.25">
      <c r="A1092" s="61" t="s">
        <v>5400</v>
      </c>
      <c r="B1092" t="s">
        <v>5399</v>
      </c>
      <c r="C1092" t="str">
        <f>findKey(supplementary_offering_offeringid__4[[#This Row],[Value.legacyid]])</f>
        <v>17083658491</v>
      </c>
      <c r="D1092" t="s">
        <v>1035</v>
      </c>
      <c r="E1092" t="s">
        <v>2189</v>
      </c>
      <c r="F1092" s="61"/>
      <c r="H1092" s="61"/>
      <c r="J1092" t="str">
        <f>ToJsonArray(supplementary_offering_offeringid__4[[#Headers],[legacyid]:[activityId]],supplementary_offering_offeringid__4[[#This Row],[legacyid]:[activityId]])</f>
        <v>{"legacyid":"17083658491","name":"Combo datos 8GB WA + Mail","mode":"I"}</v>
      </c>
      <c r="K1092" t="str">
        <f>ToJsonArray(supplementary_offering_offeringid__4[[#This Row],[produccion]],supplementary_offering_offeringid__4[[#This Row],[json]])</f>
        <v>{"990000566":{"legacyid":"17083658491","name":"Combo datos 8GB WA + Mail","mode":"I"}}</v>
      </c>
    </row>
    <row r="1093" spans="1:11" x14ac:dyDescent="0.25">
      <c r="A1093" s="61" t="s">
        <v>5402</v>
      </c>
      <c r="B1093" t="s">
        <v>5401</v>
      </c>
      <c r="C1093" t="str">
        <f>findKey(supplementary_offering_offeringid__4[[#This Row],[Value.legacyid]])</f>
        <v>17083089378</v>
      </c>
      <c r="D1093" t="s">
        <v>415</v>
      </c>
      <c r="E1093" t="s">
        <v>2189</v>
      </c>
      <c r="F1093" s="61" t="s">
        <v>6252</v>
      </c>
      <c r="G1093" s="71" t="s">
        <v>6384</v>
      </c>
      <c r="H1093" s="61"/>
      <c r="J1093" t="str">
        <f>ToJsonArray(supplementary_offering_offeringid__4[[#Headers],[legacyid]:[activityId]],supplementary_offering_offeringid__4[[#This Row],[legacyid]:[activityId]])</f>
        <v>{"legacyid":"17083089378","name":"PQT Corp SMS Tigo 150","mode":"I","amount":"2890","resources":[
				{
					"partition": "31823",
					"amountPartition": "150",
					"amountType": "sms"
				}
			]}</v>
      </c>
      <c r="K1093" t="str">
        <f>ToJsonArray(supplementary_offering_offeringid__4[[#This Row],[produccion]],supplementary_offering_offeringid__4[[#This Row],[json]])</f>
        <v>{"990000567":{"legacyid":"17083089378","name":"PQT Corp SMS Tigo 150","mode":"I","amount":"2890","resources":[
				{
					"partition": "31823",
					"amountPartition": "150",
					"amountType": "sms"
				}
			]}}</v>
      </c>
    </row>
    <row r="1094" spans="1:11" x14ac:dyDescent="0.25">
      <c r="A1094" s="61" t="s">
        <v>2207</v>
      </c>
      <c r="B1094" t="s">
        <v>2206</v>
      </c>
      <c r="C1094" t="str">
        <f>findKey(supplementary_offering_offeringid__4[[#This Row],[Value.legacyid]])</f>
        <v>17083091302</v>
      </c>
      <c r="D1094" t="s">
        <v>154</v>
      </c>
      <c r="E1094" t="s">
        <v>2189</v>
      </c>
      <c r="F1094" s="61"/>
      <c r="H1094" s="61"/>
      <c r="J1094" t="str">
        <f>ToJsonArray(supplementary_offering_offeringid__4[[#Headers],[legacyid]:[activityId]],supplementary_offering_offeringid__4[[#This Row],[legacyid]:[activityId]])</f>
        <v>{"legacyid":"17083091302","name":"Paquete Tigo Bolsa Datos 5GB Control","mode":"I"}</v>
      </c>
      <c r="K1094" t="str">
        <f>ToJsonArray(supplementary_offering_offeringid__4[[#This Row],[produccion]],supplementary_offering_offeringid__4[[#This Row],[json]])</f>
        <v>{"990000568":{"legacyid":"17083091302","name":"Paquete Tigo Bolsa Datos 5GB Control","mode":"I"}}</v>
      </c>
    </row>
    <row r="1095" spans="1:11" x14ac:dyDescent="0.25">
      <c r="A1095" s="61" t="s">
        <v>5404</v>
      </c>
      <c r="B1095" t="s">
        <v>5403</v>
      </c>
      <c r="C1095" t="str">
        <f>findKey(supplementary_offering_offeringid__4[[#This Row],[Value.legacyid]])</f>
        <v>17100981942</v>
      </c>
      <c r="D1095" t="s">
        <v>772</v>
      </c>
      <c r="E1095" t="s">
        <v>2189</v>
      </c>
      <c r="F1095" s="61"/>
      <c r="H1095" s="61"/>
      <c r="J1095" t="str">
        <f>ToJsonArray(supplementary_offering_offeringid__4[[#Headers],[legacyid]:[activityId]],supplementary_offering_offeringid__4[[#This Row],[legacyid]:[activityId]])</f>
        <v>{"legacyid":"17100981942","name":"Paquete Tigo Bolsa Datos 8GB Control","mode":"I"}</v>
      </c>
      <c r="K1095" t="str">
        <f>ToJsonArray(supplementary_offering_offeringid__4[[#This Row],[produccion]],supplementary_offering_offeringid__4[[#This Row],[json]])</f>
        <v>{"990000569":{"legacyid":"17100981942","name":"Paquete Tigo Bolsa Datos 8GB Control","mode":"I"}}</v>
      </c>
    </row>
    <row r="1096" spans="1:11" x14ac:dyDescent="0.25">
      <c r="A1096" s="61" t="s">
        <v>2221</v>
      </c>
      <c r="B1096" t="s">
        <v>2220</v>
      </c>
      <c r="C1096" t="str">
        <f>findKey(supplementary_offering_offeringid__4[[#This Row],[Value.legacyid]])</f>
        <v>17083122048</v>
      </c>
      <c r="D1096" t="s">
        <v>1469</v>
      </c>
      <c r="E1096" t="s">
        <v>2189</v>
      </c>
      <c r="F1096" s="61"/>
      <c r="H1096" s="61"/>
      <c r="J1096" t="str">
        <f>ToJsonArray(supplementary_offering_offeringid__4[[#Headers],[legacyid]:[activityId]],supplementary_offering_offeringid__4[[#This Row],[legacyid]:[activityId]])</f>
        <v>{"legacyid":"17083122048","name":"Paquete Tigo Bolsa Datos 20GB Control","mode":"I"}</v>
      </c>
      <c r="K1096" t="str">
        <f>ToJsonArray(supplementary_offering_offeringid__4[[#This Row],[produccion]],supplementary_offering_offeringid__4[[#This Row],[json]])</f>
        <v>{"990000570":{"legacyid":"17083122048","name":"Paquete Tigo Bolsa Datos 20GB Control","mode":"I"}}</v>
      </c>
    </row>
    <row r="1097" spans="1:11" x14ac:dyDescent="0.25">
      <c r="A1097" s="61" t="s">
        <v>5406</v>
      </c>
      <c r="B1097" t="s">
        <v>5405</v>
      </c>
      <c r="C1097" t="str">
        <f>findKey(supplementary_offering_offeringid__4[[#This Row],[Value.legacyid]])</f>
        <v>17084994143</v>
      </c>
      <c r="D1097" t="s">
        <v>770</v>
      </c>
      <c r="E1097" t="s">
        <v>2189</v>
      </c>
      <c r="F1097" s="61"/>
      <c r="H1097" s="61"/>
      <c r="J1097" t="str">
        <f>ToJsonArray(supplementary_offering_offeringid__4[[#Headers],[legacyid]:[activityId]],supplementary_offering_offeringid__4[[#This Row],[legacyid]:[activityId]])</f>
        <v>{"legacyid":"17084994143","name":"Paquete Tigo Bolsa Datos 30GB Control","mode":"I"}</v>
      </c>
      <c r="K1097" t="str">
        <f>ToJsonArray(supplementary_offering_offeringid__4[[#This Row],[produccion]],supplementary_offering_offeringid__4[[#This Row],[json]])</f>
        <v>{"990000571":{"legacyid":"17084994143","name":"Paquete Tigo Bolsa Datos 30GB Control","mode":"I"}}</v>
      </c>
    </row>
    <row r="1098" spans="1:11" x14ac:dyDescent="0.25">
      <c r="A1098" s="61" t="s">
        <v>5408</v>
      </c>
      <c r="B1098" t="s">
        <v>5407</v>
      </c>
      <c r="C1098" t="str">
        <f>findKey(supplementary_offering_offeringid__4[[#This Row],[Value.legacyid]])</f>
        <v>17085302254</v>
      </c>
      <c r="D1098" t="s">
        <v>888</v>
      </c>
      <c r="E1098" t="s">
        <v>2189</v>
      </c>
      <c r="F1098" s="61"/>
      <c r="H1098" s="61"/>
      <c r="J1098" t="str">
        <f>ToJsonArray(supplementary_offering_offeringid__4[[#Headers],[legacyid]:[activityId]],supplementary_offering_offeringid__4[[#This Row],[legacyid]:[activityId]])</f>
        <v>{"legacyid":"17085302254","name":"Plan 6.000 Minutos TD","mode":"I"}</v>
      </c>
      <c r="K1098" t="str">
        <f>ToJsonArray(supplementary_offering_offeringid__4[[#This Row],[produccion]],supplementary_offering_offeringid__4[[#This Row],[json]])</f>
        <v>{"990000572":{"legacyid":"17085302254","name":"Plan 6.000 Minutos TD","mode":"I"}}</v>
      </c>
    </row>
    <row r="1099" spans="1:11" x14ac:dyDescent="0.25">
      <c r="A1099" s="61" t="s">
        <v>5410</v>
      </c>
      <c r="B1099" t="s">
        <v>5409</v>
      </c>
      <c r="C1099" t="str">
        <f>findKey(supplementary_offering_offeringid__4[[#This Row],[Value.legacyid]])</f>
        <v>17085303598</v>
      </c>
      <c r="D1099" t="s">
        <v>890</v>
      </c>
      <c r="E1099" t="s">
        <v>2189</v>
      </c>
      <c r="F1099" s="61"/>
      <c r="H1099" s="61"/>
      <c r="J1099" t="str">
        <f>ToJsonArray(supplementary_offering_offeringid__4[[#Headers],[legacyid]:[activityId]],supplementary_offering_offeringid__4[[#This Row],[legacyid]:[activityId]])</f>
        <v>{"legacyid":"17085303598","name":"Plan 10.000 Minutos TD","mode":"I"}</v>
      </c>
      <c r="K1099" t="str">
        <f>ToJsonArray(supplementary_offering_offeringid__4[[#This Row],[produccion]],supplementary_offering_offeringid__4[[#This Row],[json]])</f>
        <v>{"990000573":{"legacyid":"17085303598","name":"Plan 10.000 Minutos TD","mode":"I"}}</v>
      </c>
    </row>
    <row r="1100" spans="1:11" x14ac:dyDescent="0.25">
      <c r="A1100" s="61" t="s">
        <v>5412</v>
      </c>
      <c r="B1100" t="s">
        <v>5411</v>
      </c>
      <c r="C1100" t="str">
        <f>findKey(supplementary_offering_offeringid__4[[#This Row],[Value.legacyid]])</f>
        <v>17085301678</v>
      </c>
      <c r="D1100" t="s">
        <v>896</v>
      </c>
      <c r="E1100" t="s">
        <v>2189</v>
      </c>
      <c r="F1100" s="61"/>
      <c r="H1100" s="61"/>
      <c r="J1100" t="str">
        <f>ToJsonArray(supplementary_offering_offeringid__4[[#Headers],[legacyid]:[activityId]],supplementary_offering_offeringid__4[[#This Row],[legacyid]:[activityId]])</f>
        <v>{"legacyid":"17085301678","name":"Plan 20.000 Minutos TD","mode":"I"}</v>
      </c>
      <c r="K1100" t="str">
        <f>ToJsonArray(supplementary_offering_offeringid__4[[#This Row],[produccion]],supplementary_offering_offeringid__4[[#This Row],[json]])</f>
        <v>{"990000574":{"legacyid":"17085301678","name":"Plan 20.000 Minutos TD","mode":"I"}}</v>
      </c>
    </row>
    <row r="1101" spans="1:11" x14ac:dyDescent="0.25">
      <c r="A1101" s="61" t="s">
        <v>5414</v>
      </c>
      <c r="B1101" t="s">
        <v>5413</v>
      </c>
      <c r="C1101" t="str">
        <f>findKey(supplementary_offering_offeringid__4[[#This Row],[Value.legacyid]])</f>
        <v>17085302382</v>
      </c>
      <c r="D1101" t="s">
        <v>904</v>
      </c>
      <c r="E1101" t="s">
        <v>2189</v>
      </c>
      <c r="F1101" s="61"/>
      <c r="H1101" s="61"/>
      <c r="J1101" t="str">
        <f>ToJsonArray(supplementary_offering_offeringid__4[[#Headers],[legacyid]:[activityId]],supplementary_offering_offeringid__4[[#This Row],[legacyid]:[activityId]])</f>
        <v>{"legacyid":"17085302382","name":"Plan 30.000 Minutos TD","mode":"I"}</v>
      </c>
      <c r="K1101" t="str">
        <f>ToJsonArray(supplementary_offering_offeringid__4[[#This Row],[produccion]],supplementary_offering_offeringid__4[[#This Row],[json]])</f>
        <v>{"990000575":{"legacyid":"17085302382","name":"Plan 30.000 Minutos TD","mode":"I"}}</v>
      </c>
    </row>
    <row r="1102" spans="1:11" x14ac:dyDescent="0.25">
      <c r="A1102" s="61" t="s">
        <v>5416</v>
      </c>
      <c r="B1102" t="s">
        <v>5415</v>
      </c>
      <c r="C1102" t="str">
        <f>findKey(supplementary_offering_offeringid__4[[#This Row],[Value.legacyid]])</f>
        <v>17085303534</v>
      </c>
      <c r="D1102" t="s">
        <v>906</v>
      </c>
      <c r="E1102" t="s">
        <v>2189</v>
      </c>
      <c r="F1102" s="61"/>
      <c r="H1102" s="61"/>
      <c r="J1102" t="str">
        <f>ToJsonArray(supplementary_offering_offeringid__4[[#Headers],[legacyid]:[activityId]],supplementary_offering_offeringid__4[[#This Row],[legacyid]:[activityId]])</f>
        <v>{"legacyid":"17085303534","name":"Plan 50.000 Minutos TD","mode":"I"}</v>
      </c>
      <c r="K1102" t="str">
        <f>ToJsonArray(supplementary_offering_offeringid__4[[#This Row],[produccion]],supplementary_offering_offeringid__4[[#This Row],[json]])</f>
        <v>{"990000576":{"legacyid":"17085303534","name":"Plan 50.000 Minutos TD","mode":"I"}}</v>
      </c>
    </row>
    <row r="1103" spans="1:11" x14ac:dyDescent="0.25">
      <c r="A1103" s="61" t="s">
        <v>5418</v>
      </c>
      <c r="B1103" t="s">
        <v>5417</v>
      </c>
      <c r="C1103" t="str">
        <f>findKey(supplementary_offering_offeringid__4[[#This Row],[Value.legacyid]])</f>
        <v>17085304814</v>
      </c>
      <c r="D1103" t="s">
        <v>908</v>
      </c>
      <c r="E1103" t="s">
        <v>2189</v>
      </c>
      <c r="F1103" s="61"/>
      <c r="H1103" s="61"/>
      <c r="J1103" t="str">
        <f>ToJsonArray(supplementary_offering_offeringid__4[[#Headers],[legacyid]:[activityId]],supplementary_offering_offeringid__4[[#This Row],[legacyid]:[activityId]])</f>
        <v>{"legacyid":"17085304814","name":"Plan 80.000 Minutos TD","mode":"I"}</v>
      </c>
      <c r="K1103" t="str">
        <f>ToJsonArray(supplementary_offering_offeringid__4[[#This Row],[produccion]],supplementary_offering_offeringid__4[[#This Row],[json]])</f>
        <v>{"990000577":{"legacyid":"17085304814","name":"Plan 80.000 Minutos TD","mode":"I"}}</v>
      </c>
    </row>
    <row r="1104" spans="1:11" x14ac:dyDescent="0.25">
      <c r="A1104" s="61" t="s">
        <v>5420</v>
      </c>
      <c r="B1104" t="s">
        <v>5419</v>
      </c>
      <c r="C1104" t="str">
        <f>findKey(supplementary_offering_offeringid__4[[#This Row],[Value.legacyid]])</f>
        <v>17085301934</v>
      </c>
      <c r="D1104" t="s">
        <v>892</v>
      </c>
      <c r="E1104" t="s">
        <v>2189</v>
      </c>
      <c r="F1104" s="61"/>
      <c r="H1104" s="61"/>
      <c r="J1104" t="str">
        <f>ToJsonArray(supplementary_offering_offeringid__4[[#Headers],[legacyid]:[activityId]],supplementary_offering_offeringid__4[[#This Row],[legacyid]:[activityId]])</f>
        <v>{"legacyid":"17085301934","name":"Plan 100.000 Minutos TD","mode":"I"}</v>
      </c>
      <c r="K1104" t="str">
        <f>ToJsonArray(supplementary_offering_offeringid__4[[#This Row],[produccion]],supplementary_offering_offeringid__4[[#This Row],[json]])</f>
        <v>{"990000578":{"legacyid":"17085301934","name":"Plan 100.000 Minutos TD","mode":"I"}}</v>
      </c>
    </row>
    <row r="1105" spans="1:11" x14ac:dyDescent="0.25">
      <c r="A1105" s="61" t="s">
        <v>5422</v>
      </c>
      <c r="B1105" t="s">
        <v>5421</v>
      </c>
      <c r="C1105" t="str">
        <f>findKey(supplementary_offering_offeringid__4[[#This Row],[Value.legacyid]])</f>
        <v>17085304494</v>
      </c>
      <c r="D1105" t="s">
        <v>894</v>
      </c>
      <c r="E1105" t="s">
        <v>2189</v>
      </c>
      <c r="F1105" s="61"/>
      <c r="H1105" s="61"/>
      <c r="J1105" t="str">
        <f>ToJsonArray(supplementary_offering_offeringid__4[[#Headers],[legacyid]:[activityId]],supplementary_offering_offeringid__4[[#This Row],[legacyid]:[activityId]])</f>
        <v>{"legacyid":"17085304494","name":"Plan 150.000 Minutos TD","mode":"I"}</v>
      </c>
      <c r="K1105" t="str">
        <f>ToJsonArray(supplementary_offering_offeringid__4[[#This Row],[produccion]],supplementary_offering_offeringid__4[[#This Row],[json]])</f>
        <v>{"990000579":{"legacyid":"17085304494","name":"Plan 150.000 Minutos TD","mode":"I"}}</v>
      </c>
    </row>
    <row r="1106" spans="1:11" x14ac:dyDescent="0.25">
      <c r="A1106" s="61" t="s">
        <v>5424</v>
      </c>
      <c r="B1106" t="s">
        <v>5423</v>
      </c>
      <c r="C1106" t="str">
        <f>findKey(supplementary_offering_offeringid__4[[#This Row],[Value.legacyid]])</f>
        <v>17085302894</v>
      </c>
      <c r="D1106" t="s">
        <v>898</v>
      </c>
      <c r="E1106" t="s">
        <v>2189</v>
      </c>
      <c r="F1106" s="61"/>
      <c r="H1106" s="61"/>
      <c r="J1106" t="str">
        <f>ToJsonArray(supplementary_offering_offeringid__4[[#Headers],[legacyid]:[activityId]],supplementary_offering_offeringid__4[[#This Row],[legacyid]:[activityId]])</f>
        <v>{"legacyid":"17085302894","name":"Plan 200.000 Minutos TD","mode":"I"}</v>
      </c>
      <c r="K1106" t="str">
        <f>ToJsonArray(supplementary_offering_offeringid__4[[#This Row],[produccion]],supplementary_offering_offeringid__4[[#This Row],[json]])</f>
        <v>{"990000580":{"legacyid":"17085302894","name":"Plan 200.000 Minutos TD","mode":"I"}}</v>
      </c>
    </row>
    <row r="1107" spans="1:11" x14ac:dyDescent="0.25">
      <c r="A1107" s="61" t="s">
        <v>5426</v>
      </c>
      <c r="B1107" t="s">
        <v>5425</v>
      </c>
      <c r="C1107" t="str">
        <f>findKey(supplementary_offering_offeringid__4[[#This Row],[Value.legacyid]])</f>
        <v>17085304174</v>
      </c>
      <c r="D1107" t="s">
        <v>902</v>
      </c>
      <c r="E1107" t="s">
        <v>2189</v>
      </c>
      <c r="F1107" s="61"/>
      <c r="H1107" s="61"/>
      <c r="J1107" t="str">
        <f>ToJsonArray(supplementary_offering_offeringid__4[[#Headers],[legacyid]:[activityId]],supplementary_offering_offeringid__4[[#This Row],[legacyid]:[activityId]])</f>
        <v>{"legacyid":"17085304174","name":"Plan 300.000 Minutos TD","mode":"I"}</v>
      </c>
      <c r="K1107" t="str">
        <f>ToJsonArray(supplementary_offering_offeringid__4[[#This Row],[produccion]],supplementary_offering_offeringid__4[[#This Row],[json]])</f>
        <v>{"990000581":{"legacyid":"17085304174","name":"Plan 300.000 Minutos TD","mode":"I"}}</v>
      </c>
    </row>
    <row r="1108" spans="1:11" x14ac:dyDescent="0.25">
      <c r="A1108" s="61" t="s">
        <v>5428</v>
      </c>
      <c r="B1108" t="s">
        <v>5427</v>
      </c>
      <c r="C1108" t="str">
        <f>findKey(supplementary_offering_offeringid__4[[#This Row],[Value.legacyid]])</f>
        <v>17085300974</v>
      </c>
      <c r="D1108" t="s">
        <v>900</v>
      </c>
      <c r="E1108" t="s">
        <v>2189</v>
      </c>
      <c r="F1108" s="61"/>
      <c r="H1108" s="61"/>
      <c r="J1108" t="str">
        <f>ToJsonArray(supplementary_offering_offeringid__4[[#Headers],[legacyid]:[activityId]],supplementary_offering_offeringid__4[[#This Row],[legacyid]:[activityId]])</f>
        <v>{"legacyid":"17085300974","name":"Plan 400.000 Minutos TD","mode":"I"}</v>
      </c>
      <c r="K1108" t="str">
        <f>ToJsonArray(supplementary_offering_offeringid__4[[#This Row],[produccion]],supplementary_offering_offeringid__4[[#This Row],[json]])</f>
        <v>{"990000582":{"legacyid":"17085300974","name":"Plan 400.000 Minutos TD","mode":"I"}}</v>
      </c>
    </row>
    <row r="1109" spans="1:11" x14ac:dyDescent="0.25">
      <c r="A1109" s="61" t="s">
        <v>5430</v>
      </c>
      <c r="B1109" t="s">
        <v>5429</v>
      </c>
      <c r="C1109" t="str">
        <f>findKey(supplementary_offering_offeringid__4[[#This Row],[Value.legacyid]])</f>
        <v>17085301038</v>
      </c>
      <c r="D1109" t="s">
        <v>886</v>
      </c>
      <c r="E1109" t="s">
        <v>2189</v>
      </c>
      <c r="F1109" s="61"/>
      <c r="H1109" s="61"/>
      <c r="J1109" t="str">
        <f>ToJsonArray(supplementary_offering_offeringid__4[[#Headers],[legacyid]:[activityId]],supplementary_offering_offeringid__4[[#This Row],[legacyid]:[activityId]])</f>
        <v>{"legacyid":"17085301038","name":"Plan 500.000 Minutos TD","mode":"I"}</v>
      </c>
      <c r="K1109" t="str">
        <f>ToJsonArray(supplementary_offering_offeringid__4[[#This Row],[produccion]],supplementary_offering_offeringid__4[[#This Row],[json]])</f>
        <v>{"990000583":{"legacyid":"17085301038","name":"Plan 500.000 Minutos TD","mode":"I"}}</v>
      </c>
    </row>
    <row r="1110" spans="1:11" x14ac:dyDescent="0.25">
      <c r="A1110" s="61" t="s">
        <v>5432</v>
      </c>
      <c r="B1110" t="s">
        <v>5431</v>
      </c>
      <c r="C1110" t="str">
        <f>findKey(supplementary_offering_offeringid__4[[#This Row],[Value.legacyid]])</f>
        <v>17085303246</v>
      </c>
      <c r="D1110" t="s">
        <v>880</v>
      </c>
      <c r="E1110" t="s">
        <v>2189</v>
      </c>
      <c r="F1110" s="61"/>
      <c r="H1110" s="61"/>
      <c r="J1110" t="str">
        <f>ToJsonArray(supplementary_offering_offeringid__4[[#Headers],[legacyid]:[activityId]],supplementary_offering_offeringid__4[[#This Row],[legacyid]:[activityId]])</f>
        <v>{"legacyid":"17085303246","name":"Plan 1.000.000 Minutos TD","mode":"I"}</v>
      </c>
      <c r="K1110" t="str">
        <f>ToJsonArray(supplementary_offering_offeringid__4[[#This Row],[produccion]],supplementary_offering_offeringid__4[[#This Row],[json]])</f>
        <v>{"990000584":{"legacyid":"17085303246","name":"Plan 1.000.000 Minutos TD","mode":"I"}}</v>
      </c>
    </row>
    <row r="1111" spans="1:11" x14ac:dyDescent="0.25">
      <c r="A1111" s="61" t="s">
        <v>5434</v>
      </c>
      <c r="B1111" t="s">
        <v>5433</v>
      </c>
      <c r="C1111" t="str">
        <f>findKey(supplementary_offering_offeringid__4[[#This Row],[Value.legacyid]])</f>
        <v>17085302734</v>
      </c>
      <c r="D1111" t="s">
        <v>882</v>
      </c>
      <c r="E1111" t="s">
        <v>2189</v>
      </c>
      <c r="F1111" s="61"/>
      <c r="H1111" s="61"/>
      <c r="J1111" t="str">
        <f>ToJsonArray(supplementary_offering_offeringid__4[[#Headers],[legacyid]:[activityId]],supplementary_offering_offeringid__4[[#This Row],[legacyid]:[activityId]])</f>
        <v>{"legacyid":"17085302734","name":"Plan 2,000.000 Minutos TD","mode":"I"}</v>
      </c>
      <c r="K1111" t="str">
        <f>ToJsonArray(supplementary_offering_offeringid__4[[#This Row],[produccion]],supplementary_offering_offeringid__4[[#This Row],[json]])</f>
        <v>{"990000585":{"legacyid":"17085302734","name":"Plan 2,000.000 Minutos TD","mode":"I"}}</v>
      </c>
    </row>
    <row r="1112" spans="1:11" x14ac:dyDescent="0.25">
      <c r="A1112" s="61" t="s">
        <v>5436</v>
      </c>
      <c r="B1112" t="s">
        <v>5435</v>
      </c>
      <c r="C1112" t="str">
        <f>findKey(supplementary_offering_offeringid__4[[#This Row],[Value.legacyid]])</f>
        <v>17085303854</v>
      </c>
      <c r="D1112" t="s">
        <v>884</v>
      </c>
      <c r="E1112" t="s">
        <v>2189</v>
      </c>
      <c r="F1112" s="61"/>
      <c r="H1112" s="61"/>
      <c r="J1112" t="str">
        <f>ToJsonArray(supplementary_offering_offeringid__4[[#Headers],[legacyid]:[activityId]],supplementary_offering_offeringid__4[[#This Row],[legacyid]:[activityId]])</f>
        <v>{"legacyid":"17085303854","name":"Plan 3,000.000 Minutos TD","mode":"I"}</v>
      </c>
      <c r="K1112" t="str">
        <f>ToJsonArray(supplementary_offering_offeringid__4[[#This Row],[produccion]],supplementary_offering_offeringid__4[[#This Row],[json]])</f>
        <v>{"990000586":{"legacyid":"17085303854","name":"Plan 3,000.000 Minutos TD","mode":"I"}}</v>
      </c>
    </row>
    <row r="1113" spans="1:11" x14ac:dyDescent="0.25">
      <c r="A1113" s="61" t="s">
        <v>5438</v>
      </c>
      <c r="B1113" t="s">
        <v>5437</v>
      </c>
      <c r="C1113" t="str">
        <f>findKey(supplementary_offering_offeringid__4[[#This Row],[Value.legacyid]])</f>
        <v>17085301774</v>
      </c>
      <c r="D1113" t="s">
        <v>858</v>
      </c>
      <c r="E1113" t="s">
        <v>2189</v>
      </c>
      <c r="F1113" s="61"/>
      <c r="H1113" s="61"/>
      <c r="J1113" t="str">
        <f>ToJsonArray(supplementary_offering_offeringid__4[[#Headers],[legacyid]:[activityId]],supplementary_offering_offeringid__4[[#This Row],[legacyid]:[activityId]])</f>
        <v>{"legacyid":"17085301774","name":"Plan 500 Minutos LDI1","mode":"I"}</v>
      </c>
      <c r="K1113" t="str">
        <f>ToJsonArray(supplementary_offering_offeringid__4[[#This Row],[produccion]],supplementary_offering_offeringid__4[[#This Row],[json]])</f>
        <v>{"990000587":{"legacyid":"17085301774","name":"Plan 500 Minutos LDI1","mode":"I"}}</v>
      </c>
    </row>
    <row r="1114" spans="1:11" x14ac:dyDescent="0.25">
      <c r="A1114" s="61" t="s">
        <v>5440</v>
      </c>
      <c r="B1114" t="s">
        <v>5439</v>
      </c>
      <c r="C1114" t="str">
        <f>findKey(supplementary_offering_offeringid__4[[#This Row],[Value.legacyid]])</f>
        <v>17085303158</v>
      </c>
      <c r="D1114" t="s">
        <v>848</v>
      </c>
      <c r="E1114" t="s">
        <v>2189</v>
      </c>
      <c r="F1114" s="61"/>
      <c r="H1114" s="61"/>
      <c r="J1114" t="str">
        <f>ToJsonArray(supplementary_offering_offeringid__4[[#Headers],[legacyid]:[activityId]],supplementary_offering_offeringid__4[[#This Row],[legacyid]:[activityId]])</f>
        <v>{"legacyid":"17085303158","name":"Plan 1.000 Minutos LDI1","mode":"I"}</v>
      </c>
      <c r="K1114" t="str">
        <f>ToJsonArray(supplementary_offering_offeringid__4[[#This Row],[produccion]],supplementary_offering_offeringid__4[[#This Row],[json]])</f>
        <v>{"990000588":{"legacyid":"17085303158","name":"Plan 1.000 Minutos LDI1","mode":"I"}}</v>
      </c>
    </row>
    <row r="1115" spans="1:11" x14ac:dyDescent="0.25">
      <c r="A1115" s="61" t="s">
        <v>5442</v>
      </c>
      <c r="B1115" t="s">
        <v>5441</v>
      </c>
      <c r="C1115" t="str">
        <f>findKey(supplementary_offering_offeringid__4[[#This Row],[Value.legacyid]])</f>
        <v>17085301238</v>
      </c>
      <c r="D1115" t="s">
        <v>854</v>
      </c>
      <c r="E1115" t="s">
        <v>2189</v>
      </c>
      <c r="F1115" s="61"/>
      <c r="H1115" s="61"/>
      <c r="J1115" t="str">
        <f>ToJsonArray(supplementary_offering_offeringid__4[[#Headers],[legacyid]:[activityId]],supplementary_offering_offeringid__4[[#This Row],[legacyid]:[activityId]])</f>
        <v>{"legacyid":"17085301238","name":"Plan 3.000 Minutos LDI1","mode":"I"}</v>
      </c>
      <c r="K1115" t="str">
        <f>ToJsonArray(supplementary_offering_offeringid__4[[#This Row],[produccion]],supplementary_offering_offeringid__4[[#This Row],[json]])</f>
        <v>{"990000589":{"legacyid":"17085301238","name":"Plan 3.000 Minutos LDI1","mode":"I"}}</v>
      </c>
    </row>
    <row r="1116" spans="1:11" x14ac:dyDescent="0.25">
      <c r="A1116" s="61" t="s">
        <v>5444</v>
      </c>
      <c r="B1116" t="s">
        <v>5443</v>
      </c>
      <c r="C1116" t="str">
        <f>findKey(supplementary_offering_offeringid__4[[#This Row],[Value.legacyid]])</f>
        <v>17085301518</v>
      </c>
      <c r="D1116" t="s">
        <v>862</v>
      </c>
      <c r="E1116" t="s">
        <v>2189</v>
      </c>
      <c r="F1116" s="61"/>
      <c r="H1116" s="61"/>
      <c r="J1116" t="str">
        <f>ToJsonArray(supplementary_offering_offeringid__4[[#Headers],[legacyid]:[activityId]],supplementary_offering_offeringid__4[[#This Row],[legacyid]:[activityId]])</f>
        <v>{"legacyid":"17085301518","name":"Plan 6.000 Minutos LDI1","mode":"I"}</v>
      </c>
      <c r="K1116" t="str">
        <f>ToJsonArray(supplementary_offering_offeringid__4[[#This Row],[produccion]],supplementary_offering_offeringid__4[[#This Row],[json]])</f>
        <v>{"990000590":{"legacyid":"17085301518","name":"Plan 6.000 Minutos LDI1","mode":"I"}}</v>
      </c>
    </row>
    <row r="1117" spans="1:11" x14ac:dyDescent="0.25">
      <c r="A1117" s="61" t="s">
        <v>5446</v>
      </c>
      <c r="B1117" t="s">
        <v>5445</v>
      </c>
      <c r="C1117" t="str">
        <f>findKey(supplementary_offering_offeringid__4[[#This Row],[Value.legacyid]])</f>
        <v>17085302646</v>
      </c>
      <c r="D1117" t="s">
        <v>850</v>
      </c>
      <c r="E1117" t="s">
        <v>2189</v>
      </c>
      <c r="F1117" s="61"/>
      <c r="H1117" s="61"/>
      <c r="J1117" t="str">
        <f>ToJsonArray(supplementary_offering_offeringid__4[[#Headers],[legacyid]:[activityId]],supplementary_offering_offeringid__4[[#This Row],[legacyid]:[activityId]])</f>
        <v>{"legacyid":"17085302646","name":"Plan 10.000 Minutos LDI1","mode":"I"}</v>
      </c>
      <c r="K1117" t="str">
        <f>ToJsonArray(supplementary_offering_offeringid__4[[#This Row],[produccion]],supplementary_offering_offeringid__4[[#This Row],[json]])</f>
        <v>{"990000591":{"legacyid":"17085302646","name":"Plan 10.000 Minutos LDI1","mode":"I"}}</v>
      </c>
    </row>
    <row r="1118" spans="1:11" x14ac:dyDescent="0.25">
      <c r="A1118" s="61" t="s">
        <v>5448</v>
      </c>
      <c r="B1118" t="s">
        <v>5447</v>
      </c>
      <c r="C1118" t="str">
        <f>findKey(supplementary_offering_offeringid__4[[#This Row],[Value.legacyid]])</f>
        <v>17085304054</v>
      </c>
      <c r="D1118" t="s">
        <v>852</v>
      </c>
      <c r="E1118" t="s">
        <v>2189</v>
      </c>
      <c r="F1118" s="61"/>
      <c r="H1118" s="61"/>
      <c r="J1118" t="str">
        <f>ToJsonArray(supplementary_offering_offeringid__4[[#Headers],[legacyid]:[activityId]],supplementary_offering_offeringid__4[[#This Row],[legacyid]:[activityId]])</f>
        <v>{"legacyid":"17085304054","name":"Plan 20.000 Minutos LDI1","mode":"I"}</v>
      </c>
      <c r="K1118" t="str">
        <f>ToJsonArray(supplementary_offering_offeringid__4[[#This Row],[produccion]],supplementary_offering_offeringid__4[[#This Row],[json]])</f>
        <v>{"990000592":{"legacyid":"17085304054","name":"Plan 20.000 Minutos LDI1","mode":"I"}}</v>
      </c>
    </row>
    <row r="1119" spans="1:11" x14ac:dyDescent="0.25">
      <c r="A1119" s="61" t="s">
        <v>5450</v>
      </c>
      <c r="B1119" t="s">
        <v>5449</v>
      </c>
      <c r="C1119" t="str">
        <f>findKey(supplementary_offering_offeringid__4[[#This Row],[Value.legacyid]])</f>
        <v>17085303798</v>
      </c>
      <c r="D1119" t="s">
        <v>856</v>
      </c>
      <c r="E1119" t="s">
        <v>2189</v>
      </c>
      <c r="F1119" s="61"/>
      <c r="H1119" s="61"/>
      <c r="J1119" t="str">
        <f>ToJsonArray(supplementary_offering_offeringid__4[[#Headers],[legacyid]:[activityId]],supplementary_offering_offeringid__4[[#This Row],[legacyid]:[activityId]])</f>
        <v>{"legacyid":"17085303798","name":"Plan 30.000 Minutos LDI1","mode":"I"}</v>
      </c>
      <c r="K1119" t="str">
        <f>ToJsonArray(supplementary_offering_offeringid__4[[#This Row],[produccion]],supplementary_offering_offeringid__4[[#This Row],[json]])</f>
        <v>{"990000593":{"legacyid":"17085303798","name":"Plan 30.000 Minutos LDI1","mode":"I"}}</v>
      </c>
    </row>
    <row r="1120" spans="1:11" x14ac:dyDescent="0.25">
      <c r="A1120" s="61" t="s">
        <v>5452</v>
      </c>
      <c r="B1120" t="s">
        <v>5451</v>
      </c>
      <c r="C1120" t="str">
        <f>findKey(supplementary_offering_offeringid__4[[#This Row],[Value.legacyid]])</f>
        <v>17085304334</v>
      </c>
      <c r="D1120" t="s">
        <v>860</v>
      </c>
      <c r="E1120" t="s">
        <v>2189</v>
      </c>
      <c r="F1120" s="61"/>
      <c r="H1120" s="61"/>
      <c r="J1120" t="str">
        <f>ToJsonArray(supplementary_offering_offeringid__4[[#Headers],[legacyid]:[activityId]],supplementary_offering_offeringid__4[[#This Row],[legacyid]:[activityId]])</f>
        <v>{"legacyid":"17085304334","name":"Plan 50.000 Minutos LDI1","mode":"I"}</v>
      </c>
      <c r="K1120" t="str">
        <f>ToJsonArray(supplementary_offering_offeringid__4[[#This Row],[produccion]],supplementary_offering_offeringid__4[[#This Row],[json]])</f>
        <v>{"990000594":{"legacyid":"17085304334","name":"Plan 50.000 Minutos LDI1","mode":"I"}}</v>
      </c>
    </row>
    <row r="1121" spans="1:11" x14ac:dyDescent="0.25">
      <c r="A1121" s="61" t="s">
        <v>5454</v>
      </c>
      <c r="B1121" t="s">
        <v>5453</v>
      </c>
      <c r="C1121" t="str">
        <f>findKey(supplementary_offering_offeringid__4[[#This Row],[Value.legacyid]])</f>
        <v>17085302094</v>
      </c>
      <c r="D1121" t="s">
        <v>876</v>
      </c>
      <c r="E1121" t="s">
        <v>2189</v>
      </c>
      <c r="F1121" s="61"/>
      <c r="H1121" s="61"/>
      <c r="J1121" t="str">
        <f>ToJsonArray(supplementary_offering_offeringid__4[[#Headers],[legacyid]:[activityId]],supplementary_offering_offeringid__4[[#This Row],[legacyid]:[activityId]])</f>
        <v>{"legacyid":"17085302094","name":"Plan 500 Minutos LDI1 y 2","mode":"I"}</v>
      </c>
      <c r="K1121" t="str">
        <f>ToJsonArray(supplementary_offering_offeringid__4[[#This Row],[produccion]],supplementary_offering_offeringid__4[[#This Row],[json]])</f>
        <v>{"990000595":{"legacyid":"17085302094","name":"Plan 500 Minutos LDI1 y 2","mode":"I"}}</v>
      </c>
    </row>
    <row r="1122" spans="1:11" x14ac:dyDescent="0.25">
      <c r="A1122" s="61" t="s">
        <v>5456</v>
      </c>
      <c r="B1122" t="s">
        <v>5455</v>
      </c>
      <c r="C1122" t="str">
        <f>findKey(supplementary_offering_offeringid__4[[#This Row],[Value.legacyid]])</f>
        <v>17085302926</v>
      </c>
      <c r="D1122" t="s">
        <v>864</v>
      </c>
      <c r="E1122" t="s">
        <v>2189</v>
      </c>
      <c r="F1122" s="61"/>
      <c r="H1122" s="61"/>
      <c r="J1122" t="str">
        <f>ToJsonArray(supplementary_offering_offeringid__4[[#Headers],[legacyid]:[activityId]],supplementary_offering_offeringid__4[[#This Row],[legacyid]:[activityId]])</f>
        <v>{"legacyid":"17085302926","name":"Plan 1.000 Minutos LDI1 y 2","mode":"I"}</v>
      </c>
      <c r="K1122" t="str">
        <f>ToJsonArray(supplementary_offering_offeringid__4[[#This Row],[produccion]],supplementary_offering_offeringid__4[[#This Row],[json]])</f>
        <v>{"990000596":{"legacyid":"17085302926","name":"Plan 1.000 Minutos LDI1 y 2","mode":"I"}}</v>
      </c>
    </row>
    <row r="1123" spans="1:11" x14ac:dyDescent="0.25">
      <c r="A1123" s="61" t="s">
        <v>5458</v>
      </c>
      <c r="B1123" t="s">
        <v>5457</v>
      </c>
      <c r="C1123" t="str">
        <f>findKey(supplementary_offering_offeringid__4[[#This Row],[Value.legacyid]])</f>
        <v>17085300814</v>
      </c>
      <c r="D1123" t="s">
        <v>870</v>
      </c>
      <c r="E1123" t="s">
        <v>2189</v>
      </c>
      <c r="F1123" s="61"/>
      <c r="H1123" s="61"/>
      <c r="J1123" t="str">
        <f>ToJsonArray(supplementary_offering_offeringid__4[[#Headers],[legacyid]:[activityId]],supplementary_offering_offeringid__4[[#This Row],[legacyid]:[activityId]])</f>
        <v>{"legacyid":"17085300814","name":"Plan 3.000 Minutos LDI1 y 2","mode":"I"}</v>
      </c>
      <c r="K1123" t="str">
        <f>ToJsonArray(supplementary_offering_offeringid__4[[#This Row],[produccion]],supplementary_offering_offeringid__4[[#This Row],[json]])</f>
        <v>{"990000597":{"legacyid":"17085300814","name":"Plan 3.000 Minutos LDI1 y 2","mode":"I"}}</v>
      </c>
    </row>
    <row r="1124" spans="1:11" x14ac:dyDescent="0.25">
      <c r="A1124" s="61" t="s">
        <v>5460</v>
      </c>
      <c r="B1124" t="s">
        <v>5459</v>
      </c>
      <c r="C1124" t="str">
        <f>findKey(supplementary_offering_offeringid__4[[#This Row],[Value.legacyid]])</f>
        <v>17085301454</v>
      </c>
      <c r="D1124" t="s">
        <v>878</v>
      </c>
      <c r="E1124" t="s">
        <v>2189</v>
      </c>
      <c r="F1124" s="61"/>
      <c r="H1124" s="61"/>
      <c r="J1124" t="str">
        <f>ToJsonArray(supplementary_offering_offeringid__4[[#Headers],[legacyid]:[activityId]],supplementary_offering_offeringid__4[[#This Row],[legacyid]:[activityId]])</f>
        <v>{"legacyid":"17085301454","name":"Plan 6.000 Minutos LDI1 y 2","mode":"I"}</v>
      </c>
      <c r="K1124" t="str">
        <f>ToJsonArray(supplementary_offering_offeringid__4[[#This Row],[produccion]],supplementary_offering_offeringid__4[[#This Row],[json]])</f>
        <v>{"990000598":{"legacyid":"17085301454","name":"Plan 6.000 Minutos LDI1 y 2","mode":"I"}}</v>
      </c>
    </row>
    <row r="1125" spans="1:11" x14ac:dyDescent="0.25">
      <c r="A1125" s="61" t="s">
        <v>5462</v>
      </c>
      <c r="B1125" t="s">
        <v>5461</v>
      </c>
      <c r="C1125" t="str">
        <f>findKey(supplementary_offering_offeringid__4[[#This Row],[Value.legacyid]])</f>
        <v>17085302414</v>
      </c>
      <c r="D1125" t="s">
        <v>866</v>
      </c>
      <c r="E1125" t="s">
        <v>2189</v>
      </c>
      <c r="F1125" s="61"/>
      <c r="H1125" s="61"/>
      <c r="J1125" t="str">
        <f>ToJsonArray(supplementary_offering_offeringid__4[[#Headers],[legacyid]:[activityId]],supplementary_offering_offeringid__4[[#This Row],[legacyid]:[activityId]])</f>
        <v>{"legacyid":"17085302414","name":"Plan 10.000 Minutos LDI1 y 2","mode":"I"}</v>
      </c>
      <c r="K1125" t="str">
        <f>ToJsonArray(supplementary_offering_offeringid__4[[#This Row],[produccion]],supplementary_offering_offeringid__4[[#This Row],[json]])</f>
        <v>{"990000599":{"legacyid":"17085302414","name":"Plan 10.000 Minutos LDI1 y 2","mode":"I"}}</v>
      </c>
    </row>
    <row r="1126" spans="1:11" x14ac:dyDescent="0.25">
      <c r="A1126" s="61" t="s">
        <v>5464</v>
      </c>
      <c r="B1126" t="s">
        <v>5463</v>
      </c>
      <c r="C1126" t="str">
        <f>findKey(supplementary_offering_offeringid__4[[#This Row],[Value.legacyid]])</f>
        <v>17085304206</v>
      </c>
      <c r="D1126" t="s">
        <v>868</v>
      </c>
      <c r="E1126" t="s">
        <v>2189</v>
      </c>
      <c r="F1126" s="61"/>
      <c r="H1126" s="61"/>
      <c r="J1126" t="str">
        <f>ToJsonArray(supplementary_offering_offeringid__4[[#Headers],[legacyid]:[activityId]],supplementary_offering_offeringid__4[[#This Row],[legacyid]:[activityId]])</f>
        <v>{"legacyid":"17085304206","name":"Plan 20.000 Minutos LDI1 y 2","mode":"I"}</v>
      </c>
      <c r="K1126" t="str">
        <f>ToJsonArray(supplementary_offering_offeringid__4[[#This Row],[produccion]],supplementary_offering_offeringid__4[[#This Row],[json]])</f>
        <v>{"990000600":{"legacyid":"17085304206","name":"Plan 20.000 Minutos LDI1 y 2","mode":"I"}}</v>
      </c>
    </row>
    <row r="1127" spans="1:11" x14ac:dyDescent="0.25">
      <c r="A1127" s="61" t="s">
        <v>5466</v>
      </c>
      <c r="B1127" t="s">
        <v>5465</v>
      </c>
      <c r="C1127" t="str">
        <f>findKey(supplementary_offering_offeringid__4[[#This Row],[Value.legacyid]])</f>
        <v>17085303374</v>
      </c>
      <c r="D1127" t="s">
        <v>872</v>
      </c>
      <c r="E1127" t="s">
        <v>2189</v>
      </c>
      <c r="F1127" s="61"/>
      <c r="H1127" s="61"/>
      <c r="J1127" t="str">
        <f>ToJsonArray(supplementary_offering_offeringid__4[[#Headers],[legacyid]:[activityId]],supplementary_offering_offeringid__4[[#This Row],[legacyid]:[activityId]])</f>
        <v>{"legacyid":"17085303374","name":"Plan 30.000 Minutos LDI1 y 2","mode":"I"}</v>
      </c>
      <c r="K1127" t="str">
        <f>ToJsonArray(supplementary_offering_offeringid__4[[#This Row],[produccion]],supplementary_offering_offeringid__4[[#This Row],[json]])</f>
        <v>{"990000601":{"legacyid":"17085303374","name":"Plan 30.000 Minutos LDI1 y 2","mode":"I"}}</v>
      </c>
    </row>
    <row r="1128" spans="1:11" x14ac:dyDescent="0.25">
      <c r="A1128" s="61" t="s">
        <v>5468</v>
      </c>
      <c r="B1128" t="s">
        <v>5467</v>
      </c>
      <c r="C1128" t="str">
        <f>findKey(supplementary_offering_offeringid__4[[#This Row],[Value.legacyid]])</f>
        <v>17085304654</v>
      </c>
      <c r="D1128" t="s">
        <v>874</v>
      </c>
      <c r="E1128" t="s">
        <v>2189</v>
      </c>
      <c r="F1128" s="61"/>
      <c r="H1128" s="61"/>
      <c r="J1128" t="str">
        <f>ToJsonArray(supplementary_offering_offeringid__4[[#Headers],[legacyid]:[activityId]],supplementary_offering_offeringid__4[[#This Row],[legacyid]:[activityId]])</f>
        <v>{"legacyid":"17085304654","name":"Plan 50.000 Minutos LDI1 y 2","mode":"I"}</v>
      </c>
      <c r="K1128" t="str">
        <f>ToJsonArray(supplementary_offering_offeringid__4[[#This Row],[produccion]],supplementary_offering_offeringid__4[[#This Row],[json]])</f>
        <v>{"990000602":{"legacyid":"17085304654","name":"Plan 50.000 Minutos LDI1 y 2","mode":"I"}}</v>
      </c>
    </row>
    <row r="1129" spans="1:11" x14ac:dyDescent="0.25">
      <c r="A1129" s="61" t="s">
        <v>5470</v>
      </c>
      <c r="B1129" t="s">
        <v>5469</v>
      </c>
      <c r="C1129" t="str">
        <f>findKey(supplementary_offering_offeringid__4[[#This Row],[Value.legacyid]])</f>
        <v>17085301278</v>
      </c>
      <c r="D1129" t="s">
        <v>910</v>
      </c>
      <c r="E1129" t="s">
        <v>2189</v>
      </c>
      <c r="F1129" s="61"/>
      <c r="H1129" s="61"/>
      <c r="J1129" t="str">
        <f>ToJsonArray(supplementary_offering_offeringid__4[[#Headers],[legacyid]:[activityId]],supplementary_offering_offeringid__4[[#This Row],[legacyid]:[activityId]])</f>
        <v>{"legacyid":"17085301278","name":"Plan 10.000 Minutos CUG","mode":"I"}</v>
      </c>
      <c r="K1129" t="str">
        <f>ToJsonArray(supplementary_offering_offeringid__4[[#This Row],[produccion]],supplementary_offering_offeringid__4[[#This Row],[json]])</f>
        <v>{"990000603":{"legacyid":"17085301278","name":"Plan 10.000 Minutos CUG","mode":"I"}}</v>
      </c>
    </row>
    <row r="1130" spans="1:11" x14ac:dyDescent="0.25">
      <c r="A1130" s="61" t="s">
        <v>5472</v>
      </c>
      <c r="B1130" t="s">
        <v>5471</v>
      </c>
      <c r="C1130" t="str">
        <f>findKey(supplementary_offering_offeringid__4[[#This Row],[Value.legacyid]])</f>
        <v>17085303070</v>
      </c>
      <c r="D1130" t="s">
        <v>912</v>
      </c>
      <c r="E1130" t="s">
        <v>2189</v>
      </c>
      <c r="F1130" s="61"/>
      <c r="H1130" s="61"/>
      <c r="J1130" t="str">
        <f>ToJsonArray(supplementary_offering_offeringid__4[[#Headers],[legacyid]:[activityId]],supplementary_offering_offeringid__4[[#This Row],[legacyid]:[activityId]])</f>
        <v>{"legacyid":"17085303070","name":"Plan 100.000 Minutos CUG","mode":"I"}</v>
      </c>
      <c r="K1130" t="str">
        <f>ToJsonArray(supplementary_offering_offeringid__4[[#This Row],[produccion]],supplementary_offering_offeringid__4[[#This Row],[json]])</f>
        <v>{"990000605":{"legacyid":"17085303070","name":"Plan 100.000 Minutos CUG","mode":"I"}}</v>
      </c>
    </row>
    <row r="1131" spans="1:11" x14ac:dyDescent="0.25">
      <c r="A1131" s="61" t="s">
        <v>5474</v>
      </c>
      <c r="B1131" t="s">
        <v>5473</v>
      </c>
      <c r="C1131" t="str">
        <f>findKey(supplementary_offering_offeringid__4[[#This Row],[Value.legacyid]])</f>
        <v>17085304734</v>
      </c>
      <c r="D1131" t="s">
        <v>916</v>
      </c>
      <c r="E1131" t="s">
        <v>2189</v>
      </c>
      <c r="F1131" s="61"/>
      <c r="H1131" s="61"/>
      <c r="J1131" t="str">
        <f>ToJsonArray(supplementary_offering_offeringid__4[[#Headers],[legacyid]:[activityId]],supplementary_offering_offeringid__4[[#This Row],[legacyid]:[activityId]])</f>
        <v>{"legacyid":"17085304734","name":"Numeracion Movil Adicional","mode":"I"}</v>
      </c>
      <c r="K1131" t="str">
        <f>ToJsonArray(supplementary_offering_offeringid__4[[#This Row],[produccion]],supplementary_offering_offeringid__4[[#This Row],[json]])</f>
        <v>{"990000606":{"legacyid":"17085304734","name":"Numeracion Movil Adicional","mode":"I"}}</v>
      </c>
    </row>
    <row r="1132" spans="1:11" x14ac:dyDescent="0.25">
      <c r="A1132" s="61" t="s">
        <v>5476</v>
      </c>
      <c r="B1132" t="s">
        <v>5475</v>
      </c>
      <c r="C1132" t="str">
        <f>findKey(supplementary_offering_offeringid__4[[#This Row],[Value.legacyid]])</f>
        <v>17085383980</v>
      </c>
      <c r="D1132" t="s">
        <v>915</v>
      </c>
      <c r="E1132" t="s">
        <v>2189</v>
      </c>
      <c r="F1132" s="61"/>
      <c r="H1132" s="61"/>
      <c r="J1132" t="str">
        <f>ToJsonArray(supplementary_offering_offeringid__4[[#Headers],[legacyid]:[activityId]],supplementary_offering_offeringid__4[[#This Row],[legacyid]:[activityId]])</f>
        <v>{"legacyid":"17085383980","name":"Acceso adicional - simultaneidad","mode":"I"}</v>
      </c>
      <c r="K1132" t="str">
        <f>ToJsonArray(supplementary_offering_offeringid__4[[#This Row],[produccion]],supplementary_offering_offeringid__4[[#This Row],[json]])</f>
        <v>{"990000607":{"legacyid":"17085383980","name":"Acceso adicional - simultaneidad","mode":"I"}}</v>
      </c>
    </row>
    <row r="1133" spans="1:11" x14ac:dyDescent="0.25">
      <c r="A1133" s="61" t="s">
        <v>5478</v>
      </c>
      <c r="B1133" t="s">
        <v>5477</v>
      </c>
      <c r="C1133" t="str">
        <f>findKey(supplementary_offering_offeringid__4[[#This Row],[Value.legacyid]])</f>
        <v>17085302390</v>
      </c>
      <c r="D1133" t="s">
        <v>846</v>
      </c>
      <c r="E1133" t="s">
        <v>2189</v>
      </c>
      <c r="F1133" s="61"/>
      <c r="H1133" s="61"/>
      <c r="J1133" t="str">
        <f>ToJsonArray(supplementary_offering_offeringid__4[[#Headers],[legacyid]:[activityId]],supplementary_offering_offeringid__4[[#This Row],[legacyid]:[activityId]])</f>
        <v>{"legacyid":"17085302390","name":"Arriendo Equipo SBC","mode":"I"}</v>
      </c>
      <c r="K1133" t="str">
        <f>ToJsonArray(supplementary_offering_offeringid__4[[#This Row],[produccion]],supplementary_offering_offeringid__4[[#This Row],[json]])</f>
        <v>{"990000608":{"legacyid":"17085302390","name":"Arriendo Equipo SBC","mode":"I"}}</v>
      </c>
    </row>
    <row r="1134" spans="1:11" x14ac:dyDescent="0.25">
      <c r="A1134" s="61" t="s">
        <v>5480</v>
      </c>
      <c r="B1134" t="s">
        <v>5479</v>
      </c>
      <c r="C1134" t="str">
        <f>findKey(supplementary_offering_offeringid__4[[#This Row],[Value.legacyid]])</f>
        <v>17085301854</v>
      </c>
      <c r="D1134" t="s">
        <v>917</v>
      </c>
      <c r="E1134" t="s">
        <v>2189</v>
      </c>
      <c r="F1134" s="61"/>
      <c r="H1134" s="61"/>
      <c r="J1134" t="str">
        <f>ToJsonArray(supplementary_offering_offeringid__4[[#Headers],[legacyid]:[activityId]],supplementary_offering_offeringid__4[[#This Row],[legacyid]:[activityId]])</f>
        <v>{"legacyid":"17085301854","name":"Numero Movil Incluido","mode":"I"}</v>
      </c>
      <c r="K1134" t="str">
        <f>ToJsonArray(supplementary_offering_offeringid__4[[#This Row],[produccion]],supplementary_offering_offeringid__4[[#This Row],[json]])</f>
        <v>{"990000609":{"legacyid":"17085301854","name":"Numero Movil Incluido","mode":"I"}}</v>
      </c>
    </row>
    <row r="1135" spans="1:11" x14ac:dyDescent="0.25">
      <c r="A1135" s="61" t="s">
        <v>5482</v>
      </c>
      <c r="B1135" t="s">
        <v>5481</v>
      </c>
      <c r="C1135" t="str">
        <f>findKey(supplementary_offering_offeringid__4[[#This Row],[Value.legacyid]])</f>
        <v>17085303926</v>
      </c>
      <c r="D1135" t="s">
        <v>218</v>
      </c>
      <c r="E1135" t="s">
        <v>2189</v>
      </c>
      <c r="F1135" s="61"/>
      <c r="H1135" s="61"/>
      <c r="J1135" t="str">
        <f>ToJsonArray(supplementary_offering_offeringid__4[[#Headers],[legacyid]:[activityId]],supplementary_offering_offeringid__4[[#This Row],[legacyid]:[activityId]])</f>
        <v>{"legacyid":"17085303926","name":"3 Accesos Incluidos - simultaneidad","mode":"I"}</v>
      </c>
      <c r="K1135" t="str">
        <f>ToJsonArray(supplementary_offering_offeringid__4[[#This Row],[produccion]],supplementary_offering_offeringid__4[[#This Row],[json]])</f>
        <v>{"990000611":{"legacyid":"17085303926","name":"3 Accesos Incluidos - simultaneidad","mode":"I"}}</v>
      </c>
    </row>
    <row r="1136" spans="1:11" x14ac:dyDescent="0.25">
      <c r="A1136" s="61" t="s">
        <v>2213</v>
      </c>
      <c r="B1136" t="s">
        <v>2212</v>
      </c>
      <c r="C1136" t="str">
        <f>findKey(supplementary_offering_offeringid__4[[#This Row],[Value.legacyid]])</f>
        <v>17083124334</v>
      </c>
      <c r="D1136" t="s">
        <v>1744</v>
      </c>
      <c r="E1136" t="s">
        <v>2189</v>
      </c>
      <c r="F1136" s="61"/>
      <c r="H1136" s="61"/>
      <c r="J1136" t="str">
        <f>ToJsonArray(supplementary_offering_offeringid__4[[#Headers],[legacyid]:[activityId]],supplementary_offering_offeringid__4[[#This Row],[legacyid]:[activityId]])</f>
        <v>{"legacyid":"17083124334","name":"Plan Datos 1 MB Corporativo vol 500","mode":"I"}</v>
      </c>
      <c r="K1136" t="str">
        <f>ToJsonArray(supplementary_offering_offeringid__4[[#This Row],[produccion]],supplementary_offering_offeringid__4[[#This Row],[json]])</f>
        <v>{"990000612":{"legacyid":"17083124334","name":"Plan Datos 1 MB Corporativo vol 500","mode":"I"}}</v>
      </c>
    </row>
    <row r="1137" spans="1:11" x14ac:dyDescent="0.25">
      <c r="A1137" s="61" t="s">
        <v>2261</v>
      </c>
      <c r="B1137" t="s">
        <v>2260</v>
      </c>
      <c r="C1137" t="str">
        <f>findKey(supplementary_offering_offeringid__4[[#This Row],[Value.legacyid]])</f>
        <v>17083122451</v>
      </c>
      <c r="D1137" t="s">
        <v>2027</v>
      </c>
      <c r="E1137" t="s">
        <v>2189</v>
      </c>
      <c r="F1137" s="61"/>
      <c r="H1137" s="61"/>
      <c r="J1137" t="str">
        <f>ToJsonArray(supplementary_offering_offeringid__4[[#Headers],[legacyid]:[activityId]],supplementary_offering_offeringid__4[[#This Row],[legacyid]:[activityId]])</f>
        <v>{"legacyid":"17083122451","name":"Plan Datos 1 MB Corporativo vol Mayor a 1000","mode":"I"}</v>
      </c>
      <c r="K1137" t="str">
        <f>ToJsonArray(supplementary_offering_offeringid__4[[#This Row],[produccion]],supplementary_offering_offeringid__4[[#This Row],[json]])</f>
        <v>{"990000613":{"legacyid":"17083122451","name":"Plan Datos 1 MB Corporativo vol Mayor a 1000","mode":"I"}}</v>
      </c>
    </row>
    <row r="1138" spans="1:11" x14ac:dyDescent="0.25">
      <c r="A1138" s="61" t="s">
        <v>2223</v>
      </c>
      <c r="B1138" t="s">
        <v>2222</v>
      </c>
      <c r="C1138" t="str">
        <f>findKey(supplementary_offering_offeringid__4[[#This Row],[Value.legacyid]])</f>
        <v>17083122977</v>
      </c>
      <c r="D1138" t="s">
        <v>1994</v>
      </c>
      <c r="E1138" t="s">
        <v>2189</v>
      </c>
      <c r="F1138" s="61"/>
      <c r="H1138" s="61"/>
      <c r="J1138" t="str">
        <f>ToJsonArray(supplementary_offering_offeringid__4[[#Headers],[legacyid]:[activityId]],supplementary_offering_offeringid__4[[#This Row],[legacyid]:[activityId]])</f>
        <v>{"legacyid":"17083122977","name":"Plan Datos 10 MB Corporativo vol 500","mode":"I"}</v>
      </c>
      <c r="K1138" t="str">
        <f>ToJsonArray(supplementary_offering_offeringid__4[[#This Row],[produccion]],supplementary_offering_offeringid__4[[#This Row],[json]])</f>
        <v>{"990000614":{"legacyid":"17083122977","name":"Plan Datos 10 MB Corporativo vol 500","mode":"I"}}</v>
      </c>
    </row>
    <row r="1139" spans="1:11" x14ac:dyDescent="0.25">
      <c r="A1139" s="61" t="s">
        <v>2229</v>
      </c>
      <c r="B1139" t="s">
        <v>2228</v>
      </c>
      <c r="C1139" t="str">
        <f>findKey(supplementary_offering_offeringid__4[[#This Row],[Value.legacyid]])</f>
        <v>17083121697</v>
      </c>
      <c r="D1139" t="s">
        <v>1983</v>
      </c>
      <c r="E1139" t="s">
        <v>2189</v>
      </c>
      <c r="F1139" s="61"/>
      <c r="H1139" s="61"/>
      <c r="J1139" t="str">
        <f>ToJsonArray(supplementary_offering_offeringid__4[[#Headers],[legacyid]:[activityId]],supplementary_offering_offeringid__4[[#This Row],[legacyid]:[activityId]])</f>
        <v>{"legacyid":"17083121697","name":"Plan Datos 20 MB Corporativo vol 500","mode":"I"}</v>
      </c>
      <c r="K1139" t="str">
        <f>ToJsonArray(supplementary_offering_offeringid__4[[#This Row],[produccion]],supplementary_offering_offeringid__4[[#This Row],[json]])</f>
        <v>{"990000615":{"legacyid":"17083121697","name":"Plan Datos 20 MB Corporativo vol 500","mode":"I"}}</v>
      </c>
    </row>
    <row r="1140" spans="1:11" x14ac:dyDescent="0.25">
      <c r="A1140" s="61" t="s">
        <v>2241</v>
      </c>
      <c r="B1140" t="s">
        <v>2240</v>
      </c>
      <c r="C1140" t="str">
        <f>findKey(supplementary_offering_offeringid__4[[#This Row],[Value.legacyid]])</f>
        <v>17083124797</v>
      </c>
      <c r="D1140" t="s">
        <v>1914</v>
      </c>
      <c r="E1140" t="s">
        <v>2189</v>
      </c>
      <c r="F1140" s="61"/>
      <c r="H1140" s="61"/>
      <c r="J1140" t="str">
        <f>ToJsonArray(supplementary_offering_offeringid__4[[#Headers],[legacyid]:[activityId]],supplementary_offering_offeringid__4[[#This Row],[legacyid]:[activityId]])</f>
        <v>{"legacyid":"17083124797","name":"Plan Datos Control 3 MB Corporativo vol 500","mode":"I"}</v>
      </c>
      <c r="K1140" t="str">
        <f>ToJsonArray(supplementary_offering_offeringid__4[[#This Row],[produccion]],supplementary_offering_offeringid__4[[#This Row],[json]])</f>
        <v>{"990000616":{"legacyid":"17083124797","name":"Plan Datos Control 3 MB Corporativo vol 500","mode":"I"}}</v>
      </c>
    </row>
    <row r="1141" spans="1:11" x14ac:dyDescent="0.25">
      <c r="A1141" s="61" t="s">
        <v>2259</v>
      </c>
      <c r="B1141" t="s">
        <v>2258</v>
      </c>
      <c r="C1141" t="str">
        <f>findKey(supplementary_offering_offeringid__4[[#This Row],[Value.legacyid]])</f>
        <v>17083128896</v>
      </c>
      <c r="D1141" t="s">
        <v>937</v>
      </c>
      <c r="E1141" t="s">
        <v>2189</v>
      </c>
      <c r="F1141" s="61"/>
      <c r="H1141" s="61"/>
      <c r="J1141" t="str">
        <f>ToJsonArray(supplementary_offering_offeringid__4[[#Headers],[legacyid]:[activityId]],supplementary_offering_offeringid__4[[#This Row],[legacyid]:[activityId]])</f>
        <v>{"legacyid":"17083128896","name":"Plan Datos Control 3 MB Corporativo vol Mayor a 1000","mode":"I"}</v>
      </c>
      <c r="K1141" t="str">
        <f>ToJsonArray(supplementary_offering_offeringid__4[[#This Row],[produccion]],supplementary_offering_offeringid__4[[#This Row],[json]])</f>
        <v>{"990000617":{"legacyid":"17083128896","name":"Plan Datos Control 3 MB Corporativo vol Mayor a 1000","mode":"I"}}</v>
      </c>
    </row>
    <row r="1142" spans="1:11" x14ac:dyDescent="0.25">
      <c r="A1142" s="61" t="s">
        <v>2249</v>
      </c>
      <c r="B1142" t="s">
        <v>2248</v>
      </c>
      <c r="C1142" t="str">
        <f>findKey(supplementary_offering_offeringid__4[[#This Row],[Value.legacyid]])</f>
        <v>17083124835</v>
      </c>
      <c r="D1142" t="s">
        <v>2024</v>
      </c>
      <c r="E1142" t="s">
        <v>2189</v>
      </c>
      <c r="F1142" s="61"/>
      <c r="H1142" s="61"/>
      <c r="J1142" t="str">
        <f>ToJsonArray(supplementary_offering_offeringid__4[[#Headers],[legacyid]:[activityId]],supplementary_offering_offeringid__4[[#This Row],[legacyid]:[activityId]])</f>
        <v>{"legacyid":"17083124835","name":"Plan Datos Control 30 MB Corporativo vol 500","mode":"I"}</v>
      </c>
      <c r="K1142" t="str">
        <f>ToJsonArray(supplementary_offering_offeringid__4[[#This Row],[produccion]],supplementary_offering_offeringid__4[[#This Row],[json]])</f>
        <v>{"990000618":{"legacyid":"17083124835","name":"Plan Datos Control 30 MB Corporativo vol 500","mode":"I"}}</v>
      </c>
    </row>
    <row r="1143" spans="1:11" x14ac:dyDescent="0.25">
      <c r="A1143" s="61" t="s">
        <v>2306</v>
      </c>
      <c r="B1143" t="s">
        <v>2305</v>
      </c>
      <c r="C1143" t="str">
        <f>findKey(supplementary_offering_offeringid__4[[#This Row],[Value.legacyid]])</f>
        <v>17083125725</v>
      </c>
      <c r="D1143" t="s">
        <v>1918</v>
      </c>
      <c r="E1143" t="s">
        <v>2189</v>
      </c>
      <c r="F1143" s="61"/>
      <c r="H1143" s="61"/>
      <c r="J1143" t="str">
        <f>ToJsonArray(supplementary_offering_offeringid__4[[#Headers],[legacyid]:[activityId]],supplementary_offering_offeringid__4[[#This Row],[legacyid]:[activityId]])</f>
        <v>{"legacyid":"17083125725","name":"Plan Datos Control 5 MB Corporativo vol 500","mode":"I"}</v>
      </c>
      <c r="K1143" t="str">
        <f>ToJsonArray(supplementary_offering_offeringid__4[[#This Row],[produccion]],supplementary_offering_offeringid__4[[#This Row],[json]])</f>
        <v>{"990000619":{"legacyid":"17083125725","name":"Plan Datos Control 5 MB Corporativo vol 500","mode":"I"}}</v>
      </c>
    </row>
    <row r="1144" spans="1:11" x14ac:dyDescent="0.25">
      <c r="A1144" s="61" t="s">
        <v>5484</v>
      </c>
      <c r="B1144" t="s">
        <v>5483</v>
      </c>
      <c r="C1144" t="str">
        <f>findKey(supplementary_offering_offeringid__4[[#This Row],[Value.legacyid]])</f>
        <v>17083122771</v>
      </c>
      <c r="D1144" t="s">
        <v>767</v>
      </c>
      <c r="E1144" t="s">
        <v>2189</v>
      </c>
      <c r="F1144" s="61"/>
      <c r="H1144" s="61"/>
      <c r="J1144" t="str">
        <f>ToJsonArray(supplementary_offering_offeringid__4[[#Headers],[legacyid]:[activityId]],supplementary_offering_offeringid__4[[#This Row],[legacyid]:[activityId]])</f>
        <v>{"legacyid":"17083122771","name":"Plan Datos Control 500 MB Corporativo vol 500","mode":"I"}</v>
      </c>
      <c r="K1144" t="str">
        <f>ToJsonArray(supplementary_offering_offeringid__4[[#This Row],[produccion]],supplementary_offering_offeringid__4[[#This Row],[json]])</f>
        <v>{"990000620":{"legacyid":"17083122771","name":"Plan Datos Control 500 MB Corporativo vol 500","mode":"I"}}</v>
      </c>
    </row>
    <row r="1145" spans="1:11" x14ac:dyDescent="0.25">
      <c r="A1145" s="61" t="s">
        <v>5486</v>
      </c>
      <c r="B1145" t="s">
        <v>5485</v>
      </c>
      <c r="C1145" t="str">
        <f>findKey(supplementary_offering_offeringid__4[[#This Row],[Value.legacyid]])</f>
        <v>19372908103</v>
      </c>
      <c r="D1145" t="s">
        <v>319</v>
      </c>
      <c r="E1145" t="s">
        <v>2189</v>
      </c>
      <c r="F1145" s="61"/>
      <c r="H1145" s="61"/>
      <c r="J1145" t="str">
        <f>ToJsonArray(supplementary_offering_offeringid__4[[#Headers],[legacyid]:[activityId]],supplementary_offering_offeringid__4[[#This Row],[legacyid]:[activityId]])</f>
        <v>{"legacyid":"19372908103","name":"Paquete Control Ilimitado Corporativo 3GB","mode":"I"}</v>
      </c>
      <c r="K1145" t="str">
        <f>ToJsonArray(supplementary_offering_offeringid__4[[#This Row],[produccion]],supplementary_offering_offeringid__4[[#This Row],[json]])</f>
        <v>{"990000621":{"legacyid":"19372908103","name":"Paquete Control Ilimitado Corporativo 3GB","mode":"I"}}</v>
      </c>
    </row>
    <row r="1146" spans="1:11" x14ac:dyDescent="0.25">
      <c r="A1146" s="61" t="s">
        <v>5488</v>
      </c>
      <c r="B1146" t="s">
        <v>5487</v>
      </c>
      <c r="C1146" t="str">
        <f>findKey(supplementary_offering_offeringid__4[[#This Row],[Value.legacyid]])</f>
        <v>19372905799</v>
      </c>
      <c r="D1146" t="s">
        <v>318</v>
      </c>
      <c r="E1146" t="s">
        <v>2189</v>
      </c>
      <c r="F1146" s="61"/>
      <c r="H1146" s="61"/>
      <c r="J1146" t="str">
        <f>ToJsonArray(supplementary_offering_offeringid__4[[#Headers],[legacyid]:[activityId]],supplementary_offering_offeringid__4[[#This Row],[legacyid]:[activityId]])</f>
        <v>{"legacyid":"19372905799","name":"Paquete Control Ilimitado Corporativo 500MB","mode":"I"}</v>
      </c>
      <c r="K1146" t="str">
        <f>ToJsonArray(supplementary_offering_offeringid__4[[#This Row],[produccion]],supplementary_offering_offeringid__4[[#This Row],[json]])</f>
        <v>{"990000622":{"legacyid":"19372905799","name":"Paquete Control Ilimitado Corporativo 500MB","mode":"I"}}</v>
      </c>
    </row>
    <row r="1147" spans="1:11" x14ac:dyDescent="0.25">
      <c r="A1147" s="61" t="s">
        <v>2304</v>
      </c>
      <c r="B1147" t="s">
        <v>2303</v>
      </c>
      <c r="C1147" t="str">
        <f>findKey(supplementary_offering_offeringid__4[[#This Row],[Value.legacyid]])</f>
        <v>17083122279</v>
      </c>
      <c r="D1147" t="s">
        <v>503</v>
      </c>
      <c r="E1147" t="s">
        <v>2189</v>
      </c>
      <c r="F1147" s="61"/>
      <c r="H1147" s="61"/>
      <c r="J1147" t="str">
        <f>ToJsonArray(supplementary_offering_offeringid__4[[#Headers],[legacyid]:[activityId]],supplementary_offering_offeringid__4[[#This Row],[legacyid]:[activityId]])</f>
        <v>{"legacyid":"17083122279","name":"Plan Datos Control ilimitado Corporativo vol 1000","mode":"I"}</v>
      </c>
      <c r="K1147" t="str">
        <f>ToJsonArray(supplementary_offering_offeringid__4[[#This Row],[produccion]],supplementary_offering_offeringid__4[[#This Row],[json]])</f>
        <v>{"990000623":{"legacyid":"17083122279","name":"Plan Datos Control ilimitado Corporativo vol 1000","mode":"I"}}</v>
      </c>
    </row>
    <row r="1148" spans="1:11" x14ac:dyDescent="0.25">
      <c r="A1148" s="61" t="s">
        <v>6253</v>
      </c>
      <c r="B1148" t="s">
        <v>2271</v>
      </c>
      <c r="C1148" t="str">
        <f>findKey(supplementary_offering_offeringid__4[[#This Row],[Value.legacyid]])</f>
        <v>17083124603</v>
      </c>
      <c r="D1148" t="s">
        <v>394</v>
      </c>
      <c r="E1148" t="s">
        <v>2189</v>
      </c>
      <c r="F1148" s="61"/>
      <c r="H1148" s="61"/>
      <c r="J1148" t="str">
        <f>ToJsonArray(supplementary_offering_offeringid__4[[#Headers],[legacyid]:[activityId]],supplementary_offering_offeringid__4[[#This Row],[legacyid]:[activityId]])</f>
        <v>{"legacyid":"17083124603","name":"Plan Datos Control ilimitado Corporativo vol 500","mode":"I"}</v>
      </c>
      <c r="K1148" t="str">
        <f>ToJsonArray(supplementary_offering_offeringid__4[[#This Row],[produccion]],supplementary_offering_offeringid__4[[#This Row],[json]])</f>
        <v>{"990000624":{"legacyid":"17083124603","name":"Plan Datos Control ilimitado Corporativo vol 500","mode":"I"}}</v>
      </c>
    </row>
    <row r="1149" spans="1:11" x14ac:dyDescent="0.25">
      <c r="A1149" s="61" t="s">
        <v>2286</v>
      </c>
      <c r="B1149" t="s">
        <v>2285</v>
      </c>
      <c r="C1149" t="str">
        <f>findKey(supplementary_offering_offeringid__4[[#This Row],[Value.legacyid]])</f>
        <v>17083092924</v>
      </c>
      <c r="D1149" t="s">
        <v>1584</v>
      </c>
      <c r="E1149" t="s">
        <v>2189</v>
      </c>
      <c r="F1149" s="61"/>
      <c r="H1149" s="61"/>
      <c r="J1149" t="str">
        <f>ToJsonArray(supplementary_offering_offeringid__4[[#Headers],[legacyid]:[activityId]],supplementary_offering_offeringid__4[[#This Row],[legacyid]:[activityId]])</f>
        <v>{"legacyid":"17083092924","name":"Plan Datos Control ilimitado Corporativo vol Mayor a 1000","mode":"I"}</v>
      </c>
      <c r="K1149" t="str">
        <f>ToJsonArray(supplementary_offering_offeringid__4[[#This Row],[produccion]],supplementary_offering_offeringid__4[[#This Row],[json]])</f>
        <v>{"990000625":{"legacyid":"17083092924","name":"Plan Datos Control ilimitado Corporativo vol Mayor a 1000","mode":"I"}}</v>
      </c>
    </row>
    <row r="1150" spans="1:11" x14ac:dyDescent="0.25">
      <c r="A1150" s="61">
        <v>990000626</v>
      </c>
      <c r="B1150" t="s">
        <v>2291</v>
      </c>
      <c r="C1150" t="str">
        <f>findKey(supplementary_offering_offeringid__4[[#This Row],[Value.legacyid]])</f>
        <v>17083122416</v>
      </c>
      <c r="D1150" t="s">
        <v>1692</v>
      </c>
      <c r="E1150" t="s">
        <v>2189</v>
      </c>
      <c r="F1150" s="61" t="s">
        <v>6254</v>
      </c>
      <c r="G1150" t="s">
        <v>6385</v>
      </c>
      <c r="H1150" s="61"/>
      <c r="J1150" t="str">
        <f>ToJsonArray(supplementary_offering_offeringid__4[[#Headers],[legacyid]:[activityId]],supplementary_offering_offeringid__4[[#This Row],[legacyid]:[activityId]])</f>
        <v>{"legacyid":"17083122416","name":"CLIR","mode":"I","amount":"10345","resources":[]}</v>
      </c>
      <c r="K1150" t="str">
        <f>ToJsonArray(supplementary_offering_offeringid__4[[#This Row],[produccion]],supplementary_offering_offeringid__4[[#This Row],[json]])</f>
        <v>{"990000626":{"legacyid":"17083122416","name":"CLIR","mode":"I","amount":"10345","resources":[]}}</v>
      </c>
    </row>
    <row r="1151" spans="1:11" x14ac:dyDescent="0.25">
      <c r="A1151" s="61" t="s">
        <v>2257</v>
      </c>
      <c r="B1151" t="s">
        <v>2256</v>
      </c>
      <c r="C1151" t="str">
        <f>findKey(supplementary_offering_offeringid__4[[#This Row],[Value.legacyid]])</f>
        <v>17083125655</v>
      </c>
      <c r="D1151" t="s">
        <v>1588</v>
      </c>
      <c r="E1151" t="s">
        <v>2189</v>
      </c>
      <c r="F1151" s="61"/>
      <c r="H1151" s="61"/>
      <c r="J1151" t="str">
        <f>ToJsonArray(supplementary_offering_offeringid__4[[#Headers],[legacyid]:[activityId]],supplementary_offering_offeringid__4[[#This Row],[legacyid]:[activityId]])</f>
        <v>{"legacyid":"17083125655","name":"Plan Datos Internet Movil Tigo ilimitado Control Corporativo","mode":"I"}</v>
      </c>
      <c r="K1151" t="str">
        <f>ToJsonArray(supplementary_offering_offeringid__4[[#This Row],[produccion]],supplementary_offering_offeringid__4[[#This Row],[json]])</f>
        <v>{"990000627":{"legacyid":"17083125655","name":"Plan Datos Internet Movil Tigo ilimitado Control Corporativo","mode":"I"}}</v>
      </c>
    </row>
    <row r="1152" spans="1:11" x14ac:dyDescent="0.25">
      <c r="A1152" s="61" t="s">
        <v>2263</v>
      </c>
      <c r="B1152" t="s">
        <v>2262</v>
      </c>
      <c r="C1152" t="str">
        <f>findKey(supplementary_offering_offeringid__4[[#This Row],[Value.legacyid]])</f>
        <v>17083125067</v>
      </c>
      <c r="D1152" t="s">
        <v>253</v>
      </c>
      <c r="E1152" t="s">
        <v>2189</v>
      </c>
      <c r="F1152" s="61"/>
      <c r="H1152" s="61"/>
      <c r="J1152" t="str">
        <f>ToJsonArray(supplementary_offering_offeringid__4[[#Headers],[legacyid]:[activityId]],supplementary_offering_offeringid__4[[#This Row],[legacyid]:[activityId]])</f>
        <v>{"legacyid":"17083125067","name":"Paquete Datos Control 5 MB Corporativo vol 500","mode":"I"}</v>
      </c>
      <c r="K1152" t="str">
        <f>ToJsonArray(supplementary_offering_offeringid__4[[#This Row],[produccion]],supplementary_offering_offeringid__4[[#This Row],[json]])</f>
        <v>{"990000628":{"legacyid":"17083125067","name":"Paquete Datos Control 5 MB Corporativo vol 500","mode":"I"}}</v>
      </c>
    </row>
    <row r="1153" spans="1:11" x14ac:dyDescent="0.25">
      <c r="A1153" s="61" t="s">
        <v>2272</v>
      </c>
      <c r="B1153" t="s">
        <v>2271</v>
      </c>
      <c r="C1153" t="str">
        <f>findKey(supplementary_offering_offeringid__4[[#This Row],[Value.legacyid]])</f>
        <v>17083124603</v>
      </c>
      <c r="D1153" t="s">
        <v>394</v>
      </c>
      <c r="E1153" t="s">
        <v>2189</v>
      </c>
      <c r="F1153" s="61"/>
      <c r="H1153" s="61"/>
      <c r="J1153" t="str">
        <f>ToJsonArray(supplementary_offering_offeringid__4[[#Headers],[legacyid]:[activityId]],supplementary_offering_offeringid__4[[#This Row],[legacyid]:[activityId]])</f>
        <v>{"legacyid":"17083124603","name":"Plan Datos Control ilimitado Corporativo vol 500","mode":"I"}</v>
      </c>
      <c r="K1153" t="str">
        <f>ToJsonArray(supplementary_offering_offeringid__4[[#This Row],[produccion]],supplementary_offering_offeringid__4[[#This Row],[json]])</f>
        <v>{"990000629":{"legacyid":"17083124603","name":"Plan Datos Control ilimitado Corporativo vol 500","mode":"I"}}</v>
      </c>
    </row>
    <row r="1154" spans="1:11" x14ac:dyDescent="0.25">
      <c r="A1154" s="61" t="s">
        <v>2290</v>
      </c>
      <c r="B1154" t="s">
        <v>2289</v>
      </c>
      <c r="C1154" t="str">
        <f>findKey(supplementary_offering_offeringid__4[[#This Row],[Value.legacyid]])</f>
        <v>17083123342</v>
      </c>
      <c r="D1154" t="s">
        <v>1894</v>
      </c>
      <c r="E1154" t="s">
        <v>2189</v>
      </c>
      <c r="F1154" s="61"/>
      <c r="H1154" s="61"/>
      <c r="J1154" t="str">
        <f>ToJsonArray(supplementary_offering_offeringid__4[[#Headers],[legacyid]:[activityId]],supplementary_offering_offeringid__4[[#This Row],[legacyid]:[activityId]])</f>
        <v>{"legacyid":"17083123342","name":"Plan Datos Internet Movil Tigo ilimitado Control","mode":"I"}</v>
      </c>
      <c r="K1154" t="str">
        <f>ToJsonArray(supplementary_offering_offeringid__4[[#This Row],[produccion]],supplementary_offering_offeringid__4[[#This Row],[json]])</f>
        <v>{"990000630":{"legacyid":"17083123342","name":"Plan Datos Internet Movil Tigo ilimitado Control","mode":"I"}}</v>
      </c>
    </row>
    <row r="1155" spans="1:11" x14ac:dyDescent="0.25">
      <c r="A1155" s="61" t="s">
        <v>5490</v>
      </c>
      <c r="B1155" t="s">
        <v>5489</v>
      </c>
      <c r="C1155" t="str">
        <f>findKey(supplementary_offering_offeringid__4[[#This Row],[Value.legacyid]])</f>
        <v>17083125333</v>
      </c>
      <c r="D1155" t="s">
        <v>1757</v>
      </c>
      <c r="E1155" t="s">
        <v>2189</v>
      </c>
      <c r="F1155" s="61"/>
      <c r="H1155" s="61"/>
      <c r="J1155" t="str">
        <f>ToJsonArray(supplementary_offering_offeringid__4[[#Headers],[legacyid]:[activityId]],supplementary_offering_offeringid__4[[#This Row],[legacyid]:[activityId]])</f>
        <v>{"legacyid":"17083125333","name":"Plan Datos Internet Movil Tigo ilimitado Total Control","mode":"I"}</v>
      </c>
      <c r="K1155" t="str">
        <f>ToJsonArray(supplementary_offering_offeringid__4[[#This Row],[produccion]],supplementary_offering_offeringid__4[[#This Row],[json]])</f>
        <v>{"990000631":{"legacyid":"17083125333","name":"Plan Datos Internet Movil Tigo ilimitado Total Control","mode":"I"}}</v>
      </c>
    </row>
    <row r="1156" spans="1:11" x14ac:dyDescent="0.25">
      <c r="A1156" s="61" t="s">
        <v>6255</v>
      </c>
      <c r="B1156" t="s">
        <v>5485</v>
      </c>
      <c r="C1156" t="str">
        <f>findKey(supplementary_offering_offeringid__4[[#This Row],[Value.legacyid]])</f>
        <v>19372908103</v>
      </c>
      <c r="D1156" t="s">
        <v>319</v>
      </c>
      <c r="E1156" t="s">
        <v>2189</v>
      </c>
      <c r="F1156" s="61"/>
      <c r="H1156" s="61"/>
      <c r="J1156" t="str">
        <f>ToJsonArray(supplementary_offering_offeringid__4[[#Headers],[legacyid]:[activityId]],supplementary_offering_offeringid__4[[#This Row],[legacyid]:[activityId]])</f>
        <v>{"legacyid":"19372908103","name":"Paquete Control Ilimitado Corporativo 3GB","mode":"I"}</v>
      </c>
      <c r="K1156" t="str">
        <f>ToJsonArray(supplementary_offering_offeringid__4[[#This Row],[produccion]],supplementary_offering_offeringid__4[[#This Row],[json]])</f>
        <v>{"990000632":{"legacyid":"19372908103","name":"Paquete Control Ilimitado Corporativo 3GB","mode":"I"}}</v>
      </c>
    </row>
    <row r="1157" spans="1:11" x14ac:dyDescent="0.25">
      <c r="A1157" s="61" t="s">
        <v>5492</v>
      </c>
      <c r="B1157" t="s">
        <v>5491</v>
      </c>
      <c r="C1157" t="str">
        <f>findKey(supplementary_offering_offeringid__4[[#This Row],[Value.legacyid]])</f>
        <v>17101189636</v>
      </c>
      <c r="D1157" t="s">
        <v>1999</v>
      </c>
      <c r="E1157" t="s">
        <v>2189</v>
      </c>
      <c r="F1157" s="61"/>
      <c r="H1157" s="61"/>
      <c r="J1157" t="str">
        <f>ToJsonArray(supplementary_offering_offeringid__4[[#Headers],[legacyid]:[activityId]],supplementary_offering_offeringid__4[[#This Row],[legacyid]:[activityId]])</f>
        <v>{"legacyid":"17101189636","name":"Paquete de datos Internet Total limitado control Mes 10GB","mode":"I"}</v>
      </c>
      <c r="K1157" t="str">
        <f>ToJsonArray(supplementary_offering_offeringid__4[[#This Row],[produccion]],supplementary_offering_offeringid__4[[#This Row],[json]])</f>
        <v>{"990000633":{"legacyid":"17101189636","name":"Paquete de datos Internet Total limitado control Mes 10GB","mode":"I"}}</v>
      </c>
    </row>
    <row r="1158" spans="1:11" x14ac:dyDescent="0.25">
      <c r="A1158" s="61" t="s">
        <v>5494</v>
      </c>
      <c r="B1158" t="s">
        <v>5493</v>
      </c>
      <c r="C1158" t="str">
        <f>findKey(supplementary_offering_offeringid__4[[#This Row],[Value.legacyid]])</f>
        <v>17101190404</v>
      </c>
      <c r="D1158" t="s">
        <v>2001</v>
      </c>
      <c r="E1158" t="s">
        <v>2189</v>
      </c>
      <c r="F1158" s="61"/>
      <c r="H1158" s="61"/>
      <c r="J1158" t="str">
        <f>ToJsonArray(supplementary_offering_offeringid__4[[#Headers],[legacyid]:[activityId]],supplementary_offering_offeringid__4[[#This Row],[legacyid]:[activityId]])</f>
        <v>{"legacyid":"17101190404","name":"Paquete de datos Internet Total limitado control Mes 20GB","mode":"I"}</v>
      </c>
      <c r="K1158" t="str">
        <f>ToJsonArray(supplementary_offering_offeringid__4[[#This Row],[produccion]],supplementary_offering_offeringid__4[[#This Row],[json]])</f>
        <v>{"990000634":{"legacyid":"17101190404","name":"Paquete de datos Internet Total limitado control Mes 20GB","mode":"I"}}</v>
      </c>
    </row>
    <row r="1159" spans="1:11" x14ac:dyDescent="0.25">
      <c r="A1159" s="61" t="s">
        <v>5496</v>
      </c>
      <c r="B1159" t="s">
        <v>5495</v>
      </c>
      <c r="C1159" t="str">
        <f>findKey(supplementary_offering_offeringid__4[[#This Row],[Value.legacyid]])</f>
        <v>17101192708</v>
      </c>
      <c r="D1159" t="s">
        <v>2000</v>
      </c>
      <c r="E1159" t="s">
        <v>2189</v>
      </c>
      <c r="F1159" s="61"/>
      <c r="H1159" s="61"/>
      <c r="J1159" t="str">
        <f>ToJsonArray(supplementary_offering_offeringid__4[[#Headers],[legacyid]:[activityId]],supplementary_offering_offeringid__4[[#This Row],[legacyid]:[activityId]])</f>
        <v>{"legacyid":"17101192708","name":"Paquete de datos Internet Total limitado control Mes 15GB","mode":"I"}</v>
      </c>
      <c r="K1159" t="str">
        <f>ToJsonArray(supplementary_offering_offeringid__4[[#This Row],[produccion]],supplementary_offering_offeringid__4[[#This Row],[json]])</f>
        <v>{"990000635":{"legacyid":"17101192708","name":"Paquete de datos Internet Total limitado control Mes 15GB","mode":"I"}}</v>
      </c>
    </row>
    <row r="1160" spans="1:11" x14ac:dyDescent="0.25">
      <c r="A1160" s="61" t="s">
        <v>5498</v>
      </c>
      <c r="B1160" t="s">
        <v>5497</v>
      </c>
      <c r="C1160" t="str">
        <f>findKey(supplementary_offering_offeringid__4[[#This Row],[Value.legacyid]])</f>
        <v>17084589532</v>
      </c>
      <c r="D1160" t="s">
        <v>608</v>
      </c>
      <c r="E1160" t="s">
        <v>2189</v>
      </c>
      <c r="F1160" s="61"/>
      <c r="H1160" s="61"/>
      <c r="J1160" t="str">
        <f>ToJsonArray(supplementary_offering_offeringid__4[[#Headers],[legacyid]:[activityId]],supplementary_offering_offeringid__4[[#This Row],[legacyid]:[activityId]])</f>
        <v>{"legacyid":"17084589532","name":"Paquete Internet limitado control Mes Vencido 20GB","mode":"I"}</v>
      </c>
      <c r="K1160" t="str">
        <f>ToJsonArray(supplementary_offering_offeringid__4[[#This Row],[produccion]],supplementary_offering_offeringid__4[[#This Row],[json]])</f>
        <v>{"990000636":{"legacyid":"17084589532","name":"Paquete Internet limitado control Mes Vencido 20GB","mode":"I"}}</v>
      </c>
    </row>
    <row r="1161" spans="1:11" x14ac:dyDescent="0.25">
      <c r="A1161" s="61" t="s">
        <v>5500</v>
      </c>
      <c r="B1161" t="s">
        <v>5499</v>
      </c>
      <c r="C1161" t="str">
        <f>findKey(supplementary_offering_offeringid__4[[#This Row],[Value.legacyid]])</f>
        <v>17084589548</v>
      </c>
      <c r="D1161" t="s">
        <v>488</v>
      </c>
      <c r="E1161" t="s">
        <v>2189</v>
      </c>
      <c r="F1161" s="61"/>
      <c r="H1161" s="61"/>
      <c r="J1161" t="str">
        <f>ToJsonArray(supplementary_offering_offeringid__4[[#Headers],[legacyid]:[activityId]],supplementary_offering_offeringid__4[[#This Row],[legacyid]:[activityId]])</f>
        <v>{"legacyid":"17084589548","name":"Paquete Datos Mes Corriente 500 MB con Corte Control","mode":"I"}</v>
      </c>
      <c r="K1161" t="str">
        <f>ToJsonArray(supplementary_offering_offeringid__4[[#This Row],[produccion]],supplementary_offering_offeringid__4[[#This Row],[json]])</f>
        <v>{"990000637":{"legacyid":"17084589548","name":"Paquete Datos Mes Corriente 500 MB con Corte Control","mode":"I"}}</v>
      </c>
    </row>
    <row r="1162" spans="1:11" x14ac:dyDescent="0.25">
      <c r="A1162" s="61" t="s">
        <v>5502</v>
      </c>
      <c r="B1162" t="s">
        <v>5501</v>
      </c>
      <c r="C1162" t="str">
        <f>findKey(supplementary_offering_offeringid__4[[#This Row],[Value.legacyid]])</f>
        <v>17084589084</v>
      </c>
      <c r="D1162" t="s">
        <v>602</v>
      </c>
      <c r="E1162" t="s">
        <v>2189</v>
      </c>
      <c r="F1162" s="61"/>
      <c r="H1162" s="61"/>
      <c r="J1162" t="str">
        <f>ToJsonArray(supplementary_offering_offeringid__4[[#Headers],[legacyid]:[activityId]],supplementary_offering_offeringid__4[[#This Row],[legacyid]:[activityId]])</f>
        <v>{"legacyid":"17084589084","name":"Paquete Datos Mes Vencido 2 GB con Corte Control","mode":"I"}</v>
      </c>
      <c r="K1162" t="str">
        <f>ToJsonArray(supplementary_offering_offeringid__4[[#This Row],[produccion]],supplementary_offering_offeringid__4[[#This Row],[json]])</f>
        <v>{"990000638":{"legacyid":"17084589084","name":"Paquete Datos Mes Vencido 2 GB con Corte Control","mode":"I"}}</v>
      </c>
    </row>
    <row r="1163" spans="1:11" x14ac:dyDescent="0.25">
      <c r="A1163" s="61" t="s">
        <v>5504</v>
      </c>
      <c r="B1163" t="s">
        <v>5503</v>
      </c>
      <c r="C1163" t="str">
        <f>findKey(supplementary_offering_offeringid__4[[#This Row],[Value.legacyid]])</f>
        <v>17084589122</v>
      </c>
      <c r="D1163" t="s">
        <v>495</v>
      </c>
      <c r="E1163" t="s">
        <v>2189</v>
      </c>
      <c r="F1163" s="61"/>
      <c r="H1163" s="61"/>
      <c r="J1163" t="str">
        <f>ToJsonArray(supplementary_offering_offeringid__4[[#Headers],[legacyid]:[activityId]],supplementary_offering_offeringid__4[[#This Row],[legacyid]:[activityId]])</f>
        <v>{"legacyid":"17084589122","name":"Paquete Internet limitado control Mes Corriente 15GB","mode":"I"}</v>
      </c>
      <c r="K1163" t="str">
        <f>ToJsonArray(supplementary_offering_offeringid__4[[#This Row],[produccion]],supplementary_offering_offeringid__4[[#This Row],[json]])</f>
        <v>{"990000639":{"legacyid":"17084589122","name":"Paquete Internet limitado control Mes Corriente 15GB","mode":"I"}}</v>
      </c>
    </row>
    <row r="1164" spans="1:11" x14ac:dyDescent="0.25">
      <c r="A1164" s="61" t="s">
        <v>5506</v>
      </c>
      <c r="B1164" t="s">
        <v>5505</v>
      </c>
      <c r="C1164" t="str">
        <f>findKey(supplementary_offering_offeringid__4[[#This Row],[Value.legacyid]])</f>
        <v>17084589740</v>
      </c>
      <c r="D1164" t="s">
        <v>479</v>
      </c>
      <c r="E1164" t="s">
        <v>2189</v>
      </c>
      <c r="F1164" s="61"/>
      <c r="H1164" s="61"/>
      <c r="J1164" t="str">
        <f>ToJsonArray(supplementary_offering_offeringid__4[[#Headers],[legacyid]:[activityId]],supplementary_offering_offeringid__4[[#This Row],[legacyid]:[activityId]])</f>
        <v>{"legacyid":"17084589740","name":"Paquete Datos Mes  Anticipado 3 GB con Corte Control","mode":"I"}</v>
      </c>
      <c r="K1164" t="str">
        <f>ToJsonArray(supplementary_offering_offeringid__4[[#This Row],[produccion]],supplementary_offering_offeringid__4[[#This Row],[json]])</f>
        <v>{"990000640":{"legacyid":"17084589740","name":"Paquete Datos Mes  Anticipado 3 GB con Corte Control","mode":"I"}}</v>
      </c>
    </row>
    <row r="1165" spans="1:11" x14ac:dyDescent="0.25">
      <c r="A1165" s="61" t="s">
        <v>5508</v>
      </c>
      <c r="B1165" t="s">
        <v>5507</v>
      </c>
      <c r="C1165" t="str">
        <f>findKey(supplementary_offering_offeringid__4[[#This Row],[Value.legacyid]])</f>
        <v>17084589698</v>
      </c>
      <c r="D1165" t="s">
        <v>482</v>
      </c>
      <c r="E1165" t="s">
        <v>2189</v>
      </c>
      <c r="F1165" s="61"/>
      <c r="H1165" s="61"/>
      <c r="J1165" t="str">
        <f>ToJsonArray(supplementary_offering_offeringid__4[[#Headers],[legacyid]:[activityId]],supplementary_offering_offeringid__4[[#This Row],[legacyid]:[activityId]])</f>
        <v>{"legacyid":"17084589698","name":"Paquete Internet limitado control Mes Anticipado 10GB","mode":"I"}</v>
      </c>
      <c r="K1165" t="str">
        <f>ToJsonArray(supplementary_offering_offeringid__4[[#This Row],[produccion]],supplementary_offering_offeringid__4[[#This Row],[json]])</f>
        <v>{"990000641":{"legacyid":"17084589698","name":"Paquete Internet limitado control Mes Anticipado 10GB","mode":"I"}}</v>
      </c>
    </row>
    <row r="1166" spans="1:11" x14ac:dyDescent="0.25">
      <c r="A1166" s="61" t="s">
        <v>5510</v>
      </c>
      <c r="B1166" t="s">
        <v>5509</v>
      </c>
      <c r="C1166" t="str">
        <f>findKey(supplementary_offering_offeringid__4[[#This Row],[Value.legacyid]])</f>
        <v>17084588972</v>
      </c>
      <c r="D1166" t="s">
        <v>477</v>
      </c>
      <c r="E1166" t="s">
        <v>2189</v>
      </c>
      <c r="F1166" s="61"/>
      <c r="H1166" s="61"/>
      <c r="J1166" t="str">
        <f>ToJsonArray(supplementary_offering_offeringid__4[[#Headers],[legacyid]:[activityId]],supplementary_offering_offeringid__4[[#This Row],[legacyid]:[activityId]])</f>
        <v>{"legacyid":"17084588972","name":"Paquete Datos Mes  Anticipado 1 GB con Corte Control","mode":"I"}</v>
      </c>
      <c r="K1166" t="str">
        <f>ToJsonArray(supplementary_offering_offeringid__4[[#This Row],[produccion]],supplementary_offering_offeringid__4[[#This Row],[json]])</f>
        <v>{"990000642":{"legacyid":"17084588972","name":"Paquete Datos Mes  Anticipado 1 GB con Corte Control","mode":"I"}}</v>
      </c>
    </row>
    <row r="1167" spans="1:11" x14ac:dyDescent="0.25">
      <c r="A1167" s="61" t="s">
        <v>5512</v>
      </c>
      <c r="B1167" t="s">
        <v>5511</v>
      </c>
      <c r="C1167" t="str">
        <f>findKey(supplementary_offering_offeringid__4[[#This Row],[Value.legacyid]])</f>
        <v>17084588930</v>
      </c>
      <c r="D1167" t="s">
        <v>484</v>
      </c>
      <c r="E1167" t="s">
        <v>2189</v>
      </c>
      <c r="F1167" s="61"/>
      <c r="H1167" s="61"/>
      <c r="J1167" t="str">
        <f>ToJsonArray(supplementary_offering_offeringid__4[[#Headers],[legacyid]:[activityId]],supplementary_offering_offeringid__4[[#This Row],[legacyid]:[activityId]])</f>
        <v>{"legacyid":"17084588930","name":"Paquete Internet limitado control Mes Anticipado 20GB","mode":"I"}</v>
      </c>
      <c r="K1167" t="str">
        <f>ToJsonArray(supplementary_offering_offeringid__4[[#This Row],[produccion]],supplementary_offering_offeringid__4[[#This Row],[json]])</f>
        <v>{"990000643":{"legacyid":"17084588930","name":"Paquete Internet limitado control Mes Anticipado 20GB","mode":"I"}}</v>
      </c>
    </row>
    <row r="1168" spans="1:11" x14ac:dyDescent="0.25">
      <c r="A1168" s="61" t="s">
        <v>5514</v>
      </c>
      <c r="B1168" t="s">
        <v>5513</v>
      </c>
      <c r="C1168" t="str">
        <f>findKey(supplementary_offering_offeringid__4[[#This Row],[Value.legacyid]])</f>
        <v>17084588780</v>
      </c>
      <c r="D1168" t="s">
        <v>492</v>
      </c>
      <c r="E1168" t="s">
        <v>2189</v>
      </c>
      <c r="F1168" s="61"/>
      <c r="H1168" s="61"/>
      <c r="J1168" t="str">
        <f>ToJsonArray(supplementary_offering_offeringid__4[[#Headers],[legacyid]:[activityId]],supplementary_offering_offeringid__4[[#This Row],[legacyid]:[activityId]])</f>
        <v>{"legacyid":"17084588780","name":"Paquete Datos Mes Corriente 5 GB con Corte Control","mode":"I"}</v>
      </c>
      <c r="K1168" t="str">
        <f>ToJsonArray(supplementary_offering_offeringid__4[[#This Row],[produccion]],supplementary_offering_offeringid__4[[#This Row],[json]])</f>
        <v>{"990000644":{"legacyid":"17084588780","name":"Paquete Datos Mes Corriente 5 GB con Corte Control","mode":"I"}}</v>
      </c>
    </row>
    <row r="1169" spans="1:11" x14ac:dyDescent="0.25">
      <c r="A1169" s="61" t="s">
        <v>5516</v>
      </c>
      <c r="B1169" t="s">
        <v>5515</v>
      </c>
      <c r="C1169" t="str">
        <f>findKey(supplementary_offering_offeringid__4[[#This Row],[Value.legacyid]])</f>
        <v>17084588124</v>
      </c>
      <c r="D1169" t="s">
        <v>603</v>
      </c>
      <c r="E1169" t="s">
        <v>2189</v>
      </c>
      <c r="F1169" s="61"/>
      <c r="H1169" s="61"/>
      <c r="J1169" t="str">
        <f>ToJsonArray(supplementary_offering_offeringid__4[[#Headers],[legacyid]:[activityId]],supplementary_offering_offeringid__4[[#This Row],[legacyid]:[activityId]])</f>
        <v>{"legacyid":"17084588124","name":"Paquete Datos Mes  Vencido 3 GB con Corte Control","mode":"I"}</v>
      </c>
      <c r="K1169" t="str">
        <f>ToJsonArray(supplementary_offering_offeringid__4[[#This Row],[produccion]],supplementary_offering_offeringid__4[[#This Row],[json]])</f>
        <v>{"990000645":{"legacyid":"17084588124","name":"Paquete Datos Mes  Vencido 3 GB con Corte Control","mode":"I"}}</v>
      </c>
    </row>
    <row r="1170" spans="1:11" x14ac:dyDescent="0.25">
      <c r="A1170" s="61" t="s">
        <v>5518</v>
      </c>
      <c r="B1170" t="s">
        <v>5517</v>
      </c>
      <c r="C1170" t="str">
        <f>findKey(supplementary_offering_offeringid__4[[#This Row],[Value.legacyid]])</f>
        <v>17084588252</v>
      </c>
      <c r="D1170" t="s">
        <v>606</v>
      </c>
      <c r="E1170" t="s">
        <v>2189</v>
      </c>
      <c r="F1170" s="61"/>
      <c r="H1170" s="61"/>
      <c r="J1170" t="str">
        <f>ToJsonArray(supplementary_offering_offeringid__4[[#Headers],[legacyid]:[activityId]],supplementary_offering_offeringid__4[[#This Row],[legacyid]:[activityId]])</f>
        <v>{"legacyid":"17084588252","name":"Paquete Internet limitado control Mes Vencido 10GB","mode":"I"}</v>
      </c>
      <c r="K1170" t="str">
        <f>ToJsonArray(supplementary_offering_offeringid__4[[#This Row],[produccion]],supplementary_offering_offeringid__4[[#This Row],[json]])</f>
        <v>{"990000646":{"legacyid":"17084588252","name":"Paquete Internet limitado control Mes Vencido 10GB","mode":"I"}}</v>
      </c>
    </row>
    <row r="1171" spans="1:11" x14ac:dyDescent="0.25">
      <c r="A1171" s="61" t="s">
        <v>5520</v>
      </c>
      <c r="B1171" t="s">
        <v>5519</v>
      </c>
      <c r="C1171" t="str">
        <f>findKey(supplementary_offering_offeringid__4[[#This Row],[Value.legacyid]])</f>
        <v>17084588380</v>
      </c>
      <c r="D1171" t="s">
        <v>493</v>
      </c>
      <c r="E1171" t="s">
        <v>2189</v>
      </c>
      <c r="F1171" s="61"/>
      <c r="H1171" s="61"/>
      <c r="J1171" t="str">
        <f>ToJsonArray(supplementary_offering_offeringid__4[[#Headers],[legacyid]:[activityId]],supplementary_offering_offeringid__4[[#This Row],[legacyid]:[activityId]])</f>
        <v>{"legacyid":"17084588380","name":"Paquete Datos  Mes Corriente Tigo Ilimitado","mode":"I"}</v>
      </c>
      <c r="K1171" t="str">
        <f>ToJsonArray(supplementary_offering_offeringid__4[[#This Row],[produccion]],supplementary_offering_offeringid__4[[#This Row],[json]])</f>
        <v>{"990000647":{"legacyid":"17084588380","name":"Paquete Datos  Mes Corriente Tigo Ilimitado","mode":"I"}}</v>
      </c>
    </row>
    <row r="1172" spans="1:11" x14ac:dyDescent="0.25">
      <c r="A1172" s="61" t="s">
        <v>5522</v>
      </c>
      <c r="B1172" t="s">
        <v>5521</v>
      </c>
      <c r="C1172" t="str">
        <f>findKey(supplementary_offering_offeringid__4[[#This Row],[Value.legacyid]])</f>
        <v>17084591516</v>
      </c>
      <c r="D1172" t="s">
        <v>601</v>
      </c>
      <c r="E1172" t="s">
        <v>2189</v>
      </c>
      <c r="F1172" s="61"/>
      <c r="H1172" s="61"/>
      <c r="J1172" t="str">
        <f>ToJsonArray(supplementary_offering_offeringid__4[[#Headers],[legacyid]:[activityId]],supplementary_offering_offeringid__4[[#This Row],[legacyid]:[activityId]])</f>
        <v>{"legacyid":"17084591516","name":"Paquete Datos Mes  Vencido 1 GB con Corte Control","mode":"I"}</v>
      </c>
      <c r="K1172" t="str">
        <f>ToJsonArray(supplementary_offering_offeringid__4[[#This Row],[produccion]],supplementary_offering_offeringid__4[[#This Row],[json]])</f>
        <v>{"990000648":{"legacyid":"17084591516","name":"Paquete Datos Mes  Vencido 1 GB con Corte Control","mode":"I"}}</v>
      </c>
    </row>
    <row r="1173" spans="1:11" x14ac:dyDescent="0.25">
      <c r="A1173" s="61" t="s">
        <v>5524</v>
      </c>
      <c r="B1173" t="s">
        <v>5523</v>
      </c>
      <c r="C1173" t="str">
        <f>findKey(supplementary_offering_offeringid__4[[#This Row],[Value.legacyid]])</f>
        <v>17084591468</v>
      </c>
      <c r="D1173" t="s">
        <v>490</v>
      </c>
      <c r="E1173" t="s">
        <v>2189</v>
      </c>
      <c r="F1173" s="61"/>
      <c r="H1173" s="61"/>
      <c r="J1173" t="str">
        <f>ToJsonArray(supplementary_offering_offeringid__4[[#Headers],[legacyid]:[activityId]],supplementary_offering_offeringid__4[[#This Row],[legacyid]:[activityId]])</f>
        <v>{"legacyid":"17084591468","name":"Paquete Datos Mes Corriente 2 GB con Corte Control","mode":"I"}</v>
      </c>
      <c r="K1173" t="str">
        <f>ToJsonArray(supplementary_offering_offeringid__4[[#This Row],[produccion]],supplementary_offering_offeringid__4[[#This Row],[json]])</f>
        <v>{"990000649":{"legacyid":"17084591468","name":"Paquete Datos Mes Corriente 2 GB con Corte Control","mode":"I"}}</v>
      </c>
    </row>
    <row r="1174" spans="1:11" x14ac:dyDescent="0.25">
      <c r="A1174" s="61" t="s">
        <v>5526</v>
      </c>
      <c r="B1174" t="s">
        <v>5525</v>
      </c>
      <c r="C1174" t="str">
        <f>findKey(supplementary_offering_offeringid__4[[#This Row],[Value.legacyid]])</f>
        <v>17084591452</v>
      </c>
      <c r="D1174" t="s">
        <v>605</v>
      </c>
      <c r="E1174" t="s">
        <v>2189</v>
      </c>
      <c r="F1174" s="61"/>
      <c r="H1174" s="61"/>
      <c r="J1174" t="str">
        <f>ToJsonArray(supplementary_offering_offeringid__4[[#Headers],[legacyid]:[activityId]],supplementary_offering_offeringid__4[[#This Row],[legacyid]:[activityId]])</f>
        <v>{"legacyid":"17084591452","name":"Paquete Datos  Mes Vencido Tigo Ilimitado","mode":"I"}</v>
      </c>
      <c r="K1174" t="str">
        <f>ToJsonArray(supplementary_offering_offeringid__4[[#This Row],[produccion]],supplementary_offering_offeringid__4[[#This Row],[json]])</f>
        <v>{"990000650":{"legacyid":"17084591452","name":"Paquete Datos  Mes Vencido Tigo Ilimitado","mode":"I"}}</v>
      </c>
    </row>
    <row r="1175" spans="1:11" x14ac:dyDescent="0.25">
      <c r="A1175" s="61" t="s">
        <v>5528</v>
      </c>
      <c r="B1175" t="s">
        <v>5527</v>
      </c>
      <c r="C1175" t="str">
        <f>findKey(supplementary_offering_offeringid__4[[#This Row],[Value.legacyid]])</f>
        <v>17084591276</v>
      </c>
      <c r="D1175" t="s">
        <v>480</v>
      </c>
      <c r="E1175" t="s">
        <v>2189</v>
      </c>
      <c r="F1175" s="61"/>
      <c r="H1175" s="61"/>
      <c r="J1175" t="str">
        <f>ToJsonArray(supplementary_offering_offeringid__4[[#Headers],[legacyid]:[activityId]],supplementary_offering_offeringid__4[[#This Row],[legacyid]:[activityId]])</f>
        <v>{"legacyid":"17084591276","name":"Paquete Datos Mes Anticipado 5 GB con Corte Control","mode":"I"}</v>
      </c>
      <c r="K1175" t="str">
        <f>ToJsonArray(supplementary_offering_offeringid__4[[#This Row],[produccion]],supplementary_offering_offeringid__4[[#This Row],[json]])</f>
        <v>{"990000651":{"legacyid":"17084591276","name":"Paquete Datos Mes Anticipado 5 GB con Corte Control","mode":"I"}}</v>
      </c>
    </row>
    <row r="1176" spans="1:11" x14ac:dyDescent="0.25">
      <c r="A1176" s="61" t="s">
        <v>5530</v>
      </c>
      <c r="B1176" t="s">
        <v>5529</v>
      </c>
      <c r="C1176" t="str">
        <f>findKey(supplementary_offering_offeringid__4[[#This Row],[Value.legacyid]])</f>
        <v>17084592044</v>
      </c>
      <c r="D1176" t="s">
        <v>478</v>
      </c>
      <c r="E1176" t="s">
        <v>2189</v>
      </c>
      <c r="F1176" s="61"/>
      <c r="H1176" s="61"/>
      <c r="J1176" t="str">
        <f>ToJsonArray(supplementary_offering_offeringid__4[[#Headers],[legacyid]:[activityId]],supplementary_offering_offeringid__4[[#This Row],[legacyid]:[activityId]])</f>
        <v>{"legacyid":"17084592044","name":"Paquete Datos Mes Anticipado 2 GB con Corte Control","mode":"I"}</v>
      </c>
      <c r="K1176" t="str">
        <f>ToJsonArray(supplementary_offering_offeringid__4[[#This Row],[produccion]],supplementary_offering_offeringid__4[[#This Row],[json]])</f>
        <v>{"990000652":{"legacyid":"17084592044","name":"Paquete Datos Mes Anticipado 2 GB con Corte Control","mode":"I"}}</v>
      </c>
    </row>
    <row r="1177" spans="1:11" x14ac:dyDescent="0.25">
      <c r="A1177" s="61" t="s">
        <v>5532</v>
      </c>
      <c r="B1177" t="s">
        <v>5531</v>
      </c>
      <c r="C1177" t="str">
        <f>findKey(supplementary_offering_offeringid__4[[#This Row],[Value.legacyid]])</f>
        <v>17084592002</v>
      </c>
      <c r="D1177" t="s">
        <v>494</v>
      </c>
      <c r="E1177" t="s">
        <v>2189</v>
      </c>
      <c r="F1177" s="61"/>
      <c r="H1177" s="61"/>
      <c r="J1177" t="str">
        <f>ToJsonArray(supplementary_offering_offeringid__4[[#Headers],[legacyid]:[activityId]],supplementary_offering_offeringid__4[[#This Row],[legacyid]:[activityId]])</f>
        <v>{"legacyid":"17084592002","name":"Paquete Internet limitado control Mes Corriente 10GB","mode":"I"}</v>
      </c>
      <c r="K1177" t="str">
        <f>ToJsonArray(supplementary_offering_offeringid__4[[#This Row],[produccion]],supplementary_offering_offeringid__4[[#This Row],[json]])</f>
        <v>{"990000653":{"legacyid":"17084592002","name":"Paquete Internet limitado control Mes Corriente 10GB","mode":"I"}}</v>
      </c>
    </row>
    <row r="1178" spans="1:11" x14ac:dyDescent="0.25">
      <c r="A1178" s="61" t="s">
        <v>5534</v>
      </c>
      <c r="B1178" t="s">
        <v>5533</v>
      </c>
      <c r="C1178" t="str">
        <f>findKey(supplementary_offering_offeringid__4[[#This Row],[Value.legacyid]])</f>
        <v>17084591644</v>
      </c>
      <c r="D1178" t="s">
        <v>604</v>
      </c>
      <c r="E1178" t="s">
        <v>2189</v>
      </c>
      <c r="F1178" s="61"/>
      <c r="H1178" s="61"/>
      <c r="J1178" t="str">
        <f>ToJsonArray(supplementary_offering_offeringid__4[[#Headers],[legacyid]:[activityId]],supplementary_offering_offeringid__4[[#This Row],[legacyid]:[activityId]])</f>
        <v>{"legacyid":"17084591644","name":"Paquete Datos Mes Vencido 5 GB con Corte Control","mode":"I"}</v>
      </c>
      <c r="K1178" t="str">
        <f>ToJsonArray(supplementary_offering_offeringid__4[[#This Row],[produccion]],supplementary_offering_offeringid__4[[#This Row],[json]])</f>
        <v>{"990000654":{"legacyid":"17084591644","name":"Paquete Datos Mes Vencido 5 GB con Corte Control","mode":"I"}}</v>
      </c>
    </row>
    <row r="1179" spans="1:11" x14ac:dyDescent="0.25">
      <c r="A1179" s="61" t="s">
        <v>5536</v>
      </c>
      <c r="B1179" t="s">
        <v>5535</v>
      </c>
      <c r="C1179" t="str">
        <f>findKey(supplementary_offering_offeringid__4[[#This Row],[Value.legacyid]])</f>
        <v>17084590700</v>
      </c>
      <c r="D1179" t="s">
        <v>489</v>
      </c>
      <c r="E1179" t="s">
        <v>2189</v>
      </c>
      <c r="F1179" s="61"/>
      <c r="H1179" s="61"/>
      <c r="J1179" t="str">
        <f>ToJsonArray(supplementary_offering_offeringid__4[[#Headers],[legacyid]:[activityId]],supplementary_offering_offeringid__4[[#This Row],[legacyid]:[activityId]])</f>
        <v>{"legacyid":"17084590700","name":"Paquete Datos Mes  Corriente 1 GB con Corte Control","mode":"I"}</v>
      </c>
      <c r="K1179" t="str">
        <f>ToJsonArray(supplementary_offering_offeringid__4[[#This Row],[produccion]],supplementary_offering_offeringid__4[[#This Row],[json]])</f>
        <v>{"990000655":{"legacyid":"17084590700","name":"Paquete Datos Mes  Corriente 1 GB con Corte Control","mode":"I"}}</v>
      </c>
    </row>
    <row r="1180" spans="1:11" x14ac:dyDescent="0.25">
      <c r="A1180" s="61" t="s">
        <v>5538</v>
      </c>
      <c r="B1180" t="s">
        <v>5537</v>
      </c>
      <c r="C1180" t="str">
        <f>findKey(supplementary_offering_offeringid__4[[#This Row],[Value.legacyid]])</f>
        <v>17084590684</v>
      </c>
      <c r="D1180" t="s">
        <v>481</v>
      </c>
      <c r="E1180" t="s">
        <v>2189</v>
      </c>
      <c r="F1180" s="61"/>
      <c r="H1180" s="61"/>
      <c r="J1180" t="str">
        <f>ToJsonArray(supplementary_offering_offeringid__4[[#Headers],[legacyid]:[activityId]],supplementary_offering_offeringid__4[[#This Row],[legacyid]:[activityId]])</f>
        <v>{"legacyid":"17084590684","name":"Paquete Datos  Mes Anticipado Tigo Ilimitado","mode":"I"}</v>
      </c>
      <c r="K1180" t="str">
        <f>ToJsonArray(supplementary_offering_offeringid__4[[#This Row],[produccion]],supplementary_offering_offeringid__4[[#This Row],[json]])</f>
        <v>{"990000656":{"legacyid":"17084590684","name":"Paquete Datos  Mes Anticipado Tigo Ilimitado","mode":"I"}}</v>
      </c>
    </row>
    <row r="1181" spans="1:11" x14ac:dyDescent="0.25">
      <c r="A1181" s="61" t="s">
        <v>5540</v>
      </c>
      <c r="B1181" t="s">
        <v>5539</v>
      </c>
      <c r="C1181" t="str">
        <f>findKey(supplementary_offering_offeringid__4[[#This Row],[Value.legacyid]])</f>
        <v>17084590658</v>
      </c>
      <c r="D1181" t="s">
        <v>496</v>
      </c>
      <c r="E1181" t="s">
        <v>2189</v>
      </c>
      <c r="F1181" s="61"/>
      <c r="H1181" s="61"/>
      <c r="J1181" t="str">
        <f>ToJsonArray(supplementary_offering_offeringid__4[[#Headers],[legacyid]:[activityId]],supplementary_offering_offeringid__4[[#This Row],[legacyid]:[activityId]])</f>
        <v>{"legacyid":"17084590658","name":"Paquete Internet limitado control Mes Corriente 20GB","mode":"I"}</v>
      </c>
      <c r="K1181" t="str">
        <f>ToJsonArray(supplementary_offering_offeringid__4[[#This Row],[produccion]],supplementary_offering_offeringid__4[[#This Row],[json]])</f>
        <v>{"990000657":{"legacyid":"17084590658","name":"Paquete Internet limitado control Mes Corriente 20GB","mode":"I"}}</v>
      </c>
    </row>
    <row r="1182" spans="1:11" x14ac:dyDescent="0.25">
      <c r="A1182" s="61" t="s">
        <v>5542</v>
      </c>
      <c r="B1182" t="s">
        <v>5541</v>
      </c>
      <c r="C1182" t="str">
        <f>findKey(supplementary_offering_offeringid__4[[#This Row],[Value.legacyid]])</f>
        <v>17084590812</v>
      </c>
      <c r="D1182" t="s">
        <v>607</v>
      </c>
      <c r="E1182" t="s">
        <v>2189</v>
      </c>
      <c r="F1182" s="61"/>
      <c r="H1182" s="61"/>
      <c r="J1182" t="str">
        <f>ToJsonArray(supplementary_offering_offeringid__4[[#Headers],[legacyid]:[activityId]],supplementary_offering_offeringid__4[[#This Row],[legacyid]:[activityId]])</f>
        <v>{"legacyid":"17084590812","name":"Paquete Internet limitado control Mes Vencido 15GB","mode":"I"}</v>
      </c>
      <c r="K1182" t="str">
        <f>ToJsonArray(supplementary_offering_offeringid__4[[#This Row],[produccion]],supplementary_offering_offeringid__4[[#This Row],[json]])</f>
        <v>{"990000658":{"legacyid":"17084590812","name":"Paquete Internet limitado control Mes Vencido 15GB","mode":"I"}}</v>
      </c>
    </row>
    <row r="1183" spans="1:11" x14ac:dyDescent="0.25">
      <c r="A1183" s="61" t="s">
        <v>5544</v>
      </c>
      <c r="B1183" t="s">
        <v>5543</v>
      </c>
      <c r="C1183" t="str">
        <f>findKey(supplementary_offering_offeringid__4[[#This Row],[Value.legacyid]])</f>
        <v>17084590236</v>
      </c>
      <c r="D1183" t="s">
        <v>500</v>
      </c>
      <c r="E1183" t="s">
        <v>2189</v>
      </c>
      <c r="F1183" s="61"/>
      <c r="H1183" s="61"/>
      <c r="J1183" t="str">
        <f>ToJsonArray(supplementary_offering_offeringid__4[[#Headers],[legacyid]:[activityId]],supplementary_offering_offeringid__4[[#This Row],[legacyid]:[activityId]])</f>
        <v>{"legacyid":"17084590236","name":"Paquete Datos Mes Vencido 500 MB con Corte Control","mode":"I"}</v>
      </c>
      <c r="K1183" t="str">
        <f>ToJsonArray(supplementary_offering_offeringid__4[[#This Row],[produccion]],supplementary_offering_offeringid__4[[#This Row],[json]])</f>
        <v>{"990000659":{"legacyid":"17084590236","name":"Paquete Datos Mes Vencido 500 MB con Corte Control","mode":"I"}}</v>
      </c>
    </row>
    <row r="1184" spans="1:11" x14ac:dyDescent="0.25">
      <c r="A1184" s="61" t="s">
        <v>5546</v>
      </c>
      <c r="B1184" t="s">
        <v>5545</v>
      </c>
      <c r="C1184" t="str">
        <f>findKey(supplementary_offering_offeringid__4[[#This Row],[Value.legacyid]])</f>
        <v>17084590316</v>
      </c>
      <c r="D1184" t="s">
        <v>491</v>
      </c>
      <c r="E1184" t="s">
        <v>2189</v>
      </c>
      <c r="F1184" s="61"/>
      <c r="H1184" s="61"/>
      <c r="J1184" t="str">
        <f>ToJsonArray(supplementary_offering_offeringid__4[[#Headers],[legacyid]:[activityId]],supplementary_offering_offeringid__4[[#This Row],[legacyid]:[activityId]])</f>
        <v>{"legacyid":"17084590316","name":"Paquete Datos Mes  Corriente 3 GB con Corte Control","mode":"I"}</v>
      </c>
      <c r="K1184" t="str">
        <f>ToJsonArray(supplementary_offering_offeringid__4[[#This Row],[produccion]],supplementary_offering_offeringid__4[[#This Row],[json]])</f>
        <v>{"990000660":{"legacyid":"17084590316","name":"Paquete Datos Mes  Corriente 3 GB con Corte Control","mode":"I"}}</v>
      </c>
    </row>
    <row r="1185" spans="1:11" x14ac:dyDescent="0.25">
      <c r="A1185" s="61" t="s">
        <v>5548</v>
      </c>
      <c r="B1185" t="s">
        <v>5547</v>
      </c>
      <c r="C1185" t="str">
        <f>findKey(supplementary_offering_offeringid__4[[#This Row],[Value.legacyid]])</f>
        <v>17084590466</v>
      </c>
      <c r="D1185" t="s">
        <v>483</v>
      </c>
      <c r="E1185" t="s">
        <v>2189</v>
      </c>
      <c r="F1185" s="61"/>
      <c r="H1185" s="61"/>
      <c r="J1185" t="str">
        <f>ToJsonArray(supplementary_offering_offeringid__4[[#Headers],[legacyid]:[activityId]],supplementary_offering_offeringid__4[[#This Row],[legacyid]:[activityId]])</f>
        <v>{"legacyid":"17084590466","name":"Paquete Internet limitado control Mes Anticipado 15GB","mode":"I"}</v>
      </c>
      <c r="K1185" t="str">
        <f>ToJsonArray(supplementary_offering_offeringid__4[[#This Row],[produccion]],supplementary_offering_offeringid__4[[#This Row],[json]])</f>
        <v>{"990000661":{"legacyid":"17084590466","name":"Paquete Internet limitado control Mes Anticipado 15GB","mode":"I"}}</v>
      </c>
    </row>
    <row r="1186" spans="1:11" x14ac:dyDescent="0.25">
      <c r="A1186" s="61" t="s">
        <v>2255</v>
      </c>
      <c r="B1186" t="s">
        <v>2254</v>
      </c>
      <c r="C1186" t="str">
        <f>findKey(supplementary_offering_offeringid__4[[#This Row],[Value.legacyid]])</f>
        <v>17083122615</v>
      </c>
      <c r="D1186" t="s">
        <v>1240</v>
      </c>
      <c r="E1186" t="s">
        <v>2189</v>
      </c>
      <c r="F1186" s="61"/>
      <c r="H1186" s="61"/>
      <c r="J1186" t="str">
        <f>ToJsonArray(supplementary_offering_offeringid__4[[#Headers],[legacyid]:[activityId]],supplementary_offering_offeringid__4[[#This Row],[legacyid]:[activityId]])</f>
        <v>{"legacyid":"17083122615","name":"Voice Mail Basico","mode":"I"}</v>
      </c>
      <c r="K1186" t="str">
        <f>ToJsonArray(supplementary_offering_offeringid__4[[#This Row],[produccion]],supplementary_offering_offeringid__4[[#This Row],[json]])</f>
        <v>{"990000662":{"legacyid":"17083122615","name":"Voice Mail Basico","mode":"I"}}</v>
      </c>
    </row>
    <row r="1187" spans="1:11" x14ac:dyDescent="0.25">
      <c r="A1187" s="61" t="s">
        <v>2237</v>
      </c>
      <c r="B1187" t="s">
        <v>2236</v>
      </c>
      <c r="C1187" t="str">
        <f>findKey(supplementary_offering_offeringid__4[[#This Row],[Value.legacyid]])</f>
        <v>17083124863</v>
      </c>
      <c r="D1187" t="s">
        <v>1564</v>
      </c>
      <c r="E1187" t="s">
        <v>2189</v>
      </c>
      <c r="F1187" s="61"/>
      <c r="H1187" s="61"/>
      <c r="J1187" t="str">
        <f>ToJsonArray(supplementary_offering_offeringid__4[[#Headers],[legacyid]:[activityId]],supplementary_offering_offeringid__4[[#This Row],[legacyid]:[activityId]])</f>
        <v>{"legacyid":"17083124863","name":"OLA Beeper 10 Gratis Masivo","mode":"I"}</v>
      </c>
      <c r="K1187" t="str">
        <f>ToJsonArray(supplementary_offering_offeringid__4[[#This Row],[produccion]],supplementary_offering_offeringid__4[[#This Row],[json]])</f>
        <v>{"990000663":{"legacyid":"17083124863","name":"OLA Beeper 10 Gratis Masivo","mode":"I"}}</v>
      </c>
    </row>
    <row r="1188" spans="1:11" x14ac:dyDescent="0.25">
      <c r="A1188" s="61" t="s">
        <v>2245</v>
      </c>
      <c r="B1188" t="s">
        <v>2244</v>
      </c>
      <c r="C1188" t="str">
        <f>findKey(supplementary_offering_offeringid__4[[#This Row],[Value.legacyid]])</f>
        <v>17083091202</v>
      </c>
      <c r="D1188" t="s">
        <v>1958</v>
      </c>
      <c r="E1188" t="s">
        <v>2189</v>
      </c>
      <c r="F1188" s="61"/>
      <c r="H1188" s="61"/>
      <c r="J1188" t="str">
        <f>ToJsonArray(supplementary_offering_offeringid__4[[#Headers],[legacyid]:[activityId]],supplementary_offering_offeringid__4[[#This Row],[legacyid]:[activityId]])</f>
        <v>{"legacyid":"17083091202","name":"OLA Beeper 10 Gratis Corporativo","mode":"I"}</v>
      </c>
      <c r="K1188" t="str">
        <f>ToJsonArray(supplementary_offering_offeringid__4[[#This Row],[produccion]],supplementary_offering_offeringid__4[[#This Row],[json]])</f>
        <v>{"990000664":{"legacyid":"17083091202","name":"OLA Beeper 10 Gratis Corporativo","mode":"I"}}</v>
      </c>
    </row>
    <row r="1189" spans="1:11" x14ac:dyDescent="0.25">
      <c r="A1189" s="61" t="s">
        <v>2265</v>
      </c>
      <c r="B1189" t="s">
        <v>2264</v>
      </c>
      <c r="C1189" t="str">
        <f>findKey(supplementary_offering_offeringid__4[[#This Row],[Value.legacyid]])</f>
        <v>17083129828</v>
      </c>
      <c r="D1189" t="s">
        <v>2266</v>
      </c>
      <c r="E1189" t="s">
        <v>2189</v>
      </c>
      <c r="F1189" s="61"/>
      <c r="H1189" s="61"/>
      <c r="J1189" t="str">
        <f>ToJsonArray(supplementary_offering_offeringid__4[[#Headers],[legacyid]:[activityId]],supplementary_offering_offeringid__4[[#This Row],[legacyid]:[activityId]])</f>
        <v>{"legacyid":"17083129828","name":"OLA Beeper BÃ¡sico Corporativo","mode":"I"}</v>
      </c>
      <c r="K1189" t="str">
        <f>ToJsonArray(supplementary_offering_offeringid__4[[#This Row],[produccion]],supplementary_offering_offeringid__4[[#This Row],[json]])</f>
        <v>{"990000665":{"legacyid":"17083129828","name":"OLA Beeper BÃ¡sico Corporativo","mode":"I"}}</v>
      </c>
    </row>
    <row r="1190" spans="1:11" x14ac:dyDescent="0.25">
      <c r="A1190" s="61" t="s">
        <v>2270</v>
      </c>
      <c r="B1190" t="s">
        <v>2269</v>
      </c>
      <c r="C1190" t="str">
        <f>findKey(supplementary_offering_offeringid__4[[#This Row],[Value.legacyid]])</f>
        <v>17083089794</v>
      </c>
      <c r="D1190" t="s">
        <v>2068</v>
      </c>
      <c r="E1190" t="s">
        <v>2189</v>
      </c>
      <c r="F1190" s="61"/>
      <c r="H1190" s="61"/>
      <c r="J1190" t="str">
        <f>ToJsonArray(supplementary_offering_offeringid__4[[#Headers],[legacyid]:[activityId]],supplementary_offering_offeringid__4[[#This Row],[legacyid]:[activityId]])</f>
        <v>{"legacyid":"17083089794","name":"OLA Beeper 50 Gratis Corporativo","mode":"I"}</v>
      </c>
      <c r="K1190" t="str">
        <f>ToJsonArray(supplementary_offering_offeringid__4[[#This Row],[produccion]],supplementary_offering_offeringid__4[[#This Row],[json]])</f>
        <v>{"990000666":{"legacyid":"17083089794","name":"OLA Beeper 50 Gratis Corporativo","mode":"I"}}</v>
      </c>
    </row>
    <row r="1191" spans="1:11" x14ac:dyDescent="0.25">
      <c r="A1191" s="61" t="s">
        <v>2277</v>
      </c>
      <c r="B1191" t="s">
        <v>2276</v>
      </c>
      <c r="C1191" t="str">
        <f>findKey(supplementary_offering_offeringid__4[[#This Row],[Value.legacyid]])</f>
        <v>17083125239</v>
      </c>
      <c r="D1191" t="s">
        <v>1106</v>
      </c>
      <c r="E1191" t="s">
        <v>2189</v>
      </c>
      <c r="F1191" s="61"/>
      <c r="H1191" s="61"/>
      <c r="J1191" t="str">
        <f>ToJsonArray(supplementary_offering_offeringid__4[[#Headers],[legacyid]:[activityId]],supplementary_offering_offeringid__4[[#This Row],[legacyid]:[activityId]])</f>
        <v>{"legacyid":"17083125239","name":"Ola Beeper Basico masivo","mode":"I"}</v>
      </c>
      <c r="K1191" t="str">
        <f>ToJsonArray(supplementary_offering_offeringid__4[[#This Row],[produccion]],supplementary_offering_offeringid__4[[#This Row],[json]])</f>
        <v>{"990000667":{"legacyid":"17083125239","name":"Ola Beeper Basico masivo","mode":"I"}}</v>
      </c>
    </row>
    <row r="1192" spans="1:11" x14ac:dyDescent="0.25">
      <c r="A1192" s="61" t="s">
        <v>2283</v>
      </c>
      <c r="B1192" t="s">
        <v>2282</v>
      </c>
      <c r="C1192" t="str">
        <f>findKey(supplementary_offering_offeringid__4[[#This Row],[Value.legacyid]])</f>
        <v>17083091330</v>
      </c>
      <c r="D1192" t="s">
        <v>2284</v>
      </c>
      <c r="E1192" t="s">
        <v>2189</v>
      </c>
      <c r="F1192" s="61"/>
      <c r="H1192" s="61"/>
      <c r="J1192" t="str">
        <f>ToJsonArray(supplementary_offering_offeringid__4[[#Headers],[legacyid]:[activityId]],supplementary_offering_offeringid__4[[#This Row],[legacyid]:[activityId]])</f>
        <v>{"legacyid":"17083091330","name":"OLA Beeper BÃ¡sico Referidos","mode":"I"}</v>
      </c>
      <c r="K1192" t="str">
        <f>ToJsonArray(supplementary_offering_offeringid__4[[#This Row],[produccion]],supplementary_offering_offeringid__4[[#This Row],[json]])</f>
        <v>{"990000668":{"legacyid":"17083091330","name":"OLA Beeper BÃ¡sico Referidos","mode":"I"}}</v>
      </c>
    </row>
    <row r="1193" spans="1:11" x14ac:dyDescent="0.25">
      <c r="A1193" s="61" t="s">
        <v>2297</v>
      </c>
      <c r="B1193" t="s">
        <v>2296</v>
      </c>
      <c r="C1193" t="str">
        <f>findKey(supplementary_offering_offeringid__4[[#This Row],[Value.legacyid]])</f>
        <v>17083125427</v>
      </c>
      <c r="D1193" t="s">
        <v>2298</v>
      </c>
      <c r="E1193" t="s">
        <v>2189</v>
      </c>
      <c r="F1193" s="61"/>
      <c r="H1193" s="61"/>
      <c r="J1193" t="str">
        <f>ToJsonArray(supplementary_offering_offeringid__4[[#Headers],[legacyid]:[activityId]],supplementary_offering_offeringid__4[[#This Row],[legacyid]:[activityId]])</f>
        <v>{"legacyid":"17083125427","name":"OLA Beeper BÃ¡sico SÃºper OLA","mode":"I"}</v>
      </c>
      <c r="K1193" t="str">
        <f>ToJsonArray(supplementary_offering_offeringid__4[[#This Row],[produccion]],supplementary_offering_offeringid__4[[#This Row],[json]])</f>
        <v>{"990000669":{"legacyid":"17083125427","name":"OLA Beeper BÃ¡sico SÃºper OLA","mode":"I"}}</v>
      </c>
    </row>
    <row r="1194" spans="1:11" x14ac:dyDescent="0.25">
      <c r="A1194" s="61" t="s">
        <v>2268</v>
      </c>
      <c r="B1194" t="s">
        <v>2267</v>
      </c>
      <c r="C1194" t="str">
        <f>findKey(supplementary_offering_offeringid__4[[#This Row],[Value.legacyid]])</f>
        <v>17083091356</v>
      </c>
      <c r="D1194" t="s">
        <v>1979</v>
      </c>
      <c r="E1194" t="s">
        <v>2189</v>
      </c>
      <c r="F1194" s="61"/>
      <c r="H1194" s="61"/>
      <c r="J1194" t="str">
        <f>ToJsonArray(supplementary_offering_offeringid__4[[#Headers],[legacyid]:[activityId]],supplementary_offering_offeringid__4[[#This Row],[legacyid]:[activityId]])</f>
        <v>{"legacyid":"17083091356","name":"OLA Imagen 25 Gratis Corporativo","mode":"I"}</v>
      </c>
      <c r="K1194" t="str">
        <f>ToJsonArray(supplementary_offering_offeringid__4[[#This Row],[produccion]],supplementary_offering_offeringid__4[[#This Row],[json]])</f>
        <v>{"990000670":{"legacyid":"17083091356","name":"OLA Imagen 25 Gratis Corporativo","mode":"I"}}</v>
      </c>
    </row>
    <row r="1195" spans="1:11" x14ac:dyDescent="0.25">
      <c r="A1195" s="61" t="s">
        <v>2274</v>
      </c>
      <c r="B1195" t="s">
        <v>2273</v>
      </c>
      <c r="C1195" t="str">
        <f>findKey(supplementary_offering_offeringid__4[[#This Row],[Value.legacyid]])</f>
        <v>17083125455</v>
      </c>
      <c r="D1195" t="s">
        <v>2275</v>
      </c>
      <c r="E1195" t="s">
        <v>2189</v>
      </c>
      <c r="F1195" s="61"/>
      <c r="H1195" s="61"/>
      <c r="J1195" t="str">
        <f>ToJsonArray(supplementary_offering_offeringid__4[[#Headers],[legacyid]:[activityId]],supplementary_offering_offeringid__4[[#This Row],[legacyid]:[activityId]])</f>
        <v>{"legacyid":"17083125455","name":"OLA Imagen  BÃ¡sico Masivo","mode":"I"}</v>
      </c>
      <c r="K1195" t="str">
        <f>ToJsonArray(supplementary_offering_offeringid__4[[#This Row],[produccion]],supplementary_offering_offeringid__4[[#This Row],[json]])</f>
        <v>{"990000671":{"legacyid":"17083125455","name":"OLA Imagen  BÃ¡sico Masivo","mode":"I"}}</v>
      </c>
    </row>
    <row r="1196" spans="1:11" x14ac:dyDescent="0.25">
      <c r="A1196" s="61" t="s">
        <v>2209</v>
      </c>
      <c r="B1196" t="s">
        <v>2208</v>
      </c>
      <c r="C1196" t="str">
        <f>findKey(supplementary_offering_offeringid__4[[#This Row],[Value.legacyid]])</f>
        <v>17083125060</v>
      </c>
      <c r="D1196" t="s">
        <v>162</v>
      </c>
      <c r="E1196" t="s">
        <v>2189</v>
      </c>
      <c r="F1196" s="61"/>
      <c r="H1196" s="61"/>
      <c r="J1196" t="str">
        <f>ToJsonArray(supplementary_offering_offeringid__4[[#Headers],[legacyid]:[activityId]],supplementary_offering_offeringid__4[[#This Row],[legacyid]:[activityId]])</f>
        <v>{"legacyid":"17083125060","name":"Paquete Internet Movil Tigo ilimitado FUP 1 GB","mode":"I"}</v>
      </c>
      <c r="K1196" t="str">
        <f>ToJsonArray(supplementary_offering_offeringid__4[[#This Row],[produccion]],supplementary_offering_offeringid__4[[#This Row],[json]])</f>
        <v>{"990000672":{"legacyid":"17083125060","name":"Paquete Internet Movil Tigo ilimitado FUP 1 GB","mode":"I"}}</v>
      </c>
    </row>
    <row r="1197" spans="1:11" x14ac:dyDescent="0.25">
      <c r="A1197" s="61" t="s">
        <v>2211</v>
      </c>
      <c r="B1197" t="s">
        <v>2210</v>
      </c>
      <c r="C1197" t="str">
        <f>findKey(supplementary_offering_offeringid__4[[#This Row],[Value.legacyid]])</f>
        <v>17083123420</v>
      </c>
      <c r="D1197" t="s">
        <v>1619</v>
      </c>
      <c r="E1197" t="s">
        <v>2189</v>
      </c>
      <c r="F1197" s="61"/>
      <c r="H1197" s="61"/>
      <c r="J1197" t="str">
        <f>ToJsonArray(supplementary_offering_offeringid__4[[#Headers],[legacyid]:[activityId]],supplementary_offering_offeringid__4[[#This Row],[legacyid]:[activityId]])</f>
        <v>{"legacyid":"17083123420","name":"Paquete Internet Movil Tigo ilimitado FUP 500 MB","mode":"I"}</v>
      </c>
      <c r="K1197" t="str">
        <f>ToJsonArray(supplementary_offering_offeringid__4[[#This Row],[produccion]],supplementary_offering_offeringid__4[[#This Row],[json]])</f>
        <v>{"990000673":{"legacyid":"17083123420","name":"Paquete Internet Movil Tigo ilimitado FUP 500 MB","mode":"I"}}</v>
      </c>
    </row>
    <row r="1198" spans="1:11" x14ac:dyDescent="0.25">
      <c r="A1198" s="61" t="s">
        <v>2219</v>
      </c>
      <c r="B1198" t="s">
        <v>2218</v>
      </c>
      <c r="C1198" t="str">
        <f>findKey(supplementary_offering_offeringid__4[[#This Row],[Value.legacyid]])</f>
        <v>17083123268</v>
      </c>
      <c r="D1198" t="s">
        <v>156</v>
      </c>
      <c r="E1198" t="s">
        <v>2189</v>
      </c>
      <c r="F1198" s="61"/>
      <c r="H1198" s="61"/>
      <c r="J1198" t="str">
        <f>ToJsonArray(supplementary_offering_offeringid__4[[#Headers],[legacyid]:[activityId]],supplementary_offering_offeringid__4[[#This Row],[legacyid]:[activityId]])</f>
        <v>{"legacyid":"17083123268","name":"Paquete Internet Movil Tigo ilimitado FUP 3 GB","mode":"I"}</v>
      </c>
      <c r="K1198" t="str">
        <f>ToJsonArray(supplementary_offering_offeringid__4[[#This Row],[produccion]],supplementary_offering_offeringid__4[[#This Row],[json]])</f>
        <v>{"990000674":{"legacyid":"17083123268","name":"Paquete Internet Movil Tigo ilimitado FUP 3 GB","mode":"I"}}</v>
      </c>
    </row>
    <row r="1199" spans="1:11" x14ac:dyDescent="0.25">
      <c r="A1199" s="61" t="s">
        <v>2225</v>
      </c>
      <c r="B1199" t="s">
        <v>2224</v>
      </c>
      <c r="C1199" t="str">
        <f>findKey(supplementary_offering_offeringid__4[[#This Row],[Value.legacyid]])</f>
        <v>17083124696</v>
      </c>
      <c r="D1199" t="s">
        <v>1640</v>
      </c>
      <c r="E1199" t="s">
        <v>2189</v>
      </c>
      <c r="F1199" s="61"/>
      <c r="H1199" s="61"/>
      <c r="J1199" t="str">
        <f>ToJsonArray(supplementary_offering_offeringid__4[[#Headers],[legacyid]:[activityId]],supplementary_offering_offeringid__4[[#This Row],[legacyid]:[activityId]])</f>
        <v>{"legacyid":"17083124696","name":"Paquete Internet Movil Tigo ilimitado","mode":"I"}</v>
      </c>
      <c r="K1199" t="str">
        <f>ToJsonArray(supplementary_offering_offeringid__4[[#This Row],[produccion]],supplementary_offering_offeringid__4[[#This Row],[json]])</f>
        <v>{"990000675":{"legacyid":"17083124696","name":"Paquete Internet Movil Tigo ilimitado","mode":"I"}}</v>
      </c>
    </row>
    <row r="1200" spans="1:11" x14ac:dyDescent="0.25">
      <c r="A1200" s="61" t="s">
        <v>2231</v>
      </c>
      <c r="B1200" t="s">
        <v>2230</v>
      </c>
      <c r="C1200" t="str">
        <f>findKey(supplementary_offering_offeringid__4[[#This Row],[Value.legacyid]])</f>
        <v>17083121673</v>
      </c>
      <c r="D1200" t="s">
        <v>1389</v>
      </c>
      <c r="E1200" t="s">
        <v>2189</v>
      </c>
      <c r="F1200" s="61"/>
      <c r="H1200" s="61"/>
      <c r="J1200" t="str">
        <f>ToJsonArray(supplementary_offering_offeringid__4[[#Headers],[legacyid]:[activityId]],supplementary_offering_offeringid__4[[#This Row],[legacyid]:[activityId]])</f>
        <v>{"legacyid":"17083121673","name":"GPRS ilimitado Blackberry BES_PLUS Pospago 2","mode":"I"}</v>
      </c>
      <c r="K1200" t="str">
        <f>ToJsonArray(supplementary_offering_offeringid__4[[#This Row],[produccion]],supplementary_offering_offeringid__4[[#This Row],[json]])</f>
        <v>{"990000676":{"legacyid":"17083121673","name":"GPRS ilimitado Blackberry BES_PLUS Pospago 2","mode":"I"}}</v>
      </c>
    </row>
    <row r="1201" spans="1:11" x14ac:dyDescent="0.25">
      <c r="A1201" s="61" t="s">
        <v>2243</v>
      </c>
      <c r="B1201" t="s">
        <v>2242</v>
      </c>
      <c r="C1201" t="str">
        <f>findKey(supplementary_offering_offeringid__4[[#This Row],[Value.legacyid]])</f>
        <v>17083125365</v>
      </c>
      <c r="D1201" t="s">
        <v>504</v>
      </c>
      <c r="E1201" t="s">
        <v>2189</v>
      </c>
      <c r="F1201" s="61"/>
      <c r="H1201" s="61"/>
      <c r="J1201" t="str">
        <f>ToJsonArray(supplementary_offering_offeringid__4[[#Headers],[legacyid]:[activityId]],supplementary_offering_offeringid__4[[#This Row],[legacyid]:[activityId]])</f>
        <v>{"legacyid":"17083125365","name":"Plan Datos Internet Movil Tigo ilimitado Corporativo","mode":"I"}</v>
      </c>
      <c r="K1201" t="str">
        <f>ToJsonArray(supplementary_offering_offeringid__4[[#This Row],[produccion]],supplementary_offering_offeringid__4[[#This Row],[json]])</f>
        <v>{"990000677":{"legacyid":"17083125365","name":"Plan Datos Internet Movil Tigo ilimitado Corporativo","mode":"I"}}</v>
      </c>
    </row>
    <row r="1202" spans="1:11" x14ac:dyDescent="0.25">
      <c r="A1202" s="61" t="s">
        <v>2247</v>
      </c>
      <c r="B1202" t="s">
        <v>2246</v>
      </c>
      <c r="C1202" t="str">
        <f>findKey(supplementary_offering_offeringid__4[[#This Row],[Value.legacyid]])</f>
        <v>17083123091</v>
      </c>
      <c r="D1202" t="s">
        <v>1928</v>
      </c>
      <c r="E1202" t="s">
        <v>2189</v>
      </c>
      <c r="F1202" s="61"/>
      <c r="H1202" s="61"/>
      <c r="J1202" t="str">
        <f>ToJsonArray(supplementary_offering_offeringid__4[[#Headers],[legacyid]:[activityId]],supplementary_offering_offeringid__4[[#This Row],[legacyid]:[activityId]])</f>
        <v>{"legacyid":"17083123091","name":"Plan Datos Internet Movil Tigo ilimitado 2","mode":"I"}</v>
      </c>
      <c r="K1202" t="str">
        <f>ToJsonArray(supplementary_offering_offeringid__4[[#This Row],[produccion]],supplementary_offering_offeringid__4[[#This Row],[json]])</f>
        <v>{"990000678":{"legacyid":"17083123091","name":"Plan Datos Internet Movil Tigo ilimitado 2","mode":"I"}}</v>
      </c>
    </row>
    <row r="1203" spans="1:11" x14ac:dyDescent="0.25">
      <c r="A1203" s="61" t="s">
        <v>2253</v>
      </c>
      <c r="B1203" t="s">
        <v>2252</v>
      </c>
      <c r="C1203" t="str">
        <f>findKey(supplementary_offering_offeringid__4[[#This Row],[Value.legacyid]])</f>
        <v>17083091590</v>
      </c>
      <c r="D1203" t="s">
        <v>1828</v>
      </c>
      <c r="E1203" t="s">
        <v>2189</v>
      </c>
      <c r="F1203" s="61"/>
      <c r="H1203" s="61"/>
      <c r="J1203" t="str">
        <f>ToJsonArray(supplementary_offering_offeringid__4[[#Headers],[legacyid]:[activityId]],supplementary_offering_offeringid__4[[#This Row],[legacyid]:[activityId]])</f>
        <v>{"legacyid":"17083091590","name":"Paquete Blackberry BIS Ilimitado FUP 2 GB","mode":"I"}</v>
      </c>
      <c r="K1203" t="str">
        <f>ToJsonArray(supplementary_offering_offeringid__4[[#This Row],[produccion]],supplementary_offering_offeringid__4[[#This Row],[json]])</f>
        <v>{"990000679":{"legacyid":"17083091590","name":"Paquete Blackberry BIS Ilimitado FUP 2 GB","mode":"I"}}</v>
      </c>
    </row>
    <row r="1204" spans="1:11" x14ac:dyDescent="0.25">
      <c r="A1204" s="61" t="s">
        <v>2279</v>
      </c>
      <c r="B1204" t="s">
        <v>2278</v>
      </c>
      <c r="C1204" t="str">
        <f>findKey(supplementary_offering_offeringid__4[[#This Row],[Value.legacyid]])</f>
        <v>17083121880</v>
      </c>
      <c r="D1204" t="s">
        <v>1715</v>
      </c>
      <c r="E1204" t="s">
        <v>2189</v>
      </c>
      <c r="F1204" s="61"/>
      <c r="H1204" s="61"/>
      <c r="J1204" t="str">
        <f>ToJsonArray(supplementary_offering_offeringid__4[[#Headers],[legacyid]:[activityId]],supplementary_offering_offeringid__4[[#This Row],[legacyid]:[activityId]])</f>
        <v>{"legacyid":"17083121880","name":"GPRS Tigo Corporativo Ilimitado 2","mode":"I"}</v>
      </c>
      <c r="K1204" t="str">
        <f>ToJsonArray(supplementary_offering_offeringid__4[[#This Row],[produccion]],supplementary_offering_offeringid__4[[#This Row],[json]])</f>
        <v>{"990000680":{"legacyid":"17083121880","name":"GPRS Tigo Corporativo Ilimitado 2","mode":"I"}}</v>
      </c>
    </row>
    <row r="1205" spans="1:11" x14ac:dyDescent="0.25">
      <c r="A1205" s="61" t="s">
        <v>2294</v>
      </c>
      <c r="B1205" t="s">
        <v>2293</v>
      </c>
      <c r="C1205" t="str">
        <f>findKey(supplementary_offering_offeringid__4[[#This Row],[Value.legacyid]])</f>
        <v>17083124437</v>
      </c>
      <c r="D1205" t="s">
        <v>2295</v>
      </c>
      <c r="E1205" t="s">
        <v>2189</v>
      </c>
      <c r="F1205" s="61"/>
      <c r="H1205" s="61"/>
      <c r="J1205" t="str">
        <f>ToJsonArray(supplementary_offering_offeringid__4[[#Headers],[legacyid]:[activityId]],supplementary_offering_offeringid__4[[#This Row],[legacyid]:[activityId]])</f>
        <v>{"legacyid":"17083124437","name":"OLA Web BÃ¡sico","mode":"I"}</v>
      </c>
      <c r="K1205" t="str">
        <f>ToJsonArray(supplementary_offering_offeringid__4[[#This Row],[produccion]],supplementary_offering_offeringid__4[[#This Row],[json]])</f>
        <v>{"990000681":{"legacyid":"17083124437","name":"OLA Web BÃ¡sico","mode":"I"}}</v>
      </c>
    </row>
    <row r="1206" spans="1:11" x14ac:dyDescent="0.25">
      <c r="A1206" s="61" t="s">
        <v>2300</v>
      </c>
      <c r="B1206" t="s">
        <v>2299</v>
      </c>
      <c r="C1206" t="str">
        <f>findKey(supplementary_offering_offeringid__4[[#This Row],[Value.legacyid]])</f>
        <v>17083124771</v>
      </c>
      <c r="D1206" t="s">
        <v>389</v>
      </c>
      <c r="E1206" t="s">
        <v>2189</v>
      </c>
      <c r="F1206" s="61"/>
      <c r="H1206" s="61"/>
      <c r="J1206" t="str">
        <f>ToJsonArray(supplementary_offering_offeringid__4[[#Headers],[legacyid]:[activityId]],supplementary_offering_offeringid__4[[#This Row],[legacyid]:[activityId]])</f>
        <v>{"legacyid":"17083124771","name":"Paquete Tigo Blackberry Lite","mode":"I"}</v>
      </c>
      <c r="K1206" t="str">
        <f>ToJsonArray(supplementary_offering_offeringid__4[[#This Row],[produccion]],supplementary_offering_offeringid__4[[#This Row],[json]])</f>
        <v>{"990000682":{"legacyid":"17083124771","name":"Paquete Tigo Blackberry Lite","mode":"I"}}</v>
      </c>
    </row>
    <row r="1207" spans="1:11" x14ac:dyDescent="0.25">
      <c r="A1207" s="61" t="s">
        <v>5549</v>
      </c>
      <c r="B1207" t="s">
        <v>5549</v>
      </c>
      <c r="C1207" t="str">
        <f>findKey(supplementary_offering_offeringid__4[[#This Row],[Value.legacyid]])</f>
        <v>990000208</v>
      </c>
      <c r="D1207" t="s">
        <v>5550</v>
      </c>
      <c r="E1207" t="s">
        <v>2189</v>
      </c>
      <c r="F1207" s="61"/>
      <c r="H1207" s="61"/>
      <c r="J1207" t="str">
        <f>ToJsonArray(supplementary_offering_offeringid__4[[#Headers],[legacyid]:[activityId]],supplementary_offering_offeringid__4[[#This Row],[legacyid]:[activityId]])</f>
        <v>{"legacyid":"990000208","name":"Equipo Movil","mode":"I"}</v>
      </c>
      <c r="K1207" t="str">
        <f>ToJsonArray(supplementary_offering_offeringid__4[[#This Row],[produccion]],supplementary_offering_offeringid__4[[#This Row],[json]])</f>
        <v>{"990000208":{"legacyid":"990000208","name":"Equipo Movil","mode":"I"}}</v>
      </c>
    </row>
    <row r="1208" spans="1:11" x14ac:dyDescent="0.25">
      <c r="A1208" s="61" t="s">
        <v>5586</v>
      </c>
      <c r="B1208" t="s">
        <v>5585</v>
      </c>
      <c r="C1208" t="str">
        <f>findKey(supplementary_offering_offeringid__4[[#This Row],[Value.legacyid]])</f>
        <v>17088901078</v>
      </c>
      <c r="D1208" t="s">
        <v>232</v>
      </c>
      <c r="E1208" t="s">
        <v>2189</v>
      </c>
      <c r="F1208" s="61"/>
      <c r="H1208" s="61"/>
      <c r="J1208" t="str">
        <f>ToJsonArray(supplementary_offering_offeringid__4[[#Headers],[legacyid]:[activityId]],supplementary_offering_offeringid__4[[#This Row],[legacyid]:[activityId]])</f>
        <v>{"legacyid":"17088901078","name":"Paquete SMS 5.1","mode":"I"}</v>
      </c>
      <c r="K1208" t="str">
        <f>ToJsonArray(supplementary_offering_offeringid__4[[#This Row],[produccion]],supplementary_offering_offeringid__4[[#This Row],[json]])</f>
        <v>{"990000210":{"legacyid":"17088901078","name":"Paquete SMS 5.1","mode":"I"}}</v>
      </c>
    </row>
    <row r="1209" spans="1:11" x14ac:dyDescent="0.25">
      <c r="A1209" s="61" t="s">
        <v>5588</v>
      </c>
      <c r="B1209" t="s">
        <v>5587</v>
      </c>
      <c r="C1209" t="str">
        <f>findKey(supplementary_offering_offeringid__4[[#This Row],[Value.legacyid]])</f>
        <v>17088898774</v>
      </c>
      <c r="D1209" t="s">
        <v>235</v>
      </c>
      <c r="E1209" t="s">
        <v>2189</v>
      </c>
      <c r="F1209" s="61"/>
      <c r="H1209" s="61"/>
      <c r="J1209" t="str">
        <f>ToJsonArray(supplementary_offering_offeringid__4[[#Headers],[legacyid]:[activityId]],supplementary_offering_offeringid__4[[#This Row],[legacyid]:[activityId]])</f>
        <v>{"legacyid":"17088898774","name":"Paquete Datos 5.1","mode":"I"}</v>
      </c>
      <c r="K1209" t="str">
        <f>ToJsonArray(supplementary_offering_offeringid__4[[#This Row],[produccion]],supplementary_offering_offeringid__4[[#This Row],[json]])</f>
        <v>{"990000211":{"legacyid":"17088898774","name":"Paquete Datos 5.1","mode":"I"}}</v>
      </c>
    </row>
    <row r="1210" spans="1:11" x14ac:dyDescent="0.25">
      <c r="A1210" s="61" t="s">
        <v>5590</v>
      </c>
      <c r="B1210" t="s">
        <v>5589</v>
      </c>
      <c r="C1210" t="str">
        <f>findKey(supplementary_offering_offeringid__4[[#This Row],[Value.legacyid]])</f>
        <v>17088898102</v>
      </c>
      <c r="D1210" t="s">
        <v>233</v>
      </c>
      <c r="E1210" t="s">
        <v>2189</v>
      </c>
      <c r="F1210" s="61"/>
      <c r="H1210" s="61"/>
      <c r="J1210" t="str">
        <f>ToJsonArray(supplementary_offering_offeringid__4[[#Headers],[legacyid]:[activityId]],supplementary_offering_offeringid__4[[#This Row],[legacyid]:[activityId]])</f>
        <v>{"legacyid":"17088898102","name":"Paquete SMS 5.2","mode":"I"}</v>
      </c>
      <c r="K1210" t="str">
        <f>ToJsonArray(supplementary_offering_offeringid__4[[#This Row],[produccion]],supplementary_offering_offeringid__4[[#This Row],[json]])</f>
        <v>{"990000213":{"legacyid":"17088898102","name":"Paquete SMS 5.2","mode":"I"}}</v>
      </c>
    </row>
    <row r="1211" spans="1:11" x14ac:dyDescent="0.25">
      <c r="A1211" s="61" t="s">
        <v>5592</v>
      </c>
      <c r="B1211" t="s">
        <v>5591</v>
      </c>
      <c r="C1211" t="str">
        <f>findKey(supplementary_offering_offeringid__4[[#This Row],[Value.legacyid]])</f>
        <v>17088899542</v>
      </c>
      <c r="D1211" t="s">
        <v>236</v>
      </c>
      <c r="E1211" t="s">
        <v>2189</v>
      </c>
      <c r="F1211" s="61"/>
      <c r="H1211" s="61"/>
      <c r="J1211" t="str">
        <f>ToJsonArray(supplementary_offering_offeringid__4[[#Headers],[legacyid]:[activityId]],supplementary_offering_offeringid__4[[#This Row],[legacyid]:[activityId]])</f>
        <v>{"legacyid":"17088899542","name":"Paquete Datos 5.2","mode":"I"}</v>
      </c>
      <c r="K1211" t="str">
        <f>ToJsonArray(supplementary_offering_offeringid__4[[#This Row],[produccion]],supplementary_offering_offeringid__4[[#This Row],[json]])</f>
        <v>{"990000214":{"legacyid":"17088899542","name":"Paquete Datos 5.2","mode":"I"}}</v>
      </c>
    </row>
    <row r="1212" spans="1:11" x14ac:dyDescent="0.25">
      <c r="A1212" s="61" t="s">
        <v>5041</v>
      </c>
      <c r="B1212" t="s">
        <v>5040</v>
      </c>
      <c r="C1212" t="str">
        <f>findKey(supplementary_offering_offeringid__4[[#This Row],[Value.legacyid]])</f>
        <v>17088899638</v>
      </c>
      <c r="D1212" t="s">
        <v>234</v>
      </c>
      <c r="E1212" t="s">
        <v>2189</v>
      </c>
      <c r="F1212" s="61"/>
      <c r="H1212" s="61"/>
      <c r="J1212" t="str">
        <f>ToJsonArray(supplementary_offering_offeringid__4[[#Headers],[legacyid]:[activityId]],supplementary_offering_offeringid__4[[#This Row],[legacyid]:[activityId]])</f>
        <v>{"legacyid":"17088899638","name":"Paquete SMS 5.3","mode":"I"}</v>
      </c>
      <c r="K1212" t="str">
        <f>ToJsonArray(supplementary_offering_offeringid__4[[#This Row],[produccion]],supplementary_offering_offeringid__4[[#This Row],[json]])</f>
        <v>{"990000216":{"legacyid":"17088899638","name":"Paquete SMS 5.3","mode":"I"}}</v>
      </c>
    </row>
    <row r="1213" spans="1:11" x14ac:dyDescent="0.25">
      <c r="A1213" s="61" t="s">
        <v>5043</v>
      </c>
      <c r="B1213" t="s">
        <v>5042</v>
      </c>
      <c r="C1213" t="str">
        <f>findKey(supplementary_offering_offeringid__4[[#This Row],[Value.legacyid]])</f>
        <v>17088898006</v>
      </c>
      <c r="D1213" t="s">
        <v>237</v>
      </c>
      <c r="E1213" t="s">
        <v>2189</v>
      </c>
      <c r="F1213" s="61"/>
      <c r="H1213" s="61"/>
      <c r="J1213" t="str">
        <f>ToJsonArray(supplementary_offering_offeringid__4[[#Headers],[legacyid]:[activityId]],supplementary_offering_offeringid__4[[#This Row],[legacyid]:[activityId]])</f>
        <v>{"legacyid":"17088898006","name":"Paquete Datos 5.3","mode":"I"}</v>
      </c>
      <c r="K1213" t="str">
        <f>ToJsonArray(supplementary_offering_offeringid__4[[#This Row],[produccion]],supplementary_offering_offeringid__4[[#This Row],[json]])</f>
        <v>{"990000217":{"legacyid":"17088898006","name":"Paquete Datos 5.3","mode":"I"}}</v>
      </c>
    </row>
    <row r="1214" spans="1:11" x14ac:dyDescent="0.25">
      <c r="A1214" s="61" t="s">
        <v>5047</v>
      </c>
      <c r="B1214" t="s">
        <v>5046</v>
      </c>
      <c r="C1214" t="str">
        <f>findKey(supplementary_offering_offeringid__4[[#This Row],[Value.legacyid]])</f>
        <v>17098063181</v>
      </c>
      <c r="D1214" t="s">
        <v>1363</v>
      </c>
      <c r="E1214" t="s">
        <v>2189</v>
      </c>
      <c r="F1214" s="61"/>
      <c r="H1214" s="61"/>
      <c r="J1214" t="str">
        <f>ToJsonArray(supplementary_offering_offeringid__4[[#Headers],[legacyid]:[activityId]],supplementary_offering_offeringid__4[[#This Row],[legacyid]:[activityId]])</f>
        <v>{"legacyid":"17098063181","name":"Paquete SMS 5.11","mode":"I"}</v>
      </c>
      <c r="K1214" t="str">
        <f>ToJsonArray(supplementary_offering_offeringid__4[[#This Row],[produccion]],supplementary_offering_offeringid__4[[#This Row],[json]])</f>
        <v>{"990000244":{"legacyid":"17098063181","name":"Paquete SMS 5.11","mode":"I"}}</v>
      </c>
    </row>
    <row r="1215" spans="1:11" x14ac:dyDescent="0.25">
      <c r="A1215" s="61" t="s">
        <v>5045</v>
      </c>
      <c r="B1215" t="s">
        <v>5044</v>
      </c>
      <c r="C1215" t="str">
        <f>findKey(supplementary_offering_offeringid__4[[#This Row],[Value.legacyid]])</f>
        <v>17098060109</v>
      </c>
      <c r="D1215" t="s">
        <v>1362</v>
      </c>
      <c r="E1215" t="s">
        <v>2189</v>
      </c>
      <c r="F1215" s="61"/>
      <c r="H1215" s="61"/>
      <c r="J1215" t="str">
        <f>ToJsonArray(supplementary_offering_offeringid__4[[#Headers],[legacyid]:[activityId]],supplementary_offering_offeringid__4[[#This Row],[legacyid]:[activityId]])</f>
        <v>{"legacyid":"17098060109","name":"Paquete Datos 5.11","mode":"I"}</v>
      </c>
      <c r="K1215" t="str">
        <f>ToJsonArray(supplementary_offering_offeringid__4[[#This Row],[produccion]],supplementary_offering_offeringid__4[[#This Row],[json]])</f>
        <v>{"990000245":{"legacyid":"17098060109","name":"Paquete Datos 5.11","mode":"I"}}</v>
      </c>
    </row>
    <row r="1216" spans="1:11" x14ac:dyDescent="0.25">
      <c r="A1216" s="61" t="s">
        <v>5049</v>
      </c>
      <c r="B1216" t="s">
        <v>5048</v>
      </c>
      <c r="C1216" t="str">
        <f>findKey(supplementary_offering_offeringid__4[[#This Row],[Value.legacyid]])</f>
        <v>380247871014</v>
      </c>
      <c r="D1216" t="s">
        <v>2162</v>
      </c>
      <c r="E1216" t="s">
        <v>2189</v>
      </c>
      <c r="F1216" s="61"/>
      <c r="H1216" s="61"/>
      <c r="J1216" t="str">
        <f>ToJsonArray(supplementary_offering_offeringid__4[[#Headers],[legacyid]:[activityId]],supplementary_offering_offeringid__4[[#This Row],[legacyid]:[activityId]])</f>
        <v>{"legacyid":"380247871014","name":"Paquete SMS Fidelizacion Pospago 5.0","mode":"I"}</v>
      </c>
      <c r="K1216" t="str">
        <f>ToJsonArray(supplementary_offering_offeringid__4[[#This Row],[produccion]],supplementary_offering_offeringid__4[[#This Row],[json]])</f>
        <v>{"990000246":{"legacyid":"380247871014","name":"Paquete SMS Fidelizacion Pospago 5.0","mode":"I"}}</v>
      </c>
    </row>
    <row r="1217" spans="1:11" x14ac:dyDescent="0.25">
      <c r="A1217" s="61" t="s">
        <v>5051</v>
      </c>
      <c r="B1217" t="s">
        <v>5050</v>
      </c>
      <c r="C1217" t="str">
        <f>findKey(supplementary_offering_offeringid__4[[#This Row],[Value.legacyid]])</f>
        <v>380247869382</v>
      </c>
      <c r="D1217" t="s">
        <v>2158</v>
      </c>
      <c r="E1217" t="s">
        <v>2189</v>
      </c>
      <c r="F1217" s="61"/>
      <c r="H1217" s="61"/>
      <c r="J1217" t="str">
        <f>ToJsonArray(supplementary_offering_offeringid__4[[#Headers],[legacyid]:[activityId]],supplementary_offering_offeringid__4[[#This Row],[legacyid]:[activityId]])</f>
        <v>{"legacyid":"380247869382","name":"Paquete Datos Fidelizacion Pospago 5.0","mode":"I"}</v>
      </c>
      <c r="K1217" t="str">
        <f>ToJsonArray(supplementary_offering_offeringid__4[[#This Row],[produccion]],supplementary_offering_offeringid__4[[#This Row],[json]])</f>
        <v>{"990000247":{"legacyid":"380247869382","name":"Paquete Datos Fidelizacion Pospago 5.0","mode":"I"}}</v>
      </c>
    </row>
    <row r="1218" spans="1:11" x14ac:dyDescent="0.25">
      <c r="A1218" s="61" t="s">
        <v>5053</v>
      </c>
      <c r="B1218" t="s">
        <v>5052</v>
      </c>
      <c r="C1218" t="str">
        <f>findKey(supplementary_offering_offeringid__4[[#This Row],[Value.legacyid]])</f>
        <v>380247867942</v>
      </c>
      <c r="D1218" t="s">
        <v>2160</v>
      </c>
      <c r="E1218" t="s">
        <v>2189</v>
      </c>
      <c r="F1218" s="61"/>
      <c r="H1218" s="61"/>
      <c r="J1218" t="str">
        <f>ToJsonArray(supplementary_offering_offeringid__4[[#Headers],[legacyid]:[activityId]],supplementary_offering_offeringid__4[[#This Row],[legacyid]:[activityId]])</f>
        <v>{"legacyid":"380247867942","name":"Paquete SMS Pospago 5.3 con Descuento","mode":"I"}</v>
      </c>
      <c r="K1218" t="str">
        <f>ToJsonArray(supplementary_offering_offeringid__4[[#This Row],[produccion]],supplementary_offering_offeringid__4[[#This Row],[json]])</f>
        <v>{"990000248":{"legacyid":"380247867942","name":"Paquete SMS Pospago 5.3 con Descuento","mode":"I"}}</v>
      </c>
    </row>
    <row r="1219" spans="1:11" x14ac:dyDescent="0.25">
      <c r="A1219" s="61" t="s">
        <v>5055</v>
      </c>
      <c r="B1219" t="s">
        <v>5054</v>
      </c>
      <c r="C1219" t="str">
        <f>findKey(supplementary_offering_offeringid__4[[#This Row],[Value.legacyid]])</f>
        <v>380247869478</v>
      </c>
      <c r="D1219" t="s">
        <v>2156</v>
      </c>
      <c r="E1219" t="s">
        <v>2189</v>
      </c>
      <c r="F1219" s="61"/>
      <c r="H1219" s="61"/>
      <c r="J1219" t="str">
        <f>ToJsonArray(supplementary_offering_offeringid__4[[#Headers],[legacyid]:[activityId]],supplementary_offering_offeringid__4[[#This Row],[legacyid]:[activityId]])</f>
        <v>{"legacyid":"380247869478","name":"Paquete Datos Pospago 5.3 con Descuento","mode":"I"}</v>
      </c>
      <c r="K1219" t="str">
        <f>ToJsonArray(supplementary_offering_offeringid__4[[#This Row],[produccion]],supplementary_offering_offeringid__4[[#This Row],[json]])</f>
        <v>{"990000249":{"legacyid":"380247869478","name":"Paquete Datos Pospago 5.3 con Descuento","mode":"I"}}</v>
      </c>
    </row>
    <row r="1220" spans="1:11" x14ac:dyDescent="0.25">
      <c r="A1220" s="61" t="s">
        <v>5551</v>
      </c>
      <c r="B1220" t="s">
        <v>5551</v>
      </c>
      <c r="C1220" t="str">
        <f>findKey(supplementary_offering_offeringid__4[[#This Row],[Value.legacyid]])</f>
        <v>990000218</v>
      </c>
      <c r="D1220" t="s">
        <v>5552</v>
      </c>
      <c r="E1220" t="s">
        <v>2189</v>
      </c>
      <c r="F1220" s="61"/>
      <c r="H1220" s="61"/>
      <c r="J1220" t="str">
        <f>ToJsonArray(supplementary_offering_offeringid__4[[#Headers],[legacyid]:[activityId]],supplementary_offering_offeringid__4[[#This Row],[legacyid]:[activityId]])</f>
        <v>{"legacyid":"990000218","name":"Addon Seguro ProtecciÃ³n de Pantalla","mode":"I"}</v>
      </c>
      <c r="K1220" t="str">
        <f>ToJsonArray(supplementary_offering_offeringid__4[[#This Row],[produccion]],supplementary_offering_offeringid__4[[#This Row],[json]])</f>
        <v>{"990000218":{"legacyid":"990000218","name":"Addon Seguro ProtecciÃ³n de Pantalla","mode":"I"}}</v>
      </c>
    </row>
    <row r="1221" spans="1:11" x14ac:dyDescent="0.25">
      <c r="A1221" s="61" t="s">
        <v>5553</v>
      </c>
      <c r="B1221" t="s">
        <v>5553</v>
      </c>
      <c r="C1221" t="str">
        <f>findKey(supplementary_offering_offeringid__4[[#This Row],[Value.legacyid]])</f>
        <v>990000219</v>
      </c>
      <c r="D1221" t="s">
        <v>5554</v>
      </c>
      <c r="E1221" t="s">
        <v>2189</v>
      </c>
      <c r="F1221" s="61"/>
      <c r="H1221" s="61"/>
      <c r="J1221" t="str">
        <f>ToJsonArray(supplementary_offering_offeringid__4[[#Headers],[legacyid]:[activityId]],supplementary_offering_offeringid__4[[#This Row],[legacyid]:[activityId]])</f>
        <v>{"legacyid":"990000219","name":"Addon Seguro ProtecciÃ³n de Pantalla (Incluido)","mode":"I"}</v>
      </c>
      <c r="K1221" t="str">
        <f>ToJsonArray(supplementary_offering_offeringid__4[[#This Row],[produccion]],supplementary_offering_offeringid__4[[#This Row],[json]])</f>
        <v>{"990000219":{"legacyid":"990000219","name":"Addon Seguro ProtecciÃ³n de Pantalla (Incluido)","mode":"I"}}</v>
      </c>
    </row>
    <row r="1222" spans="1:11" x14ac:dyDescent="0.25">
      <c r="A1222" s="61" t="s">
        <v>5555</v>
      </c>
      <c r="B1222" t="s">
        <v>5555</v>
      </c>
      <c r="C1222" t="str">
        <f>findKey(supplementary_offering_offeringid__4[[#This Row],[Value.legacyid]])</f>
        <v>990000220</v>
      </c>
      <c r="D1222" t="s">
        <v>5556</v>
      </c>
      <c r="E1222" t="s">
        <v>2189</v>
      </c>
      <c r="F1222" s="61"/>
      <c r="H1222" s="61"/>
      <c r="J1222" t="str">
        <f>ToJsonArray(supplementary_offering_offeringid__4[[#Headers],[legacyid]:[activityId]],supplementary_offering_offeringid__4[[#This Row],[legacyid]:[activityId]])</f>
        <v>{"legacyid":"990000220","name":"Addon Seguro ProtecciÃ³n MÃ³vil (Todo Riesgo + Pantalla)","mode":"I"}</v>
      </c>
      <c r="K1222" t="str">
        <f>ToJsonArray(supplementary_offering_offeringid__4[[#This Row],[produccion]],supplementary_offering_offeringid__4[[#This Row],[json]])</f>
        <v>{"990000220":{"legacyid":"990000220","name":"Addon Seguro ProtecciÃ³n MÃ³vil (Todo Riesgo + Pantalla)","mode":"I"}}</v>
      </c>
    </row>
    <row r="1223" spans="1:11" x14ac:dyDescent="0.25">
      <c r="A1223" s="61" t="s">
        <v>5557</v>
      </c>
      <c r="B1223" t="s">
        <v>5557</v>
      </c>
      <c r="C1223" t="str">
        <f>findKey(supplementary_offering_offeringid__4[[#This Row],[Value.legacyid]])</f>
        <v>990000221</v>
      </c>
      <c r="D1223" t="s">
        <v>5558</v>
      </c>
      <c r="E1223" t="s">
        <v>2189</v>
      </c>
      <c r="F1223" s="61"/>
      <c r="H1223" s="61"/>
      <c r="J1223" t="str">
        <f>ToJsonArray(supplementary_offering_offeringid__4[[#Headers],[legacyid]:[activityId]],supplementary_offering_offeringid__4[[#This Row],[legacyid]:[activityId]])</f>
        <v>{"legacyid":"990000221","name":"Addon Seguro ProtecciÃ³n MÃ³vil (Todo Riesgo + Pantalla) (Incluido)","mode":"I"}</v>
      </c>
      <c r="K1223" t="str">
        <f>ToJsonArray(supplementary_offering_offeringid__4[[#This Row],[produccion]],supplementary_offering_offeringid__4[[#This Row],[json]])</f>
        <v>{"990000221":{"legacyid":"990000221","name":"Addon Seguro ProtecciÃ³n MÃ³vil (Todo Riesgo + Pantalla) (Incluido)","mode":"I"}}</v>
      </c>
    </row>
    <row r="1224" spans="1:11" x14ac:dyDescent="0.25">
      <c r="A1224" s="61" t="s">
        <v>5057</v>
      </c>
      <c r="B1224" t="s">
        <v>5056</v>
      </c>
      <c r="C1224" t="str">
        <f>findKey(supplementary_offering_offeringid__4[[#This Row],[Value.legacyid]])</f>
        <v>17094296271</v>
      </c>
      <c r="D1224" t="s">
        <v>1361</v>
      </c>
      <c r="E1224" t="s">
        <v>2189</v>
      </c>
      <c r="F1224" s="61"/>
      <c r="H1224" s="61"/>
      <c r="J1224" t="str">
        <f>ToJsonArray(supplementary_offering_offeringid__4[[#Headers],[legacyid]:[activityId]],supplementary_offering_offeringid__4[[#This Row],[legacyid]:[activityId]])</f>
        <v>{"legacyid":"17094296271","name":"Addon Amazon Video","mode":"I"}</v>
      </c>
      <c r="K1224" t="str">
        <f>ToJsonArray(supplementary_offering_offeringid__4[[#This Row],[produccion]],supplementary_offering_offeringid__4[[#This Row],[json]])</f>
        <v>{"990000222":{"legacyid":"17094296271","name":"Addon Amazon Video","mode":"I"}}</v>
      </c>
    </row>
    <row r="1225" spans="1:11" x14ac:dyDescent="0.25">
      <c r="A1225" s="61" t="s">
        <v>5059</v>
      </c>
      <c r="B1225" t="s">
        <v>5058</v>
      </c>
      <c r="C1225" t="str">
        <f>findKey(supplementary_offering_offeringid__4[[#This Row],[Value.legacyid]])</f>
        <v>17094296399</v>
      </c>
      <c r="D1225" t="s">
        <v>1357</v>
      </c>
      <c r="E1225" t="s">
        <v>2189</v>
      </c>
      <c r="F1225" s="61"/>
      <c r="H1225" s="61"/>
      <c r="J1225" t="str">
        <f>ToJsonArray(supplementary_offering_offeringid__4[[#Headers],[legacyid]:[activityId]],supplementary_offering_offeringid__4[[#This Row],[legacyid]:[activityId]])</f>
        <v>{"legacyid":"17094296399","name":"Addon Amazon Video (Incluido)","mode":"I"}</v>
      </c>
      <c r="K1225" t="str">
        <f>ToJsonArray(supplementary_offering_offeringid__4[[#This Row],[produccion]],supplementary_offering_offeringid__4[[#This Row],[json]])</f>
        <v>{"990000223":{"legacyid":"17094296399","name":"Addon Amazon Video (Incluido)","mode":"I"}}</v>
      </c>
    </row>
    <row r="1226" spans="1:11" x14ac:dyDescent="0.25">
      <c r="A1226" s="61" t="s">
        <v>5061</v>
      </c>
      <c r="B1226" t="s">
        <v>5060</v>
      </c>
      <c r="C1226" t="str">
        <f>findKey(supplementary_offering_offeringid__4[[#This Row],[Value.legacyid]])</f>
        <v>17094299471</v>
      </c>
      <c r="D1226" t="s">
        <v>1359</v>
      </c>
      <c r="E1226" t="s">
        <v>2189</v>
      </c>
      <c r="F1226" s="61"/>
      <c r="H1226" s="61"/>
      <c r="J1226" t="str">
        <f>ToJsonArray(supplementary_offering_offeringid__4[[#Headers],[legacyid]:[activityId]],supplementary_offering_offeringid__4[[#This Row],[legacyid]:[activityId]])</f>
        <v>{"legacyid":"17094299471","name":"Addon Amazon Video (Promocion)","mode":"I"}</v>
      </c>
      <c r="K1226" t="str">
        <f>ToJsonArray(supplementary_offering_offeringid__4[[#This Row],[produccion]],supplementary_offering_offeringid__4[[#This Row],[json]])</f>
        <v>{"990000224":{"legacyid":"17094299471","name":"Addon Amazon Video (Promocion)","mode":"I"}}</v>
      </c>
    </row>
    <row r="1227" spans="1:11" x14ac:dyDescent="0.25">
      <c r="A1227" s="61" t="s">
        <v>5063</v>
      </c>
      <c r="B1227" t="s">
        <v>5062</v>
      </c>
      <c r="C1227" t="str">
        <f>findKey(supplementary_offering_offeringid__4[[#This Row],[Value.legacyid]])</f>
        <v>17094297039</v>
      </c>
      <c r="D1227" t="s">
        <v>1355</v>
      </c>
      <c r="E1227" t="s">
        <v>2189</v>
      </c>
      <c r="F1227" s="61"/>
      <c r="H1227" s="61"/>
      <c r="J1227" t="str">
        <f>ToJsonArray(supplementary_offering_offeringid__4[[#Headers],[legacyid]:[activityId]],supplementary_offering_offeringid__4[[#This Row],[legacyid]:[activityId]])</f>
        <v>{"legacyid":"17094297039","name":"Addon Amazon Music","mode":"I"}</v>
      </c>
      <c r="K1227" t="str">
        <f>ToJsonArray(supplementary_offering_offeringid__4[[#This Row],[produccion]],supplementary_offering_offeringid__4[[#This Row],[json]])</f>
        <v>{"990000225":{"legacyid":"17094297039","name":"Addon Amazon Music","mode":"I"}}</v>
      </c>
    </row>
    <row r="1228" spans="1:11" x14ac:dyDescent="0.25">
      <c r="A1228" s="61" t="s">
        <v>5065</v>
      </c>
      <c r="B1228" t="s">
        <v>5064</v>
      </c>
      <c r="C1228" t="str">
        <f>findKey(supplementary_offering_offeringid__4[[#This Row],[Value.legacyid]])</f>
        <v>17094295599</v>
      </c>
      <c r="D1228" t="s">
        <v>1349</v>
      </c>
      <c r="E1228" t="s">
        <v>2189</v>
      </c>
      <c r="F1228" s="61"/>
      <c r="H1228" s="61"/>
      <c r="J1228" t="str">
        <f>ToJsonArray(supplementary_offering_offeringid__4[[#Headers],[legacyid]:[activityId]],supplementary_offering_offeringid__4[[#This Row],[legacyid]:[activityId]])</f>
        <v>{"legacyid":"17094295599","name":"Addon Deezer","mode":"I"}</v>
      </c>
      <c r="K1228" t="str">
        <f>ToJsonArray(supplementary_offering_offeringid__4[[#This Row],[produccion]],supplementary_offering_offeringid__4[[#This Row],[json]])</f>
        <v>{"990000226":{"legacyid":"17094295599","name":"Addon Deezer","mode":"I"}}</v>
      </c>
    </row>
    <row r="1229" spans="1:11" x14ac:dyDescent="0.25">
      <c r="A1229" s="61" t="s">
        <v>5067</v>
      </c>
      <c r="B1229" t="s">
        <v>5066</v>
      </c>
      <c r="C1229" t="str">
        <f>findKey(supplementary_offering_offeringid__4[[#This Row],[Value.legacyid]])</f>
        <v>17094298575</v>
      </c>
      <c r="D1229" t="s">
        <v>1351</v>
      </c>
      <c r="E1229" t="s">
        <v>2189</v>
      </c>
      <c r="F1229" s="61"/>
      <c r="H1229" s="61"/>
      <c r="J1229" t="str">
        <f>ToJsonArray(supplementary_offering_offeringid__4[[#Headers],[legacyid]:[activityId]],supplementary_offering_offeringid__4[[#This Row],[legacyid]:[activityId]])</f>
        <v>{"legacyid":"17094298575","name":"Addon Deezer (incluido)","mode":"I"}</v>
      </c>
      <c r="K1229" t="str">
        <f>ToJsonArray(supplementary_offering_offeringid__4[[#This Row],[produccion]],supplementary_offering_offeringid__4[[#This Row],[json]])</f>
        <v>{"990000227":{"legacyid":"17094298575","name":"Addon Deezer (incluido)","mode":"I"}}</v>
      </c>
    </row>
    <row r="1230" spans="1:11" x14ac:dyDescent="0.25">
      <c r="A1230" s="61" t="s">
        <v>5069</v>
      </c>
      <c r="B1230" t="s">
        <v>5068</v>
      </c>
      <c r="C1230" t="str">
        <f>findKey(supplementary_offering_offeringid__4[[#This Row],[Value.legacyid]])</f>
        <v>17094299343</v>
      </c>
      <c r="D1230" t="s">
        <v>1353</v>
      </c>
      <c r="E1230" t="s">
        <v>2189</v>
      </c>
      <c r="F1230" s="61"/>
      <c r="H1230" s="61"/>
      <c r="J1230" t="str">
        <f>ToJsonArray(supplementary_offering_offeringid__4[[#Headers],[legacyid]:[activityId]],supplementary_offering_offeringid__4[[#This Row],[legacyid]:[activityId]])</f>
        <v>{"legacyid":"17094299343","name":"Addon Amazon Music (Incluido)","mode":"I"}</v>
      </c>
      <c r="K1230" t="str">
        <f>ToJsonArray(supplementary_offering_offeringid__4[[#This Row],[produccion]],supplementary_offering_offeringid__4[[#This Row],[json]])</f>
        <v>{"990000228":{"legacyid":"17094299343","name":"Addon Amazon Music (Incluido)","mode":"I"}}</v>
      </c>
    </row>
    <row r="1231" spans="1:11" x14ac:dyDescent="0.25">
      <c r="A1231" s="61" t="s">
        <v>5071</v>
      </c>
      <c r="B1231" t="s">
        <v>5070</v>
      </c>
      <c r="C1231" t="str">
        <f>findKey(supplementary_offering_offeringid__4[[#This Row],[Value.legacyid]])</f>
        <v>17101192360</v>
      </c>
      <c r="D1231" t="s">
        <v>5072</v>
      </c>
      <c r="E1231" t="s">
        <v>2189</v>
      </c>
      <c r="F1231" s="61"/>
      <c r="H1231" s="61"/>
      <c r="J1231" t="str">
        <f>ToJsonArray(supplementary_offering_offeringid__4[[#Headers],[legacyid]:[activityId]],supplementary_offering_offeringid__4[[#This Row],[legacyid]:[activityId]])</f>
        <v>{"legacyid":"17101192360","name":"Addon Deezer (Promocion)","mode":"I"}</v>
      </c>
      <c r="K1231" t="str">
        <f>ToJsonArray(supplementary_offering_offeringid__4[[#This Row],[produccion]],supplementary_offering_offeringid__4[[#This Row],[json]])</f>
        <v>{"990000295":{"legacyid":"17101192360","name":"Addon Deezer (Promocion)","mode":"I"}}</v>
      </c>
    </row>
    <row r="1232" spans="1:11" x14ac:dyDescent="0.25">
      <c r="A1232" s="61" t="s">
        <v>5074</v>
      </c>
      <c r="B1232" t="s">
        <v>5073</v>
      </c>
      <c r="C1232" t="str">
        <f>findKey(supplementary_offering_offeringid__4[[#This Row],[Value.legacyid]])</f>
        <v>17099252530</v>
      </c>
      <c r="D1232" t="s">
        <v>5075</v>
      </c>
      <c r="E1232" t="s">
        <v>2189</v>
      </c>
      <c r="F1232" s="61"/>
      <c r="H1232" s="61"/>
      <c r="J1232" t="str">
        <f>ToJsonArray(supplementary_offering_offeringid__4[[#Headers],[legacyid]:[activityId]],supplementary_offering_offeringid__4[[#This Row],[legacyid]:[activityId]])</f>
        <v>{"legacyid":"17099252530","name":"Addon Amazon Music (Promocion)","mode":"I"}</v>
      </c>
      <c r="K1232" t="str">
        <f>ToJsonArray(supplementary_offering_offeringid__4[[#This Row],[produccion]],supplementary_offering_offeringid__4[[#This Row],[json]])</f>
        <v>{"990000294":{"legacyid":"17099252530","name":"Addon Amazon Music (Promocion)","mode":"I"}}</v>
      </c>
    </row>
    <row r="1233" spans="1:11" x14ac:dyDescent="0.25">
      <c r="A1233" s="61" t="s">
        <v>5559</v>
      </c>
      <c r="B1233" t="s">
        <v>5559</v>
      </c>
      <c r="C1233" t="str">
        <f>findKey(supplementary_offering_offeringid__4[[#This Row],[Value.legacyid]])</f>
        <v>990000229</v>
      </c>
      <c r="D1233" t="s">
        <v>5560</v>
      </c>
      <c r="E1233" t="s">
        <v>2189</v>
      </c>
      <c r="F1233" s="61"/>
      <c r="H1233" s="61"/>
      <c r="J1233" t="str">
        <f>ToJsonArray(supplementary_offering_offeringid__4[[#Headers],[legacyid]:[activityId]],supplementary_offering_offeringid__4[[#This Row],[legacyid]:[activityId]])</f>
        <v>{"legacyid":"990000229","name":"Paquete LDI 5min","mode":"I"}</v>
      </c>
      <c r="K1233" t="str">
        <f>ToJsonArray(supplementary_offering_offeringid__4[[#This Row],[produccion]],supplementary_offering_offeringid__4[[#This Row],[json]])</f>
        <v>{"990000229":{"legacyid":"990000229","name":"Paquete LDI 5min","mode":"I"}}</v>
      </c>
    </row>
    <row r="1234" spans="1:11" x14ac:dyDescent="0.25">
      <c r="A1234" s="61" t="s">
        <v>5561</v>
      </c>
      <c r="B1234" t="s">
        <v>5561</v>
      </c>
      <c r="C1234" t="str">
        <f>findKey(supplementary_offering_offeringid__4[[#This Row],[Value.legacyid]])</f>
        <v>990000230</v>
      </c>
      <c r="D1234" t="s">
        <v>5562</v>
      </c>
      <c r="E1234" t="s">
        <v>2189</v>
      </c>
      <c r="F1234" s="61"/>
      <c r="H1234" s="61"/>
      <c r="J1234" t="str">
        <f>ToJsonArray(supplementary_offering_offeringid__4[[#Headers],[legacyid]:[activityId]],supplementary_offering_offeringid__4[[#This Row],[legacyid]:[activityId]])</f>
        <v>{"legacyid":"990000230","name":"Paquete LDI 10 min","mode":"I"}</v>
      </c>
      <c r="K1234" t="str">
        <f>ToJsonArray(supplementary_offering_offeringid__4[[#This Row],[produccion]],supplementary_offering_offeringid__4[[#This Row],[json]])</f>
        <v>{"990000230":{"legacyid":"990000230","name":"Paquete LDI 10 min","mode":"I"}}</v>
      </c>
    </row>
    <row r="1235" spans="1:11" x14ac:dyDescent="0.25">
      <c r="A1235" s="61" t="s">
        <v>5563</v>
      </c>
      <c r="B1235" t="s">
        <v>5563</v>
      </c>
      <c r="C1235" t="str">
        <f>findKey(supplementary_offering_offeringid__4[[#This Row],[Value.legacyid]])</f>
        <v>990000231</v>
      </c>
      <c r="D1235" t="s">
        <v>5564</v>
      </c>
      <c r="E1235" t="s">
        <v>2189</v>
      </c>
      <c r="F1235" s="61"/>
      <c r="H1235" s="61"/>
      <c r="J1235" t="str">
        <f>ToJsonArray(supplementary_offering_offeringid__4[[#Headers],[legacyid]:[activityId]],supplementary_offering_offeringid__4[[#This Row],[legacyid]:[activityId]])</f>
        <v>{"legacyid":"990000231","name":"Paquete LDI 30 min","mode":"I"}</v>
      </c>
      <c r="K1235" t="str">
        <f>ToJsonArray(supplementary_offering_offeringid__4[[#This Row],[produccion]],supplementary_offering_offeringid__4[[#This Row],[json]])</f>
        <v>{"990000231":{"legacyid":"990000231","name":"Paquete LDI 30 min","mode":"I"}}</v>
      </c>
    </row>
    <row r="1236" spans="1:11" x14ac:dyDescent="0.25">
      <c r="A1236" s="61" t="s">
        <v>5565</v>
      </c>
      <c r="B1236" t="s">
        <v>5565</v>
      </c>
      <c r="C1236" t="str">
        <f>findKey(supplementary_offering_offeringid__4[[#This Row],[Value.legacyid]])</f>
        <v>990000232</v>
      </c>
      <c r="D1236" t="s">
        <v>5566</v>
      </c>
      <c r="E1236" t="s">
        <v>2189</v>
      </c>
      <c r="F1236" s="61"/>
      <c r="H1236" s="61"/>
      <c r="J1236" t="str">
        <f>ToJsonArray(supplementary_offering_offeringid__4[[#Headers],[legacyid]:[activityId]],supplementary_offering_offeringid__4[[#This Row],[legacyid]:[activityId]])</f>
        <v>{"legacyid":"990000232","name":"Paquete Datos 40 MB","mode":"I"}</v>
      </c>
      <c r="K1236" t="str">
        <f>ToJsonArray(supplementary_offering_offeringid__4[[#This Row],[produccion]],supplementary_offering_offeringid__4[[#This Row],[json]])</f>
        <v>{"990000232":{"legacyid":"990000232","name":"Paquete Datos 40 MB","mode":"I"}}</v>
      </c>
    </row>
    <row r="1237" spans="1:11" x14ac:dyDescent="0.25">
      <c r="A1237" s="61" t="s">
        <v>5567</v>
      </c>
      <c r="B1237" t="s">
        <v>5567</v>
      </c>
      <c r="C1237" t="str">
        <f>findKey(supplementary_offering_offeringid__4[[#This Row],[Value.legacyid]])</f>
        <v>990000233</v>
      </c>
      <c r="D1237" t="s">
        <v>5568</v>
      </c>
      <c r="E1237" t="s">
        <v>2189</v>
      </c>
      <c r="F1237" s="61"/>
      <c r="H1237" s="61"/>
      <c r="J1237" t="str">
        <f>ToJsonArray(supplementary_offering_offeringid__4[[#Headers],[legacyid]:[activityId]],supplementary_offering_offeringid__4[[#This Row],[legacyid]:[activityId]])</f>
        <v>{"legacyid":"990000233","name":"Paquete Datos 150 MB","mode":"I"}</v>
      </c>
      <c r="K1237" t="str">
        <f>ToJsonArray(supplementary_offering_offeringid__4[[#This Row],[produccion]],supplementary_offering_offeringid__4[[#This Row],[json]])</f>
        <v>{"990000233":{"legacyid":"990000233","name":"Paquete Datos 150 MB","mode":"I"}}</v>
      </c>
    </row>
    <row r="1238" spans="1:11" x14ac:dyDescent="0.25">
      <c r="A1238" s="61" t="s">
        <v>5569</v>
      </c>
      <c r="B1238" t="s">
        <v>5569</v>
      </c>
      <c r="C1238" t="str">
        <f>findKey(supplementary_offering_offeringid__4[[#This Row],[Value.legacyid]])</f>
        <v>990000234</v>
      </c>
      <c r="D1238" t="s">
        <v>5570</v>
      </c>
      <c r="E1238" t="s">
        <v>2189</v>
      </c>
      <c r="F1238" s="61"/>
      <c r="H1238" s="61"/>
      <c r="J1238" t="str">
        <f>ToJsonArray(supplementary_offering_offeringid__4[[#Headers],[legacyid]:[activityId]],supplementary_offering_offeringid__4[[#This Row],[legacyid]:[activityId]])</f>
        <v>{"legacyid":"990000234","name":"Paquete Datos 100 MB + 20 Min + 5 SMS","mode":"I"}</v>
      </c>
      <c r="K1238" t="str">
        <f>ToJsonArray(supplementary_offering_offeringid__4[[#This Row],[produccion]],supplementary_offering_offeringid__4[[#This Row],[json]])</f>
        <v>{"990000234":{"legacyid":"990000234","name":"Paquete Datos 100 MB + 20 Min + 5 SMS","mode":"I"}}</v>
      </c>
    </row>
    <row r="1239" spans="1:11" x14ac:dyDescent="0.25">
      <c r="A1239" s="61" t="s">
        <v>5571</v>
      </c>
      <c r="B1239" t="s">
        <v>5571</v>
      </c>
      <c r="C1239" t="str">
        <f>findKey(supplementary_offering_offeringid__4[[#This Row],[Value.legacyid]])</f>
        <v>990000235</v>
      </c>
      <c r="D1239" t="s">
        <v>5572</v>
      </c>
      <c r="E1239" t="s">
        <v>2189</v>
      </c>
      <c r="F1239" s="61"/>
      <c r="H1239" s="61"/>
      <c r="J1239" t="str">
        <f>ToJsonArray(supplementary_offering_offeringid__4[[#Headers],[legacyid]:[activityId]],supplementary_offering_offeringid__4[[#This Row],[legacyid]:[activityId]])</f>
        <v>{"legacyid":"990000235","name":"Paquete Datos 200 MB + 50 Min + 10 SMS","mode":"I"}</v>
      </c>
      <c r="K1239" t="str">
        <f>ToJsonArray(supplementary_offering_offeringid__4[[#This Row],[produccion]],supplementary_offering_offeringid__4[[#This Row],[json]])</f>
        <v>{"990000235":{"legacyid":"990000235","name":"Paquete Datos 200 MB + 50 Min + 10 SMS","mode":"I"}}</v>
      </c>
    </row>
    <row r="1240" spans="1:11" x14ac:dyDescent="0.25">
      <c r="A1240" s="61" t="s">
        <v>5573</v>
      </c>
      <c r="B1240" t="s">
        <v>5573</v>
      </c>
      <c r="C1240" t="str">
        <f>findKey(supplementary_offering_offeringid__4[[#This Row],[Value.legacyid]])</f>
        <v>990000236</v>
      </c>
      <c r="D1240" t="s">
        <v>5574</v>
      </c>
      <c r="E1240" t="s">
        <v>2189</v>
      </c>
      <c r="F1240" s="61"/>
      <c r="H1240" s="61"/>
      <c r="J1240" t="str">
        <f>ToJsonArray(supplementary_offering_offeringid__4[[#Headers],[legacyid]:[activityId]],supplementary_offering_offeringid__4[[#This Row],[legacyid]:[activityId]])</f>
        <v>{"legacyid":"990000236","name":"Paquete Datos 500 MB + Unlimited Minutes + SMS","mode":"I"}</v>
      </c>
      <c r="K1240" t="str">
        <f>ToJsonArray(supplementary_offering_offeringid__4[[#This Row],[produccion]],supplementary_offering_offeringid__4[[#This Row],[json]])</f>
        <v>{"990000236":{"legacyid":"990000236","name":"Paquete Datos 500 MB + Unlimited Minutes + SMS","mode":"I"}}</v>
      </c>
    </row>
    <row r="1241" spans="1:11" x14ac:dyDescent="0.25">
      <c r="A1241" s="61" t="s">
        <v>5575</v>
      </c>
      <c r="B1241" t="s">
        <v>5575</v>
      </c>
      <c r="C1241" t="str">
        <f>findKey(supplementary_offering_offeringid__4[[#This Row],[Value.legacyid]])</f>
        <v>990000237</v>
      </c>
      <c r="D1241" t="s">
        <v>5576</v>
      </c>
      <c r="E1241" t="s">
        <v>2189</v>
      </c>
      <c r="F1241" s="61"/>
      <c r="H1241" s="61"/>
      <c r="J1241" t="str">
        <f>ToJsonArray(supplementary_offering_offeringid__4[[#Headers],[legacyid]:[activityId]],supplementary_offering_offeringid__4[[#This Row],[legacyid]:[activityId]])</f>
        <v>{"legacyid":"990000237","name":"Paquete Datos 1 GB + Unlimited Minutes + SMS","mode":"I"}</v>
      </c>
      <c r="K1241" t="str">
        <f>ToJsonArray(supplementary_offering_offeringid__4[[#This Row],[produccion]],supplementary_offering_offeringid__4[[#This Row],[json]])</f>
        <v>{"990000237":{"legacyid":"990000237","name":"Paquete Datos 1 GB + Unlimited Minutes + SMS","mode":"I"}}</v>
      </c>
    </row>
    <row r="1242" spans="1:11" x14ac:dyDescent="0.25">
      <c r="A1242" s="61" t="s">
        <v>5577</v>
      </c>
      <c r="B1242" t="s">
        <v>5577</v>
      </c>
      <c r="C1242" t="str">
        <f>findKey(supplementary_offering_offeringid__4[[#This Row],[Value.legacyid]])</f>
        <v>990000238</v>
      </c>
      <c r="D1242" t="s">
        <v>5578</v>
      </c>
      <c r="E1242" t="s">
        <v>2189</v>
      </c>
      <c r="F1242" s="61"/>
      <c r="H1242" s="61"/>
      <c r="J1242" t="str">
        <f>ToJsonArray(supplementary_offering_offeringid__4[[#Headers],[legacyid]:[activityId]],supplementary_offering_offeringid__4[[#This Row],[legacyid]:[activityId]])</f>
        <v>{"legacyid":"990000238","name":"Paquete Datos 2 GB + Unlimited Minutes + SMS","mode":"I"}</v>
      </c>
      <c r="K1242" t="str">
        <f>ToJsonArray(supplementary_offering_offeringid__4[[#This Row],[produccion]],supplementary_offering_offeringid__4[[#This Row],[json]])</f>
        <v>{"990000238":{"legacyid":"990000238","name":"Paquete Datos 2 GB + Unlimited Minutes + SMS","mode":"I"}}</v>
      </c>
    </row>
    <row r="1243" spans="1:11" x14ac:dyDescent="0.25">
      <c r="A1243" s="61" t="s">
        <v>5579</v>
      </c>
      <c r="B1243" t="s">
        <v>5579</v>
      </c>
      <c r="C1243" t="str">
        <f>findKey(supplementary_offering_offeringid__4[[#This Row],[Value.legacyid]])</f>
        <v>990000241</v>
      </c>
      <c r="D1243" t="s">
        <v>5580</v>
      </c>
      <c r="E1243" t="s">
        <v>2189</v>
      </c>
      <c r="F1243" s="61"/>
      <c r="H1243" s="61"/>
      <c r="J1243" t="str">
        <f>ToJsonArray(supplementary_offering_offeringid__4[[#Headers],[legacyid]:[activityId]],supplementary_offering_offeringid__4[[#This Row],[legacyid]:[activityId]])</f>
        <v>{"legacyid":"990000241","name":"Paquete LDI 25 min","mode":"I"}</v>
      </c>
      <c r="K1243" t="str">
        <f>ToJsonArray(supplementary_offering_offeringid__4[[#This Row],[produccion]],supplementary_offering_offeringid__4[[#This Row],[json]])</f>
        <v>{"990000241":{"legacyid":"990000241","name":"Paquete LDI 25 min","mode":"I"}}</v>
      </c>
    </row>
    <row r="1244" spans="1:11" x14ac:dyDescent="0.25">
      <c r="A1244" s="61" t="s">
        <v>5581</v>
      </c>
      <c r="B1244" t="s">
        <v>5581</v>
      </c>
      <c r="C1244" t="str">
        <f>findKey(supplementary_offering_offeringid__4[[#This Row],[Value.legacyid]])</f>
        <v>990000242</v>
      </c>
      <c r="D1244" t="s">
        <v>5582</v>
      </c>
      <c r="E1244" t="s">
        <v>2189</v>
      </c>
      <c r="F1244" s="61"/>
      <c r="H1244" s="61"/>
      <c r="J1244" t="str">
        <f>ToJsonArray(supplementary_offering_offeringid__4[[#Headers],[legacyid]:[activityId]],supplementary_offering_offeringid__4[[#This Row],[legacyid]:[activityId]])</f>
        <v>{"legacyid":"990000242","name":"Paquete LDI 50 min","mode":"I"}</v>
      </c>
      <c r="K1244" t="str">
        <f>ToJsonArray(supplementary_offering_offeringid__4[[#This Row],[produccion]],supplementary_offering_offeringid__4[[#This Row],[json]])</f>
        <v>{"990000242":{"legacyid":"990000242","name":"Paquete LDI 50 min","mode":"I"}}</v>
      </c>
    </row>
    <row r="1245" spans="1:11" x14ac:dyDescent="0.25">
      <c r="A1245" s="61" t="s">
        <v>5583</v>
      </c>
      <c r="B1245" t="s">
        <v>5583</v>
      </c>
      <c r="C1245" t="str">
        <f>findKey(supplementary_offering_offeringid__4[[#This Row],[Value.legacyid]])</f>
        <v>990000243</v>
      </c>
      <c r="D1245" t="s">
        <v>5584</v>
      </c>
      <c r="E1245" t="s">
        <v>2189</v>
      </c>
      <c r="F1245" s="61"/>
      <c r="H1245" s="61"/>
      <c r="J1245" t="str">
        <f>ToJsonArray(supplementary_offering_offeringid__4[[#Headers],[legacyid]:[activityId]],supplementary_offering_offeringid__4[[#This Row],[legacyid]:[activityId]])</f>
        <v>{"legacyid":"990000243","name":"Paquete LDI 100 min","mode":"I"}</v>
      </c>
      <c r="K1245" t="str">
        <f>ToJsonArray(supplementary_offering_offeringid__4[[#This Row],[produccion]],supplementary_offering_offeringid__4[[#This Row],[json]])</f>
        <v>{"990000243":{"legacyid":"990000243","name":"Paquete LDI 100 min","mode":"I"}}</v>
      </c>
    </row>
    <row r="1246" spans="1:11" x14ac:dyDescent="0.25">
      <c r="A1246" s="61" t="s">
        <v>5594</v>
      </c>
      <c r="B1246" t="s">
        <v>5593</v>
      </c>
      <c r="C1246" t="str">
        <f>findKey(supplementary_offering_offeringid__4[[#This Row],[Value.legacyid]])</f>
        <v>17098470386</v>
      </c>
      <c r="D1246" t="s">
        <v>1506</v>
      </c>
      <c r="E1246" t="s">
        <v>2189</v>
      </c>
      <c r="F1246" s="61"/>
      <c r="H1246" s="61"/>
      <c r="J1246" t="str">
        <f>ToJsonArray(supplementary_offering_offeringid__4[[#Headers],[legacyid]:[activityId]],supplementary_offering_offeringid__4[[#This Row],[legacyid]:[activityId]])</f>
        <v>{"legacyid":"17098470386","name":"Paquete SMS 5.1 Empresarial","mode":"I"}</v>
      </c>
      <c r="K1246" t="str">
        <f>ToJsonArray(supplementary_offering_offeringid__4[[#This Row],[produccion]],supplementary_offering_offeringid__4[[#This Row],[json]])</f>
        <v>{"990000683":{"legacyid":"17098470386","name":"Paquete SMS 5.1 Empresarial","mode":"I"}}</v>
      </c>
    </row>
    <row r="1247" spans="1:11" x14ac:dyDescent="0.25">
      <c r="A1247" s="61" t="s">
        <v>5596</v>
      </c>
      <c r="B1247" t="s">
        <v>5595</v>
      </c>
      <c r="C1247" t="str">
        <f>findKey(supplementary_offering_offeringid__4[[#This Row],[Value.legacyid]])</f>
        <v>17098472690</v>
      </c>
      <c r="D1247" t="s">
        <v>1500</v>
      </c>
      <c r="E1247" t="s">
        <v>2189</v>
      </c>
      <c r="F1247" s="61"/>
      <c r="H1247" s="61"/>
      <c r="J1247" t="str">
        <f>ToJsonArray(supplementary_offering_offeringid__4[[#Headers],[legacyid]:[activityId]],supplementary_offering_offeringid__4[[#This Row],[legacyid]:[activityId]])</f>
        <v>{"legacyid":"17098472690","name":"Paquete Datos 5.1 Empresarial","mode":"I"}</v>
      </c>
      <c r="K1247" t="str">
        <f>ToJsonArray(supplementary_offering_offeringid__4[[#This Row],[produccion]],supplementary_offering_offeringid__4[[#This Row],[json]])</f>
        <v>{"990000684":{"legacyid":"17098472690","name":"Paquete Datos 5.1 Empresarial","mode":"I"}}</v>
      </c>
    </row>
    <row r="1248" spans="1:11" x14ac:dyDescent="0.25">
      <c r="A1248" s="61" t="s">
        <v>5598</v>
      </c>
      <c r="B1248" t="s">
        <v>5597</v>
      </c>
      <c r="C1248" t="str">
        <f>findKey(supplementary_offering_offeringid__4[[#This Row],[Value.legacyid]])</f>
        <v>17098473458</v>
      </c>
      <c r="D1248" t="s">
        <v>1508</v>
      </c>
      <c r="E1248" t="s">
        <v>2189</v>
      </c>
      <c r="F1248" s="61"/>
      <c r="H1248" s="61"/>
      <c r="J1248" t="str">
        <f>ToJsonArray(supplementary_offering_offeringid__4[[#Headers],[legacyid]:[activityId]],supplementary_offering_offeringid__4[[#This Row],[legacyid]:[activityId]])</f>
        <v>{"legacyid":"17098473458","name":"Paquete SMS 5.2 Empresarial","mode":"I"}</v>
      </c>
      <c r="K1248" t="str">
        <f>ToJsonArray(supplementary_offering_offeringid__4[[#This Row],[produccion]],supplementary_offering_offeringid__4[[#This Row],[json]])</f>
        <v>{"990000685":{"legacyid":"17098473458","name":"Paquete SMS 5.2 Empresarial","mode":"I"}}</v>
      </c>
    </row>
    <row r="1249" spans="1:11" x14ac:dyDescent="0.25">
      <c r="A1249" s="61" t="s">
        <v>5600</v>
      </c>
      <c r="B1249" t="s">
        <v>5599</v>
      </c>
      <c r="C1249" t="str">
        <f>findKey(supplementary_offering_offeringid__4[[#This Row],[Value.legacyid]])</f>
        <v>17098471154</v>
      </c>
      <c r="D1249" t="s">
        <v>1502</v>
      </c>
      <c r="E1249" t="s">
        <v>2189</v>
      </c>
      <c r="F1249" s="61"/>
      <c r="H1249" s="61"/>
      <c r="J1249" t="str">
        <f>ToJsonArray(supplementary_offering_offeringid__4[[#Headers],[legacyid]:[activityId]],supplementary_offering_offeringid__4[[#This Row],[legacyid]:[activityId]])</f>
        <v>{"legacyid":"17098471154","name":"Paquete Datos 5.2 Empresarial","mode":"I"}</v>
      </c>
      <c r="K1249" t="str">
        <f>ToJsonArray(supplementary_offering_offeringid__4[[#This Row],[produccion]],supplementary_offering_offeringid__4[[#This Row],[json]])</f>
        <v>{"990000686":{"legacyid":"17098471154","name":"Paquete Datos 5.2 Empresarial","mode":"I"}}</v>
      </c>
    </row>
    <row r="1250" spans="1:11" x14ac:dyDescent="0.25">
      <c r="A1250" s="61" t="s">
        <v>5602</v>
      </c>
      <c r="B1250" t="s">
        <v>5601</v>
      </c>
      <c r="C1250" t="str">
        <f>findKey(supplementary_offering_offeringid__4[[#This Row],[Value.legacyid]])</f>
        <v>17098470410</v>
      </c>
      <c r="D1250" t="s">
        <v>1510</v>
      </c>
      <c r="E1250" t="s">
        <v>2189</v>
      </c>
      <c r="F1250" s="61"/>
      <c r="H1250" s="61"/>
      <c r="J1250" t="str">
        <f>ToJsonArray(supplementary_offering_offeringid__4[[#Headers],[legacyid]:[activityId]],supplementary_offering_offeringid__4[[#This Row],[legacyid]:[activityId]])</f>
        <v>{"legacyid":"17098470410","name":"Paquete SMS 5.3 Empresarial","mode":"I"}</v>
      </c>
      <c r="K1250" t="str">
        <f>ToJsonArray(supplementary_offering_offeringid__4[[#This Row],[produccion]],supplementary_offering_offeringid__4[[#This Row],[json]])</f>
        <v>{"990000687":{"legacyid":"17098470410","name":"Paquete SMS 5.3 Empresarial","mode":"I"}}</v>
      </c>
    </row>
    <row r="1251" spans="1:11" x14ac:dyDescent="0.25">
      <c r="A1251" s="61" t="s">
        <v>5604</v>
      </c>
      <c r="B1251" t="s">
        <v>5603</v>
      </c>
      <c r="C1251" t="str">
        <f>findKey(supplementary_offering_offeringid__4[[#This Row],[Value.legacyid]])</f>
        <v>17098471922</v>
      </c>
      <c r="D1251" t="s">
        <v>1504</v>
      </c>
      <c r="E1251" t="s">
        <v>2189</v>
      </c>
      <c r="F1251" s="61"/>
      <c r="H1251" s="61"/>
      <c r="J1251" t="str">
        <f>ToJsonArray(supplementary_offering_offeringid__4[[#Headers],[legacyid]:[activityId]],supplementary_offering_offeringid__4[[#This Row],[legacyid]:[activityId]])</f>
        <v>{"legacyid":"17098471922","name":"Paquete Datos 5.3 Empresarial","mode":"I"}</v>
      </c>
      <c r="K1251" t="str">
        <f>ToJsonArray(supplementary_offering_offeringid__4[[#This Row],[produccion]],supplementary_offering_offeringid__4[[#This Row],[json]])</f>
        <v>{"990000688":{"legacyid":"17098471922","name":"Paquete Datos 5.3 Empresarial","mode":"I"}}</v>
      </c>
    </row>
    <row r="1252" spans="1:11" x14ac:dyDescent="0.25">
      <c r="A1252" s="61" t="s">
        <v>5606</v>
      </c>
      <c r="B1252" t="s">
        <v>5605</v>
      </c>
      <c r="C1252" t="str">
        <f>findKey(supplementary_offering_offeringid__4[[#This Row],[Value.legacyid]])</f>
        <v>17083123965</v>
      </c>
      <c r="D1252" t="s">
        <v>1157</v>
      </c>
      <c r="E1252" t="s">
        <v>2189</v>
      </c>
      <c r="F1252" s="61"/>
      <c r="H1252" s="61"/>
      <c r="J1252" t="str">
        <f>ToJsonArray(supplementary_offering_offeringid__4[[#Headers],[legacyid]:[activityId]],supplementary_offering_offeringid__4[[#This Row],[legacyid]:[activityId]])</f>
        <v>{"legacyid":"17083123965","name":"Paquete SMS M2M","mode":"I"}</v>
      </c>
      <c r="K1252" t="str">
        <f>ToJsonArray(supplementary_offering_offeringid__4[[#This Row],[produccion]],supplementary_offering_offeringid__4[[#This Row],[json]])</f>
        <v>{"990000689":{"legacyid":"17083123965","name":"Paquete SMS M2M","mode":"I"}}</v>
      </c>
    </row>
    <row r="1253" spans="1:11" x14ac:dyDescent="0.25">
      <c r="A1253" s="61" t="s">
        <v>5608</v>
      </c>
      <c r="B1253" t="s">
        <v>5607</v>
      </c>
      <c r="C1253" t="str">
        <f>findKey(supplementary_offering_offeringid__4[[#This Row],[Value.legacyid]])</f>
        <v>17083124723</v>
      </c>
      <c r="D1253" t="s">
        <v>1158</v>
      </c>
      <c r="E1253" t="s">
        <v>2189</v>
      </c>
      <c r="F1253" s="61"/>
      <c r="H1253" s="61"/>
      <c r="J1253" t="str">
        <f>ToJsonArray(supplementary_offering_offeringid__4[[#Headers],[legacyid]:[activityId]],supplementary_offering_offeringid__4[[#This Row],[legacyid]:[activityId]])</f>
        <v>{"legacyid":"17083124723","name":"Paquete Datos M2M","mode":"I"}</v>
      </c>
      <c r="K1253" t="str">
        <f>ToJsonArray(supplementary_offering_offeringid__4[[#This Row],[produccion]],supplementary_offering_offeringid__4[[#This Row],[json]])</f>
        <v>{"990000690":{"legacyid":"17083124723","name":"Paquete Datos M2M","mode":"I"}}</v>
      </c>
    </row>
    <row r="1254" spans="1:11" x14ac:dyDescent="0.25">
      <c r="A1254" s="61" t="s">
        <v>5609</v>
      </c>
      <c r="B1254" t="s">
        <v>5609</v>
      </c>
      <c r="C1254" t="str">
        <f>findKey(supplementary_offering_offeringid__4[[#This Row],[Value.legacyid]])</f>
        <v>990000691</v>
      </c>
      <c r="D1254" t="s">
        <v>5610</v>
      </c>
      <c r="E1254" t="s">
        <v>2189</v>
      </c>
      <c r="F1254" s="61"/>
      <c r="H1254" s="61"/>
      <c r="J1254" t="str">
        <f>ToJsonArray(supplementary_offering_offeringid__4[[#Headers],[legacyid]:[activityId]],supplementary_offering_offeringid__4[[#This Row],[legacyid]:[activityId]])</f>
        <v>{"legacyid":"990000691","name":"Billing  Discount","mode":"I"}</v>
      </c>
      <c r="K1254" t="str">
        <f>ToJsonArray(supplementary_offering_offeringid__4[[#This Row],[produccion]],supplementary_offering_offeringid__4[[#This Row],[json]])</f>
        <v>{"990000691":{"legacyid":"990000691","name":"Billing  Discount","mode":"I"}}</v>
      </c>
    </row>
    <row r="1255" spans="1:11" x14ac:dyDescent="0.25">
      <c r="A1255" s="61" t="s">
        <v>5611</v>
      </c>
      <c r="B1255" t="s">
        <v>5611</v>
      </c>
      <c r="C1255" t="str">
        <f>findKey(supplementary_offering_offeringid__4[[#This Row],[Value.legacyid]])</f>
        <v>990000692</v>
      </c>
      <c r="D1255" t="s">
        <v>5610</v>
      </c>
      <c r="E1255" t="s">
        <v>2189</v>
      </c>
      <c r="F1255" s="61"/>
      <c r="H1255" s="61"/>
      <c r="J1255" t="str">
        <f>ToJsonArray(supplementary_offering_offeringid__4[[#Headers],[legacyid]:[activityId]],supplementary_offering_offeringid__4[[#This Row],[legacyid]:[activityId]])</f>
        <v>{"legacyid":"990000692","name":"Billing  Discount","mode":"I"}</v>
      </c>
      <c r="K1255" t="str">
        <f>ToJsonArray(supplementary_offering_offeringid__4[[#This Row],[produccion]],supplementary_offering_offeringid__4[[#This Row],[json]])</f>
        <v>{"990000692":{"legacyid":"990000692","name":"Billing  Discount","mode":"I"}}</v>
      </c>
    </row>
    <row r="1256" spans="1:11" x14ac:dyDescent="0.25">
      <c r="A1256" s="61" t="s">
        <v>5612</v>
      </c>
      <c r="B1256" t="s">
        <v>5612</v>
      </c>
      <c r="C1256" t="str">
        <f>findKey(supplementary_offering_offeringid__4[[#This Row],[Value.legacyid]])</f>
        <v>990000693</v>
      </c>
      <c r="D1256" t="s">
        <v>5610</v>
      </c>
      <c r="E1256" t="s">
        <v>2189</v>
      </c>
      <c r="F1256" s="61"/>
      <c r="H1256" s="61"/>
      <c r="J1256" t="str">
        <f>ToJsonArray(supplementary_offering_offeringid__4[[#Headers],[legacyid]:[activityId]],supplementary_offering_offeringid__4[[#This Row],[legacyid]:[activityId]])</f>
        <v>{"legacyid":"990000693","name":"Billing  Discount","mode":"I"}</v>
      </c>
      <c r="K1256" t="str">
        <f>ToJsonArray(supplementary_offering_offeringid__4[[#This Row],[produccion]],supplementary_offering_offeringid__4[[#This Row],[json]])</f>
        <v>{"990000693":{"legacyid":"990000693","name":"Billing  Discount","mode":"I"}}</v>
      </c>
    </row>
    <row r="1257" spans="1:11" x14ac:dyDescent="0.25">
      <c r="A1257" s="61" t="s">
        <v>5613</v>
      </c>
      <c r="B1257" t="s">
        <v>5613</v>
      </c>
      <c r="C1257" t="str">
        <f>findKey(supplementary_offering_offeringid__4[[#This Row],[Value.legacyid]])</f>
        <v>990000694</v>
      </c>
      <c r="D1257" t="s">
        <v>5610</v>
      </c>
      <c r="E1257" t="s">
        <v>2189</v>
      </c>
      <c r="F1257" s="61"/>
      <c r="H1257" s="61"/>
      <c r="J1257" t="str">
        <f>ToJsonArray(supplementary_offering_offeringid__4[[#Headers],[legacyid]:[activityId]],supplementary_offering_offeringid__4[[#This Row],[legacyid]:[activityId]])</f>
        <v>{"legacyid":"990000694","name":"Billing  Discount","mode":"I"}</v>
      </c>
      <c r="K1257" t="str">
        <f>ToJsonArray(supplementary_offering_offeringid__4[[#This Row],[produccion]],supplementary_offering_offeringid__4[[#This Row],[json]])</f>
        <v>{"990000694":{"legacyid":"990000694","name":"Billing  Discount","mode":"I"}}</v>
      </c>
    </row>
    <row r="1258" spans="1:11" x14ac:dyDescent="0.25">
      <c r="A1258" s="61" t="s">
        <v>5614</v>
      </c>
      <c r="B1258" t="s">
        <v>5614</v>
      </c>
      <c r="C1258" t="str">
        <f>findKey(supplementary_offering_offeringid__4[[#This Row],[Value.legacyid]])</f>
        <v>990000695</v>
      </c>
      <c r="D1258" t="s">
        <v>5610</v>
      </c>
      <c r="E1258" t="s">
        <v>2189</v>
      </c>
      <c r="F1258" s="61"/>
      <c r="H1258" s="61"/>
      <c r="J1258" t="str">
        <f>ToJsonArray(supplementary_offering_offeringid__4[[#Headers],[legacyid]:[activityId]],supplementary_offering_offeringid__4[[#This Row],[legacyid]:[activityId]])</f>
        <v>{"legacyid":"990000695","name":"Billing  Discount","mode":"I"}</v>
      </c>
      <c r="K1258" t="str">
        <f>ToJsonArray(supplementary_offering_offeringid__4[[#This Row],[produccion]],supplementary_offering_offeringid__4[[#This Row],[json]])</f>
        <v>{"990000695":{"legacyid":"990000695","name":"Billing  Discount","mode":"I"}}</v>
      </c>
    </row>
    <row r="1259" spans="1:11" x14ac:dyDescent="0.25">
      <c r="A1259" s="61" t="s">
        <v>5615</v>
      </c>
      <c r="B1259" t="s">
        <v>5615</v>
      </c>
      <c r="C1259" t="str">
        <f>findKey(supplementary_offering_offeringid__4[[#This Row],[Value.legacyid]])</f>
        <v>990000696</v>
      </c>
      <c r="D1259" t="s">
        <v>5610</v>
      </c>
      <c r="E1259" t="s">
        <v>2189</v>
      </c>
      <c r="F1259" s="61"/>
      <c r="H1259" s="61"/>
      <c r="J1259" t="str">
        <f>ToJsonArray(supplementary_offering_offeringid__4[[#Headers],[legacyid]:[activityId]],supplementary_offering_offeringid__4[[#This Row],[legacyid]:[activityId]])</f>
        <v>{"legacyid":"990000696","name":"Billing  Discount","mode":"I"}</v>
      </c>
      <c r="K1259" t="str">
        <f>ToJsonArray(supplementary_offering_offeringid__4[[#This Row],[produccion]],supplementary_offering_offeringid__4[[#This Row],[json]])</f>
        <v>{"990000696":{"legacyid":"990000696","name":"Billing  Discount","mode":"I"}}</v>
      </c>
    </row>
    <row r="1260" spans="1:11" x14ac:dyDescent="0.25">
      <c r="A1260" s="61" t="s">
        <v>5616</v>
      </c>
      <c r="B1260" t="s">
        <v>5616</v>
      </c>
      <c r="C1260" t="str">
        <f>findKey(supplementary_offering_offeringid__4[[#This Row],[Value.legacyid]])</f>
        <v>990000697</v>
      </c>
      <c r="D1260" t="s">
        <v>5610</v>
      </c>
      <c r="E1260" t="s">
        <v>2189</v>
      </c>
      <c r="F1260" s="61"/>
      <c r="H1260" s="61"/>
      <c r="J1260" t="str">
        <f>ToJsonArray(supplementary_offering_offeringid__4[[#Headers],[legacyid]:[activityId]],supplementary_offering_offeringid__4[[#This Row],[legacyid]:[activityId]])</f>
        <v>{"legacyid":"990000697","name":"Billing  Discount","mode":"I"}</v>
      </c>
      <c r="K1260" t="str">
        <f>ToJsonArray(supplementary_offering_offeringid__4[[#This Row],[produccion]],supplementary_offering_offeringid__4[[#This Row],[json]])</f>
        <v>{"990000697":{"legacyid":"990000697","name":"Billing  Discount","mode":"I"}}</v>
      </c>
    </row>
    <row r="1261" spans="1:11" x14ac:dyDescent="0.25">
      <c r="A1261" s="61" t="s">
        <v>5617</v>
      </c>
      <c r="B1261" t="s">
        <v>5617</v>
      </c>
      <c r="C1261" t="str">
        <f>findKey(supplementary_offering_offeringid__4[[#This Row],[Value.legacyid]])</f>
        <v>990000698</v>
      </c>
      <c r="D1261" t="s">
        <v>5610</v>
      </c>
      <c r="E1261" t="s">
        <v>2189</v>
      </c>
      <c r="F1261" s="61"/>
      <c r="H1261" s="61"/>
      <c r="J1261" t="str">
        <f>ToJsonArray(supplementary_offering_offeringid__4[[#Headers],[legacyid]:[activityId]],supplementary_offering_offeringid__4[[#This Row],[legacyid]:[activityId]])</f>
        <v>{"legacyid":"990000698","name":"Billing  Discount","mode":"I"}</v>
      </c>
      <c r="K1261" t="str">
        <f>ToJsonArray(supplementary_offering_offeringid__4[[#This Row],[produccion]],supplementary_offering_offeringid__4[[#This Row],[json]])</f>
        <v>{"990000698":{"legacyid":"990000698","name":"Billing  Discount","mode":"I"}}</v>
      </c>
    </row>
    <row r="1262" spans="1:11" x14ac:dyDescent="0.25">
      <c r="A1262" s="61" t="s">
        <v>5618</v>
      </c>
      <c r="B1262" t="s">
        <v>5618</v>
      </c>
      <c r="C1262" t="str">
        <f>findKey(supplementary_offering_offeringid__4[[#This Row],[Value.legacyid]])</f>
        <v>990000699</v>
      </c>
      <c r="D1262" t="s">
        <v>5610</v>
      </c>
      <c r="E1262" t="s">
        <v>2189</v>
      </c>
      <c r="F1262" s="61"/>
      <c r="H1262" s="61"/>
      <c r="J1262" t="str">
        <f>ToJsonArray(supplementary_offering_offeringid__4[[#Headers],[legacyid]:[activityId]],supplementary_offering_offeringid__4[[#This Row],[legacyid]:[activityId]])</f>
        <v>{"legacyid":"990000699","name":"Billing  Discount","mode":"I"}</v>
      </c>
      <c r="K1262" t="str">
        <f>ToJsonArray(supplementary_offering_offeringid__4[[#This Row],[produccion]],supplementary_offering_offeringid__4[[#This Row],[json]])</f>
        <v>{"990000699":{"legacyid":"990000699","name":"Billing  Discount","mode":"I"}}</v>
      </c>
    </row>
    <row r="1263" spans="1:11" x14ac:dyDescent="0.25">
      <c r="A1263" s="61" t="s">
        <v>5619</v>
      </c>
      <c r="B1263" t="s">
        <v>5619</v>
      </c>
      <c r="C1263" t="str">
        <f>findKey(supplementary_offering_offeringid__4[[#This Row],[Value.legacyid]])</f>
        <v>990000700</v>
      </c>
      <c r="D1263" t="s">
        <v>5610</v>
      </c>
      <c r="E1263" t="s">
        <v>2189</v>
      </c>
      <c r="F1263" s="61"/>
      <c r="H1263" s="61"/>
      <c r="J1263" t="str">
        <f>ToJsonArray(supplementary_offering_offeringid__4[[#Headers],[legacyid]:[activityId]],supplementary_offering_offeringid__4[[#This Row],[legacyid]:[activityId]])</f>
        <v>{"legacyid":"990000700","name":"Billing  Discount","mode":"I"}</v>
      </c>
      <c r="K1263" t="str">
        <f>ToJsonArray(supplementary_offering_offeringid__4[[#This Row],[produccion]],supplementary_offering_offeringid__4[[#This Row],[json]])</f>
        <v>{"990000700":{"legacyid":"990000700","name":"Billing  Discount","mode":"I"}}</v>
      </c>
    </row>
    <row r="1264" spans="1:11" x14ac:dyDescent="0.25">
      <c r="A1264" s="61" t="s">
        <v>5620</v>
      </c>
      <c r="B1264" t="s">
        <v>5620</v>
      </c>
      <c r="C1264" t="str">
        <f>findKey(supplementary_offering_offeringid__4[[#This Row],[Value.legacyid]])</f>
        <v>990000701</v>
      </c>
      <c r="D1264" t="s">
        <v>5610</v>
      </c>
      <c r="E1264" t="s">
        <v>2189</v>
      </c>
      <c r="F1264" s="61"/>
      <c r="H1264" s="61"/>
      <c r="J1264" t="str">
        <f>ToJsonArray(supplementary_offering_offeringid__4[[#Headers],[legacyid]:[activityId]],supplementary_offering_offeringid__4[[#This Row],[legacyid]:[activityId]])</f>
        <v>{"legacyid":"990000701","name":"Billing  Discount","mode":"I"}</v>
      </c>
      <c r="K1264" t="str">
        <f>ToJsonArray(supplementary_offering_offeringid__4[[#This Row],[produccion]],supplementary_offering_offeringid__4[[#This Row],[json]])</f>
        <v>{"990000701":{"legacyid":"990000701","name":"Billing  Discount","mode":"I"}}</v>
      </c>
    </row>
    <row r="1265" spans="1:11" x14ac:dyDescent="0.25">
      <c r="A1265" s="61" t="s">
        <v>5621</v>
      </c>
      <c r="B1265" t="s">
        <v>5621</v>
      </c>
      <c r="C1265" t="str">
        <f>findKey(supplementary_offering_offeringid__4[[#This Row],[Value.legacyid]])</f>
        <v>990000702</v>
      </c>
      <c r="D1265" t="s">
        <v>5610</v>
      </c>
      <c r="E1265" t="s">
        <v>2189</v>
      </c>
      <c r="F1265" s="61"/>
      <c r="H1265" s="61"/>
      <c r="J1265" t="str">
        <f>ToJsonArray(supplementary_offering_offeringid__4[[#Headers],[legacyid]:[activityId]],supplementary_offering_offeringid__4[[#This Row],[legacyid]:[activityId]])</f>
        <v>{"legacyid":"990000702","name":"Billing  Discount","mode":"I"}</v>
      </c>
      <c r="K1265" t="str">
        <f>ToJsonArray(supplementary_offering_offeringid__4[[#This Row],[produccion]],supplementary_offering_offeringid__4[[#This Row],[json]])</f>
        <v>{"990000702":{"legacyid":"990000702","name":"Billing  Discount","mode":"I"}}</v>
      </c>
    </row>
    <row r="1266" spans="1:11" x14ac:dyDescent="0.25">
      <c r="A1266" s="61" t="s">
        <v>5622</v>
      </c>
      <c r="B1266" t="s">
        <v>5622</v>
      </c>
      <c r="C1266" t="str">
        <f>findKey(supplementary_offering_offeringid__4[[#This Row],[Value.legacyid]])</f>
        <v>990000703</v>
      </c>
      <c r="D1266" t="s">
        <v>5610</v>
      </c>
      <c r="E1266" t="s">
        <v>2189</v>
      </c>
      <c r="F1266" s="61"/>
      <c r="H1266" s="61"/>
      <c r="J1266" t="str">
        <f>ToJsonArray(supplementary_offering_offeringid__4[[#Headers],[legacyid]:[activityId]],supplementary_offering_offeringid__4[[#This Row],[legacyid]:[activityId]])</f>
        <v>{"legacyid":"990000703","name":"Billing  Discount","mode":"I"}</v>
      </c>
      <c r="K1266" t="str">
        <f>ToJsonArray(supplementary_offering_offeringid__4[[#This Row],[produccion]],supplementary_offering_offeringid__4[[#This Row],[json]])</f>
        <v>{"990000703":{"legacyid":"990000703","name":"Billing  Discount","mode":"I"}}</v>
      </c>
    </row>
    <row r="1267" spans="1:11" x14ac:dyDescent="0.25">
      <c r="A1267" s="61" t="s">
        <v>5623</v>
      </c>
      <c r="B1267" t="s">
        <v>5623</v>
      </c>
      <c r="C1267" t="str">
        <f>findKey(supplementary_offering_offeringid__4[[#This Row],[Value.legacyid]])</f>
        <v>990000704</v>
      </c>
      <c r="D1267" t="s">
        <v>5610</v>
      </c>
      <c r="E1267" t="s">
        <v>2189</v>
      </c>
      <c r="F1267" s="61"/>
      <c r="H1267" s="61"/>
      <c r="J1267" t="str">
        <f>ToJsonArray(supplementary_offering_offeringid__4[[#Headers],[legacyid]:[activityId]],supplementary_offering_offeringid__4[[#This Row],[legacyid]:[activityId]])</f>
        <v>{"legacyid":"990000704","name":"Billing  Discount","mode":"I"}</v>
      </c>
      <c r="K1267" t="str">
        <f>ToJsonArray(supplementary_offering_offeringid__4[[#This Row],[produccion]],supplementary_offering_offeringid__4[[#This Row],[json]])</f>
        <v>{"990000704":{"legacyid":"990000704","name":"Billing  Discount","mode":"I"}}</v>
      </c>
    </row>
    <row r="1268" spans="1:11" x14ac:dyDescent="0.25">
      <c r="A1268" s="61" t="s">
        <v>5624</v>
      </c>
      <c r="B1268" t="s">
        <v>5624</v>
      </c>
      <c r="C1268" t="str">
        <f>findKey(supplementary_offering_offeringid__4[[#This Row],[Value.legacyid]])</f>
        <v>990000705</v>
      </c>
      <c r="D1268" t="s">
        <v>5610</v>
      </c>
      <c r="E1268" t="s">
        <v>2189</v>
      </c>
      <c r="F1268" s="61"/>
      <c r="H1268" s="61"/>
      <c r="J1268" t="str">
        <f>ToJsonArray(supplementary_offering_offeringid__4[[#Headers],[legacyid]:[activityId]],supplementary_offering_offeringid__4[[#This Row],[legacyid]:[activityId]])</f>
        <v>{"legacyid":"990000705","name":"Billing  Discount","mode":"I"}</v>
      </c>
      <c r="K1268" t="str">
        <f>ToJsonArray(supplementary_offering_offeringid__4[[#This Row],[produccion]],supplementary_offering_offeringid__4[[#This Row],[json]])</f>
        <v>{"990000705":{"legacyid":"990000705","name":"Billing  Discount","mode":"I"}}</v>
      </c>
    </row>
    <row r="1269" spans="1:11" x14ac:dyDescent="0.25">
      <c r="A1269" s="61" t="s">
        <v>5625</v>
      </c>
      <c r="B1269" t="s">
        <v>5625</v>
      </c>
      <c r="C1269" t="str">
        <f>findKey(supplementary_offering_offeringid__4[[#This Row],[Value.legacyid]])</f>
        <v>990000706</v>
      </c>
      <c r="D1269" t="s">
        <v>5610</v>
      </c>
      <c r="E1269" t="s">
        <v>2189</v>
      </c>
      <c r="F1269" s="61"/>
      <c r="H1269" s="61"/>
      <c r="J1269" t="str">
        <f>ToJsonArray(supplementary_offering_offeringid__4[[#Headers],[legacyid]:[activityId]],supplementary_offering_offeringid__4[[#This Row],[legacyid]:[activityId]])</f>
        <v>{"legacyid":"990000706","name":"Billing  Discount","mode":"I"}</v>
      </c>
      <c r="K1269" t="str">
        <f>ToJsonArray(supplementary_offering_offeringid__4[[#This Row],[produccion]],supplementary_offering_offeringid__4[[#This Row],[json]])</f>
        <v>{"990000706":{"legacyid":"990000706","name":"Billing  Discount","mode":"I"}}</v>
      </c>
    </row>
    <row r="1270" spans="1:11" x14ac:dyDescent="0.25">
      <c r="A1270" s="61" t="s">
        <v>5626</v>
      </c>
      <c r="B1270" t="s">
        <v>5626</v>
      </c>
      <c r="C1270" t="str">
        <f>findKey(supplementary_offering_offeringid__4[[#This Row],[Value.legacyid]])</f>
        <v>990000707</v>
      </c>
      <c r="D1270" t="s">
        <v>5610</v>
      </c>
      <c r="E1270" t="s">
        <v>2189</v>
      </c>
      <c r="F1270" s="61"/>
      <c r="H1270" s="61"/>
      <c r="J1270" t="str">
        <f>ToJsonArray(supplementary_offering_offeringid__4[[#Headers],[legacyid]:[activityId]],supplementary_offering_offeringid__4[[#This Row],[legacyid]:[activityId]])</f>
        <v>{"legacyid":"990000707","name":"Billing  Discount","mode":"I"}</v>
      </c>
      <c r="K1270" t="str">
        <f>ToJsonArray(supplementary_offering_offeringid__4[[#This Row],[produccion]],supplementary_offering_offeringid__4[[#This Row],[json]])</f>
        <v>{"990000707":{"legacyid":"990000707","name":"Billing  Discount","mode":"I"}}</v>
      </c>
    </row>
    <row r="1271" spans="1:11" x14ac:dyDescent="0.25">
      <c r="A1271" s="61" t="s">
        <v>5627</v>
      </c>
      <c r="B1271" t="s">
        <v>5627</v>
      </c>
      <c r="C1271" t="str">
        <f>findKey(supplementary_offering_offeringid__4[[#This Row],[Value.legacyid]])</f>
        <v>990000708</v>
      </c>
      <c r="D1271" t="s">
        <v>5610</v>
      </c>
      <c r="E1271" t="s">
        <v>2189</v>
      </c>
      <c r="F1271" s="61"/>
      <c r="H1271" s="61"/>
      <c r="J1271" t="str">
        <f>ToJsonArray(supplementary_offering_offeringid__4[[#Headers],[legacyid]:[activityId]],supplementary_offering_offeringid__4[[#This Row],[legacyid]:[activityId]])</f>
        <v>{"legacyid":"990000708","name":"Billing  Discount","mode":"I"}</v>
      </c>
      <c r="K1271" t="str">
        <f>ToJsonArray(supplementary_offering_offeringid__4[[#This Row],[produccion]],supplementary_offering_offeringid__4[[#This Row],[json]])</f>
        <v>{"990000708":{"legacyid":"990000708","name":"Billing  Discount","mode":"I"}}</v>
      </c>
    </row>
    <row r="1272" spans="1:11" x14ac:dyDescent="0.25">
      <c r="A1272" s="61" t="s">
        <v>5628</v>
      </c>
      <c r="B1272" t="s">
        <v>5628</v>
      </c>
      <c r="C1272" t="str">
        <f>findKey(supplementary_offering_offeringid__4[[#This Row],[Value.legacyid]])</f>
        <v>990000709</v>
      </c>
      <c r="D1272" t="s">
        <v>5610</v>
      </c>
      <c r="E1272" t="s">
        <v>2189</v>
      </c>
      <c r="F1272" s="61"/>
      <c r="H1272" s="61"/>
      <c r="J1272" t="str">
        <f>ToJsonArray(supplementary_offering_offeringid__4[[#Headers],[legacyid]:[activityId]],supplementary_offering_offeringid__4[[#This Row],[legacyid]:[activityId]])</f>
        <v>{"legacyid":"990000709","name":"Billing  Discount","mode":"I"}</v>
      </c>
      <c r="K1272" t="str">
        <f>ToJsonArray(supplementary_offering_offeringid__4[[#This Row],[produccion]],supplementary_offering_offeringid__4[[#This Row],[json]])</f>
        <v>{"990000709":{"legacyid":"990000709","name":"Billing  Discount","mode":"I"}}</v>
      </c>
    </row>
    <row r="1273" spans="1:11" x14ac:dyDescent="0.25">
      <c r="A1273" s="61" t="s">
        <v>5630</v>
      </c>
      <c r="B1273" t="s">
        <v>5629</v>
      </c>
      <c r="C1273" t="str">
        <f>findKey(supplementary_offering_offeringid__4[[#This Row],[Value.legacyid]])</f>
        <v>17085739477</v>
      </c>
      <c r="D1273" t="s">
        <v>1183</v>
      </c>
      <c r="E1273" t="s">
        <v>2189</v>
      </c>
      <c r="F1273" s="61"/>
      <c r="H1273" s="61"/>
      <c r="J1273" t="str">
        <f>ToJsonArray(supplementary_offering_offeringid__4[[#Headers],[legacyid]:[activityId]],supplementary_offering_offeringid__4[[#This Row],[legacyid]:[activityId]])</f>
        <v>{"legacyid":"17085739477","name":"Paquete 3GB 6 meses","mode":"I"}</v>
      </c>
      <c r="K1273" t="str">
        <f>ToJsonArray(supplementary_offering_offeringid__4[[#This Row],[produccion]],supplementary_offering_offeringid__4[[#This Row],[json]])</f>
        <v>{"990000266":{"legacyid":"17085739477","name":"Paquete 3GB 6 meses","mode":"I"}}</v>
      </c>
    </row>
    <row r="1274" spans="1:11" x14ac:dyDescent="0.25">
      <c r="A1274" s="61" t="s">
        <v>5632</v>
      </c>
      <c r="B1274" t="s">
        <v>5631</v>
      </c>
      <c r="C1274" t="str">
        <f>findKey(supplementary_offering_offeringid__4[[#This Row],[Value.legacyid]])</f>
        <v>17083126936</v>
      </c>
      <c r="D1274" t="s">
        <v>1691</v>
      </c>
      <c r="E1274" t="s">
        <v>2189</v>
      </c>
      <c r="F1274" s="61"/>
      <c r="H1274" s="61"/>
      <c r="J1274" t="str">
        <f>ToJsonArray(supplementary_offering_offeringid__4[[#Headers],[legacyid]:[activityId]],supplementary_offering_offeringid__4[[#This Row],[legacyid]:[activityId]])</f>
        <v>{"legacyid":"17083126936","name":"SEGURO RANGO ALTO pospago","mode":"I"}</v>
      </c>
      <c r="K1274" t="str">
        <f>ToJsonArray(supplementary_offering_offeringid__4[[#This Row],[produccion]],supplementary_offering_offeringid__4[[#This Row],[json]])</f>
        <v>{"990000264":{"legacyid":"17083126936","name":"SEGURO RANGO ALTO pospago","mode":"I"}}</v>
      </c>
    </row>
    <row r="1275" spans="1:11" x14ac:dyDescent="0.25">
      <c r="A1275" s="61" t="s">
        <v>5634</v>
      </c>
      <c r="B1275" t="s">
        <v>5633</v>
      </c>
      <c r="C1275" t="str">
        <f>findKey(supplementary_offering_offeringid__4[[#This Row],[Value.legacyid]])</f>
        <v>17083129624</v>
      </c>
      <c r="D1275" t="s">
        <v>1697</v>
      </c>
      <c r="E1275" t="s">
        <v>2189</v>
      </c>
      <c r="F1275" s="61"/>
      <c r="H1275" s="61"/>
      <c r="J1275" t="str">
        <f>ToJsonArray(supplementary_offering_offeringid__4[[#Headers],[legacyid]:[activityId]],supplementary_offering_offeringid__4[[#This Row],[legacyid]:[activityId]])</f>
        <v>{"legacyid":"17083129624","name":"SEGURO RANGO BAJO pospago","mode":"I"}</v>
      </c>
      <c r="K1275" t="str">
        <f>ToJsonArray(supplementary_offering_offeringid__4[[#This Row],[produccion]],supplementary_offering_offeringid__4[[#This Row],[json]])</f>
        <v>{"990000262":{"legacyid":"17083129624","name":"SEGURO RANGO BAJO pospago","mode":"I"}}</v>
      </c>
    </row>
    <row r="1276" spans="1:11" x14ac:dyDescent="0.25">
      <c r="A1276" s="61" t="s">
        <v>5636</v>
      </c>
      <c r="B1276" t="s">
        <v>5635</v>
      </c>
      <c r="C1276" t="str">
        <f>findKey(supplementary_offering_offeringid__4[[#This Row],[Value.legacyid]])</f>
        <v>17083125860</v>
      </c>
      <c r="D1276" t="s">
        <v>1707</v>
      </c>
      <c r="E1276" t="s">
        <v>2189</v>
      </c>
      <c r="F1276" s="61"/>
      <c r="H1276" s="61"/>
      <c r="J1276" t="str">
        <f>ToJsonArray(supplementary_offering_offeringid__4[[#Headers],[legacyid]:[activityId]],supplementary_offering_offeringid__4[[#This Row],[legacyid]:[activityId]])</f>
        <v>{"legacyid":"17083125860","name":"SEGURO RANGO MEDIO pospago","mode":"I"}</v>
      </c>
      <c r="K1276" t="str">
        <f>ToJsonArray(supplementary_offering_offeringid__4[[#This Row],[produccion]],supplementary_offering_offeringid__4[[#This Row],[json]])</f>
        <v>{"990000263":{"legacyid":"17083125860","name":"SEGURO RANGO MEDIO pospago","mode":"I"}}</v>
      </c>
    </row>
    <row r="1277" spans="1:11" x14ac:dyDescent="0.25">
      <c r="A1277" s="61" t="s">
        <v>5638</v>
      </c>
      <c r="B1277" t="s">
        <v>5637</v>
      </c>
      <c r="C1277" t="str">
        <f>findKey(supplementary_offering_offeringid__4[[#This Row],[Value.legacyid]])</f>
        <v>17083090268</v>
      </c>
      <c r="D1277" t="s">
        <v>1959</v>
      </c>
      <c r="E1277" t="s">
        <v>2189</v>
      </c>
      <c r="F1277" s="61"/>
      <c r="H1277" s="61"/>
      <c r="J1277" t="str">
        <f>ToJsonArray(supplementary_offering_offeringid__4[[#Headers],[legacyid]:[activityId]],supplementary_offering_offeringid__4[[#This Row],[legacyid]:[activityId]])</f>
        <v>{"legacyid":"17083090268","name":"SEGURO RANGO DE LUJO pospago","mode":"I"}</v>
      </c>
      <c r="K1277" t="str">
        <f>ToJsonArray(supplementary_offering_offeringid__4[[#This Row],[produccion]],supplementary_offering_offeringid__4[[#This Row],[json]])</f>
        <v>{"990000265":{"legacyid":"17083090268","name":"SEGURO RANGO DE LUJO pospago","mode":"I"}}</v>
      </c>
    </row>
    <row r="1278" spans="1:11" x14ac:dyDescent="0.25">
      <c r="A1278" s="61">
        <v>990001057</v>
      </c>
      <c r="B1278" t="s">
        <v>5639</v>
      </c>
      <c r="C1278" t="str">
        <f>findKey(supplementary_offering_offeringid__4[[#This Row],[Value.legacyid]])</f>
        <v>17101201623</v>
      </c>
      <c r="D1278" t="s">
        <v>188</v>
      </c>
      <c r="E1278" t="s">
        <v>2189</v>
      </c>
      <c r="F1278" s="61" t="s">
        <v>6256</v>
      </c>
      <c r="G1278" s="71" t="s">
        <v>6386</v>
      </c>
      <c r="H1278" s="61">
        <v>74</v>
      </c>
      <c r="J1278" t="str">
        <f>ToJsonArray(supplementary_offering_offeringid__4[[#Headers],[legacyid]:[activityId]],supplementary_offering_offeringid__4[[#This Row],[legacyid]:[activityId]])</f>
        <v>{"legacyid":"17101201623","name":"Prom 550MIN TD,SMS TD y Voz a Tigo infinito,2 GB WA+Mail+FB P1","mode":"I","amount":"15467","resources":[
				{
					"partition": "12223",
					"amountPartition": "33000",
					"amountType": "seconds"
				},
				{
					"partition": "11823",
					"amountPartition": "999999999",
					"amountType": "seconds"
				}
			],"activity":74}</v>
      </c>
      <c r="K1278" t="str">
        <f>ToJsonArray(supplementary_offering_offeringid__4[[#This Row],[produccion]],supplementary_offering_offeringid__4[[#This Row],[json]])</f>
        <v>{"990001057":{"legacyid":"17101201623","name":"Prom 550MIN TD,SMS TD y Voz a Tigo infinito,2 GB WA+Mail+FB P1","mode":"I","amount":"15467","resources":[
				{
					"partition": "12223",
					"amountPartition": "33000",
					"amountType": "seconds"
				},
				{
					"partition": "11823",
					"amountPartition": "999999999",
					"amountType": "seconds"
				}
			],"activity":74}}</v>
      </c>
    </row>
    <row r="1279" spans="1:11" x14ac:dyDescent="0.25">
      <c r="A1279" s="61" t="s">
        <v>5642</v>
      </c>
      <c r="B1279" t="s">
        <v>5641</v>
      </c>
      <c r="C1279" t="str">
        <f>findKey(supplementary_offering_offeringid__4[[#This Row],[Value.legacyid]])</f>
        <v>17101204695</v>
      </c>
      <c r="D1279" t="s">
        <v>190</v>
      </c>
      <c r="E1279" t="s">
        <v>2189</v>
      </c>
      <c r="F1279" s="61" t="s">
        <v>6216</v>
      </c>
      <c r="G1279" s="71" t="s">
        <v>6358</v>
      </c>
      <c r="H1279" s="61">
        <v>74</v>
      </c>
      <c r="J1279" t="str">
        <f>ToJsonArray(supplementary_offering_offeringid__4[[#Headers],[legacyid]:[activityId]],supplementary_offering_offeringid__4[[#This Row],[legacyid]:[activityId]])</f>
        <v>{"legacyid":"17101204695","name":"Prom 550MIN TD,SMS TD y Voz a Tigo infinito,2 GB WA+Mail+FB P2","mode":"I","amount":"1293","resources":[
				{
					"partition": "32223",
					"amountPartition": "999999999",
					"amountType": "sms"
				}
			],"activity":74}</v>
      </c>
      <c r="K1279" t="str">
        <f>ToJsonArray(supplementary_offering_offeringid__4[[#This Row],[produccion]],supplementary_offering_offeringid__4[[#This Row],[json]])</f>
        <v>{"990001059":{"legacyid":"17101204695","name":"Prom 550MIN TD,SMS TD y Voz a Tigo infinito,2 GB WA+Mail+FB P2","mode":"I","amount":"1293","resources":[
				{
					"partition": "32223",
					"amountPartition": "999999999",
					"amountType": "sms"
				}
			],"activity":74}}</v>
      </c>
    </row>
    <row r="1280" spans="1:11" x14ac:dyDescent="0.25">
      <c r="A1280" s="61" t="s">
        <v>5644</v>
      </c>
      <c r="B1280" t="s">
        <v>5643</v>
      </c>
      <c r="C1280" t="str">
        <f>findKey(supplementary_offering_offeringid__4[[#This Row],[Value.legacyid]])</f>
        <v>17101203159</v>
      </c>
      <c r="D1280" t="s">
        <v>191</v>
      </c>
      <c r="E1280" t="s">
        <v>2189</v>
      </c>
      <c r="F1280" s="61" t="s">
        <v>6257</v>
      </c>
      <c r="G1280" s="71" t="s">
        <v>6387</v>
      </c>
      <c r="H1280" s="61">
        <v>74</v>
      </c>
      <c r="J1280" t="str">
        <f>ToJsonArray(supplementary_offering_offeringid__4[[#Headers],[legacyid]:[activityId]],supplementary_offering_offeringid__4[[#This Row],[legacyid]:[activityId]])</f>
        <v>{"legacyid":"17101203159","name":"Prom 550MIN TD,SMS TD y Voz a Tigo infinito,2 GB WA+Mail+FB P3","mode":"I","amount":"24000","resources":[
				{
					"partition": "22823",
					"amountPartition": "62914560",
					"amountType": "kilobytes"
				},
				{
					"partition": "22423",
					"amountPartition": "2097152",
					"amountType": "kilobytes"
				}
			],"activity":74}</v>
      </c>
      <c r="K1280" t="str">
        <f>ToJsonArray(supplementary_offering_offeringid__4[[#This Row],[produccion]],supplementary_offering_offeringid__4[[#This Row],[json]])</f>
        <v>{"990001058":{"legacyid":"17101203159","name":"Prom 550MIN TD,SMS TD y Voz a Tigo infinito,2 GB WA+Mail+FB P3","mode":"I","amount":"24000","resources":[
				{
					"partition": "22823",
					"amountPartition": "62914560",
					"amountType": "kilobytes"
				},
				{
					"partition": "22423",
					"amountPartition": "2097152",
					"amountType": "kilobytes"
				}
			],"activity":74}}</v>
      </c>
    </row>
    <row r="1281" spans="1:11" x14ac:dyDescent="0.25">
      <c r="A1281" s="61">
        <v>990000993</v>
      </c>
      <c r="B1281" t="s">
        <v>5645</v>
      </c>
      <c r="C1281" t="str">
        <f>findKey(supplementary_offering_offeringid__4[[#This Row],[Value.legacyid]])</f>
        <v>17083124756</v>
      </c>
      <c r="D1281" t="s">
        <v>329</v>
      </c>
      <c r="E1281" t="s">
        <v>2189</v>
      </c>
      <c r="F1281" s="61" t="s">
        <v>6258</v>
      </c>
      <c r="G1281" s="71" t="s">
        <v>6388</v>
      </c>
      <c r="H1281" s="61">
        <v>74</v>
      </c>
      <c r="J1281" t="str">
        <f>ToJsonArray(supplementary_offering_offeringid__4[[#Headers],[legacyid]:[activityId]],supplementary_offering_offeringid__4[[#This Row],[legacyid]:[activityId]])</f>
        <v>{"legacyid":"17083124756","name":"PQT Corp SMS Todo Destino 30","mode":"I","amount":"1156","resources":[
				{
					"partition": "32223",
					"amountPartition": "30",
					"amountType": "sms"
				}
			],"activity":74}</v>
      </c>
      <c r="K1281" t="str">
        <f>ToJsonArray(supplementary_offering_offeringid__4[[#This Row],[produccion]],supplementary_offering_offeringid__4[[#This Row],[json]])</f>
        <v>{"990000993":{"legacyid":"17083124756","name":"PQT Corp SMS Todo Destino 30","mode":"I","amount":"1156","resources":[
				{
					"partition": "32223",
					"amountPartition": "30",
					"amountType": "sms"
				}
			],"activity":74}}</v>
      </c>
    </row>
    <row r="1282" spans="1:11" x14ac:dyDescent="0.25">
      <c r="A1282" s="61" t="s">
        <v>5648</v>
      </c>
      <c r="B1282" t="s">
        <v>5647</v>
      </c>
      <c r="C1282" t="str">
        <f>findKey(supplementary_offering_offeringid__4[[#This Row],[Value.legacyid]])</f>
        <v>17083123308</v>
      </c>
      <c r="D1282" t="s">
        <v>330</v>
      </c>
      <c r="E1282" t="s">
        <v>2189</v>
      </c>
      <c r="F1282" s="61" t="s">
        <v>6252</v>
      </c>
      <c r="G1282" s="71" t="s">
        <v>6318</v>
      </c>
      <c r="H1282" s="61">
        <v>74</v>
      </c>
      <c r="J1282" t="str">
        <f>ToJsonArray(supplementary_offering_offeringid__4[[#Headers],[legacyid]:[activityId]],supplementary_offering_offeringid__4[[#This Row],[legacyid]:[activityId]])</f>
        <v>{"legacyid":"17083123308","name":"PQT Corp SMS Todo Destino 100","mode":"I","amount":"2890","resources":[
				{
					"partition": "32223",
					"amountPartition": "100",
					"amountType": "sms"
				}
			],"activity":74}</v>
      </c>
      <c r="K1282" t="str">
        <f>ToJsonArray(supplementary_offering_offeringid__4[[#This Row],[produccion]],supplementary_offering_offeringid__4[[#This Row],[json]])</f>
        <v>{"990000992":{"legacyid":"17083123308","name":"PQT Corp SMS Todo Destino 100","mode":"I","amount":"2890","resources":[
				{
					"partition": "32223",
					"amountPartition": "100",
					"amountType": "sms"
				}
			],"activity":74}}</v>
      </c>
    </row>
    <row r="1283" spans="1:11" x14ac:dyDescent="0.25">
      <c r="A1283" s="61" t="s">
        <v>5650</v>
      </c>
      <c r="B1283" t="s">
        <v>5649</v>
      </c>
      <c r="C1283" t="str">
        <f>findKey(supplementary_offering_offeringid__4[[#This Row],[Value.legacyid]])</f>
        <v>17083092972</v>
      </c>
      <c r="D1283" t="s">
        <v>414</v>
      </c>
      <c r="E1283" t="s">
        <v>2189</v>
      </c>
      <c r="F1283" s="61" t="s">
        <v>6259</v>
      </c>
      <c r="G1283" s="71" t="s">
        <v>6389</v>
      </c>
      <c r="H1283" s="61">
        <v>74</v>
      </c>
      <c r="J1283" t="str">
        <f>ToJsonArray(supplementary_offering_offeringid__4[[#Headers],[legacyid]:[activityId]],supplementary_offering_offeringid__4[[#This Row],[legacyid]:[activityId]])</f>
        <v>{"legacyid":"17083092972","name":"PQT Corp SMS Tigo 50","mode":"I","amount":"964","resources":[
				{
					"partition": "31823",
					"amountPartition": "50",
					"amountType": "sms"
				}
			],"activity":74}</v>
      </c>
      <c r="K1283" t="str">
        <f>ToJsonArray(supplementary_offering_offeringid__4[[#This Row],[produccion]],supplementary_offering_offeringid__4[[#This Row],[json]])</f>
        <v>{"990000991":{"legacyid":"17083092972","name":"PQT Corp SMS Tigo 50","mode":"I","amount":"964","resources":[
				{
					"partition": "31823",
					"amountPartition": "50",
					"amountType": "sms"
				}
			],"activity":74}}</v>
      </c>
    </row>
    <row r="1284" spans="1:11" x14ac:dyDescent="0.25">
      <c r="A1284" s="61" t="s">
        <v>5652</v>
      </c>
      <c r="B1284" t="s">
        <v>5651</v>
      </c>
      <c r="C1284" t="str">
        <f>findKey(supplementary_offering_offeringid__4[[#This Row],[Value.legacyid]])</f>
        <v>17083126712</v>
      </c>
      <c r="D1284" t="s">
        <v>436</v>
      </c>
      <c r="E1284" t="s">
        <v>2189</v>
      </c>
      <c r="F1284" s="61" t="s">
        <v>6260</v>
      </c>
      <c r="G1284" s="71" t="s">
        <v>6391</v>
      </c>
      <c r="H1284" s="61">
        <v>74</v>
      </c>
      <c r="J1284" t="str">
        <f>ToJsonArray(supplementary_offering_offeringid__4[[#Headers],[legacyid]:[activityId]],supplementary_offering_offeringid__4[[#This Row],[legacyid]:[activityId]])</f>
        <v>{"legacyid":"17083126712","name":"PQT Corp Tigo 1100","mode":"I","amount":"55863","resources":[
				{
					"partition": "11823",
					"amountPartition": "66000",
					"amountType": "seconds"
				}
			],"activity":74}</v>
      </c>
      <c r="K1284" t="str">
        <f>ToJsonArray(supplementary_offering_offeringid__4[[#This Row],[produccion]],supplementary_offering_offeringid__4[[#This Row],[json]])</f>
        <v>{"990001009":{"legacyid":"17083126712","name":"PQT Corp Tigo 1100","mode":"I","amount":"55863","resources":[
				{
					"partition": "11823",
					"amountPartition": "66000",
					"amountType": "seconds"
				}
			],"activity":74}}</v>
      </c>
    </row>
    <row r="1285" spans="1:11" x14ac:dyDescent="0.25">
      <c r="A1285" s="61" t="s">
        <v>5654</v>
      </c>
      <c r="B1285" t="s">
        <v>5653</v>
      </c>
      <c r="C1285" t="str">
        <f>findKey(supplementary_offering_offeringid__4[[#This Row],[Value.legacyid]])</f>
        <v>17083128248</v>
      </c>
      <c r="D1285" t="s">
        <v>437</v>
      </c>
      <c r="E1285" t="s">
        <v>2189</v>
      </c>
      <c r="F1285" s="61" t="s">
        <v>6261</v>
      </c>
      <c r="G1285" s="71" t="s">
        <v>6392</v>
      </c>
      <c r="H1285" s="61">
        <v>74</v>
      </c>
      <c r="J1285" t="str">
        <f>ToJsonArray(supplementary_offering_offeringid__4[[#Headers],[legacyid]:[activityId]],supplementary_offering_offeringid__4[[#This Row],[legacyid]:[activityId]])</f>
        <v>{"legacyid":"17083128248","name":"PQT Corp Tigo 1300","mode":"I","amount":"65174","resources":[
				{
					"partition": "11823",
					"amountPartition": "78000",
					"amountType": "seconds"
				}
			],"activity":74}</v>
      </c>
      <c r="K1285" t="str">
        <f>ToJsonArray(supplementary_offering_offeringid__4[[#This Row],[produccion]],supplementary_offering_offeringid__4[[#This Row],[json]])</f>
        <v>{"990001017":{"legacyid":"17083128248","name":"PQT Corp Tigo 1300","mode":"I","amount":"65174","resources":[
				{
					"partition": "11823",
					"amountPartition": "78000",
					"amountType": "seconds"
				}
			],"activity":74}}</v>
      </c>
    </row>
    <row r="1286" spans="1:11" x14ac:dyDescent="0.25">
      <c r="A1286" s="61" t="s">
        <v>5656</v>
      </c>
      <c r="B1286" t="s">
        <v>5655</v>
      </c>
      <c r="C1286" t="str">
        <f>findKey(supplementary_offering_offeringid__4[[#This Row],[Value.legacyid]])</f>
        <v>17083127480</v>
      </c>
      <c r="D1286" t="s">
        <v>438</v>
      </c>
      <c r="E1286" t="s">
        <v>2189</v>
      </c>
      <c r="F1286" s="61" t="s">
        <v>6262</v>
      </c>
      <c r="G1286" s="71" t="s">
        <v>6393</v>
      </c>
      <c r="H1286" s="61">
        <v>74</v>
      </c>
      <c r="J1286" t="str">
        <f>ToJsonArray(supplementary_offering_offeringid__4[[#Headers],[legacyid]:[activityId]],supplementary_offering_offeringid__4[[#This Row],[legacyid]:[activityId]])</f>
        <v>{"legacyid":"17083127480","name":"PQT Corp Tigo 1500","mode":"I","amount":"74484","resources":[
				{
					"partition": "11823",
					"amountPartition": "90000",
					"amountType": "seconds"
				}
			],"activity":74}</v>
      </c>
      <c r="K1286" t="str">
        <f>ToJsonArray(supplementary_offering_offeringid__4[[#This Row],[produccion]],supplementary_offering_offeringid__4[[#This Row],[json]])</f>
        <v>{"990001007":{"legacyid":"17083127480","name":"PQT Corp Tigo 1500","mode":"I","amount":"74484","resources":[
				{
					"partition": "11823",
					"amountPartition": "90000",
					"amountType": "seconds"
				}
			],"activity":74}}</v>
      </c>
    </row>
    <row r="1287" spans="1:11" x14ac:dyDescent="0.25">
      <c r="A1287" s="61" t="s">
        <v>5658</v>
      </c>
      <c r="B1287" t="s">
        <v>5657</v>
      </c>
      <c r="C1287" t="str">
        <f>findKey(supplementary_offering_offeringid__4[[#This Row],[Value.legacyid]])</f>
        <v>17083129016</v>
      </c>
      <c r="D1287" t="s">
        <v>439</v>
      </c>
      <c r="E1287" t="s">
        <v>2189</v>
      </c>
      <c r="F1287" s="61" t="s">
        <v>6263</v>
      </c>
      <c r="G1287" s="71" t="s">
        <v>6394</v>
      </c>
      <c r="H1287" s="61">
        <v>74</v>
      </c>
      <c r="J1287" t="str">
        <f>ToJsonArray(supplementary_offering_offeringid__4[[#Headers],[legacyid]:[activityId]],supplementary_offering_offeringid__4[[#This Row],[legacyid]:[activityId]])</f>
        <v>{"legacyid":"17083129016","name":"PQT Corp Tigo 1700","mode":"I","amount":"83795","resources":[
				{
					"partition": "11823",
					"amountPartition": "102000",
					"amountType": "seconds"
				}
			],"activity":74}</v>
      </c>
      <c r="K1287" t="str">
        <f>ToJsonArray(supplementary_offering_offeringid__4[[#This Row],[produccion]],supplementary_offering_offeringid__4[[#This Row],[json]])</f>
        <v>{"990001020":{"legacyid":"17083129016","name":"PQT Corp Tigo 1700","mode":"I","amount":"83795","resources":[
				{
					"partition": "11823",
					"amountPartition": "102000",
					"amountType": "seconds"
				}
			],"activity":74}}</v>
      </c>
    </row>
    <row r="1288" spans="1:11" x14ac:dyDescent="0.25">
      <c r="A1288" s="61" t="s">
        <v>5660</v>
      </c>
      <c r="B1288" t="s">
        <v>5659</v>
      </c>
      <c r="C1288" t="str">
        <f>findKey(supplementary_offering_offeringid__4[[#This Row],[Value.legacyid]])</f>
        <v>17083125944</v>
      </c>
      <c r="D1288" t="s">
        <v>440</v>
      </c>
      <c r="E1288" t="s">
        <v>2189</v>
      </c>
      <c r="F1288" s="61" t="s">
        <v>6264</v>
      </c>
      <c r="G1288" s="71" t="s">
        <v>6395</v>
      </c>
      <c r="H1288" s="61">
        <v>74</v>
      </c>
      <c r="J1288" t="str">
        <f>ToJsonArray(supplementary_offering_offeringid__4[[#Headers],[legacyid]:[activityId]],supplementary_offering_offeringid__4[[#This Row],[legacyid]:[activityId]])</f>
        <v>{"legacyid":"17083125944","name":"PQT Corp Tigo 2000","mode":"I","amount":"93105","resources":[
				{
					"partition": "11823",
					"amountPartition": "120000",
					"amountType": "seconds"
				}
			],"activity":74}</v>
      </c>
      <c r="K1288" t="str">
        <f>ToJsonArray(supplementary_offering_offeringid__4[[#This Row],[produccion]],supplementary_offering_offeringid__4[[#This Row],[json]])</f>
        <v>{"990001014":{"legacyid":"17083125944","name":"PQT Corp Tigo 2000","mode":"I","amount":"93105","resources":[
				{
					"partition": "11823",
					"amountPartition": "120000",
					"amountType": "seconds"
				}
			],"activity":74}}</v>
      </c>
    </row>
    <row r="1289" spans="1:11" x14ac:dyDescent="0.25">
      <c r="A1289" s="61" t="s">
        <v>5662</v>
      </c>
      <c r="B1289" t="s">
        <v>5661</v>
      </c>
      <c r="C1289" t="str">
        <f>findKey(supplementary_offering_offeringid__4[[#This Row],[Value.legacyid]])</f>
        <v>17083128632</v>
      </c>
      <c r="D1289" t="s">
        <v>441</v>
      </c>
      <c r="E1289" t="s">
        <v>2189</v>
      </c>
      <c r="F1289" s="61" t="s">
        <v>6265</v>
      </c>
      <c r="G1289" s="71" t="s">
        <v>6396</v>
      </c>
      <c r="H1289" s="61">
        <v>74</v>
      </c>
      <c r="J1289" t="str">
        <f>ToJsonArray(supplementary_offering_offeringid__4[[#Headers],[legacyid]:[activityId]],supplementary_offering_offeringid__4[[#This Row],[legacyid]:[activityId]])</f>
        <v>{"legacyid":"17083128632","name":"PQT Corp Tigo 2200","mode":"I","amount":"102415","resources":[
				{
					"partition": "11823",
					"amountPartition": "132000",
					"amountType": "seconds"
				}
			],"activity":74}</v>
      </c>
      <c r="K1289" t="str">
        <f>ToJsonArray(supplementary_offering_offeringid__4[[#This Row],[produccion]],supplementary_offering_offeringid__4[[#This Row],[json]])</f>
        <v>{"990001015":{"legacyid":"17083128632","name":"PQT Corp Tigo 2200","mode":"I","amount":"102415","resources":[
				{
					"partition": "11823",
					"amountPartition": "132000",
					"amountType": "seconds"
				}
			],"activity":74}}</v>
      </c>
    </row>
    <row r="1290" spans="1:11" x14ac:dyDescent="0.25">
      <c r="A1290" s="61">
        <v>990001008</v>
      </c>
      <c r="B1290" t="s">
        <v>5663</v>
      </c>
      <c r="C1290" t="str">
        <f>findKey(supplementary_offering_offeringid__4[[#This Row],[Value.legacyid]])</f>
        <v>17083127096</v>
      </c>
      <c r="D1290" t="s">
        <v>442</v>
      </c>
      <c r="E1290" t="s">
        <v>2189</v>
      </c>
      <c r="F1290" s="61" t="s">
        <v>6266</v>
      </c>
      <c r="G1290" s="71" t="s">
        <v>6397</v>
      </c>
      <c r="H1290" s="61">
        <v>74</v>
      </c>
      <c r="J1290" t="str">
        <f>ToJsonArray(supplementary_offering_offeringid__4[[#Headers],[legacyid]:[activityId]],supplementary_offering_offeringid__4[[#This Row],[legacyid]:[activityId]])</f>
        <v>{"legacyid":"17083127096","name":"PQT Corp Tigo 2450","mode":"I","amount":"111726","resources":[
				{
					"partition": "11823",
					"amountPartition": "147000",
					"amountType": "seconds"
				}
			],"activity":74}</v>
      </c>
      <c r="K1290" t="str">
        <f>ToJsonArray(supplementary_offering_offeringid__4[[#This Row],[produccion]],supplementary_offering_offeringid__4[[#This Row],[json]])</f>
        <v>{"990001008":{"legacyid":"17083127096","name":"PQT Corp Tigo 2450","mode":"I","amount":"111726","resources":[
				{
					"partition": "11823",
					"amountPartition": "147000",
					"amountType": "seconds"
				}
			],"activity":74}}</v>
      </c>
    </row>
    <row r="1291" spans="1:11" x14ac:dyDescent="0.25">
      <c r="A1291" s="61" t="s">
        <v>5666</v>
      </c>
      <c r="B1291" t="s">
        <v>5665</v>
      </c>
      <c r="C1291" t="str">
        <f>findKey(supplementary_offering_offeringid__4[[#This Row],[Value.legacyid]])</f>
        <v>17083129400</v>
      </c>
      <c r="D1291" t="s">
        <v>443</v>
      </c>
      <c r="E1291" t="s">
        <v>2189</v>
      </c>
      <c r="F1291" s="61" t="s">
        <v>6267</v>
      </c>
      <c r="G1291" s="71" t="s">
        <v>6398</v>
      </c>
      <c r="H1291" s="61">
        <v>74</v>
      </c>
      <c r="J1291" t="str">
        <f>ToJsonArray(supplementary_offering_offeringid__4[[#Headers],[legacyid]:[activityId]],supplementary_offering_offeringid__4[[#This Row],[legacyid]:[activityId]])</f>
        <v>{"legacyid":"17083129400","name":"PQT Corp Tigo 2650","mode":"I","amount":"121037","resources":[
				{
					"partition": "11823",
					"amountPartition": "159000",
					"amountType": "seconds"
				}
			],"activity":74}</v>
      </c>
      <c r="K1291" t="str">
        <f>ToJsonArray(supplementary_offering_offeringid__4[[#This Row],[produccion]],supplementary_offering_offeringid__4[[#This Row],[json]])</f>
        <v>{"990001021":{"legacyid":"17083129400","name":"PQT Corp Tigo 2650","mode":"I","amount":"121037","resources":[
				{
					"partition": "11823",
					"amountPartition": "159000",
					"amountType": "seconds"
				}
			],"activity":74}}</v>
      </c>
    </row>
    <row r="1292" spans="1:11" x14ac:dyDescent="0.25">
      <c r="A1292" s="61" t="s">
        <v>5668</v>
      </c>
      <c r="B1292" t="s">
        <v>5667</v>
      </c>
      <c r="C1292" t="str">
        <f>findKey(supplementary_offering_offeringid__4[[#This Row],[Value.legacyid]])</f>
        <v>17083126328</v>
      </c>
      <c r="D1292" t="s">
        <v>444</v>
      </c>
      <c r="E1292" t="s">
        <v>2189</v>
      </c>
      <c r="F1292" s="61" t="s">
        <v>6268</v>
      </c>
      <c r="G1292" s="71" t="s">
        <v>6399</v>
      </c>
      <c r="H1292" s="61">
        <v>74</v>
      </c>
      <c r="J1292" t="str">
        <f>ToJsonArray(supplementary_offering_offeringid__4[[#Headers],[legacyid]:[activityId]],supplementary_offering_offeringid__4[[#This Row],[legacyid]:[activityId]])</f>
        <v>{"legacyid":"17083126328","name":"PQT Corp Tigo 2850","mode":"I","amount":"130346","resources":[
				{
					"partition": "11823",
					"amountPartition": "171000",
					"amountType": "seconds"
				}
			],"activity":74}</v>
      </c>
      <c r="K1292" t="str">
        <f>ToJsonArray(supplementary_offering_offeringid__4[[#This Row],[produccion]],supplementary_offering_offeringid__4[[#This Row],[json]])</f>
        <v>{"990001011":{"legacyid":"17083126328","name":"PQT Corp Tigo 2850","mode":"I","amount":"130346","resources":[
				{
					"partition": "11823",
					"amountPartition": "171000",
					"amountType": "seconds"
				}
			],"activity":74}}</v>
      </c>
    </row>
    <row r="1293" spans="1:11" x14ac:dyDescent="0.25">
      <c r="A1293" s="61" t="s">
        <v>5670</v>
      </c>
      <c r="B1293" t="s">
        <v>5669</v>
      </c>
      <c r="C1293" t="str">
        <f>findKey(supplementary_offering_offeringid__4[[#This Row],[Value.legacyid]])</f>
        <v>17083127864</v>
      </c>
      <c r="D1293" t="s">
        <v>445</v>
      </c>
      <c r="E1293" t="s">
        <v>2189</v>
      </c>
      <c r="F1293" s="61" t="s">
        <v>6269</v>
      </c>
      <c r="G1293" s="71" t="s">
        <v>6400</v>
      </c>
      <c r="H1293" s="61">
        <v>74</v>
      </c>
      <c r="J1293" t="str">
        <f>ToJsonArray(supplementary_offering_offeringid__4[[#Headers],[legacyid]:[activityId]],supplementary_offering_offeringid__4[[#This Row],[legacyid]:[activityId]])</f>
        <v>{"legacyid":"17083127864","name":"PQT Corp Tigo 3050","mode":"I","amount":"139657","resources":[
				{
					"partition": "11823",
					"amountPartition": "183000",
					"amountType": "seconds"
				}
			],"activity":74}</v>
      </c>
      <c r="K1293" t="str">
        <f>ToJsonArray(supplementary_offering_offeringid__4[[#This Row],[produccion]],supplementary_offering_offeringid__4[[#This Row],[json]])</f>
        <v>{"990001018":{"legacyid":"17083127864","name":"PQT Corp Tigo 3050","mode":"I","amount":"139657","resources":[
				{
					"partition": "11823",
					"amountPartition": "183000",
					"amountType": "seconds"
				}
			],"activity":74}}</v>
      </c>
    </row>
    <row r="1294" spans="1:11" x14ac:dyDescent="0.25">
      <c r="A1294" s="61" t="s">
        <v>5672</v>
      </c>
      <c r="B1294" t="s">
        <v>5671</v>
      </c>
      <c r="C1294" t="str">
        <f>findKey(supplementary_offering_offeringid__4[[#This Row],[Value.legacyid]])</f>
        <v>17083127768</v>
      </c>
      <c r="D1294" t="s">
        <v>446</v>
      </c>
      <c r="E1294" t="s">
        <v>2189</v>
      </c>
      <c r="F1294" s="61" t="s">
        <v>6270</v>
      </c>
      <c r="G1294" s="71" t="s">
        <v>6401</v>
      </c>
      <c r="H1294" s="61">
        <v>74</v>
      </c>
      <c r="J1294" t="str">
        <f>ToJsonArray(supplementary_offering_offeringid__4[[#Headers],[legacyid]:[activityId]],supplementary_offering_offeringid__4[[#This Row],[legacyid]:[activityId]])</f>
        <v>{"legacyid":"17083127768","name":"PQT Corp Tigo 3300","mode":"I","amount":"148967","resources":[
				{
					"partition": "11823",
					"amountPartition": "198000",
					"amountType": "seconds"
				}
			],"activity":74}</v>
      </c>
      <c r="K1294" t="str">
        <f>ToJsonArray(supplementary_offering_offeringid__4[[#This Row],[produccion]],supplementary_offering_offeringid__4[[#This Row],[json]])</f>
        <v>{"990001006":{"legacyid":"17083127768","name":"PQT Corp Tigo 3300","mode":"I","amount":"148967","resources":[
				{
					"partition": "11823",
					"amountPartition": "198000",
					"amountType": "seconds"
				}
			],"activity":74}}</v>
      </c>
    </row>
    <row r="1295" spans="1:11" x14ac:dyDescent="0.25">
      <c r="A1295" s="61" t="s">
        <v>5674</v>
      </c>
      <c r="B1295" t="s">
        <v>5673</v>
      </c>
      <c r="C1295" t="str">
        <f>findKey(supplementary_offering_offeringid__4[[#This Row],[Value.legacyid]])</f>
        <v>17083129304</v>
      </c>
      <c r="D1295" t="s">
        <v>447</v>
      </c>
      <c r="E1295" t="s">
        <v>2189</v>
      </c>
      <c r="F1295" s="61" t="s">
        <v>6271</v>
      </c>
      <c r="G1295" s="71" t="s">
        <v>6402</v>
      </c>
      <c r="H1295" s="61">
        <v>74</v>
      </c>
      <c r="J1295" t="str">
        <f>ToJsonArray(supplementary_offering_offeringid__4[[#Headers],[legacyid]:[activityId]],supplementary_offering_offeringid__4[[#This Row],[legacyid]:[activityId]])</f>
        <v>{"legacyid":"17083129304","name":"PQT Corp Tigo 3600","mode":"I","amount":"158277","resources":[
				{
					"partition": "11823",
					"amountPartition": "216000",
					"amountType": "seconds"
				}
			],"activity":74}</v>
      </c>
      <c r="K1295" t="str">
        <f>ToJsonArray(supplementary_offering_offeringid__4[[#This Row],[produccion]],supplementary_offering_offeringid__4[[#This Row],[json]])</f>
        <v>{"990001019":{"legacyid":"17083129304","name":"PQT Corp Tigo 3600","mode":"I","amount":"158277","resources":[
				{
					"partition": "11823",
					"amountPartition": "216000",
					"amountType": "seconds"
				}
			],"activity":74}}</v>
      </c>
    </row>
    <row r="1296" spans="1:11" x14ac:dyDescent="0.25">
      <c r="A1296" s="61" t="s">
        <v>5676</v>
      </c>
      <c r="B1296" t="s">
        <v>5675</v>
      </c>
      <c r="C1296" t="str">
        <f>findKey(supplementary_offering_offeringid__4[[#This Row],[Value.legacyid]])</f>
        <v>17083126232</v>
      </c>
      <c r="D1296" t="s">
        <v>448</v>
      </c>
      <c r="E1296" t="s">
        <v>2189</v>
      </c>
      <c r="F1296" s="61" t="s">
        <v>6272</v>
      </c>
      <c r="G1296" s="71" t="s">
        <v>6403</v>
      </c>
      <c r="H1296" s="61">
        <v>74</v>
      </c>
      <c r="J1296" t="str">
        <f>ToJsonArray(supplementary_offering_offeringid__4[[#Headers],[legacyid]:[activityId]],supplementary_offering_offeringid__4[[#This Row],[legacyid]:[activityId]])</f>
        <v>{"legacyid":"17083126232","name":"PQT Corp Tigo 3800","mode":"I","amount":"167588","resources":[
				{
					"partition": "11823",
					"amountPartition": "228000",
					"amountType": "seconds"
				}
			],"activity":74}</v>
      </c>
      <c r="K1296" t="str">
        <f>ToJsonArray(supplementary_offering_offeringid__4[[#This Row],[produccion]],supplementary_offering_offeringid__4[[#This Row],[json]])</f>
        <v>{"990001012":{"legacyid":"17083126232","name":"PQT Corp Tigo 3800","mode":"I","amount":"167588","resources":[
				{
					"partition": "11823",
					"amountPartition": "228000",
					"amountType": "seconds"
				}
			],"activity":74}}</v>
      </c>
    </row>
    <row r="1297" spans="1:11" x14ac:dyDescent="0.25">
      <c r="A1297" s="61" t="s">
        <v>5678</v>
      </c>
      <c r="B1297" t="s">
        <v>5677</v>
      </c>
      <c r="C1297" t="str">
        <f>findKey(supplementary_offering_offeringid__4[[#This Row],[Value.legacyid]])</f>
        <v>17083128536</v>
      </c>
      <c r="D1297" t="s">
        <v>449</v>
      </c>
      <c r="E1297" t="s">
        <v>2189</v>
      </c>
      <c r="F1297" s="61" t="s">
        <v>6273</v>
      </c>
      <c r="G1297" s="71" t="s">
        <v>6404</v>
      </c>
      <c r="H1297" s="61">
        <v>74</v>
      </c>
      <c r="J1297" t="str">
        <f>ToJsonArray(supplementary_offering_offeringid__4[[#Headers],[legacyid]:[activityId]],supplementary_offering_offeringid__4[[#This Row],[legacyid]:[activityId]])</f>
        <v>{"legacyid":"17083128536","name":"PQT Corp Tigo 4100","mode":"I","amount":"176899","resources":[
				{
					"partition": "11823",
					"amountPartition": "246000",
					"amountType": "seconds"
				}
			],"activity":74}</v>
      </c>
      <c r="K1297" t="str">
        <f>ToJsonArray(supplementary_offering_offeringid__4[[#This Row],[produccion]],supplementary_offering_offeringid__4[[#This Row],[json]])</f>
        <v>{"990001016":{"legacyid":"17083128536","name":"PQT Corp Tigo 4100","mode":"I","amount":"176899","resources":[
				{
					"partition": "11823",
					"amountPartition": "246000",
					"amountType": "seconds"
				}
			],"activity":74}}</v>
      </c>
    </row>
    <row r="1298" spans="1:11" x14ac:dyDescent="0.25">
      <c r="A1298" s="61" t="s">
        <v>5680</v>
      </c>
      <c r="B1298" t="s">
        <v>5679</v>
      </c>
      <c r="C1298" t="str">
        <f>findKey(supplementary_offering_offeringid__4[[#This Row],[Value.legacyid]])</f>
        <v>17083129784</v>
      </c>
      <c r="D1298" t="s">
        <v>454</v>
      </c>
      <c r="E1298" t="s">
        <v>2189</v>
      </c>
      <c r="F1298" s="61" t="s">
        <v>6274</v>
      </c>
      <c r="G1298" s="71" t="s">
        <v>6405</v>
      </c>
      <c r="H1298" s="61">
        <v>74</v>
      </c>
      <c r="J1298" t="str">
        <f>ToJsonArray(supplementary_offering_offeringid__4[[#Headers],[legacyid]:[activityId]],supplementary_offering_offeringid__4[[#This Row],[legacyid]:[activityId]])</f>
        <v>{"legacyid":"17083129784","name":"PQT Corp CUG 20000","mode":"I","amount":"18621","resources":[
				{
					"partition": "12323",
					"amountPartition": "1200000",
					"amountType": "seconds"
				}
			],"activity":74}</v>
      </c>
      <c r="K1298" t="str">
        <f>ToJsonArray(supplementary_offering_offeringid__4[[#This Row],[produccion]],supplementary_offering_offeringid__4[[#This Row],[json]])</f>
        <v>{"990001010":{"legacyid":"17083129784","name":"PQT Corp CUG 20000","mode":"I","amount":"18621","resources":[
				{
					"partition": "12323",
					"amountPartition": "1200000",
					"amountType": "seconds"
				}
			],"activity":74}}</v>
      </c>
    </row>
    <row r="1299" spans="1:11" x14ac:dyDescent="0.25">
      <c r="A1299" s="61" t="s">
        <v>5682</v>
      </c>
      <c r="B1299" t="s">
        <v>5681</v>
      </c>
      <c r="C1299" t="str">
        <f>findKey(supplementary_offering_offeringid__4[[#This Row],[Value.legacyid]])</f>
        <v>17083128328</v>
      </c>
      <c r="D1299" t="s">
        <v>456</v>
      </c>
      <c r="E1299" t="s">
        <v>2189</v>
      </c>
      <c r="F1299" s="61" t="s">
        <v>6274</v>
      </c>
      <c r="G1299" s="71" t="s">
        <v>6406</v>
      </c>
      <c r="H1299" s="61">
        <v>74</v>
      </c>
      <c r="J1299" t="str">
        <f>ToJsonArray(supplementary_offering_offeringid__4[[#Headers],[legacyid]:[activityId]],supplementary_offering_offeringid__4[[#This Row],[legacyid]:[activityId]])</f>
        <v>{"legacyid":"17083128328","name":"PQT Corp Tigo 320","mode":"I","amount":"18621","resources":[
				{
					"partition": "11823",
					"amountPartition": "19200",
					"amountType": "seconds"
				}
			],"activity":74}</v>
      </c>
      <c r="K1299" t="str">
        <f>ToJsonArray(supplementary_offering_offeringid__4[[#This Row],[produccion]],supplementary_offering_offeringid__4[[#This Row],[json]])</f>
        <v>{"990001013":{"legacyid":"17083128328","name":"PQT Corp Tigo 320","mode":"I","amount":"18621","resources":[
				{
					"partition": "11823",
					"amountPartition": "19200",
					"amountType": "seconds"
				}
			],"activity":74}}</v>
      </c>
    </row>
    <row r="1300" spans="1:11" x14ac:dyDescent="0.25">
      <c r="A1300" s="61" t="s">
        <v>5684</v>
      </c>
      <c r="B1300" t="s">
        <v>5683</v>
      </c>
      <c r="C1300" t="str">
        <f>findKey(supplementary_offering_offeringid__4[[#This Row],[Value.legacyid]])</f>
        <v>17083654407</v>
      </c>
      <c r="D1300" t="s">
        <v>647</v>
      </c>
      <c r="E1300" t="s">
        <v>2189</v>
      </c>
      <c r="F1300" s="61" t="s">
        <v>6275</v>
      </c>
      <c r="G1300" s="71" t="s">
        <v>6407</v>
      </c>
      <c r="H1300" s="61">
        <v>74</v>
      </c>
      <c r="J1300" t="str">
        <f>ToJsonArray(supplementary_offering_offeringid__4[[#Headers],[legacyid]:[activityId]],supplementary_offering_offeringid__4[[#This Row],[legacyid]:[activityId]])</f>
        <v>{"legacyid":"17083654407","name":"PQT Corp TodoDestino 400MIN y Voz a NIT Infinito F2","mode":"I","amount":"26167","resources":[
				{
					"partition": "12223",
					"amountPartition": "24000",
					"amountType": "seconds"
				},
				{
					"partition": "12323",
					"amountPartition": "999999999",
					"amountType": "seconds"
				}
			],"activity":74}</v>
      </c>
      <c r="K1300" t="str">
        <f>ToJsonArray(supplementary_offering_offeringid__4[[#This Row],[produccion]],supplementary_offering_offeringid__4[[#This Row],[json]])</f>
        <v>{"990001026":{"legacyid":"17083654407","name":"PQT Corp TodoDestino 400MIN y Voz a NIT Infinito F2","mode":"I","amount":"26167","resources":[
				{
					"partition": "12223",
					"amountPartition": "24000",
					"amountType": "seconds"
				},
				{
					"partition": "12323",
					"amountPartition": "999999999",
					"amountType": "seconds"
				}
			],"activity":74}}</v>
      </c>
    </row>
    <row r="1301" spans="1:11" x14ac:dyDescent="0.25">
      <c r="A1301" s="61" t="s">
        <v>5686</v>
      </c>
      <c r="B1301" t="s">
        <v>5685</v>
      </c>
      <c r="C1301" t="str">
        <f>findKey(supplementary_offering_offeringid__4[[#This Row],[Value.legacyid]])</f>
        <v>17083654791</v>
      </c>
      <c r="D1301" t="s">
        <v>655</v>
      </c>
      <c r="E1301" t="s">
        <v>2189</v>
      </c>
      <c r="F1301" s="61" t="s">
        <v>6276</v>
      </c>
      <c r="G1301" s="71" t="s">
        <v>6408</v>
      </c>
      <c r="H1301" s="61">
        <v>74</v>
      </c>
      <c r="J1301" t="str">
        <f>ToJsonArray(supplementary_offering_offeringid__4[[#Headers],[legacyid]:[activityId]],supplementary_offering_offeringid__4[[#This Row],[legacyid]:[activityId]])</f>
        <v>{"legacyid":"17083654791","name":"PQT Corp TodoDestino 1200MIN y Voz a NIT Infinito F2","mode":"I","amount":"51167","resources":[
				{
					"partition": "12323",
					"amountPartition": "999999999",
					"amountType": "seconds"
				},
				{
					"partition": "12223",
					"amountPartition": "72000",
					"amountType": "seconds"
				}
			],"activity":74}</v>
      </c>
      <c r="K1301" t="str">
        <f>ToJsonArray(supplementary_offering_offeringid__4[[#This Row],[produccion]],supplementary_offering_offeringid__4[[#This Row],[json]])</f>
        <v>{"990001025":{"legacyid":"17083654791","name":"PQT Corp TodoDestino 1200MIN y Voz a NIT Infinito F2","mode":"I","amount":"51167","resources":[
				{
					"partition": "12323",
					"amountPartition": "999999999",
					"amountType": "seconds"
				},
				{
					"partition": "12223",
					"amountPartition": "72000",
					"amountType": "seconds"
				}
			],"activity":74}}</v>
      </c>
    </row>
    <row r="1302" spans="1:11" x14ac:dyDescent="0.25">
      <c r="A1302" s="61" t="s">
        <v>5688</v>
      </c>
      <c r="B1302" t="s">
        <v>5687</v>
      </c>
      <c r="C1302" t="str">
        <f>findKey(supplementary_offering_offeringid__4[[#This Row],[Value.legacyid]])</f>
        <v>17083655559</v>
      </c>
      <c r="D1302" t="s">
        <v>659</v>
      </c>
      <c r="E1302" t="s">
        <v>2189</v>
      </c>
      <c r="F1302" s="61" t="s">
        <v>6217</v>
      </c>
      <c r="G1302" s="71" t="s">
        <v>6409</v>
      </c>
      <c r="H1302" s="61">
        <v>74</v>
      </c>
      <c r="J1302" t="str">
        <f>ToJsonArray(supplementary_offering_offeringid__4[[#Headers],[legacyid]:[activityId]],supplementary_offering_offeringid__4[[#This Row],[legacyid]:[activityId]])</f>
        <v>{"legacyid":"17083655559","name":"PQT Corp TodoDestino 1800MIN y Voz a Tigo Infinito F2","mode":"I","amount":"67000","resources":[
				{
					"partition": "12323",
					"amountPartition": "999999999",
					"amountType": "seconds"
				},
				{
					"partition": "12223",
					"amountPartition": "108000",
					"amountType": "seconds"
				}
			],"activity":74}</v>
      </c>
      <c r="K1302" t="str">
        <f>ToJsonArray(supplementary_offering_offeringid__4[[#This Row],[produccion]],supplementary_offering_offeringid__4[[#This Row],[json]])</f>
        <v>{"990001028":{"legacyid":"17083655559","name":"PQT Corp TodoDestino 1800MIN y Voz a Tigo Infinito F2","mode":"I","amount":"67000","resources":[
				{
					"partition": "12323",
					"amountPartition": "999999999",
					"amountType": "seconds"
				},
				{
					"partition": "12223",
					"amountPartition": "108000",
					"amountType": "seconds"
				}
			],"activity":74}}</v>
      </c>
    </row>
    <row r="1303" spans="1:11" x14ac:dyDescent="0.25">
      <c r="A1303" s="61" t="s">
        <v>5690</v>
      </c>
      <c r="B1303" t="s">
        <v>5689</v>
      </c>
      <c r="C1303" t="str">
        <f>findKey(supplementary_offering_offeringid__4[[#This Row],[Value.legacyid]])</f>
        <v>17083654215</v>
      </c>
      <c r="D1303" t="s">
        <v>663</v>
      </c>
      <c r="E1303" t="s">
        <v>2189</v>
      </c>
      <c r="F1303" s="61" t="s">
        <v>6277</v>
      </c>
      <c r="G1303" s="71" t="s">
        <v>6410</v>
      </c>
      <c r="H1303" s="61">
        <v>74</v>
      </c>
      <c r="J1303" t="str">
        <f>ToJsonArray(supplementary_offering_offeringid__4[[#Headers],[legacyid]:[activityId]],supplementary_offering_offeringid__4[[#This Row],[legacyid]:[activityId]])</f>
        <v>{"legacyid":"17083654215","name":"PQT Corp TodoDestino 2500MIN y Voz a Tigo Infinito F2","mode":"I","amount":"83667","resources":[
				{
					"partition": "12223",
					"amountPartition": "150000",
					"amountType": "seconds"
				},
				{
					"partition": "12323",
					"amountPartition": "999999999",
					"amountType": "seconds"
				}
			],"activity":74}</v>
      </c>
      <c r="K1303" t="str">
        <f>ToJsonArray(supplementary_offering_offeringid__4[[#This Row],[produccion]],supplementary_offering_offeringid__4[[#This Row],[json]])</f>
        <v>{"990001027":{"legacyid":"17083654215","name":"PQT Corp TodoDestino 2500MIN y Voz a Tigo Infinito F2","mode":"I","amount":"83667","resources":[
				{
					"partition": "12223",
					"amountPartition": "150000",
					"amountType": "seconds"
				},
				{
					"partition": "12323",
					"amountPartition": "999999999",
					"amountType": "seconds"
				}
			],"activity":74}}</v>
      </c>
    </row>
    <row r="1304" spans="1:11" x14ac:dyDescent="0.25">
      <c r="A1304" s="61" t="s">
        <v>5692</v>
      </c>
      <c r="B1304" t="s">
        <v>5691</v>
      </c>
      <c r="C1304" t="str">
        <f>findKey(supplementary_offering_offeringid__4[[#This Row],[Value.legacyid]])</f>
        <v>17083662507</v>
      </c>
      <c r="D1304" t="s">
        <v>680</v>
      </c>
      <c r="E1304" t="s">
        <v>2189</v>
      </c>
      <c r="F1304" s="61" t="s">
        <v>6278</v>
      </c>
      <c r="G1304" s="71" t="s">
        <v>6411</v>
      </c>
      <c r="H1304" s="61" t="s">
        <v>6170</v>
      </c>
      <c r="J1304" t="str">
        <f>ToJsonArray(supplementary_offering_offeringid__4[[#Headers],[legacyid]:[activityId]],supplementary_offering_offeringid__4[[#This Row],[legacyid]:[activityId]])</f>
        <v>{"legacyid":"17083662507","name":"PQT Corp Navegacion 3GB WA + Mail","mode":"I","amount":"37233","resources":[
				{
					"partition": "22823",
					"amountPartition": "62914560",
					"amountType": "kilobytes"
				},
				{
					"partition": "22423",
					"amountPartition": "3145728",
					"amountType": "kilobytes"
				}
			],"activity":"76"}</v>
      </c>
      <c r="K1304" t="str">
        <f>ToJsonArray(supplementary_offering_offeringid__4[[#This Row],[produccion]],supplementary_offering_offeringid__4[[#This Row],[json]])</f>
        <v>{"990001034":{"legacyid":"17083662507","name":"PQT Corp Navegacion 3GB WA + Mail","mode":"I","amount":"37233","resources":[
				{
					"partition": "22823",
					"amountPartition": "62914560",
					"amountType": "kilobytes"
				},
				{
					"partition": "22423",
					"amountPartition": "3145728",
					"amountType": "kilobytes"
				}
			],"activity":"76"}}</v>
      </c>
    </row>
    <row r="1305" spans="1:11" x14ac:dyDescent="0.25">
      <c r="A1305" s="61" t="s">
        <v>5694</v>
      </c>
      <c r="B1305" t="s">
        <v>5693</v>
      </c>
      <c r="C1305" t="str">
        <f>findKey(supplementary_offering_offeringid__4[[#This Row],[Value.legacyid]])</f>
        <v>17083664043</v>
      </c>
      <c r="D1305" t="s">
        <v>684</v>
      </c>
      <c r="E1305" t="s">
        <v>2189</v>
      </c>
      <c r="F1305" s="61" t="s">
        <v>6279</v>
      </c>
      <c r="G1305" s="71" t="s">
        <v>6412</v>
      </c>
      <c r="H1305" s="61" t="s">
        <v>6170</v>
      </c>
      <c r="J1305" t="str">
        <f>ToJsonArray(supplementary_offering_offeringid__4[[#Headers],[legacyid]:[activityId]],supplementary_offering_offeringid__4[[#This Row],[legacyid]:[activityId]])</f>
        <v>{"legacyid":"17083664043","name":"PQT Corp Navegacion 4,5GB WA + Mail","mode":"I","amount":"45853","resources":[
				{
					"partition": "22423",
					"amountPartition": "4718592",
					"amountType": "kilobytes"
				},
				{
					"partition": "22823",
					"amountPartition": "62914560",
					"amountType": "kilobytes"
				}
			],"activity":"76"}</v>
      </c>
      <c r="K1305" t="str">
        <f>ToJsonArray(supplementary_offering_offeringid__4[[#This Row],[produccion]],supplementary_offering_offeringid__4[[#This Row],[json]])</f>
        <v>{"990001030":{"legacyid":"17083664043","name":"PQT Corp Navegacion 4,5GB WA + Mail","mode":"I","amount":"45853","resources":[
				{
					"partition": "22423",
					"amountPartition": "4718592",
					"amountType": "kilobytes"
				},
				{
					"partition": "22823",
					"amountPartition": "62914560",
					"amountType": "kilobytes"
				}
			],"activity":"76"}}</v>
      </c>
    </row>
    <row r="1306" spans="1:11" x14ac:dyDescent="0.25">
      <c r="A1306" s="61" t="s">
        <v>5696</v>
      </c>
      <c r="B1306" t="s">
        <v>5695</v>
      </c>
      <c r="C1306" t="str">
        <f>findKey(supplementary_offering_offeringid__4[[#This Row],[Value.legacyid]])</f>
        <v>17083663275</v>
      </c>
      <c r="D1306" t="s">
        <v>688</v>
      </c>
      <c r="E1306" t="s">
        <v>2189</v>
      </c>
      <c r="F1306" s="61" t="s">
        <v>6280</v>
      </c>
      <c r="G1306" s="71" t="s">
        <v>6413</v>
      </c>
      <c r="H1306" s="61" t="s">
        <v>6170</v>
      </c>
      <c r="J1306" t="str">
        <f>ToJsonArray(supplementary_offering_offeringid__4[[#Headers],[legacyid]:[activityId]],supplementary_offering_offeringid__4[[#This Row],[legacyid]:[activityId]])</f>
        <v>{"legacyid":"17083663275","name":"PQT Corp Navegacion 6,5GB WA + Mail","mode":"I","amount":"54474","resources":[
				{
					"partition": "22423",
					"amountPartition": "6815744",
					"amountType": "kilobytes"
				},
				{
					"partition": "22823",
					"amountPartition": "62914560",
					"amountType": "kilobytes"
				}
			],"activity":"76"}</v>
      </c>
      <c r="K1306" t="str">
        <f>ToJsonArray(supplementary_offering_offeringid__4[[#This Row],[produccion]],supplementary_offering_offeringid__4[[#This Row],[json]])</f>
        <v>{"990001032":{"legacyid":"17083663275","name":"PQT Corp Navegacion 6,5GB WA + Mail","mode":"I","amount":"54474","resources":[
				{
					"partition": "22423",
					"amountPartition": "6815744",
					"amountType": "kilobytes"
				},
				{
					"partition": "22823",
					"amountPartition": "62914560",
					"amountType": "kilobytes"
				}
			],"activity":"76"}}</v>
      </c>
    </row>
    <row r="1307" spans="1:11" x14ac:dyDescent="0.25">
      <c r="A1307" s="61" t="s">
        <v>5698</v>
      </c>
      <c r="B1307" t="s">
        <v>5697</v>
      </c>
      <c r="C1307" t="str">
        <f>findKey(supplementary_offering_offeringid__4[[#This Row],[Value.legacyid]])</f>
        <v>17083663467</v>
      </c>
      <c r="D1307" t="s">
        <v>692</v>
      </c>
      <c r="E1307" t="s">
        <v>2189</v>
      </c>
      <c r="F1307" s="61" t="s">
        <v>6281</v>
      </c>
      <c r="G1307" s="71" t="s">
        <v>6414</v>
      </c>
      <c r="H1307" s="61" t="s">
        <v>6170</v>
      </c>
      <c r="J1307" t="str">
        <f>ToJsonArray(supplementary_offering_offeringid__4[[#Headers],[legacyid]:[activityId]],supplementary_offering_offeringid__4[[#This Row],[legacyid]:[activityId]])</f>
        <v>{"legacyid":"17083663467","name":"PQT Corp Navegacion 8,5GB WA + Mail","mode":"I","amount":"60466","resources":[
				{
					"partition": "22823",
					"amountPartition": "62914560",
					"amountType": "kilobytes"
				},
				{
					"partition": "22423",
					"amountPartition": "8912896",
					"amountType": "kilobytes"
				}
			],"activity":"76"}</v>
      </c>
      <c r="K1307" t="str">
        <f>ToJsonArray(supplementary_offering_offeringid__4[[#This Row],[produccion]],supplementary_offering_offeringid__4[[#This Row],[json]])</f>
        <v>{"990001029":{"legacyid":"17083663467","name":"PQT Corp Navegacion 8,5GB WA + Mail","mode":"I","amount":"60466","resources":[
				{
					"partition": "22823",
					"amountPartition": "62914560",
					"amountType": "kilobytes"
				},
				{
					"partition": "22423",
					"amountPartition": "8912896",
					"amountType": "kilobytes"
				}
			],"activity":"76"}}</v>
      </c>
    </row>
    <row r="1308" spans="1:11" x14ac:dyDescent="0.25">
      <c r="A1308" s="61" t="s">
        <v>5700</v>
      </c>
      <c r="B1308" t="s">
        <v>5699</v>
      </c>
      <c r="C1308" t="str">
        <f>findKey(supplementary_offering_offeringid__4[[#This Row],[Value.legacyid]])</f>
        <v>17083662699</v>
      </c>
      <c r="D1308" t="s">
        <v>696</v>
      </c>
      <c r="E1308" t="s">
        <v>2189</v>
      </c>
      <c r="F1308" s="61" t="s">
        <v>6282</v>
      </c>
      <c r="G1308" s="71" t="s">
        <v>6415</v>
      </c>
      <c r="H1308" s="61" t="s">
        <v>6170</v>
      </c>
      <c r="J1308" t="str">
        <f>ToJsonArray(supplementary_offering_offeringid__4[[#Headers],[legacyid]:[activityId]],supplementary_offering_offeringid__4[[#This Row],[legacyid]:[activityId]])</f>
        <v>{"legacyid":"17083662699","name":"PQT Corp Navegacion 10,5GB WA + Mail","mode":"I","amount":"69086","resources":[
				{
					"partition": "22423",
					"amountPartition": "11010048",
					"amountType": "kilobytes"
				},
				{
					"partition": "22823",
					"amountPartition": "62914560",
					"amountType": "kilobytes"
				}
			],"activity":"76"}</v>
      </c>
      <c r="K1308" t="str">
        <f>ToJsonArray(supplementary_offering_offeringid__4[[#This Row],[produccion]],supplementary_offering_offeringid__4[[#This Row],[json]])</f>
        <v>{"990001033":{"legacyid":"17083662699","name":"PQT Corp Navegacion 10,5GB WA + Mail","mode":"I","amount":"69086","resources":[
				{
					"partition": "22423",
					"amountPartition": "11010048",
					"amountType": "kilobytes"
				},
				{
					"partition": "22823",
					"amountPartition": "62914560",
					"amountType": "kilobytes"
				}
			],"activity":"76"}}</v>
      </c>
    </row>
    <row r="1309" spans="1:11" x14ac:dyDescent="0.25">
      <c r="A1309" s="61" t="s">
        <v>5702</v>
      </c>
      <c r="B1309" t="s">
        <v>5701</v>
      </c>
      <c r="C1309" t="str">
        <f>findKey(supplementary_offering_offeringid__4[[#This Row],[Value.legacyid]])</f>
        <v>17083664235</v>
      </c>
      <c r="D1309" t="s">
        <v>700</v>
      </c>
      <c r="E1309" t="s">
        <v>2189</v>
      </c>
      <c r="F1309" s="61" t="s">
        <v>6283</v>
      </c>
      <c r="G1309" s="71" t="s">
        <v>6416</v>
      </c>
      <c r="H1309" s="61" t="s">
        <v>6170</v>
      </c>
      <c r="J1309" t="str">
        <f>ToJsonArray(supplementary_offering_offeringid__4[[#Headers],[legacyid]:[activityId]],supplementary_offering_offeringid__4[[#This Row],[legacyid]:[activityId]])</f>
        <v>{"legacyid":"17083664235","name":"PQT Corp Navegacion 12,5GB WA + Mail","mode":"I","amount":"77707","resources":[
				{
					"partition": "22823",
					"amountPartition": "62914560",
					"amountType": "kilobytes"
				},
				{
					"partition": "22423",
					"amountPartition": "13107200",
					"amountType": "kilobytes"
				}
			],"activity":"76"}</v>
      </c>
      <c r="K1309" t="str">
        <f>ToJsonArray(supplementary_offering_offeringid__4[[#This Row],[produccion]],supplementary_offering_offeringid__4[[#This Row],[json]])</f>
        <v>{"990001031":{"legacyid":"17083664235","name":"PQT Corp Navegacion 12,5GB WA + Mail","mode":"I","amount":"77707","resources":[
				{
					"partition": "22823",
					"amountPartition": "62914560",
					"amountType": "kilobytes"
				},
				{
					"partition": "22423",
					"amountPartition": "13107200",
					"amountType": "kilobytes"
				}
			],"activity":"76"}}</v>
      </c>
    </row>
    <row r="1310" spans="1:11" x14ac:dyDescent="0.25">
      <c r="A1310" s="61">
        <v>990001114</v>
      </c>
      <c r="B1310" t="s">
        <v>5703</v>
      </c>
      <c r="C1310" t="str">
        <f>findKey(supplementary_offering_offeringid__4[[#This Row],[Value.legacyid]])</f>
        <v>17083122540</v>
      </c>
      <c r="D1310" t="s">
        <v>815</v>
      </c>
      <c r="E1310" t="s">
        <v>2189</v>
      </c>
      <c r="F1310" s="61" t="s">
        <v>6284</v>
      </c>
      <c r="H1310" s="61" t="s">
        <v>6209</v>
      </c>
      <c r="J1310" t="str">
        <f>ToJsonArray(supplementary_offering_offeringid__4[[#Headers],[legacyid]:[activityId]],supplementary_offering_offeringid__4[[#This Row],[legacyid]:[activityId]])</f>
        <v>{"legacyid":"17083122540","name":"PQT Corp Localizacion Movil LBS","mode":"I","amount":"21552","activity":"74"}</v>
      </c>
      <c r="K1310" t="str">
        <f>ToJsonArray(supplementary_offering_offeringid__4[[#This Row],[produccion]],supplementary_offering_offeringid__4[[#This Row],[json]])</f>
        <v>{"990001114":{"legacyid":"17083122540","name":"PQT Corp Localizacion Movil LBS","mode":"I","amount":"21552","activity":"74"}}</v>
      </c>
    </row>
    <row r="1311" spans="1:11" x14ac:dyDescent="0.25">
      <c r="A1311" s="61" t="s">
        <v>5706</v>
      </c>
      <c r="B1311" t="s">
        <v>5705</v>
      </c>
      <c r="C1311" t="str">
        <f>findKey(supplementary_offering_offeringid__4[[#This Row],[Value.legacyid]])</f>
        <v>17083117823</v>
      </c>
      <c r="D1311" t="s">
        <v>822</v>
      </c>
      <c r="E1311" t="s">
        <v>2189</v>
      </c>
      <c r="F1311" s="61" t="s">
        <v>6285</v>
      </c>
      <c r="H1311" s="61" t="s">
        <v>6209</v>
      </c>
      <c r="J1311" t="str">
        <f>ToJsonArray(supplementary_offering_offeringid__4[[#Headers],[legacyid]:[activityId]],supplementary_offering_offeringid__4[[#This Row],[legacyid]:[activityId]])</f>
        <v>{"legacyid":"17083117823","name":"PBX Virtual Desde 6 Extensiones","mode":"I","amount":"6207","activity":"74"}</v>
      </c>
      <c r="K1311" t="str">
        <f>ToJsonArray(supplementary_offering_offeringid__4[[#This Row],[produccion]],supplementary_offering_offeringid__4[[#This Row],[json]])</f>
        <v>{"990001111":{"legacyid":"17083117823","name":"PBX Virtual Desde 6 Extensiones","mode":"I","amount":"6207","activity":"74"}}</v>
      </c>
    </row>
    <row r="1312" spans="1:11" x14ac:dyDescent="0.25">
      <c r="A1312" s="61" t="s">
        <v>5708</v>
      </c>
      <c r="B1312" t="s">
        <v>5707</v>
      </c>
      <c r="C1312" t="str">
        <f>findKey(supplementary_offering_offeringid__4[[#This Row],[Value.legacyid]])</f>
        <v>17083123168</v>
      </c>
      <c r="D1312" t="s">
        <v>823</v>
      </c>
      <c r="E1312" t="s">
        <v>2189</v>
      </c>
      <c r="F1312" s="61" t="s">
        <v>6286</v>
      </c>
      <c r="H1312" s="61" t="s">
        <v>6209</v>
      </c>
      <c r="J1312" t="str">
        <f>ToJsonArray(supplementary_offering_offeringid__4[[#Headers],[legacyid]:[activityId]],supplementary_offering_offeringid__4[[#This Row],[legacyid]:[activityId]])</f>
        <v>{"legacyid":"17083123168","name":"PBX Virtual Desde 11 Extensiones","mode":"I","amount":"5431","activity":"74"}</v>
      </c>
      <c r="K1312" t="str">
        <f>ToJsonArray(supplementary_offering_offeringid__4[[#This Row],[produccion]],supplementary_offering_offeringid__4[[#This Row],[json]])</f>
        <v>{"990001110":{"legacyid":"17083123168","name":"PBX Virtual Desde 11 Extensiones","mode":"I","amount":"5431","activity":"74"}}</v>
      </c>
    </row>
    <row r="1313" spans="1:11" x14ac:dyDescent="0.25">
      <c r="A1313" s="61">
        <v>990001035</v>
      </c>
      <c r="B1313" t="s">
        <v>5709</v>
      </c>
      <c r="C1313" t="str">
        <f>findKey(supplementary_offering_offeringid__4[[#This Row],[Value.legacyid]])</f>
        <v>17083658331</v>
      </c>
      <c r="D1313" t="s">
        <v>995</v>
      </c>
      <c r="E1313" t="s">
        <v>2189</v>
      </c>
      <c r="F1313" s="61" t="s">
        <v>6287</v>
      </c>
      <c r="G1313" s="71" t="s">
        <v>6417</v>
      </c>
      <c r="H1313" s="61" t="s">
        <v>6209</v>
      </c>
      <c r="J1313" t="str">
        <f>ToJsonArray(supplementary_offering_offeringid__4[[#Headers],[legacyid]:[activityId]],supplementary_offering_offeringid__4[[#This Row],[legacyid]:[activityId]])</f>
        <v>{"legacyid":"17083658331","name":"Combo 250MIN TD  y Voz a Tigo infinito","mode":"I","amount":"21000","resources":[
				{
					"partition": "13223",
					"amountPartition": "15000",
					"amountType": "seconds"
				},
				{
					"partition": "11823",
					"amountPartition": "999999999",
					"amountType": "seconds"
				}
			],"activity":"74"}</v>
      </c>
      <c r="K1313" t="str">
        <f>ToJsonArray(supplementary_offering_offeringid__4[[#This Row],[produccion]],supplementary_offering_offeringid__4[[#This Row],[json]])</f>
        <v>{"990001035":{"legacyid":"17083658331","name":"Combo 250MIN TD  y Voz a Tigo infinito","mode":"I","amount":"21000","resources":[
				{
					"partition": "13223",
					"amountPartition": "15000",
					"amountType": "seconds"
				},
				{
					"partition": "11823",
					"amountPartition": "999999999",
					"amountType": "seconds"
				}
			],"activity":"74"}}</v>
      </c>
    </row>
    <row r="1314" spans="1:11" x14ac:dyDescent="0.25">
      <c r="A1314" s="61" t="s">
        <v>5712</v>
      </c>
      <c r="B1314" t="s">
        <v>5711</v>
      </c>
      <c r="C1314" t="str">
        <f>findKey(supplementary_offering_offeringid__4[[#This Row],[Value.legacyid]])</f>
        <v>17083661403</v>
      </c>
      <c r="D1314" t="s">
        <v>997</v>
      </c>
      <c r="E1314" t="s">
        <v>2189</v>
      </c>
      <c r="F1314" s="61" t="s">
        <v>6288</v>
      </c>
      <c r="G1314" s="71" t="s">
        <v>6418</v>
      </c>
      <c r="H1314" s="61" t="s">
        <v>6209</v>
      </c>
      <c r="J1314" t="str">
        <f>ToJsonArray(supplementary_offering_offeringid__4[[#Headers],[legacyid]:[activityId]],supplementary_offering_offeringid__4[[#This Row],[legacyid]:[activityId]])</f>
        <v>{"legacyid":"17083661403","name":"Combo 480MIN TD  y Voz a Tigo infinito","mode":"I","amount":"25167","resources":[
				{
					"partition": "11823",
					"amountPartition": "999999999",
					"amountType": "seconds"
				},
				{
					"partition": "13223",
					"amountPartition": "28800",
					"amountType": "seconds"
				}
			],"activity":"74"}</v>
      </c>
      <c r="K1314" t="str">
        <f>ToJsonArray(supplementary_offering_offeringid__4[[#This Row],[produccion]],supplementary_offering_offeringid__4[[#This Row],[json]])</f>
        <v>{"990001051":{"legacyid":"17083661403","name":"Combo 480MIN TD  y Voz a Tigo infinito","mode":"I","amount":"25167","resources":[
				{
					"partition": "11823",
					"amountPartition": "999999999",
					"amountType": "seconds"
				},
				{
					"partition": "13223",
					"amountPartition": "28800",
					"amountType": "seconds"
				}
			],"activity":"74"}}</v>
      </c>
    </row>
    <row r="1315" spans="1:11" x14ac:dyDescent="0.25">
      <c r="A1315" s="61" t="s">
        <v>5714</v>
      </c>
      <c r="B1315" t="s">
        <v>5713</v>
      </c>
      <c r="C1315" t="str">
        <f>findKey(supplementary_offering_offeringid__4[[#This Row],[Value.legacyid]])</f>
        <v>17083659867</v>
      </c>
      <c r="D1315" t="s">
        <v>999</v>
      </c>
      <c r="E1315" t="s">
        <v>2189</v>
      </c>
      <c r="F1315" s="61" t="s">
        <v>6289</v>
      </c>
      <c r="G1315" s="71" t="s">
        <v>6419</v>
      </c>
      <c r="H1315" s="61" t="s">
        <v>6209</v>
      </c>
      <c r="J1315" t="str">
        <f>ToJsonArray(supplementary_offering_offeringid__4[[#Headers],[legacyid]:[activityId]],supplementary_offering_offeringid__4[[#This Row],[legacyid]:[activityId]])</f>
        <v>{"legacyid":"17083659867","name":"Combo 600MIN TD  y Voz a Tigo infinito","mode":"I","amount":"29333","resources":[
				{
					"partition": "13223",
					"amountPartition": "36000",
					"amountType": "seconds"
				},
				{
					"partition": "22823",
					"amountPartition": "0",
					"amountType": "kilobytes"
				},
				{
					"partition": "11823",
					"amountPartition": "999999999",
					"amountType": "seconds"
				}
			],"activity":"74"}</v>
      </c>
      <c r="K1315" t="str">
        <f>ToJsonArray(supplementary_offering_offeringid__4[[#This Row],[produccion]],supplementary_offering_offeringid__4[[#This Row],[json]])</f>
        <v>{"990001041":{"legacyid":"17083659867","name":"Combo 600MIN TD  y Voz a Tigo infinito","mode":"I","amount":"29333","resources":[
				{
					"partition": "13223",
					"amountPartition": "36000",
					"amountType": "seconds"
				},
				{
					"partition": "22823",
					"amountPartition": "0",
					"amountType": "kilobytes"
				},
				{
					"partition": "11823",
					"amountPartition": "999999999",
					"amountType": "seconds"
				}
			],"activity":"74"}}</v>
      </c>
    </row>
    <row r="1316" spans="1:11" x14ac:dyDescent="0.25">
      <c r="A1316" s="61" t="s">
        <v>5716</v>
      </c>
      <c r="B1316" t="s">
        <v>5715</v>
      </c>
      <c r="C1316" t="str">
        <f>findKey(supplementary_offering_offeringid__4[[#This Row],[Value.legacyid]])</f>
        <v>17083660635</v>
      </c>
      <c r="D1316" t="s">
        <v>1001</v>
      </c>
      <c r="E1316" t="s">
        <v>2189</v>
      </c>
      <c r="F1316" s="61" t="s">
        <v>6290</v>
      </c>
      <c r="G1316" s="71" t="s">
        <v>6420</v>
      </c>
      <c r="H1316" s="61" t="s">
        <v>6209</v>
      </c>
      <c r="J1316" t="str">
        <f>ToJsonArray(supplementary_offering_offeringid__4[[#Headers],[legacyid]:[activityId]],supplementary_offering_offeringid__4[[#This Row],[legacyid]:[activityId]])</f>
        <v>{"legacyid":"17083660635","name":"Combo 700MIN TD  y Voz a Tigo infinito","mode":"I","amount":"33500","resources":[
				{
					"partition": "22823",
					"amountPartition": "62914560",
					"amountType": "kilobytes"
				},
				{
					"partition": "13223",
					"amountPartition": "42000",
					"amountType": "seconds"
				},
				{
					"partition": "11823",
					"amountPartition": "999999999",
					"amountType": "seconds"
				}
			],"activity":"74"}</v>
      </c>
      <c r="K1316" t="str">
        <f>ToJsonArray(supplementary_offering_offeringid__4[[#This Row],[produccion]],supplementary_offering_offeringid__4[[#This Row],[json]])</f>
        <v>{"990001047":{"legacyid":"17083660635","name":"Combo 700MIN TD  y Voz a Tigo infinito","mode":"I","amount":"33500","resources":[
				{
					"partition": "22823",
					"amountPartition": "62914560",
					"amountType": "kilobytes"
				},
				{
					"partition": "13223",
					"amountPartition": "42000",
					"amountType": "seconds"
				},
				{
					"partition": "11823",
					"amountPartition": "999999999",
					"amountType": "seconds"
				}
			],"activity":"74"}}</v>
      </c>
    </row>
    <row r="1317" spans="1:11" x14ac:dyDescent="0.25">
      <c r="A1317" s="61" t="s">
        <v>5718</v>
      </c>
      <c r="B1317" t="s">
        <v>5717</v>
      </c>
      <c r="C1317" t="str">
        <f>findKey(supplementary_offering_offeringid__4[[#This Row],[Value.legacyid]])</f>
        <v>17083662171</v>
      </c>
      <c r="D1317" t="s">
        <v>1003</v>
      </c>
      <c r="E1317" t="s">
        <v>2189</v>
      </c>
      <c r="F1317" s="61" t="s">
        <v>6291</v>
      </c>
      <c r="G1317" s="71" t="s">
        <v>6421</v>
      </c>
      <c r="H1317" s="61" t="s">
        <v>6209</v>
      </c>
      <c r="J1317" t="str">
        <f>ToJsonArray(supplementary_offering_offeringid__4[[#Headers],[legacyid]:[activityId]],supplementary_offering_offeringid__4[[#This Row],[legacyid]:[activityId]])</f>
        <v>{"legacyid":"17083662171","name":"Combo 1200MIN TD  y Voz a Tigo infinito","mode":"I","amount":"41833","resources":[
				{
					"partition": "11823",
					"amountPartition": "999999999",
					"amountType": "seconds"
				},
				{
					"partition": "22823",
					"amountPartition": "62914560",
					"amountType": "kilobytes"
				},
				{
					"partition": "13223",
					"amountPartition": "72000",
					"amountType": "seconds"
				}
			],"activity":"74"}</v>
      </c>
      <c r="K1317" t="str">
        <f>ToJsonArray(supplementary_offering_offeringid__4[[#This Row],[produccion]],supplementary_offering_offeringid__4[[#This Row],[json]])</f>
        <v>{"990001055":{"legacyid":"17083662171","name":"Combo 1200MIN TD  y Voz a Tigo infinito","mode":"I","amount":"41833","resources":[
				{
					"partition": "11823",
					"amountPartition": "999999999",
					"amountType": "seconds"
				},
				{
					"partition": "22823",
					"amountPartition": "62914560",
					"amountType": "kilobytes"
				},
				{
					"partition": "13223",
					"amountPartition": "72000",
					"amountType": "seconds"
				}
			],"activity":"74"}}</v>
      </c>
    </row>
    <row r="1318" spans="1:11" x14ac:dyDescent="0.25">
      <c r="A1318" s="61" t="s">
        <v>5720</v>
      </c>
      <c r="B1318" t="s">
        <v>5719</v>
      </c>
      <c r="C1318" t="str">
        <f>findKey(supplementary_offering_offeringid__4[[#This Row],[Value.legacyid]])</f>
        <v>17083659483</v>
      </c>
      <c r="D1318" t="s">
        <v>1005</v>
      </c>
      <c r="E1318" t="s">
        <v>2189</v>
      </c>
      <c r="F1318" s="61" t="s">
        <v>6292</v>
      </c>
      <c r="G1318" s="71" t="s">
        <v>6422</v>
      </c>
      <c r="H1318" s="61" t="s">
        <v>6209</v>
      </c>
      <c r="J1318" t="str">
        <f>ToJsonArray(supplementary_offering_offeringid__4[[#Headers],[legacyid]:[activityId]],supplementary_offering_offeringid__4[[#This Row],[legacyid]:[activityId]])</f>
        <v>{"legacyid":"17083659483","name":"Combo 1400MIN TD  y Voz a Tigo infinito","mode":"I","amount":"46000","resources":[
				{
					"partition": "13223",
					"amountPartition": "84000",
					"amountType": "seconds"
				},
				{
					"partition": "11823",
					"amountPartition": "999999999",
					"amountType": "seconds"
				}
			],"activity":"74"}</v>
      </c>
      <c r="K1318" t="str">
        <f>ToJsonArray(supplementary_offering_offeringid__4[[#This Row],[produccion]],supplementary_offering_offeringid__4[[#This Row],[json]])</f>
        <v>{"990001039":{"legacyid":"17083659483","name":"Combo 1400MIN TD  y Voz a Tigo infinito","mode":"I","amount":"46000","resources":[
				{
					"partition": "13223",
					"amountPartition": "84000",
					"amountType": "seconds"
				},
				{
					"partition": "11823",
					"amountPartition": "999999999",
					"amountType": "seconds"
				}
			],"activity":"74"}}</v>
      </c>
    </row>
    <row r="1319" spans="1:11" x14ac:dyDescent="0.25">
      <c r="A1319" s="61" t="s">
        <v>5722</v>
      </c>
      <c r="B1319" t="s">
        <v>5721</v>
      </c>
      <c r="C1319" t="str">
        <f>findKey(supplementary_offering_offeringid__4[[#This Row],[Value.legacyid]])</f>
        <v>17083660763</v>
      </c>
      <c r="D1319" t="s">
        <v>1007</v>
      </c>
      <c r="E1319" t="s">
        <v>2189</v>
      </c>
      <c r="F1319" s="61" t="s">
        <v>6293</v>
      </c>
      <c r="G1319" s="71" t="s">
        <v>6423</v>
      </c>
      <c r="H1319" s="61" t="s">
        <v>6209</v>
      </c>
      <c r="J1319" t="str">
        <f>ToJsonArray(supplementary_offering_offeringid__4[[#Headers],[legacyid]:[activityId]],supplementary_offering_offeringid__4[[#This Row],[legacyid]:[activityId]])</f>
        <v>{"legacyid":"17083660763","name":"Combo Voz Todo Destino infinito 1","mode":"I","amount":"50167","resources":[
				{
					"partition": "13223",
					"amountPartition": "999999999",
					"amountType": "seconds"
				},
				{
					"partition": "12323",
					"amountPartition": "999999999",
					"amountType": "seconds"
				},
				{
					"partition": "22823",
					"amountPartition": "62914560",
					"amountType": "kilobytes"
				}
			],"activity":"74"}</v>
      </c>
      <c r="K1319" t="str">
        <f>ToJsonArray(supplementary_offering_offeringid__4[[#This Row],[produccion]],supplementary_offering_offeringid__4[[#This Row],[json]])</f>
        <v>{"990001048":{"legacyid":"17083660763","name":"Combo Voz Todo Destino infinito 1","mode":"I","amount":"50167","resources":[
				{
					"partition": "13223",
					"amountPartition": "999999999",
					"amountType": "seconds"
				},
				{
					"partition": "12323",
					"amountPartition": "999999999",
					"amountType": "seconds"
				},
				{
					"partition": "22823",
					"amountPartition": "62914560",
					"amountType": "kilobytes"
				}
			],"activity":"74"}}</v>
      </c>
    </row>
    <row r="1320" spans="1:11" x14ac:dyDescent="0.25">
      <c r="A1320" s="61" t="s">
        <v>5724</v>
      </c>
      <c r="B1320" t="s">
        <v>5723</v>
      </c>
      <c r="C1320" t="str">
        <f>findKey(supplementary_offering_offeringid__4[[#This Row],[Value.legacyid]])</f>
        <v>17083659323</v>
      </c>
      <c r="D1320" t="s">
        <v>1013</v>
      </c>
      <c r="E1320" t="s">
        <v>2189</v>
      </c>
      <c r="F1320" s="61" t="s">
        <v>6294</v>
      </c>
      <c r="G1320" s="71" t="s">
        <v>6424</v>
      </c>
      <c r="H1320" s="61" t="s">
        <v>6209</v>
      </c>
      <c r="J1320" t="str">
        <f>ToJsonArray(supplementary_offering_offeringid__4[[#Headers],[legacyid]:[activityId]],supplementary_offering_offeringid__4[[#This Row],[legacyid]:[activityId]])</f>
        <v>{"legacyid":"17083659323","name":"Combo Voz Todo Destino infinito 4","mode":"I","amount":"60917","resources":[
				{
					"partition": "22823",
					"amountPartition": "62914560",
					"amountType": "kilobytes"
				},
				{
					"partition": "13223",
					"amountPartition": "2678400",
					"amountType": "seconds"
				},
				{
					"partition": "12323",
					"amountPartition": "2678400",
					"amountType": "seconds"
				}
			],"activity":"74"}</v>
      </c>
      <c r="K1320" t="str">
        <f>ToJsonArray(supplementary_offering_offeringid__4[[#This Row],[produccion]],supplementary_offering_offeringid__4[[#This Row],[json]])</f>
        <v>{"990001038":{"legacyid":"17083659323","name":"Combo Voz Todo Destino infinito 4","mode":"I","amount":"60917","resources":[
				{
					"partition": "22823",
					"amountPartition": "62914560",
					"amountType": "kilobytes"
				},
				{
					"partition": "13223",
					"amountPartition": "2678400",
					"amountType": "seconds"
				},
				{
					"partition": "12323",
					"amountPartition": "2678400",
					"amountType": "seconds"
				}
			],"activity":"74"}}</v>
      </c>
    </row>
    <row r="1321" spans="1:11" x14ac:dyDescent="0.25">
      <c r="A1321" s="61" t="s">
        <v>5726</v>
      </c>
      <c r="B1321" t="s">
        <v>5725</v>
      </c>
      <c r="C1321" t="str">
        <f>findKey(supplementary_offering_offeringid__4[[#This Row],[Value.legacyid]])</f>
        <v>17083661627</v>
      </c>
      <c r="D1321" t="s">
        <v>1019</v>
      </c>
      <c r="E1321" t="s">
        <v>2189</v>
      </c>
      <c r="F1321" s="61" t="s">
        <v>6295</v>
      </c>
      <c r="G1321" s="71" t="s">
        <v>6425</v>
      </c>
      <c r="H1321" s="61" t="s">
        <v>6209</v>
      </c>
      <c r="J1321" t="str">
        <f>ToJsonArray(supplementary_offering_offeringid__4[[#Headers],[legacyid]:[activityId]],supplementary_offering_offeringid__4[[#This Row],[legacyid]:[activityId]])</f>
        <v>{"legacyid":"17083661627","name":"Combo Voz Todo Destino infinito 7","mode":"I","amount":"80250","resources":[
				{
					"partition": "12323",
					"amountPartition": "999999999",
					"amountType": "seconds"
				},
				{
					"partition": "22823",
					"amountPartition": "62914560",
					"amountType": "kilobytes"
				},
				{
					"partition": "13223",
					"amountPartition": "999999999",
					"amountType": "seconds"
				}
			],"activity":"74"}</v>
      </c>
      <c r="K1321" t="str">
        <f>ToJsonArray(supplementary_offering_offeringid__4[[#This Row],[produccion]],supplementary_offering_offeringid__4[[#This Row],[json]])</f>
        <v>{"990001052":{"legacyid":"17083661627","name":"Combo Voz Todo Destino infinito 7","mode":"I","amount":"80250","resources":[
				{
					"partition": "12323",
					"amountPartition": "999999999",
					"amountType": "seconds"
				},
				{
					"partition": "22823",
					"amountPartition": "62914560",
					"amountType": "kilobytes"
				},
				{
					"partition": "13223",
					"amountPartition": "999999999",
					"amountType": "seconds"
				}
			],"activity":"74"}}</v>
      </c>
    </row>
    <row r="1322" spans="1:11" x14ac:dyDescent="0.25">
      <c r="A1322" s="61" t="s">
        <v>5728</v>
      </c>
      <c r="B1322" t="s">
        <v>5727</v>
      </c>
      <c r="C1322" t="str">
        <f>findKey(supplementary_offering_offeringid__4[[#This Row],[Value.legacyid]])</f>
        <v>17083660091</v>
      </c>
      <c r="D1322" t="s">
        <v>1021</v>
      </c>
      <c r="E1322" t="s">
        <v>2189</v>
      </c>
      <c r="F1322" s="61" t="s">
        <v>6296</v>
      </c>
      <c r="G1322" s="71" t="s">
        <v>6426</v>
      </c>
      <c r="H1322" s="61" t="s">
        <v>6209</v>
      </c>
      <c r="J1322" t="str">
        <f>ToJsonArray(supplementary_offering_offeringid__4[[#Headers],[legacyid]:[activityId]],supplementary_offering_offeringid__4[[#This Row],[legacyid]:[activityId]])</f>
        <v>{"legacyid":"17083660091","name":"Combo Voz Todo Destino infinito 8","mode":"I","amount":"82500","resources":[
				{
					"partition": "12323",
					"amountPartition": "999999999",
					"amountType": "seconds"
				},
				{
					"partition": "13223",
					"amountPartition": "999999999",
					"amountType": "seconds"
				},
				{
					"partition": "22823",
					"amountPartition": "62914560",
					"amountType": "kilobytes"
				}
			],"activity":"74"}</v>
      </c>
      <c r="K1322" t="str">
        <f>ToJsonArray(supplementary_offering_offeringid__4[[#This Row],[produccion]],supplementary_offering_offeringid__4[[#This Row],[json]])</f>
        <v>{"990001043":{"legacyid":"17083660091","name":"Combo Voz Todo Destino infinito 8","mode":"I","amount":"82500","resources":[
				{
					"partition": "12323",
					"amountPartition": "999999999",
					"amountType": "seconds"
				},
				{
					"partition": "13223",
					"amountPartition": "999999999",
					"amountType": "seconds"
				},
				{
					"partition": "22823",
					"amountPartition": "62914560",
					"amountType": "kilobytes"
				}
			],"activity":"74"}}</v>
      </c>
    </row>
    <row r="1323" spans="1:11" x14ac:dyDescent="0.25">
      <c r="A1323" s="61" t="s">
        <v>5730</v>
      </c>
      <c r="B1323" t="s">
        <v>5729</v>
      </c>
      <c r="C1323" t="str">
        <f>findKey(supplementary_offering_offeringid__4[[#This Row],[Value.legacyid]])</f>
        <v>17083660475</v>
      </c>
      <c r="D1323" t="s">
        <v>1023</v>
      </c>
      <c r="E1323" t="s">
        <v>2189</v>
      </c>
      <c r="F1323" s="61" t="s">
        <v>6297</v>
      </c>
      <c r="G1323" s="71" t="s">
        <v>6423</v>
      </c>
      <c r="H1323" s="61" t="s">
        <v>6209</v>
      </c>
      <c r="J1323" t="str">
        <f>ToJsonArray(supplementary_offering_offeringid__4[[#Headers],[legacyid]:[activityId]],supplementary_offering_offeringid__4[[#This Row],[legacyid]:[activityId]])</f>
        <v>{"legacyid":"17083660475","name":"Combo Voz Todo Destino infinito 9","mode":"I","amount":"111417","resources":[
				{
					"partition": "13223",
					"amountPartition": "999999999",
					"amountType": "seconds"
				},
				{
					"partition": "12323",
					"amountPartition": "999999999",
					"amountType": "seconds"
				},
				{
					"partition": "22823",
					"amountPartition": "62914560",
					"amountType": "kilobytes"
				}
			],"activity":"74"}</v>
      </c>
      <c r="K1323" t="str">
        <f>ToJsonArray(supplementary_offering_offeringid__4[[#This Row],[produccion]],supplementary_offering_offeringid__4[[#This Row],[json]])</f>
        <v>{"990001046":{"legacyid":"17083660475","name":"Combo Voz Todo Destino infinito 9","mode":"I","amount":"111417","resources":[
				{
					"partition": "13223",
					"amountPartition": "999999999",
					"amountType": "seconds"
				},
				{
					"partition": "12323",
					"amountPartition": "999999999",
					"amountType": "seconds"
				},
				{
					"partition": "22823",
					"amountPartition": "62914560",
					"amountType": "kilobytes"
				}
			],"activity":"74"}}</v>
      </c>
    </row>
    <row r="1324" spans="1:11" x14ac:dyDescent="0.25">
      <c r="A1324" s="61" t="s">
        <v>5732</v>
      </c>
      <c r="B1324" t="s">
        <v>5731</v>
      </c>
      <c r="C1324" t="str">
        <f>findKey(supplementary_offering_offeringid__4[[#This Row],[Value.legacyid]])</f>
        <v>17083660219</v>
      </c>
      <c r="D1324" t="s">
        <v>1025</v>
      </c>
      <c r="E1324" t="s">
        <v>2189</v>
      </c>
      <c r="F1324" s="61" t="s">
        <v>6298</v>
      </c>
      <c r="G1324" s="71" t="s">
        <v>6343</v>
      </c>
      <c r="H1324" s="61" t="s">
        <v>6170</v>
      </c>
      <c r="J1324" t="str">
        <f>ToJsonArray(supplementary_offering_offeringid__4[[#Headers],[legacyid]:[activityId]],supplementary_offering_offeringid__4[[#This Row],[legacyid]:[activityId]])</f>
        <v>{"legacyid":"17083660219","name":"Combo datos 2,5GB WA + Mail","mode":"I","amount":"30345","resources":[
				{
					"partition": "22423",
					"amountPartition": "2621440",
					"amountType": "kilobytes"
				},
				{
					"partition": "22823",
					"amountPartition": "62914560",
					"amountType": "kilobytes"
				}
			],"activity":"76"}</v>
      </c>
      <c r="K1324" t="str">
        <f>ToJsonArray(supplementary_offering_offeringid__4[[#This Row],[produccion]],supplementary_offering_offeringid__4[[#This Row],[json]])</f>
        <v>{"990001044":{"legacyid":"17083660219","name":"Combo datos 2,5GB WA + Mail","mode":"I","amount":"30345","resources":[
				{
					"partition": "22423",
					"amountPartition": "2621440",
					"amountType": "kilobytes"
				},
				{
					"partition": "22823",
					"amountPartition": "62914560",
					"amountType": "kilobytes"
				}
			],"activity":"76"}}</v>
      </c>
    </row>
    <row r="1325" spans="1:11" x14ac:dyDescent="0.25">
      <c r="A1325" s="61" t="s">
        <v>5734</v>
      </c>
      <c r="B1325" t="s">
        <v>5733</v>
      </c>
      <c r="C1325" t="str">
        <f>findKey(supplementary_offering_offeringid__4[[#This Row],[Value.legacyid]])</f>
        <v>17083660411</v>
      </c>
      <c r="D1325" t="s">
        <v>1027</v>
      </c>
      <c r="E1325" t="s">
        <v>2189</v>
      </c>
      <c r="F1325" s="61" t="s">
        <v>6299</v>
      </c>
      <c r="G1325" s="71" t="s">
        <v>6427</v>
      </c>
      <c r="H1325" s="61" t="s">
        <v>6170</v>
      </c>
      <c r="J1325" t="str">
        <f>ToJsonArray(supplementary_offering_offeringid__4[[#Headers],[legacyid]:[activityId]],supplementary_offering_offeringid__4[[#This Row],[legacyid]:[activityId]])</f>
        <v>{"legacyid":"17083660411","name":"Combo datos 3GB WA + Mail   1","mode":"I","amount":"34655","resources":[
				{
					"partition": "22423",
					"amountPartition": "3145728",
					"amountType": "kilobytes"
				}
			],"activity":"76"}</v>
      </c>
      <c r="K1325" t="str">
        <f>ToJsonArray(supplementary_offering_offeringid__4[[#This Row],[produccion]],supplementary_offering_offeringid__4[[#This Row],[json]])</f>
        <v>{"990001045":{"legacyid":"17083660411","name":"Combo datos 3GB WA + Mail   1","mode":"I","amount":"34655","resources":[
				{
					"partition": "22423",
					"amountPartition": "3145728",
					"amountType": "kilobytes"
				}
			],"activity":"76"}}</v>
      </c>
    </row>
    <row r="1326" spans="1:11" x14ac:dyDescent="0.25">
      <c r="A1326" s="61" t="s">
        <v>5736</v>
      </c>
      <c r="B1326" t="s">
        <v>5735</v>
      </c>
      <c r="C1326" t="str">
        <f>findKey(supplementary_offering_offeringid__4[[#This Row],[Value.legacyid]])</f>
        <v>17083661947</v>
      </c>
      <c r="D1326" t="s">
        <v>1031</v>
      </c>
      <c r="E1326" t="s">
        <v>2189</v>
      </c>
      <c r="F1326" s="61" t="s">
        <v>6300</v>
      </c>
      <c r="G1326" s="71" t="s">
        <v>6428</v>
      </c>
      <c r="H1326" s="61" t="s">
        <v>6170</v>
      </c>
      <c r="J1326" t="str">
        <f>ToJsonArray(supplementary_offering_offeringid__4[[#Headers],[legacyid]:[activityId]],supplementary_offering_offeringid__4[[#This Row],[legacyid]:[activityId]])</f>
        <v>{"legacyid":"17083661947","name":"Combo datos 4GB WA + Mail   1","mode":"I","amount":"43276","resources":[
				{
					"partition": "22423",
					"amountPartition": "4194304",
					"amountType": "kilobytes"
				}
			],"activity":"76"}</v>
      </c>
      <c r="K1326" t="str">
        <f>ToJsonArray(supplementary_offering_offeringid__4[[#This Row],[produccion]],supplementary_offering_offeringid__4[[#This Row],[json]])</f>
        <v>{"990001054":{"legacyid":"17083661947","name":"Combo datos 4GB WA + Mail   1","mode":"I","amount":"43276","resources":[
				{
					"partition": "22423",
					"amountPartition": "4194304",
					"amountType": "kilobytes"
				}
			],"activity":"76"}}</v>
      </c>
    </row>
    <row r="1327" spans="1:11" x14ac:dyDescent="0.25">
      <c r="A1327" s="61" t="s">
        <v>5738</v>
      </c>
      <c r="B1327" t="s">
        <v>5737</v>
      </c>
      <c r="C1327" t="str">
        <f>findKey(supplementary_offering_offeringid__4[[#This Row],[Value.legacyid]])</f>
        <v>17083659643</v>
      </c>
      <c r="D1327" t="s">
        <v>1033</v>
      </c>
      <c r="E1327" t="s">
        <v>2189</v>
      </c>
      <c r="F1327" s="61" t="s">
        <v>6301</v>
      </c>
      <c r="G1327" s="71" t="s">
        <v>6367</v>
      </c>
      <c r="H1327" s="61" t="s">
        <v>6170</v>
      </c>
      <c r="J1327" t="str">
        <f>ToJsonArray(supplementary_offering_offeringid__4[[#Headers],[legacyid]:[activityId]],supplementary_offering_offeringid__4[[#This Row],[legacyid]:[activityId]])</f>
        <v>{"legacyid":"17083659643","name":"Combo datos 4GB WA + Mail   2","mode":"I","amount":"47586","resources":[
				{
					"partition": "22423",
					"amountPartition": "4194304",
					"amountType": "kilobytes"
				},
				{
					"partition": "22823",
					"amountPartition": "62914560",
					"amountType": "kilobytes"
				}
			],"activity":"76"}</v>
      </c>
      <c r="K1327" t="str">
        <f>ToJsonArray(supplementary_offering_offeringid__4[[#This Row],[produccion]],supplementary_offering_offeringid__4[[#This Row],[json]])</f>
        <v>{"990001040":{"legacyid":"17083659643","name":"Combo datos 4GB WA + Mail   2","mode":"I","amount":"47586","resources":[
				{
					"partition": "22423",
					"amountPartition": "4194304",
					"amountType": "kilobytes"
				},
				{
					"partition": "22823",
					"amountPartition": "62914560",
					"amountType": "kilobytes"
				}
			],"activity":"76"}}</v>
      </c>
    </row>
    <row r="1328" spans="1:11" x14ac:dyDescent="0.25">
      <c r="A1328" s="61" t="s">
        <v>5740</v>
      </c>
      <c r="B1328" t="s">
        <v>5739</v>
      </c>
      <c r="C1328" t="str">
        <f>findKey(supplementary_offering_offeringid__4[[#This Row],[Value.legacyid]])</f>
        <v>17083662331</v>
      </c>
      <c r="D1328" t="s">
        <v>1041</v>
      </c>
      <c r="E1328" t="s">
        <v>2189</v>
      </c>
      <c r="F1328" s="61" t="s">
        <v>6302</v>
      </c>
      <c r="G1328" s="71" t="s">
        <v>6347</v>
      </c>
      <c r="H1328" s="61" t="s">
        <v>6170</v>
      </c>
      <c r="J1328" t="str">
        <f>ToJsonArray(supplementary_offering_offeringid__4[[#Headers],[legacyid]:[activityId]],supplementary_offering_offeringid__4[[#This Row],[legacyid]:[activityId]])</f>
        <v>{"legacyid":"17083662331","name":"Combo datos 13GB WA + Mail","mode":"I","amount":"89948","resources":[
				{
					"partition": "22423",
					"amountPartition": "13631488",
					"amountType": "kilobytes"
				},
				{
					"partition": "22823",
					"amountPartition": "62914560",
					"amountType": "kilobytes"
				}
			],"activity":"76"}</v>
      </c>
      <c r="K1328" t="str">
        <f>ToJsonArray(supplementary_offering_offeringid__4[[#This Row],[produccion]],supplementary_offering_offeringid__4[[#This Row],[json]])</f>
        <v>{"990001056":{"legacyid":"17083662331","name":"Combo datos 13GB WA + Mail","mode":"I","amount":"89948","resources":[
				{
					"partition": "22423",
					"amountPartition": "13631488",
					"amountType": "kilobytes"
				},
				{
					"partition": "22823",
					"amountPartition": "62914560",
					"amountType": "kilobytes"
				}
			],"activity":"76"}}</v>
      </c>
    </row>
    <row r="1329" spans="1:11" x14ac:dyDescent="0.25">
      <c r="A1329" s="61" t="s">
        <v>5742</v>
      </c>
      <c r="B1329" t="s">
        <v>5741</v>
      </c>
      <c r="C1329" t="str">
        <f>findKey(supplementary_offering_offeringid__4[[#This Row],[Value.legacyid]])</f>
        <v>17083659271</v>
      </c>
      <c r="D1329" t="s">
        <v>1043</v>
      </c>
      <c r="E1329" t="s">
        <v>2189</v>
      </c>
      <c r="F1329" s="61" t="s">
        <v>6303</v>
      </c>
      <c r="G1329" s="71" t="s">
        <v>6429</v>
      </c>
      <c r="H1329" s="61" t="s">
        <v>6170</v>
      </c>
      <c r="J1329" t="str">
        <f>ToJsonArray(supplementary_offering_offeringid__4[[#Headers],[legacyid]:[activityId]],supplementary_offering_offeringid__4[[#This Row],[legacyid]:[activityId]])</f>
        <v>{"legacyid":"17083659271","name":"Combo datos 15GB WA + Mail","mode":"I","amount":"96241","resources":[
				{
					"partition": "22823",
					"amountPartition": "62914560",
					"amountType": "kilobytes"
				},
				{
					"partition": "22423",
					"amountPartition": "15728640",
					"amountType": "kilobytes"
				}
			],"activity":"76"}</v>
      </c>
      <c r="K1329" t="str">
        <f>ToJsonArray(supplementary_offering_offeringid__4[[#This Row],[produccion]],supplementary_offering_offeringid__4[[#This Row],[json]])</f>
        <v>{"990001037":{"legacyid":"17083659271","name":"Combo datos 15GB WA + Mail","mode":"I","amount":"96241","resources":[
				{
					"partition": "22823",
					"amountPartition": "62914560",
					"amountType": "kilobytes"
				},
				{
					"partition": "22423",
					"amountPartition": "15728640",
					"amountType": "kilobytes"
				}
			],"activity":"76"}}</v>
      </c>
    </row>
    <row r="1330" spans="1:11" x14ac:dyDescent="0.25">
      <c r="A1330" s="61" t="s">
        <v>5744</v>
      </c>
      <c r="B1330" t="s">
        <v>5743</v>
      </c>
      <c r="C1330" t="str">
        <f>findKey(supplementary_offering_offeringid__4[[#This Row],[Value.legacyid]])</f>
        <v>17083660807</v>
      </c>
      <c r="D1330" t="s">
        <v>1045</v>
      </c>
      <c r="E1330" t="s">
        <v>2189</v>
      </c>
      <c r="F1330" s="61" t="s">
        <v>6304</v>
      </c>
      <c r="G1330" s="71" t="s">
        <v>6430</v>
      </c>
      <c r="H1330" s="61" t="s">
        <v>6170</v>
      </c>
      <c r="J1330" t="str">
        <f>ToJsonArray(supplementary_offering_offeringid__4[[#Headers],[legacyid]:[activityId]],supplementary_offering_offeringid__4[[#This Row],[legacyid]:[activityId]])</f>
        <v>{"legacyid":"17083660807","name":"Combo datos 20GB WA + Mail","mode":"I","amount":"135293","resources":[
				{
					"partition": "22423",
					"amountPartition": "20971520",
					"amountType": "kilobytes"
				}
			],"activity":"76"}</v>
      </c>
      <c r="K1330" t="str">
        <f>ToJsonArray(supplementary_offering_offeringid__4[[#This Row],[produccion]],supplementary_offering_offeringid__4[[#This Row],[json]])</f>
        <v>{"990001049":{"legacyid":"17083660807","name":"Combo datos 20GB WA + Mail","mode":"I","amount":"135293","resources":[
				{
					"partition": "22423",
					"amountPartition": "20971520",
					"amountType": "kilobytes"
				}
			],"activity":"76"}}</v>
      </c>
    </row>
    <row r="1331" spans="1:11" x14ac:dyDescent="0.25">
      <c r="A1331" s="61" t="s">
        <v>5746</v>
      </c>
      <c r="B1331" t="s">
        <v>5745</v>
      </c>
      <c r="C1331" t="str">
        <f>findKey(supplementary_offering_offeringid__4[[#This Row],[Value.legacyid]])</f>
        <v>17083091782</v>
      </c>
      <c r="D1331" t="s">
        <v>1137</v>
      </c>
      <c r="E1331" t="s">
        <v>2189</v>
      </c>
      <c r="F1331" s="61" t="s">
        <v>6305</v>
      </c>
      <c r="G1331" s="71" t="s">
        <v>6431</v>
      </c>
      <c r="H1331" s="61" t="s">
        <v>6209</v>
      </c>
      <c r="J1331" t="str">
        <f>ToJsonArray(supplementary_offering_offeringid__4[[#Headers],[legacyid]:[activityId]],supplementary_offering_offeringid__4[[#This Row],[legacyid]:[activityId]])</f>
        <v>{"legacyid":"17083091782","name":"PQT Reventa TodoDestino 900MIN","mode":"I","amount":"38250","resources":[
				{
					"partition": "12223",
					"amountPartition": "54000",
					"amountType": "seconds"
				}
			],"activity":"74"}</v>
      </c>
      <c r="K1331" t="str">
        <f>ToJsonArray(supplementary_offering_offeringid__4[[#This Row],[produccion]],supplementary_offering_offeringid__4[[#This Row],[json]])</f>
        <v>{"990001023":{"legacyid":"17083091782","name":"PQT Reventa TodoDestino 900MIN","mode":"I","amount":"38250","resources":[
				{
					"partition": "12223",
					"amountPartition": "54000",
					"amountType": "seconds"
				}
			],"activity":"74"}}</v>
      </c>
    </row>
    <row r="1332" spans="1:11" x14ac:dyDescent="0.25">
      <c r="A1332" s="61" t="s">
        <v>5748</v>
      </c>
      <c r="B1332" t="s">
        <v>5747</v>
      </c>
      <c r="C1332" t="str">
        <f>findKey(supplementary_offering_offeringid__4[[#This Row],[Value.legacyid]])</f>
        <v>17083121151</v>
      </c>
      <c r="D1332" t="s">
        <v>1138</v>
      </c>
      <c r="E1332" t="s">
        <v>2189</v>
      </c>
      <c r="F1332" s="61" t="s">
        <v>6306</v>
      </c>
      <c r="G1332" s="71" t="s">
        <v>6432</v>
      </c>
      <c r="H1332" s="61" t="s">
        <v>6209</v>
      </c>
      <c r="J1332" t="str">
        <f>ToJsonArray(supplementary_offering_offeringid__4[[#Headers],[legacyid]:[activityId]],supplementary_offering_offeringid__4[[#This Row],[legacyid]:[activityId]])</f>
        <v>{"legacyid":"17083121151","name":"PQT Reventa TodoDestino 1000MIN","mode":"I","amount":"41666","resources":[
				{
					"partition": "12223",
					"amountPartition": "60000",
					"amountType": "seconds"
				}
			],"activity":"74"}</v>
      </c>
      <c r="K1332" t="str">
        <f>ToJsonArray(supplementary_offering_offeringid__4[[#This Row],[produccion]],supplementary_offering_offeringid__4[[#This Row],[json]])</f>
        <v>{"990001024":{"legacyid":"17083121151","name":"PQT Reventa TodoDestino 1000MIN","mode":"I","amount":"41666","resources":[
				{
					"partition": "12223",
					"amountPartition": "60000",
					"amountType": "seconds"
				}
			],"activity":"74"}}</v>
      </c>
    </row>
    <row r="1333" spans="1:11" x14ac:dyDescent="0.25">
      <c r="A1333" s="61" t="s">
        <v>5750</v>
      </c>
      <c r="B1333" t="s">
        <v>5749</v>
      </c>
      <c r="C1333" t="str">
        <f>findKey(supplementary_offering_offeringid__4[[#This Row],[Value.legacyid]])</f>
        <v>17101192520</v>
      </c>
      <c r="D1333" t="s">
        <v>1320</v>
      </c>
      <c r="E1333" t="s">
        <v>2189</v>
      </c>
      <c r="F1333" s="61" t="s">
        <v>6307</v>
      </c>
      <c r="G1333" s="71" t="s">
        <v>6363</v>
      </c>
      <c r="H1333" s="61" t="s">
        <v>6209</v>
      </c>
      <c r="J1333" t="str">
        <f>ToJsonArray(supplementary_offering_offeringid__4[[#Headers],[legacyid]:[activityId]],supplementary_offering_offeringid__4[[#This Row],[legacyid]:[activityId]])</f>
        <v>{"legacyid":"17101192520","name":"Combo B2B ilimitado 12 GB P1","mode":"I","amount":"20798","resources":[
				{
					"partition": "12223",
					"amountPartition": "2592000",
					"amountType": "seconds"
				}
			],"activity":"74"}</v>
      </c>
      <c r="K1333" t="str">
        <f>ToJsonArray(supplementary_offering_offeringid__4[[#This Row],[produccion]],supplementary_offering_offeringid__4[[#This Row],[json]])</f>
        <v>{"990001061":{"legacyid":"17101192520","name":"Combo B2B ilimitado 12 GB P1","mode":"I","amount":"20798","resources":[
				{
					"partition": "12223",
					"amountPartition": "2592000",
					"amountType": "seconds"
				}
			],"activity":"74"}}</v>
      </c>
    </row>
    <row r="1334" spans="1:11" x14ac:dyDescent="0.25">
      <c r="A1334" s="61" t="s">
        <v>5752</v>
      </c>
      <c r="B1334" t="s">
        <v>5751</v>
      </c>
      <c r="C1334" t="str">
        <f>findKey(supplementary_offering_offeringid__4[[#This Row],[Value.legacyid]])</f>
        <v>17101190984</v>
      </c>
      <c r="D1334" t="s">
        <v>1321</v>
      </c>
      <c r="E1334" t="s">
        <v>2189</v>
      </c>
      <c r="F1334" s="61" t="s">
        <v>6308</v>
      </c>
      <c r="G1334" s="71" t="s">
        <v>6321</v>
      </c>
      <c r="H1334" s="61" t="s">
        <v>6214</v>
      </c>
      <c r="J1334" t="str">
        <f>ToJsonArray(supplementary_offering_offeringid__4[[#Headers],[legacyid]:[activityId]],supplementary_offering_offeringid__4[[#This Row],[legacyid]:[activityId]])</f>
        <v>{"legacyid":"17101190984","name":"Combo B2B ilimitado 12 GB P2","mode":"I","amount":"1261","resources":[
				{
					"partition": "32223",
					"amountPartition": "223200",
					"amountType": "sms"
				}
			],"activity":"75"}</v>
      </c>
      <c r="K1334" t="str">
        <f>ToJsonArray(supplementary_offering_offeringid__4[[#This Row],[produccion]],supplementary_offering_offeringid__4[[#This Row],[json]])</f>
        <v>{"990001060":{"legacyid":"17101190984","name":"Combo B2B ilimitado 12 GB P2","mode":"I","amount":"1261","resources":[
				{
					"partition": "32223",
					"amountPartition": "223200",
					"amountType": "sms"
				}
			],"activity":"75"}}</v>
      </c>
    </row>
    <row r="1335" spans="1:11" x14ac:dyDescent="0.25">
      <c r="A1335" s="61" t="s">
        <v>5754</v>
      </c>
      <c r="B1335" t="s">
        <v>5753</v>
      </c>
      <c r="C1335" t="str">
        <f>findKey(supplementary_offering_offeringid__4[[#This Row],[Value.legacyid]])</f>
        <v>17101191368</v>
      </c>
      <c r="D1335" t="s">
        <v>1322</v>
      </c>
      <c r="E1335" t="s">
        <v>2189</v>
      </c>
      <c r="F1335" s="61" t="s">
        <v>6309</v>
      </c>
      <c r="G1335" s="71" t="s">
        <v>6364</v>
      </c>
      <c r="H1335" s="61" t="s">
        <v>6170</v>
      </c>
      <c r="J1335" t="str">
        <f>ToJsonArray(supplementary_offering_offeringid__4[[#Headers],[legacyid]:[activityId]],supplementary_offering_offeringid__4[[#This Row],[legacyid]:[activityId]])</f>
        <v>{"legacyid":"17101191368","name":"Combo B2B ilimitado 12 GB P3","mode":"I","amount":"40966","resources":[
				{
					"partition": "22423",
					"amountPartition": "12582912",
					"amountType": "kilobytes"
				},
				{
					"partition": "22823",
					"amountPartition": "62914560",
					"amountType": "kilobytes"
				}
			],"activity":"76"}</v>
      </c>
      <c r="K1335" t="str">
        <f>ToJsonArray(supplementary_offering_offeringid__4[[#This Row],[produccion]],supplementary_offering_offeringid__4[[#This Row],[json]])</f>
        <v>{"990001062":{"legacyid":"17101191368","name":"Combo B2B ilimitado 12 GB P3","mode":"I","amount":"40966","resources":[
				{
					"partition": "22423",
					"amountPartition": "12582912",
					"amountType": "kilobytes"
				},
				{
					"partition": "22823",
					"amountPartition": "62914560",
					"amountType": "kilobytes"
				}
			],"activity":"76"}}</v>
      </c>
    </row>
    <row r="1336" spans="1:11" x14ac:dyDescent="0.25">
      <c r="A1336" s="61"/>
    </row>
  </sheetData>
  <phoneticPr fontId="8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exportJsonLegacy">
                <anchor moveWithCells="1" sizeWithCells="1">
                  <from>
                    <xdr:col>15</xdr:col>
                    <xdr:colOff>457200</xdr:colOff>
                    <xdr:row>1</xdr:row>
                    <xdr:rowOff>66675</xdr:rowOff>
                  </from>
                  <to>
                    <xdr:col>17</xdr:col>
                    <xdr:colOff>552450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9F58-4685-4DB9-BE99-75F9B560AB39}">
  <sheetPr codeName="Hoja7">
    <tabColor theme="5" tint="-0.249977111117893"/>
  </sheetPr>
  <dimension ref="A1:I1333"/>
  <sheetViews>
    <sheetView zoomScale="80" zoomScaleNormal="80" workbookViewId="0">
      <selection activeCell="D17" sqref="D17"/>
    </sheetView>
  </sheetViews>
  <sheetFormatPr baseColWidth="10" defaultRowHeight="15" x14ac:dyDescent="0.25"/>
  <cols>
    <col min="1" max="1" width="21.28515625" bestFit="1" customWidth="1"/>
    <col min="2" max="2" width="21.28515625" customWidth="1"/>
    <col min="3" max="3" width="17.85546875" bestFit="1" customWidth="1"/>
    <col min="4" max="4" width="62.42578125" bestFit="1" customWidth="1"/>
    <col min="5" max="5" width="14.140625" bestFit="1" customWidth="1"/>
    <col min="6" max="6" width="21.42578125" bestFit="1" customWidth="1"/>
    <col min="7" max="7" width="14.7109375" bestFit="1" customWidth="1"/>
    <col min="8" max="8" width="141.42578125" bestFit="1" customWidth="1"/>
    <col min="9" max="9" width="157.42578125" bestFit="1" customWidth="1"/>
  </cols>
  <sheetData>
    <row r="1" spans="1:9" x14ac:dyDescent="0.25">
      <c r="A1" t="s">
        <v>5767</v>
      </c>
      <c r="B1" t="s">
        <v>5766</v>
      </c>
      <c r="C1" t="s">
        <v>5758</v>
      </c>
      <c r="D1" t="s">
        <v>5759</v>
      </c>
      <c r="E1" t="s">
        <v>5760</v>
      </c>
      <c r="F1" t="s">
        <v>5765</v>
      </c>
      <c r="G1" t="s">
        <v>5764</v>
      </c>
      <c r="H1" t="s">
        <v>5763</v>
      </c>
      <c r="I1" t="s">
        <v>5761</v>
      </c>
    </row>
    <row r="2" spans="1:9" x14ac:dyDescent="0.25">
      <c r="A2" s="60" t="s">
        <v>2187</v>
      </c>
      <c r="B2" s="60" t="str">
        <f>findKey(supplementary_offering_legacyid__4[[#This Row],[PRODUCCION]])</f>
        <v>1229815168</v>
      </c>
      <c r="C2" s="61" t="s">
        <v>2187</v>
      </c>
      <c r="D2" t="s">
        <v>2188</v>
      </c>
      <c r="E2" t="s">
        <v>2189</v>
      </c>
      <c r="F2" s="61"/>
      <c r="H2" t="str">
        <f>ToJsonArray(supplementary_offering_legacyid__4[[#Headers],[offeringid]:[json]],supplementary_offering_legacyid__4[[#This Row],[offeringid]:[ignore]])</f>
        <v>{"offeringid":"1229815168","name":"Oferta generacion deuda","mode":"I"}</v>
      </c>
      <c r="I2" t="str">
        <f>ToJsonArray(supplementary_offering_legacyid__4[[#This Row],[semilla04]],supplementary_offering_legacyid__4[[#This Row],[json]])</f>
        <v>{"1229815168":{"offeringid":"1229815168","name":"Oferta generacion deuda","mode":"I"}}</v>
      </c>
    </row>
    <row r="3" spans="1:9" x14ac:dyDescent="0.25">
      <c r="A3" s="60" t="s">
        <v>5753</v>
      </c>
      <c r="B3" s="60" t="str">
        <f>findKey(supplementary_offering_legacyid__4[[#This Row],[PRODUCCION]])</f>
        <v>17101191368</v>
      </c>
      <c r="C3" s="61" t="s">
        <v>5754</v>
      </c>
      <c r="D3" t="s">
        <v>1322</v>
      </c>
      <c r="E3" t="s">
        <v>2189</v>
      </c>
      <c r="F3" s="61" t="s">
        <v>5754</v>
      </c>
      <c r="H3" t="str">
        <f>ToJsonArray(supplementary_offering_legacyid__4[[#Headers],[offeringid]:[json]],supplementary_offering_legacyid__4[[#This Row],[offeringid]:[ignore]])</f>
        <v>{"offeringid":"990001062","name":"Combo B2B ilimitado 12 GB P3","mode":"I","offeringidATP":"990001062"}</v>
      </c>
      <c r="I3" t="str">
        <f>ToJsonArray(supplementary_offering_legacyid__4[[#This Row],[semilla04]],supplementary_offering_legacyid__4[[#This Row],[json]])</f>
        <v>{"17101191368":{"offeringid":"990001062","name":"Combo B2B ilimitado 12 GB P3","mode":"I","offeringidATP":"990001062"}}</v>
      </c>
    </row>
    <row r="4" spans="1:9" x14ac:dyDescent="0.25">
      <c r="A4" s="60" t="s">
        <v>2190</v>
      </c>
      <c r="B4" s="60" t="str">
        <f>findKey(supplementary_offering_legacyid__4[[#This Row],[PRODUCCION]])</f>
        <v>926943980</v>
      </c>
      <c r="C4" s="61" t="s">
        <v>2190</v>
      </c>
      <c r="D4" t="s">
        <v>2191</v>
      </c>
      <c r="E4" t="s">
        <v>2189</v>
      </c>
      <c r="F4" s="61"/>
      <c r="H4" t="str">
        <f>ToJsonArray(supplementary_offering_legacyid__4[[#Headers],[offeringid]:[json]],supplementary_offering_legacyid__4[[#This Row],[offeringid]:[ignore]])</f>
        <v>{"offeringid":"926943980","name":"FUP Pospago 30GB","mode":"I"}</v>
      </c>
      <c r="I4" t="str">
        <f>ToJsonArray(supplementary_offering_legacyid__4[[#This Row],[semilla04]],supplementary_offering_legacyid__4[[#This Row],[json]])</f>
        <v>{"926943980":{"offeringid":"926943980","name":"FUP Pospago 30GB","mode":"I"}}</v>
      </c>
    </row>
    <row r="5" spans="1:9" x14ac:dyDescent="0.25">
      <c r="A5" s="60" t="s">
        <v>2192</v>
      </c>
      <c r="B5" s="60" t="str">
        <f>findKey(supplementary_offering_legacyid__4[[#This Row],[PRODUCCION]])</f>
        <v>1626943775</v>
      </c>
      <c r="C5" s="61" t="s">
        <v>2192</v>
      </c>
      <c r="D5" t="s">
        <v>2193</v>
      </c>
      <c r="E5" t="s">
        <v>2189</v>
      </c>
      <c r="F5" s="61"/>
      <c r="H5" t="str">
        <f>ToJsonArray(supplementary_offering_legacyid__4[[#Headers],[offeringid]:[json]],supplementary_offering_legacyid__4[[#This Row],[offeringid]:[ignore]])</f>
        <v>{"offeringid":"1626943775","name":"FUP Pospago 15GB","mode":"I"}</v>
      </c>
      <c r="I5" t="str">
        <f>ToJsonArray(supplementary_offering_legacyid__4[[#This Row],[semilla04]],supplementary_offering_legacyid__4[[#This Row],[json]])</f>
        <v>{"1626943775":{"offeringid":"1626943775","name":"FUP Pospago 15GB","mode":"I"}}</v>
      </c>
    </row>
    <row r="6" spans="1:9" x14ac:dyDescent="0.25">
      <c r="A6" s="60" t="s">
        <v>2194</v>
      </c>
      <c r="B6" s="60" t="str">
        <f>findKey(supplementary_offering_legacyid__4[[#This Row],[PRODUCCION]])</f>
        <v>326923016</v>
      </c>
      <c r="C6" s="61" t="s">
        <v>2194</v>
      </c>
      <c r="D6" t="s">
        <v>2195</v>
      </c>
      <c r="E6" t="s">
        <v>2189</v>
      </c>
      <c r="F6" s="61"/>
      <c r="H6" t="str">
        <f>ToJsonArray(supplementary_offering_legacyid__4[[#Headers],[offeringid]:[json]],supplementary_offering_legacyid__4[[#This Row],[offeringid]:[ignore]])</f>
        <v>{"offeringid":"326923016","name":"FUP RG301 Control","mode":"I"}</v>
      </c>
      <c r="I6" t="str">
        <f>ToJsonArray(supplementary_offering_legacyid__4[[#This Row],[semilla04]],supplementary_offering_legacyid__4[[#This Row],[json]])</f>
        <v>{"326923016":{"offeringid":"326923016","name":"FUP RG301 Control","mode":"I"}}</v>
      </c>
    </row>
    <row r="7" spans="1:9" x14ac:dyDescent="0.25">
      <c r="A7" s="60" t="s">
        <v>2196</v>
      </c>
      <c r="B7" s="60" t="str">
        <f>findKey(supplementary_offering_legacyid__4[[#This Row],[PRODUCCION]])</f>
        <v>17083091250</v>
      </c>
      <c r="C7" s="61" t="s">
        <v>2197</v>
      </c>
      <c r="D7" t="s">
        <v>2198</v>
      </c>
      <c r="E7" t="s">
        <v>2189</v>
      </c>
      <c r="F7" s="61"/>
      <c r="H7" t="str">
        <f>ToJsonArray(supplementary_offering_legacyid__4[[#Headers],[offeringid]:[json]],supplementary_offering_legacyid__4[[#This Row],[offeringid]:[ignore]])</f>
        <v>{"offeringid":"990000719","name":"OLA Beeper BÃ¡sico Control Masivo","mode":"I"}</v>
      </c>
      <c r="I7" t="str">
        <f>ToJsonArray(supplementary_offering_legacyid__4[[#This Row],[semilla04]],supplementary_offering_legacyid__4[[#This Row],[json]])</f>
        <v>{"17083091250":{"offeringid":"990000719","name":"OLA Beeper BÃ¡sico Control Masivo","mode":"I"}}</v>
      </c>
    </row>
    <row r="8" spans="1:9" x14ac:dyDescent="0.25">
      <c r="A8" s="60" t="s">
        <v>2199</v>
      </c>
      <c r="B8" s="60" t="str">
        <f>findKey(supplementary_offering_legacyid__4[[#This Row],[PRODUCCION]])</f>
        <v>17083089490</v>
      </c>
      <c r="C8" s="61" t="s">
        <v>2200</v>
      </c>
      <c r="D8" t="s">
        <v>2201</v>
      </c>
      <c r="E8" t="s">
        <v>2189</v>
      </c>
      <c r="F8" s="61"/>
      <c r="H8" t="str">
        <f>ToJsonArray(supplementary_offering_legacyid__4[[#Headers],[offeringid]:[json]],supplementary_offering_legacyid__4[[#This Row],[offeringid]:[ignore]])</f>
        <v>{"offeringid":"990000718","name":"OLA Imagen BÃ¡sico Control Masivo","mode":"I"}</v>
      </c>
      <c r="I8" t="str">
        <f>ToJsonArray(supplementary_offering_legacyid__4[[#This Row],[semilla04]],supplementary_offering_legacyid__4[[#This Row],[json]])</f>
        <v>{"17083089490":{"offeringid":"990000718","name":"OLA Imagen BÃ¡sico Control Masivo","mode":"I"}}</v>
      </c>
    </row>
    <row r="9" spans="1:9" x14ac:dyDescent="0.25">
      <c r="A9" s="60" t="s">
        <v>2202</v>
      </c>
      <c r="B9" s="60" t="str">
        <f>findKey(supplementary_offering_legacyid__4[[#This Row],[PRODUCCION]])</f>
        <v>17083123043</v>
      </c>
      <c r="C9" s="61" t="s">
        <v>2203</v>
      </c>
      <c r="D9" t="s">
        <v>2025</v>
      </c>
      <c r="E9" t="s">
        <v>2189</v>
      </c>
      <c r="F9" s="61"/>
      <c r="H9" t="str">
        <f>ToJsonArray(supplementary_offering_legacyid__4[[#Headers],[offeringid]:[json]],supplementary_offering_legacyid__4[[#This Row],[offeringid]:[ignore]])</f>
        <v>{"offeringid":"990000720","name":"Plan Datos Control 20 MB Corporativo vol 500","mode":"I"}</v>
      </c>
      <c r="I9" t="str">
        <f>ToJsonArray(supplementary_offering_legacyid__4[[#This Row],[semilla04]],supplementary_offering_legacyid__4[[#This Row],[json]])</f>
        <v>{"17083123043":{"offeringid":"990000720","name":"Plan Datos Control 20 MB Corporativo vol 500","mode":"I"}}</v>
      </c>
    </row>
    <row r="10" spans="1:9" x14ac:dyDescent="0.25">
      <c r="A10" s="60" t="s">
        <v>2204</v>
      </c>
      <c r="B10" s="60" t="str">
        <f>findKey(supplementary_offering_legacyid__4[[#This Row],[PRODUCCION]])</f>
        <v>17083124974</v>
      </c>
      <c r="C10" s="61" t="s">
        <v>2205</v>
      </c>
      <c r="D10" t="s">
        <v>1737</v>
      </c>
      <c r="E10" t="s">
        <v>2189</v>
      </c>
      <c r="F10" s="61"/>
      <c r="H10" t="str">
        <f>ToJsonArray(supplementary_offering_legacyid__4[[#Headers],[offeringid]:[json]],supplementary_offering_legacyid__4[[#This Row],[offeringid]:[ignore]])</f>
        <v>{"offeringid":"990000406","name":"Paquete Localizacion Movil LBS PR10","mode":"I"}</v>
      </c>
      <c r="I10" t="str">
        <f>ToJsonArray(supplementary_offering_legacyid__4[[#This Row],[semilla04]],supplementary_offering_legacyid__4[[#This Row],[json]])</f>
        <v>{"17083124974":{"offeringid":"990000406","name":"Paquete Localizacion Movil LBS PR10","mode":"I"}}</v>
      </c>
    </row>
    <row r="11" spans="1:9" x14ac:dyDescent="0.25">
      <c r="A11" s="60" t="s">
        <v>2206</v>
      </c>
      <c r="B11" s="60" t="str">
        <f>findKey(supplementary_offering_legacyid__4[[#This Row],[PRODUCCION]])</f>
        <v>17083091302</v>
      </c>
      <c r="C11" s="61" t="s">
        <v>2207</v>
      </c>
      <c r="D11" t="s">
        <v>154</v>
      </c>
      <c r="E11" t="s">
        <v>2189</v>
      </c>
      <c r="F11" s="61"/>
      <c r="G11" t="s">
        <v>5762</v>
      </c>
      <c r="H11" t="str">
        <f>ToJsonArray(supplementary_offering_legacyid__4[[#Headers],[offeringid]:[json]],supplementary_offering_legacyid__4[[#This Row],[offeringid]:[ignore]])</f>
        <v>{"offeringid":"990000568","name":"Paquete Tigo Bolsa Datos 5GB Control","mode":"I","ignore":true}</v>
      </c>
      <c r="I11" t="str">
        <f>ToJsonArray(supplementary_offering_legacyid__4[[#This Row],[semilla04]],supplementary_offering_legacyid__4[[#This Row],[json]])</f>
        <v>{"17083091302":{"offeringid":"990000568","name":"Paquete Tigo Bolsa Datos 5GB Control","mode":"I","ignore":true}}</v>
      </c>
    </row>
    <row r="12" spans="1:9" x14ac:dyDescent="0.25">
      <c r="A12" s="60" t="s">
        <v>2208</v>
      </c>
      <c r="B12" s="60" t="str">
        <f>findKey(supplementary_offering_legacyid__4[[#This Row],[PRODUCCION]])</f>
        <v>17083125060</v>
      </c>
      <c r="C12" s="61" t="s">
        <v>2209</v>
      </c>
      <c r="D12" t="s">
        <v>162</v>
      </c>
      <c r="E12" t="s">
        <v>2189</v>
      </c>
      <c r="F12" s="61"/>
      <c r="H12" t="str">
        <f>ToJsonArray(supplementary_offering_legacyid__4[[#Headers],[offeringid]:[json]],supplementary_offering_legacyid__4[[#This Row],[offeringid]:[ignore]])</f>
        <v>{"offeringid":"990000672","name":"Paquete Internet Movil Tigo ilimitado FUP 1 GB","mode":"I"}</v>
      </c>
      <c r="I12" t="str">
        <f>ToJsonArray(supplementary_offering_legacyid__4[[#This Row],[semilla04]],supplementary_offering_legacyid__4[[#This Row],[json]])</f>
        <v>{"17083125060":{"offeringid":"990000672","name":"Paquete Internet Movil Tigo ilimitado FUP 1 GB","mode":"I"}}</v>
      </c>
    </row>
    <row r="13" spans="1:9" x14ac:dyDescent="0.25">
      <c r="A13" s="60" t="s">
        <v>2210</v>
      </c>
      <c r="B13" s="60" t="str">
        <f>findKey(supplementary_offering_legacyid__4[[#This Row],[PRODUCCION]])</f>
        <v>17083123420</v>
      </c>
      <c r="C13" s="61" t="s">
        <v>2211</v>
      </c>
      <c r="D13" t="s">
        <v>1619</v>
      </c>
      <c r="E13" t="s">
        <v>2189</v>
      </c>
      <c r="F13" s="61"/>
      <c r="H13" t="str">
        <f>ToJsonArray(supplementary_offering_legacyid__4[[#Headers],[offeringid]:[json]],supplementary_offering_legacyid__4[[#This Row],[offeringid]:[ignore]])</f>
        <v>{"offeringid":"990000673","name":"Paquete Internet Movil Tigo ilimitado FUP 500 MB","mode":"I"}</v>
      </c>
      <c r="I13" t="str">
        <f>ToJsonArray(supplementary_offering_legacyid__4[[#This Row],[semilla04]],supplementary_offering_legacyid__4[[#This Row],[json]])</f>
        <v>{"17083123420":{"offeringid":"990000673","name":"Paquete Internet Movil Tigo ilimitado FUP 500 MB","mode":"I"}}</v>
      </c>
    </row>
    <row r="14" spans="1:9" x14ac:dyDescent="0.25">
      <c r="A14" s="60" t="s">
        <v>2212</v>
      </c>
      <c r="B14" s="60" t="str">
        <f>findKey(supplementary_offering_legacyid__4[[#This Row],[PRODUCCION]])</f>
        <v>17083124334</v>
      </c>
      <c r="C14" s="61" t="s">
        <v>2213</v>
      </c>
      <c r="D14" t="s">
        <v>1744</v>
      </c>
      <c r="E14" t="s">
        <v>2189</v>
      </c>
      <c r="F14" s="61"/>
      <c r="H14" t="str">
        <f>ToJsonArray(supplementary_offering_legacyid__4[[#Headers],[offeringid]:[json]],supplementary_offering_legacyid__4[[#This Row],[offeringid]:[ignore]])</f>
        <v>{"offeringid":"990000612","name":"Plan Datos 1 MB Corporativo vol 500","mode":"I"}</v>
      </c>
      <c r="I14" t="str">
        <f>ToJsonArray(supplementary_offering_legacyid__4[[#This Row],[semilla04]],supplementary_offering_legacyid__4[[#This Row],[json]])</f>
        <v>{"17083124334":{"offeringid":"990000612","name":"Plan Datos 1 MB Corporativo vol 500","mode":"I"}}</v>
      </c>
    </row>
    <row r="15" spans="1:9" x14ac:dyDescent="0.25">
      <c r="A15" s="60" t="s">
        <v>2214</v>
      </c>
      <c r="B15" s="60" t="str">
        <f>findKey(supplementary_offering_legacyid__4[[#This Row],[PRODUCCION]])</f>
        <v>17083123438</v>
      </c>
      <c r="C15" s="61" t="s">
        <v>2215</v>
      </c>
      <c r="D15" t="s">
        <v>1748</v>
      </c>
      <c r="E15" t="s">
        <v>2189</v>
      </c>
      <c r="F15" s="61"/>
      <c r="H15" t="str">
        <f>ToJsonArray(supplementary_offering_legacyid__4[[#Headers],[offeringid]:[json]],supplementary_offering_legacyid__4[[#This Row],[offeringid]:[ignore]])</f>
        <v>{"offeringid":"990000402","name":"Paquete Localizacion Movil LBS PR1","mode":"I"}</v>
      </c>
      <c r="I15" t="str">
        <f>ToJsonArray(supplementary_offering_legacyid__4[[#This Row],[semilla04]],supplementary_offering_legacyid__4[[#This Row],[json]])</f>
        <v>{"17083123438":{"offeringid":"990000402","name":"Paquete Localizacion Movil LBS PR1","mode":"I"}}</v>
      </c>
    </row>
    <row r="16" spans="1:9" x14ac:dyDescent="0.25">
      <c r="A16" s="60" t="s">
        <v>2216</v>
      </c>
      <c r="B16" s="60" t="str">
        <f>findKey(supplementary_offering_legacyid__4[[#This Row],[PRODUCCION]])</f>
        <v>17083121902</v>
      </c>
      <c r="C16" s="61" t="s">
        <v>2217</v>
      </c>
      <c r="D16" t="s">
        <v>1740</v>
      </c>
      <c r="E16" t="s">
        <v>2189</v>
      </c>
      <c r="F16" s="61"/>
      <c r="H16" t="str">
        <f>ToJsonArray(supplementary_offering_legacyid__4[[#Headers],[offeringid]:[json]],supplementary_offering_legacyid__4[[#This Row],[offeringid]:[ignore]])</f>
        <v>{"offeringid":"990000408","name":"Paquete Localizacion Movil LBS PR20","mode":"I"}</v>
      </c>
      <c r="I16" t="str">
        <f>ToJsonArray(supplementary_offering_legacyid__4[[#This Row],[semilla04]],supplementary_offering_legacyid__4[[#This Row],[json]])</f>
        <v>{"17083121902":{"offeringid":"990000408","name":"Paquete Localizacion Movil LBS PR20","mode":"I"}}</v>
      </c>
    </row>
    <row r="17" spans="1:9" x14ac:dyDescent="0.25">
      <c r="A17" s="60" t="s">
        <v>2218</v>
      </c>
      <c r="B17" s="60" t="str">
        <f>findKey(supplementary_offering_legacyid__4[[#This Row],[PRODUCCION]])</f>
        <v>17083123268</v>
      </c>
      <c r="C17" s="61" t="s">
        <v>2219</v>
      </c>
      <c r="D17" t="s">
        <v>156</v>
      </c>
      <c r="E17" t="s">
        <v>2189</v>
      </c>
      <c r="F17" s="61"/>
      <c r="H17" t="str">
        <f>ToJsonArray(supplementary_offering_legacyid__4[[#Headers],[offeringid]:[json]],supplementary_offering_legacyid__4[[#This Row],[offeringid]:[ignore]])</f>
        <v>{"offeringid":"990000674","name":"Paquete Internet Movil Tigo ilimitado FUP 3 GB","mode":"I"}</v>
      </c>
      <c r="I17" t="str">
        <f>ToJsonArray(supplementary_offering_legacyid__4[[#This Row],[semilla04]],supplementary_offering_legacyid__4[[#This Row],[json]])</f>
        <v>{"17083123268":{"offeringid":"990000674","name":"Paquete Internet Movil Tigo ilimitado FUP 3 GB","mode":"I"}}</v>
      </c>
    </row>
    <row r="18" spans="1:9" x14ac:dyDescent="0.25">
      <c r="A18" s="60" t="s">
        <v>2220</v>
      </c>
      <c r="B18" s="60" t="str">
        <f>findKey(supplementary_offering_legacyid__4[[#This Row],[PRODUCCION]])</f>
        <v>17083122048</v>
      </c>
      <c r="C18" s="61" t="s">
        <v>2221</v>
      </c>
      <c r="D18" t="s">
        <v>1469</v>
      </c>
      <c r="E18" t="s">
        <v>2189</v>
      </c>
      <c r="F18" s="61"/>
      <c r="G18" t="s">
        <v>5762</v>
      </c>
      <c r="H18" t="str">
        <f>ToJsonArray(supplementary_offering_legacyid__4[[#Headers],[offeringid]:[json]],supplementary_offering_legacyid__4[[#This Row],[offeringid]:[ignore]])</f>
        <v>{"offeringid":"990000570","name":"Paquete Tigo Bolsa Datos 20GB Control","mode":"I","ignore":true}</v>
      </c>
      <c r="I18" t="str">
        <f>ToJsonArray(supplementary_offering_legacyid__4[[#This Row],[semilla04]],supplementary_offering_legacyid__4[[#This Row],[json]])</f>
        <v>{"17083122048":{"offeringid":"990000570","name":"Paquete Tigo Bolsa Datos 20GB Control","mode":"I","ignore":true}}</v>
      </c>
    </row>
    <row r="19" spans="1:9" x14ac:dyDescent="0.25">
      <c r="A19" s="60" t="s">
        <v>2222</v>
      </c>
      <c r="B19" s="60" t="str">
        <f>findKey(supplementary_offering_legacyid__4[[#This Row],[PRODUCCION]])</f>
        <v>17083122977</v>
      </c>
      <c r="C19" s="61" t="s">
        <v>2223</v>
      </c>
      <c r="D19" t="s">
        <v>1994</v>
      </c>
      <c r="E19" t="s">
        <v>2189</v>
      </c>
      <c r="F19" s="61"/>
      <c r="H19" t="str">
        <f>ToJsonArray(supplementary_offering_legacyid__4[[#Headers],[offeringid]:[json]],supplementary_offering_legacyid__4[[#This Row],[offeringid]:[ignore]])</f>
        <v>{"offeringid":"990000614","name":"Plan Datos 10 MB Corporativo vol 500","mode":"I"}</v>
      </c>
      <c r="I19" t="str">
        <f>ToJsonArray(supplementary_offering_legacyid__4[[#This Row],[semilla04]],supplementary_offering_legacyid__4[[#This Row],[json]])</f>
        <v>{"17083122977":{"offeringid":"990000614","name":"Plan Datos 10 MB Corporativo vol 500","mode":"I"}}</v>
      </c>
    </row>
    <row r="20" spans="1:9" x14ac:dyDescent="0.25">
      <c r="A20" s="60" t="s">
        <v>2224</v>
      </c>
      <c r="B20" s="60" t="str">
        <f>findKey(supplementary_offering_legacyid__4[[#This Row],[PRODUCCION]])</f>
        <v>17083124696</v>
      </c>
      <c r="C20" s="61" t="s">
        <v>2225</v>
      </c>
      <c r="D20" t="s">
        <v>1640</v>
      </c>
      <c r="E20" t="s">
        <v>2189</v>
      </c>
      <c r="F20" s="61"/>
      <c r="H20" t="str">
        <f>ToJsonArray(supplementary_offering_legacyid__4[[#Headers],[offeringid]:[json]],supplementary_offering_legacyid__4[[#This Row],[offeringid]:[ignore]])</f>
        <v>{"offeringid":"990000675","name":"Paquete Internet Movil Tigo ilimitado","mode":"I"}</v>
      </c>
      <c r="I20" t="str">
        <f>ToJsonArray(supplementary_offering_legacyid__4[[#This Row],[semilla04]],supplementary_offering_legacyid__4[[#This Row],[json]])</f>
        <v>{"17083124696":{"offeringid":"990000675","name":"Paquete Internet Movil Tigo ilimitado","mode":"I"}}</v>
      </c>
    </row>
    <row r="21" spans="1:9" x14ac:dyDescent="0.25">
      <c r="A21" s="60" t="s">
        <v>2226</v>
      </c>
      <c r="B21" s="60" t="str">
        <f>findKey(supplementary_offering_legacyid__4[[#This Row],[PRODUCCION]])</f>
        <v>17083125681</v>
      </c>
      <c r="C21" s="61" t="s">
        <v>2227</v>
      </c>
      <c r="D21" t="s">
        <v>1395</v>
      </c>
      <c r="E21" t="s">
        <v>2189</v>
      </c>
      <c r="F21" s="61"/>
      <c r="H21" t="str">
        <f>ToJsonArray(supplementary_offering_legacyid__4[[#Headers],[offeringid]:[json]],supplementary_offering_legacyid__4[[#This Row],[offeringid]:[ignore]])</f>
        <v>{"offeringid":"990000410","name":"Paquete Localizacion Movil LBS PR1000","mode":"I"}</v>
      </c>
      <c r="I21" t="str">
        <f>ToJsonArray(supplementary_offering_legacyid__4[[#This Row],[semilla04]],supplementary_offering_legacyid__4[[#This Row],[json]])</f>
        <v>{"17083125681":{"offeringid":"990000410","name":"Paquete Localizacion Movil LBS PR1000","mode":"I"}}</v>
      </c>
    </row>
    <row r="22" spans="1:9" x14ac:dyDescent="0.25">
      <c r="A22" s="60" t="s">
        <v>2228</v>
      </c>
      <c r="B22" s="60" t="str">
        <f>findKey(supplementary_offering_legacyid__4[[#This Row],[PRODUCCION]])</f>
        <v>17083121697</v>
      </c>
      <c r="C22" s="61" t="s">
        <v>2229</v>
      </c>
      <c r="D22" t="s">
        <v>1983</v>
      </c>
      <c r="E22" t="s">
        <v>2189</v>
      </c>
      <c r="F22" s="61"/>
      <c r="H22" t="str">
        <f>ToJsonArray(supplementary_offering_legacyid__4[[#Headers],[offeringid]:[json]],supplementary_offering_legacyid__4[[#This Row],[offeringid]:[ignore]])</f>
        <v>{"offeringid":"990000615","name":"Plan Datos 20 MB Corporativo vol 500","mode":"I"}</v>
      </c>
      <c r="I22" t="str">
        <f>ToJsonArray(supplementary_offering_legacyid__4[[#This Row],[semilla04]],supplementary_offering_legacyid__4[[#This Row],[json]])</f>
        <v>{"17083121697":{"offeringid":"990000615","name":"Plan Datos 20 MB Corporativo vol 500","mode":"I"}}</v>
      </c>
    </row>
    <row r="23" spans="1:9" x14ac:dyDescent="0.25">
      <c r="A23" s="60" t="s">
        <v>2230</v>
      </c>
      <c r="B23" s="60" t="str">
        <f>findKey(supplementary_offering_legacyid__4[[#This Row],[PRODUCCION]])</f>
        <v>17083121673</v>
      </c>
      <c r="C23" s="61" t="s">
        <v>2231</v>
      </c>
      <c r="D23" t="s">
        <v>1389</v>
      </c>
      <c r="E23" t="s">
        <v>2189</v>
      </c>
      <c r="F23" s="61"/>
      <c r="H23" t="str">
        <f>ToJsonArray(supplementary_offering_legacyid__4[[#Headers],[offeringid]:[json]],supplementary_offering_legacyid__4[[#This Row],[offeringid]:[ignore]])</f>
        <v>{"offeringid":"990000676","name":"GPRS ilimitado Blackberry BES_PLUS Pospago 2","mode":"I"}</v>
      </c>
      <c r="I23" t="str">
        <f>ToJsonArray(supplementary_offering_legacyid__4[[#This Row],[semilla04]],supplementary_offering_legacyid__4[[#This Row],[json]])</f>
        <v>{"17083121673":{"offeringid":"990000676","name":"GPRS ilimitado Blackberry BES_PLUS Pospago 2","mode":"I"}}</v>
      </c>
    </row>
    <row r="24" spans="1:9" x14ac:dyDescent="0.25">
      <c r="A24" s="60" t="s">
        <v>2232</v>
      </c>
      <c r="B24" s="60" t="str">
        <f>findKey(supplementary_offering_legacyid__4[[#This Row],[PRODUCCION]])</f>
        <v>17083122801</v>
      </c>
      <c r="C24" s="61" t="s">
        <v>2233</v>
      </c>
      <c r="D24" t="s">
        <v>1378</v>
      </c>
      <c r="E24" t="s">
        <v>2189</v>
      </c>
      <c r="F24" s="61"/>
      <c r="H24" t="str">
        <f>ToJsonArray(supplementary_offering_legacyid__4[[#Headers],[offeringid]:[json]],supplementary_offering_legacyid__4[[#This Row],[offeringid]:[ignore]])</f>
        <v>{"offeringid":"990000404","name":"Paquete Localizacion Movil LBS PR3","mode":"I"}</v>
      </c>
      <c r="I24" t="str">
        <f>ToJsonArray(supplementary_offering_legacyid__4[[#This Row],[semilla04]],supplementary_offering_legacyid__4[[#This Row],[json]])</f>
        <v>{"17083122801":{"offeringid":"990000404","name":"Paquete Localizacion Movil LBS PR3","mode":"I"}}</v>
      </c>
    </row>
    <row r="25" spans="1:9" x14ac:dyDescent="0.25">
      <c r="A25" s="60" t="s">
        <v>2234</v>
      </c>
      <c r="B25" s="60" t="str">
        <f>findKey(supplementary_offering_legacyid__4[[#This Row],[PRODUCCION]])</f>
        <v>17083125409</v>
      </c>
      <c r="C25" s="61" t="s">
        <v>2235</v>
      </c>
      <c r="D25" t="s">
        <v>1865</v>
      </c>
      <c r="E25" t="s">
        <v>2189</v>
      </c>
      <c r="F25" s="61"/>
      <c r="H25" t="str">
        <f>ToJsonArray(supplementary_offering_legacyid__4[[#Headers],[offeringid]:[json]],supplementary_offering_legacyid__4[[#This Row],[offeringid]:[ignore]])</f>
        <v>{"offeringid":"990000409","name":"Paquete Localizacion Movil LBS PR100","mode":"I"}</v>
      </c>
      <c r="I25" t="str">
        <f>ToJsonArray(supplementary_offering_legacyid__4[[#This Row],[semilla04]],supplementary_offering_legacyid__4[[#This Row],[json]])</f>
        <v>{"17083125409":{"offeringid":"990000409","name":"Paquete Localizacion Movil LBS PR100","mode":"I"}}</v>
      </c>
    </row>
    <row r="26" spans="1:9" x14ac:dyDescent="0.25">
      <c r="A26" s="60" t="s">
        <v>2236</v>
      </c>
      <c r="B26" s="60" t="str">
        <f>findKey(supplementary_offering_legacyid__4[[#This Row],[PRODUCCION]])</f>
        <v>17083124863</v>
      </c>
      <c r="C26" s="61" t="s">
        <v>2237</v>
      </c>
      <c r="D26" t="s">
        <v>1564</v>
      </c>
      <c r="E26" t="s">
        <v>2189</v>
      </c>
      <c r="F26" s="61"/>
      <c r="H26" t="str">
        <f>ToJsonArray(supplementary_offering_legacyid__4[[#Headers],[offeringid]:[json]],supplementary_offering_legacyid__4[[#This Row],[offeringid]:[ignore]])</f>
        <v>{"offeringid":"990000663","name":"OLA Beeper 10 Gratis Masivo","mode":"I"}</v>
      </c>
      <c r="I26" t="str">
        <f>ToJsonArray(supplementary_offering_legacyid__4[[#This Row],[semilla04]],supplementary_offering_legacyid__4[[#This Row],[json]])</f>
        <v>{"17083124863":{"offeringid":"990000663","name":"OLA Beeper 10 Gratis Masivo","mode":"I"}}</v>
      </c>
    </row>
    <row r="27" spans="1:9" x14ac:dyDescent="0.25">
      <c r="A27" s="60" t="s">
        <v>2238</v>
      </c>
      <c r="B27" s="60" t="str">
        <f>findKey(supplementary_offering_legacyid__4[[#This Row],[PRODUCCION]])</f>
        <v>17083091874</v>
      </c>
      <c r="C27" s="61" t="s">
        <v>2239</v>
      </c>
      <c r="D27" t="s">
        <v>953</v>
      </c>
      <c r="E27" t="s">
        <v>2189</v>
      </c>
      <c r="F27" s="61"/>
      <c r="H27" t="str">
        <f>ToJsonArray(supplementary_offering_legacyid__4[[#Headers],[offeringid]:[json]],supplementary_offering_legacyid__4[[#This Row],[offeringid]:[ignore]])</f>
        <v>{"offeringid":"990000415","name":"Plan Bolsa USSD 3","mode":"I"}</v>
      </c>
      <c r="I27" t="str">
        <f>ToJsonArray(supplementary_offering_legacyid__4[[#This Row],[semilla04]],supplementary_offering_legacyid__4[[#This Row],[json]])</f>
        <v>{"17083091874":{"offeringid":"990000415","name":"Plan Bolsa USSD 3","mode":"I"}}</v>
      </c>
    </row>
    <row r="28" spans="1:9" x14ac:dyDescent="0.25">
      <c r="A28" s="60" t="s">
        <v>2240</v>
      </c>
      <c r="B28" s="60" t="str">
        <f>findKey(supplementary_offering_legacyid__4[[#This Row],[PRODUCCION]])</f>
        <v>17083124797</v>
      </c>
      <c r="C28" s="61" t="s">
        <v>2241</v>
      </c>
      <c r="D28" t="s">
        <v>1914</v>
      </c>
      <c r="E28" t="s">
        <v>2189</v>
      </c>
      <c r="F28" s="61"/>
      <c r="H28" t="str">
        <f>ToJsonArray(supplementary_offering_legacyid__4[[#Headers],[offeringid]:[json]],supplementary_offering_legacyid__4[[#This Row],[offeringid]:[ignore]])</f>
        <v>{"offeringid":"990000616","name":"Plan Datos Control 3 MB Corporativo vol 500","mode":"I"}</v>
      </c>
      <c r="I28" t="str">
        <f>ToJsonArray(supplementary_offering_legacyid__4[[#This Row],[semilla04]],supplementary_offering_legacyid__4[[#This Row],[json]])</f>
        <v>{"17083124797":{"offeringid":"990000616","name":"Plan Datos Control 3 MB Corporativo vol 500","mode":"I"}}</v>
      </c>
    </row>
    <row r="29" spans="1:9" x14ac:dyDescent="0.25">
      <c r="A29" s="60" t="s">
        <v>2242</v>
      </c>
      <c r="B29" s="60" t="str">
        <f>findKey(supplementary_offering_legacyid__4[[#This Row],[PRODUCCION]])</f>
        <v>17083125365</v>
      </c>
      <c r="C29" s="61" t="s">
        <v>2243</v>
      </c>
      <c r="D29" t="s">
        <v>504</v>
      </c>
      <c r="E29" t="s">
        <v>2189</v>
      </c>
      <c r="F29" s="61"/>
      <c r="H29" t="str">
        <f>ToJsonArray(supplementary_offering_legacyid__4[[#Headers],[offeringid]:[json]],supplementary_offering_legacyid__4[[#This Row],[offeringid]:[ignore]])</f>
        <v>{"offeringid":"990000677","name":"Plan Datos Internet Movil Tigo ilimitado Corporativo","mode":"I"}</v>
      </c>
      <c r="I29" t="str">
        <f>ToJsonArray(supplementary_offering_legacyid__4[[#This Row],[semilla04]],supplementary_offering_legacyid__4[[#This Row],[json]])</f>
        <v>{"17083125365":{"offeringid":"990000677","name":"Plan Datos Internet Movil Tigo ilimitado Corporativo","mode":"I"}}</v>
      </c>
    </row>
    <row r="30" spans="1:9" x14ac:dyDescent="0.25">
      <c r="A30" s="60" t="s">
        <v>2244</v>
      </c>
      <c r="B30" s="60" t="str">
        <f>findKey(supplementary_offering_legacyid__4[[#This Row],[PRODUCCION]])</f>
        <v>17083091202</v>
      </c>
      <c r="C30" s="61" t="s">
        <v>2245</v>
      </c>
      <c r="D30" t="s">
        <v>1958</v>
      </c>
      <c r="E30" t="s">
        <v>2189</v>
      </c>
      <c r="F30" s="61"/>
      <c r="H30" t="str">
        <f>ToJsonArray(supplementary_offering_legacyid__4[[#Headers],[offeringid]:[json]],supplementary_offering_legacyid__4[[#This Row],[offeringid]:[ignore]])</f>
        <v>{"offeringid":"990000664","name":"OLA Beeper 10 Gratis Corporativo","mode":"I"}</v>
      </c>
      <c r="I30" t="str">
        <f>ToJsonArray(supplementary_offering_legacyid__4[[#This Row],[semilla04]],supplementary_offering_legacyid__4[[#This Row],[json]])</f>
        <v>{"17083091202":{"offeringid":"990000664","name":"OLA Beeper 10 Gratis Corporativo","mode":"I"}}</v>
      </c>
    </row>
    <row r="31" spans="1:9" x14ac:dyDescent="0.25">
      <c r="A31" s="60" t="s">
        <v>2246</v>
      </c>
      <c r="B31" s="60" t="str">
        <f>findKey(supplementary_offering_legacyid__4[[#This Row],[PRODUCCION]])</f>
        <v>17083123091</v>
      </c>
      <c r="C31" s="61" t="s">
        <v>2247</v>
      </c>
      <c r="D31" t="s">
        <v>1928</v>
      </c>
      <c r="E31" t="s">
        <v>2189</v>
      </c>
      <c r="F31" s="61"/>
      <c r="H31" t="str">
        <f>ToJsonArray(supplementary_offering_legacyid__4[[#Headers],[offeringid]:[json]],supplementary_offering_legacyid__4[[#This Row],[offeringid]:[ignore]])</f>
        <v>{"offeringid":"990000678","name":"Plan Datos Internet Movil Tigo ilimitado 2","mode":"I"}</v>
      </c>
      <c r="I31" t="str">
        <f>ToJsonArray(supplementary_offering_legacyid__4[[#This Row],[semilla04]],supplementary_offering_legacyid__4[[#This Row],[json]])</f>
        <v>{"17083123091":{"offeringid":"990000678","name":"Plan Datos Internet Movil Tigo ilimitado 2","mode":"I"}}</v>
      </c>
    </row>
    <row r="32" spans="1:9" x14ac:dyDescent="0.25">
      <c r="A32" s="60" t="s">
        <v>2248</v>
      </c>
      <c r="B32" s="60" t="str">
        <f>findKey(supplementary_offering_legacyid__4[[#This Row],[PRODUCCION]])</f>
        <v>17083124835</v>
      </c>
      <c r="C32" s="61" t="s">
        <v>2249</v>
      </c>
      <c r="D32" t="s">
        <v>2024</v>
      </c>
      <c r="E32" t="s">
        <v>2189</v>
      </c>
      <c r="F32" s="61"/>
      <c r="H32" t="str">
        <f>ToJsonArray(supplementary_offering_legacyid__4[[#Headers],[offeringid]:[json]],supplementary_offering_legacyid__4[[#This Row],[offeringid]:[ignore]])</f>
        <v>{"offeringid":"990000618","name":"Plan Datos Control 30 MB Corporativo vol 500","mode":"I"}</v>
      </c>
      <c r="I32" t="str">
        <f>ToJsonArray(supplementary_offering_legacyid__4[[#This Row],[semilla04]],supplementary_offering_legacyid__4[[#This Row],[json]])</f>
        <v>{"17083124835":{"offeringid":"990000618","name":"Plan Datos Control 30 MB Corporativo vol 500","mode":"I"}}</v>
      </c>
    </row>
    <row r="33" spans="1:9" x14ac:dyDescent="0.25">
      <c r="A33" s="60" t="s">
        <v>2250</v>
      </c>
      <c r="B33" s="60" t="str">
        <f>findKey(supplementary_offering_legacyid__4[[#This Row],[PRODUCCION]])</f>
        <v>17083120095</v>
      </c>
      <c r="C33" s="61" t="s">
        <v>2251</v>
      </c>
      <c r="D33" t="s">
        <v>1436</v>
      </c>
      <c r="E33" t="s">
        <v>2189</v>
      </c>
      <c r="F33" s="61"/>
      <c r="H33" t="str">
        <f>ToJsonArray(supplementary_offering_legacyid__4[[#Headers],[offeringid]:[json]],supplementary_offering_legacyid__4[[#This Row],[offeringid]:[ignore]])</f>
        <v>{"offeringid":"990000418","name":"Plan Bolsa USSD 6","mode":"I"}</v>
      </c>
      <c r="I33" t="str">
        <f>ToJsonArray(supplementary_offering_legacyid__4[[#This Row],[semilla04]],supplementary_offering_legacyid__4[[#This Row],[json]])</f>
        <v>{"17083120095":{"offeringid":"990000418","name":"Plan Bolsa USSD 6","mode":"I"}}</v>
      </c>
    </row>
    <row r="34" spans="1:9" x14ac:dyDescent="0.25">
      <c r="A34" s="60" t="s">
        <v>2252</v>
      </c>
      <c r="B34" s="60" t="str">
        <f>findKey(supplementary_offering_legacyid__4[[#This Row],[PRODUCCION]])</f>
        <v>17083091590</v>
      </c>
      <c r="C34" s="61" t="s">
        <v>2253</v>
      </c>
      <c r="D34" t="s">
        <v>1828</v>
      </c>
      <c r="E34" t="s">
        <v>2189</v>
      </c>
      <c r="F34" s="61"/>
      <c r="H34" t="str">
        <f>ToJsonArray(supplementary_offering_legacyid__4[[#Headers],[offeringid]:[json]],supplementary_offering_legacyid__4[[#This Row],[offeringid]:[ignore]])</f>
        <v>{"offeringid":"990000679","name":"Paquete Blackberry BIS Ilimitado FUP 2 GB","mode":"I"}</v>
      </c>
      <c r="I34" t="str">
        <f>ToJsonArray(supplementary_offering_legacyid__4[[#This Row],[semilla04]],supplementary_offering_legacyid__4[[#This Row],[json]])</f>
        <v>{"17083091590":{"offeringid":"990000679","name":"Paquete Blackberry BIS Ilimitado FUP 2 GB","mode":"I"}}</v>
      </c>
    </row>
    <row r="35" spans="1:9" x14ac:dyDescent="0.25">
      <c r="A35" s="60" t="s">
        <v>2254</v>
      </c>
      <c r="B35" s="60" t="str">
        <f>findKey(supplementary_offering_legacyid__4[[#This Row],[PRODUCCION]])</f>
        <v>17083122615</v>
      </c>
      <c r="C35" s="61" t="s">
        <v>2255</v>
      </c>
      <c r="D35" t="s">
        <v>1240</v>
      </c>
      <c r="E35" t="s">
        <v>2189</v>
      </c>
      <c r="F35" s="61"/>
      <c r="H35" t="str">
        <f>ToJsonArray(supplementary_offering_legacyid__4[[#Headers],[offeringid]:[json]],supplementary_offering_legacyid__4[[#This Row],[offeringid]:[ignore]])</f>
        <v>{"offeringid":"990000662","name":"Voice Mail Basico","mode":"I"}</v>
      </c>
      <c r="I35" t="str">
        <f>ToJsonArray(supplementary_offering_legacyid__4[[#This Row],[semilla04]],supplementary_offering_legacyid__4[[#This Row],[json]])</f>
        <v>{"17083122615":{"offeringid":"990000662","name":"Voice Mail Basico","mode":"I"}}</v>
      </c>
    </row>
    <row r="36" spans="1:9" x14ac:dyDescent="0.25">
      <c r="A36" s="60" t="s">
        <v>2256</v>
      </c>
      <c r="B36" s="60" t="str">
        <f>findKey(supplementary_offering_legacyid__4[[#This Row],[PRODUCCION]])</f>
        <v>17083125655</v>
      </c>
      <c r="C36" s="61" t="s">
        <v>2257</v>
      </c>
      <c r="D36" t="s">
        <v>1588</v>
      </c>
      <c r="E36" t="s">
        <v>2189</v>
      </c>
      <c r="F36" s="61"/>
      <c r="H36" t="str">
        <f>ToJsonArray(supplementary_offering_legacyid__4[[#Headers],[offeringid]:[json]],supplementary_offering_legacyid__4[[#This Row],[offeringid]:[ignore]])</f>
        <v>{"offeringid":"990000627","name":"Plan Datos Internet Movil Tigo ilimitado Control Corporativo","mode":"I"}</v>
      </c>
      <c r="I36" t="str">
        <f>ToJsonArray(supplementary_offering_legacyid__4[[#This Row],[semilla04]],supplementary_offering_legacyid__4[[#This Row],[json]])</f>
        <v>{"17083125655":{"offeringid":"990000627","name":"Plan Datos Internet Movil Tigo ilimitado Control Corporativo","mode":"I"}}</v>
      </c>
    </row>
    <row r="37" spans="1:9" x14ac:dyDescent="0.25">
      <c r="A37" s="60" t="s">
        <v>2258</v>
      </c>
      <c r="B37" s="60" t="str">
        <f>findKey(supplementary_offering_legacyid__4[[#This Row],[PRODUCCION]])</f>
        <v>17083128896</v>
      </c>
      <c r="C37" s="61" t="s">
        <v>2259</v>
      </c>
      <c r="D37" t="s">
        <v>937</v>
      </c>
      <c r="E37" t="s">
        <v>2189</v>
      </c>
      <c r="F37" s="61"/>
      <c r="H37" t="str">
        <f>ToJsonArray(supplementary_offering_legacyid__4[[#Headers],[offeringid]:[json]],supplementary_offering_legacyid__4[[#This Row],[offeringid]:[ignore]])</f>
        <v>{"offeringid":"990000617","name":"Plan Datos Control 3 MB Corporativo vol Mayor a 1000","mode":"I"}</v>
      </c>
      <c r="I37" t="str">
        <f>ToJsonArray(supplementary_offering_legacyid__4[[#This Row],[semilla04]],supplementary_offering_legacyid__4[[#This Row],[json]])</f>
        <v>{"17083128896":{"offeringid":"990000617","name":"Plan Datos Control 3 MB Corporativo vol Mayor a 1000","mode":"I"}}</v>
      </c>
    </row>
    <row r="38" spans="1:9" x14ac:dyDescent="0.25">
      <c r="A38" s="60" t="s">
        <v>2260</v>
      </c>
      <c r="B38" s="60" t="str">
        <f>findKey(supplementary_offering_legacyid__4[[#This Row],[PRODUCCION]])</f>
        <v>17083122451</v>
      </c>
      <c r="C38" s="61" t="s">
        <v>2261</v>
      </c>
      <c r="D38" t="s">
        <v>2027</v>
      </c>
      <c r="E38" t="s">
        <v>2189</v>
      </c>
      <c r="F38" s="61"/>
      <c r="H38" t="str">
        <f>ToJsonArray(supplementary_offering_legacyid__4[[#Headers],[offeringid]:[json]],supplementary_offering_legacyid__4[[#This Row],[offeringid]:[ignore]])</f>
        <v>{"offeringid":"990000613","name":"Plan Datos 1 MB Corporativo vol Mayor a 1000","mode":"I"}</v>
      </c>
      <c r="I38" t="str">
        <f>ToJsonArray(supplementary_offering_legacyid__4[[#This Row],[semilla04]],supplementary_offering_legacyid__4[[#This Row],[json]])</f>
        <v>{"17083122451":{"offeringid":"990000613","name":"Plan Datos 1 MB Corporativo vol Mayor a 1000","mode":"I"}}</v>
      </c>
    </row>
    <row r="39" spans="1:9" x14ac:dyDescent="0.25">
      <c r="A39" s="60" t="s">
        <v>2262</v>
      </c>
      <c r="B39" s="60" t="str">
        <f>findKey(supplementary_offering_legacyid__4[[#This Row],[PRODUCCION]])</f>
        <v>17083125067</v>
      </c>
      <c r="C39" s="61" t="s">
        <v>2263</v>
      </c>
      <c r="D39" t="s">
        <v>253</v>
      </c>
      <c r="E39" t="s">
        <v>2189</v>
      </c>
      <c r="F39" s="61"/>
      <c r="H39" t="str">
        <f>ToJsonArray(supplementary_offering_legacyid__4[[#Headers],[offeringid]:[json]],supplementary_offering_legacyid__4[[#This Row],[offeringid]:[ignore]])</f>
        <v>{"offeringid":"990000628","name":"Paquete Datos Control 5 MB Corporativo vol 500","mode":"I"}</v>
      </c>
      <c r="I39" t="str">
        <f>ToJsonArray(supplementary_offering_legacyid__4[[#This Row],[semilla04]],supplementary_offering_legacyid__4[[#This Row],[json]])</f>
        <v>{"17083125067":{"offeringid":"990000628","name":"Paquete Datos Control 5 MB Corporativo vol 500","mode":"I"}}</v>
      </c>
    </row>
    <row r="40" spans="1:9" x14ac:dyDescent="0.25">
      <c r="A40" s="60" t="s">
        <v>2264</v>
      </c>
      <c r="B40" s="60" t="str">
        <f>findKey(supplementary_offering_legacyid__4[[#This Row],[PRODUCCION]])</f>
        <v>17083129828</v>
      </c>
      <c r="C40" s="61" t="s">
        <v>2265</v>
      </c>
      <c r="D40" t="s">
        <v>2266</v>
      </c>
      <c r="E40" t="s">
        <v>2189</v>
      </c>
      <c r="F40" s="61"/>
      <c r="H40" t="str">
        <f>ToJsonArray(supplementary_offering_legacyid__4[[#Headers],[offeringid]:[json]],supplementary_offering_legacyid__4[[#This Row],[offeringid]:[ignore]])</f>
        <v>{"offeringid":"990000665","name":"OLA Beeper BÃ¡sico Corporativo","mode":"I"}</v>
      </c>
      <c r="I40" t="str">
        <f>ToJsonArray(supplementary_offering_legacyid__4[[#This Row],[semilla04]],supplementary_offering_legacyid__4[[#This Row],[json]])</f>
        <v>{"17083129828":{"offeringid":"990000665","name":"OLA Beeper BÃ¡sico Corporativo","mode":"I"}}</v>
      </c>
    </row>
    <row r="41" spans="1:9" x14ac:dyDescent="0.25">
      <c r="A41" s="60" t="s">
        <v>2267</v>
      </c>
      <c r="B41" s="60" t="str">
        <f>findKey(supplementary_offering_legacyid__4[[#This Row],[PRODUCCION]])</f>
        <v>17083091356</v>
      </c>
      <c r="C41" s="61" t="s">
        <v>2268</v>
      </c>
      <c r="D41" t="s">
        <v>1979</v>
      </c>
      <c r="E41" t="s">
        <v>2189</v>
      </c>
      <c r="F41" s="61"/>
      <c r="H41" t="str">
        <f>ToJsonArray(supplementary_offering_legacyid__4[[#Headers],[offeringid]:[json]],supplementary_offering_legacyid__4[[#This Row],[offeringid]:[ignore]])</f>
        <v>{"offeringid":"990000670","name":"OLA Imagen 25 Gratis Corporativo","mode":"I"}</v>
      </c>
      <c r="I41" t="str">
        <f>ToJsonArray(supplementary_offering_legacyid__4[[#This Row],[semilla04]],supplementary_offering_legacyid__4[[#This Row],[json]])</f>
        <v>{"17083091356":{"offeringid":"990000670","name":"OLA Imagen 25 Gratis Corporativo","mode":"I"}}</v>
      </c>
    </row>
    <row r="42" spans="1:9" x14ac:dyDescent="0.25">
      <c r="A42" s="60" t="s">
        <v>2269</v>
      </c>
      <c r="B42" s="60" t="str">
        <f>findKey(supplementary_offering_legacyid__4[[#This Row],[PRODUCCION]])</f>
        <v>17083089794</v>
      </c>
      <c r="C42" s="61" t="s">
        <v>2270</v>
      </c>
      <c r="D42" t="s">
        <v>2068</v>
      </c>
      <c r="E42" t="s">
        <v>2189</v>
      </c>
      <c r="F42" s="61"/>
      <c r="H42" t="str">
        <f>ToJsonArray(supplementary_offering_legacyid__4[[#Headers],[offeringid]:[json]],supplementary_offering_legacyid__4[[#This Row],[offeringid]:[ignore]])</f>
        <v>{"offeringid":"990000666","name":"OLA Beeper 50 Gratis Corporativo","mode":"I"}</v>
      </c>
      <c r="I42" t="str">
        <f>ToJsonArray(supplementary_offering_legacyid__4[[#This Row],[semilla04]],supplementary_offering_legacyid__4[[#This Row],[json]])</f>
        <v>{"17083089794":{"offeringid":"990000666","name":"OLA Beeper 50 Gratis Corporativo","mode":"I"}}</v>
      </c>
    </row>
    <row r="43" spans="1:9" x14ac:dyDescent="0.25">
      <c r="A43" s="60" t="s">
        <v>2271</v>
      </c>
      <c r="B43" s="60" t="str">
        <f>findKey(supplementary_offering_legacyid__4[[#This Row],[PRODUCCION]])</f>
        <v>17083124603</v>
      </c>
      <c r="C43" s="61" t="s">
        <v>2272</v>
      </c>
      <c r="D43" t="s">
        <v>394</v>
      </c>
      <c r="E43" t="s">
        <v>2189</v>
      </c>
      <c r="F43" s="61"/>
      <c r="H43" t="str">
        <f>ToJsonArray(supplementary_offering_legacyid__4[[#Headers],[offeringid]:[json]],supplementary_offering_legacyid__4[[#This Row],[offeringid]:[ignore]])</f>
        <v>{"offeringid":"990000629","name":"Plan Datos Control ilimitado Corporativo vol 500","mode":"I"}</v>
      </c>
      <c r="I43" t="str">
        <f>ToJsonArray(supplementary_offering_legacyid__4[[#This Row],[semilla04]],supplementary_offering_legacyid__4[[#This Row],[json]])</f>
        <v>{"17083124603":{"offeringid":"990000629","name":"Plan Datos Control ilimitado Corporativo vol 500","mode":"I"}}</v>
      </c>
    </row>
    <row r="44" spans="1:9" x14ac:dyDescent="0.25">
      <c r="A44" s="60" t="s">
        <v>2273</v>
      </c>
      <c r="B44" s="60" t="str">
        <f>findKey(supplementary_offering_legacyid__4[[#This Row],[PRODUCCION]])</f>
        <v>17083125455</v>
      </c>
      <c r="C44" s="61" t="s">
        <v>2274</v>
      </c>
      <c r="D44" t="s">
        <v>2275</v>
      </c>
      <c r="E44" t="s">
        <v>2189</v>
      </c>
      <c r="F44" s="61"/>
      <c r="H44" t="str">
        <f>ToJsonArray(supplementary_offering_legacyid__4[[#Headers],[offeringid]:[json]],supplementary_offering_legacyid__4[[#This Row],[offeringid]:[ignore]])</f>
        <v>{"offeringid":"990000671","name":"OLA Imagen  BÃ¡sico Masivo","mode":"I"}</v>
      </c>
      <c r="I44" t="str">
        <f>ToJsonArray(supplementary_offering_legacyid__4[[#This Row],[semilla04]],supplementary_offering_legacyid__4[[#This Row],[json]])</f>
        <v>{"17083125455":{"offeringid":"990000671","name":"OLA Imagen  BÃ¡sico Masivo","mode":"I"}}</v>
      </c>
    </row>
    <row r="45" spans="1:9" x14ac:dyDescent="0.25">
      <c r="A45" s="60" t="s">
        <v>2276</v>
      </c>
      <c r="B45" s="60" t="str">
        <f>findKey(supplementary_offering_legacyid__4[[#This Row],[PRODUCCION]])</f>
        <v>17083125239</v>
      </c>
      <c r="C45" s="61" t="s">
        <v>2277</v>
      </c>
      <c r="D45" t="s">
        <v>1106</v>
      </c>
      <c r="E45" t="s">
        <v>2189</v>
      </c>
      <c r="F45" s="61"/>
      <c r="H45" t="str">
        <f>ToJsonArray(supplementary_offering_legacyid__4[[#Headers],[offeringid]:[json]],supplementary_offering_legacyid__4[[#This Row],[offeringid]:[ignore]])</f>
        <v>{"offeringid":"990000667","name":"Ola Beeper Basico masivo","mode":"I"}</v>
      </c>
      <c r="I45" t="str">
        <f>ToJsonArray(supplementary_offering_legacyid__4[[#This Row],[semilla04]],supplementary_offering_legacyid__4[[#This Row],[json]])</f>
        <v>{"17083125239":{"offeringid":"990000667","name":"Ola Beeper Basico masivo","mode":"I"}}</v>
      </c>
    </row>
    <row r="46" spans="1:9" x14ac:dyDescent="0.25">
      <c r="A46" s="60" t="s">
        <v>2278</v>
      </c>
      <c r="B46" s="60" t="str">
        <f>findKey(supplementary_offering_legacyid__4[[#This Row],[PRODUCCION]])</f>
        <v>17083121880</v>
      </c>
      <c r="C46" s="61" t="s">
        <v>2279</v>
      </c>
      <c r="D46" t="s">
        <v>1715</v>
      </c>
      <c r="E46" t="s">
        <v>2189</v>
      </c>
      <c r="F46" s="61"/>
      <c r="H46" t="str">
        <f>ToJsonArray(supplementary_offering_legacyid__4[[#Headers],[offeringid]:[json]],supplementary_offering_legacyid__4[[#This Row],[offeringid]:[ignore]])</f>
        <v>{"offeringid":"990000680","name":"GPRS Tigo Corporativo Ilimitado 2","mode":"I"}</v>
      </c>
      <c r="I46" t="str">
        <f>ToJsonArray(supplementary_offering_legacyid__4[[#This Row],[semilla04]],supplementary_offering_legacyid__4[[#This Row],[json]])</f>
        <v>{"17083121880":{"offeringid":"990000680","name":"GPRS Tigo Corporativo Ilimitado 2","mode":"I"}}</v>
      </c>
    </row>
    <row r="47" spans="1:9" x14ac:dyDescent="0.25">
      <c r="A47" s="60" t="s">
        <v>2280</v>
      </c>
      <c r="B47" s="60" t="str">
        <f>findKey(supplementary_offering_legacyid__4[[#This Row],[PRODUCCION]])</f>
        <v>17083092522</v>
      </c>
      <c r="C47" s="61" t="s">
        <v>2281</v>
      </c>
      <c r="D47" t="s">
        <v>1098</v>
      </c>
      <c r="E47" t="s">
        <v>2189</v>
      </c>
      <c r="F47" s="61"/>
      <c r="H47" t="str">
        <f>ToJsonArray(supplementary_offering_legacyid__4[[#Headers],[offeringid]:[json]],supplementary_offering_legacyid__4[[#This Row],[offeringid]:[ignore]])</f>
        <v>{"offeringid":"990000416","name":"Plan Bolsa USSD 4","mode":"I"}</v>
      </c>
      <c r="I47" t="str">
        <f>ToJsonArray(supplementary_offering_legacyid__4[[#This Row],[semilla04]],supplementary_offering_legacyid__4[[#This Row],[json]])</f>
        <v>{"17083092522":{"offeringid":"990000416","name":"Plan Bolsa USSD 4","mode":"I"}}</v>
      </c>
    </row>
    <row r="48" spans="1:9" x14ac:dyDescent="0.25">
      <c r="A48" s="60" t="s">
        <v>2282</v>
      </c>
      <c r="B48" s="60" t="str">
        <f>findKey(supplementary_offering_legacyid__4[[#This Row],[PRODUCCION]])</f>
        <v>17083091330</v>
      </c>
      <c r="C48" s="61" t="s">
        <v>2283</v>
      </c>
      <c r="D48" t="s">
        <v>2284</v>
      </c>
      <c r="E48" t="s">
        <v>2189</v>
      </c>
      <c r="F48" s="61"/>
      <c r="H48" t="str">
        <f>ToJsonArray(supplementary_offering_legacyid__4[[#Headers],[offeringid]:[json]],supplementary_offering_legacyid__4[[#This Row],[offeringid]:[ignore]])</f>
        <v>{"offeringid":"990000668","name":"OLA Beeper BÃ¡sico Referidos","mode":"I"}</v>
      </c>
      <c r="I48" t="str">
        <f>ToJsonArray(supplementary_offering_legacyid__4[[#This Row],[semilla04]],supplementary_offering_legacyid__4[[#This Row],[json]])</f>
        <v>{"17083091330":{"offeringid":"990000668","name":"OLA Beeper BÃ¡sico Referidos","mode":"I"}}</v>
      </c>
    </row>
    <row r="49" spans="1:9" x14ac:dyDescent="0.25">
      <c r="A49" s="60" t="s">
        <v>2285</v>
      </c>
      <c r="B49" s="60" t="str">
        <f>findKey(supplementary_offering_legacyid__4[[#This Row],[PRODUCCION]])</f>
        <v>17083092924</v>
      </c>
      <c r="C49" s="61" t="s">
        <v>2286</v>
      </c>
      <c r="D49" t="s">
        <v>1584</v>
      </c>
      <c r="E49" t="s">
        <v>2189</v>
      </c>
      <c r="F49" s="61"/>
      <c r="H49" t="str">
        <f>ToJsonArray(supplementary_offering_legacyid__4[[#Headers],[offeringid]:[json]],supplementary_offering_legacyid__4[[#This Row],[offeringid]:[ignore]])</f>
        <v>{"offeringid":"990000625","name":"Plan Datos Control ilimitado Corporativo vol Mayor a 1000","mode":"I"}</v>
      </c>
      <c r="I49" t="str">
        <f>ToJsonArray(supplementary_offering_legacyid__4[[#This Row],[semilla04]],supplementary_offering_legacyid__4[[#This Row],[json]])</f>
        <v>{"17083092924":{"offeringid":"990000625","name":"Plan Datos Control ilimitado Corporativo vol Mayor a 1000","mode":"I"}}</v>
      </c>
    </row>
    <row r="50" spans="1:9" x14ac:dyDescent="0.25">
      <c r="A50" s="60" t="s">
        <v>2287</v>
      </c>
      <c r="B50" s="60" t="str">
        <f>findKey(supplementary_offering_legacyid__4[[#This Row],[PRODUCCION]])</f>
        <v>17083126776</v>
      </c>
      <c r="C50" s="61" t="s">
        <v>2288</v>
      </c>
      <c r="D50" t="s">
        <v>729</v>
      </c>
      <c r="E50" t="s">
        <v>2189</v>
      </c>
      <c r="F50" s="61"/>
      <c r="H50" t="str">
        <f>ToJsonArray(supplementary_offering_legacyid__4[[#Headers],[offeringid]:[json]],supplementary_offering_legacyid__4[[#This Row],[offeringid]:[ignore]])</f>
        <v>{"offeringid":"990000413","name":"Plan Bolsa USSD 1","mode":"I"}</v>
      </c>
      <c r="I50" t="str">
        <f>ToJsonArray(supplementary_offering_legacyid__4[[#This Row],[semilla04]],supplementary_offering_legacyid__4[[#This Row],[json]])</f>
        <v>{"17083126776":{"offeringid":"990000413","name":"Plan Bolsa USSD 1","mode":"I"}}</v>
      </c>
    </row>
    <row r="51" spans="1:9" x14ac:dyDescent="0.25">
      <c r="A51" s="60" t="s">
        <v>2289</v>
      </c>
      <c r="B51" s="60" t="str">
        <f>findKey(supplementary_offering_legacyid__4[[#This Row],[PRODUCCION]])</f>
        <v>17083123342</v>
      </c>
      <c r="C51" s="61" t="s">
        <v>2290</v>
      </c>
      <c r="D51" t="s">
        <v>1894</v>
      </c>
      <c r="E51" t="s">
        <v>2189</v>
      </c>
      <c r="F51" s="61"/>
      <c r="H51" t="str">
        <f>ToJsonArray(supplementary_offering_legacyid__4[[#Headers],[offeringid]:[json]],supplementary_offering_legacyid__4[[#This Row],[offeringid]:[ignore]])</f>
        <v>{"offeringid":"990000630","name":"Plan Datos Internet Movil Tigo ilimitado Control","mode":"I"}</v>
      </c>
      <c r="I51" t="str">
        <f>ToJsonArray(supplementary_offering_legacyid__4[[#This Row],[semilla04]],supplementary_offering_legacyid__4[[#This Row],[json]])</f>
        <v>{"17083123342":{"offeringid":"990000630","name":"Plan Datos Internet Movil Tigo ilimitado Control","mode":"I"}}</v>
      </c>
    </row>
    <row r="52" spans="1:9" x14ac:dyDescent="0.25">
      <c r="A52" s="60" t="s">
        <v>2291</v>
      </c>
      <c r="B52" s="60" t="str">
        <f>findKey(supplementary_offering_legacyid__4[[#This Row],[PRODUCCION]])</f>
        <v>17083122416</v>
      </c>
      <c r="C52" s="61" t="s">
        <v>2292</v>
      </c>
      <c r="D52" t="s">
        <v>1692</v>
      </c>
      <c r="E52" t="s">
        <v>2189</v>
      </c>
      <c r="F52" s="61"/>
      <c r="H52" t="str">
        <f>ToJsonArray(supplementary_offering_legacyid__4[[#Headers],[offeringid]:[json]],supplementary_offering_legacyid__4[[#This Row],[offeringid]:[ignore]])</f>
        <v>{"offeringid":"990000626","name":"CLIR","mode":"I"}</v>
      </c>
      <c r="I52" t="str">
        <f>ToJsonArray(supplementary_offering_legacyid__4[[#This Row],[semilla04]],supplementary_offering_legacyid__4[[#This Row],[json]])</f>
        <v>{"17083122416":{"offeringid":"990000626","name":"CLIR","mode":"I"}}</v>
      </c>
    </row>
    <row r="53" spans="1:9" x14ac:dyDescent="0.25">
      <c r="A53" s="60" t="s">
        <v>2293</v>
      </c>
      <c r="B53" s="60" t="str">
        <f>findKey(supplementary_offering_legacyid__4[[#This Row],[PRODUCCION]])</f>
        <v>17083124437</v>
      </c>
      <c r="C53" s="61" t="s">
        <v>2294</v>
      </c>
      <c r="D53" t="s">
        <v>2295</v>
      </c>
      <c r="E53" t="s">
        <v>2189</v>
      </c>
      <c r="F53" s="61"/>
      <c r="H53" t="str">
        <f>ToJsonArray(supplementary_offering_legacyid__4[[#Headers],[offeringid]:[json]],supplementary_offering_legacyid__4[[#This Row],[offeringid]:[ignore]])</f>
        <v>{"offeringid":"990000681","name":"OLA Web BÃ¡sico","mode":"I"}</v>
      </c>
      <c r="I53" t="str">
        <f>ToJsonArray(supplementary_offering_legacyid__4[[#This Row],[semilla04]],supplementary_offering_legacyid__4[[#This Row],[json]])</f>
        <v>{"17083124437":{"offeringid":"990000681","name":"OLA Web BÃ¡sico","mode":"I"}}</v>
      </c>
    </row>
    <row r="54" spans="1:9" x14ac:dyDescent="0.25">
      <c r="A54" s="60" t="s">
        <v>2296</v>
      </c>
      <c r="B54" s="60" t="str">
        <f>findKey(supplementary_offering_legacyid__4[[#This Row],[PRODUCCION]])</f>
        <v>17083125427</v>
      </c>
      <c r="C54" s="61" t="s">
        <v>2297</v>
      </c>
      <c r="D54" t="s">
        <v>2298</v>
      </c>
      <c r="E54" t="s">
        <v>2189</v>
      </c>
      <c r="F54" s="61"/>
      <c r="H54" t="str">
        <f>ToJsonArray(supplementary_offering_legacyid__4[[#Headers],[offeringid]:[json]],supplementary_offering_legacyid__4[[#This Row],[offeringid]:[ignore]])</f>
        <v>{"offeringid":"990000669","name":"OLA Beeper BÃ¡sico SÃºper OLA","mode":"I"}</v>
      </c>
      <c r="I54" t="str">
        <f>ToJsonArray(supplementary_offering_legacyid__4[[#This Row],[semilla04]],supplementary_offering_legacyid__4[[#This Row],[json]])</f>
        <v>{"17083125427":{"offeringid":"990000669","name":"OLA Beeper BÃ¡sico SÃºper OLA","mode":"I"}}</v>
      </c>
    </row>
    <row r="55" spans="1:9" x14ac:dyDescent="0.25">
      <c r="A55" s="60" t="s">
        <v>2299</v>
      </c>
      <c r="B55" s="60" t="str">
        <f>findKey(supplementary_offering_legacyid__4[[#This Row],[PRODUCCION]])</f>
        <v>17083124771</v>
      </c>
      <c r="C55" s="61" t="s">
        <v>2300</v>
      </c>
      <c r="D55" t="s">
        <v>389</v>
      </c>
      <c r="E55" t="s">
        <v>2189</v>
      </c>
      <c r="F55" s="61"/>
      <c r="H55" t="str">
        <f>ToJsonArray(supplementary_offering_legacyid__4[[#Headers],[offeringid]:[json]],supplementary_offering_legacyid__4[[#This Row],[offeringid]:[ignore]])</f>
        <v>{"offeringid":"990000682","name":"Paquete Tigo Blackberry Lite","mode":"I"}</v>
      </c>
      <c r="I55" t="str">
        <f>ToJsonArray(supplementary_offering_legacyid__4[[#This Row],[semilla04]],supplementary_offering_legacyid__4[[#This Row],[json]])</f>
        <v>{"17083124771":{"offeringid":"990000682","name":"Paquete Tigo Blackberry Lite","mode":"I"}}</v>
      </c>
    </row>
    <row r="56" spans="1:9" x14ac:dyDescent="0.25">
      <c r="A56" s="60" t="s">
        <v>2301</v>
      </c>
      <c r="B56" s="60" t="str">
        <f>findKey(supplementary_offering_legacyid__4[[#This Row],[PRODUCCION]])</f>
        <v>17083128404</v>
      </c>
      <c r="C56" s="61" t="s">
        <v>2302</v>
      </c>
      <c r="D56" t="s">
        <v>939</v>
      </c>
      <c r="E56" t="s">
        <v>2189</v>
      </c>
      <c r="F56" s="61"/>
      <c r="H56" t="str">
        <f>ToJsonArray(supplementary_offering_legacyid__4[[#Headers],[offeringid]:[json]],supplementary_offering_legacyid__4[[#This Row],[offeringid]:[ignore]])</f>
        <v>{"offeringid":"990000414","name":"Plan Bolsa USSD 2","mode":"I"}</v>
      </c>
      <c r="I56" t="str">
        <f>ToJsonArray(supplementary_offering_legacyid__4[[#This Row],[semilla04]],supplementary_offering_legacyid__4[[#This Row],[json]])</f>
        <v>{"17083128404":{"offeringid":"990000414","name":"Plan Bolsa USSD 2","mode":"I"}}</v>
      </c>
    </row>
    <row r="57" spans="1:9" x14ac:dyDescent="0.25">
      <c r="A57" s="60" t="s">
        <v>2303</v>
      </c>
      <c r="B57" s="60" t="str">
        <f>findKey(supplementary_offering_legacyid__4[[#This Row],[PRODUCCION]])</f>
        <v>17083122279</v>
      </c>
      <c r="C57" s="61" t="s">
        <v>2304</v>
      </c>
      <c r="D57" t="s">
        <v>503</v>
      </c>
      <c r="E57" t="s">
        <v>2189</v>
      </c>
      <c r="F57" s="61"/>
      <c r="H57" t="str">
        <f>ToJsonArray(supplementary_offering_legacyid__4[[#Headers],[offeringid]:[json]],supplementary_offering_legacyid__4[[#This Row],[offeringid]:[ignore]])</f>
        <v>{"offeringid":"990000623","name":"Plan Datos Control ilimitado Corporativo vol 1000","mode":"I"}</v>
      </c>
      <c r="I57" t="str">
        <f>ToJsonArray(supplementary_offering_legacyid__4[[#This Row],[semilla04]],supplementary_offering_legacyid__4[[#This Row],[json]])</f>
        <v>{"17083122279":{"offeringid":"990000623","name":"Plan Datos Control ilimitado Corporativo vol 1000","mode":"I"}}</v>
      </c>
    </row>
    <row r="58" spans="1:9" x14ac:dyDescent="0.25">
      <c r="A58" s="60" t="s">
        <v>2305</v>
      </c>
      <c r="B58" s="60" t="str">
        <f>findKey(supplementary_offering_legacyid__4[[#This Row],[PRODUCCION]])</f>
        <v>17083125725</v>
      </c>
      <c r="C58" s="61" t="s">
        <v>2306</v>
      </c>
      <c r="D58" t="s">
        <v>1918</v>
      </c>
      <c r="E58" t="s">
        <v>2189</v>
      </c>
      <c r="F58" s="61"/>
      <c r="H58" t="str">
        <f>ToJsonArray(supplementary_offering_legacyid__4[[#Headers],[offeringid]:[json]],supplementary_offering_legacyid__4[[#This Row],[offeringid]:[ignore]])</f>
        <v>{"offeringid":"990000619","name":"Plan Datos Control 5 MB Corporativo vol 500","mode":"I"}</v>
      </c>
      <c r="I58" t="str">
        <f>ToJsonArray(supplementary_offering_legacyid__4[[#This Row],[semilla04]],supplementary_offering_legacyid__4[[#This Row],[json]])</f>
        <v>{"17083125725":{"offeringid":"990000619","name":"Plan Datos Control 5 MB Corporativo vol 500","mode":"I"}}</v>
      </c>
    </row>
    <row r="59" spans="1:9" x14ac:dyDescent="0.25">
      <c r="A59" s="60" t="s">
        <v>2307</v>
      </c>
      <c r="B59" s="60" t="str">
        <f>findKey(supplementary_offering_legacyid__4[[#This Row],[PRODUCCION]])</f>
        <v>302783</v>
      </c>
      <c r="C59" s="61" t="s">
        <v>2308</v>
      </c>
      <c r="D59" t="s">
        <v>1250</v>
      </c>
      <c r="E59" t="s">
        <v>2189</v>
      </c>
      <c r="F59" s="61"/>
      <c r="H59" t="str">
        <f>ToJsonArray(supplementary_offering_legacyid__4[[#Headers],[offeringid]:[json]],supplementary_offering_legacyid__4[[#This Row],[offeringid]:[ignore]])</f>
        <v>{"offeringid":"990000417","name":"Plan Bolsa USSD 5","mode":"I"}</v>
      </c>
      <c r="I59" t="str">
        <f>ToJsonArray(supplementary_offering_legacyid__4[[#This Row],[semilla04]],supplementary_offering_legacyid__4[[#This Row],[json]])</f>
        <v>{"302783":{"offeringid":"990000417","name":"Plan Bolsa USSD 5","mode":"I"}}</v>
      </c>
    </row>
    <row r="60" spans="1:9" x14ac:dyDescent="0.25">
      <c r="A60" s="60" t="s">
        <v>2309</v>
      </c>
      <c r="B60" s="60" t="str">
        <f>findKey(supplementary_offering_legacyid__4[[#This Row],[PRODUCCION]])</f>
        <v>17083124640</v>
      </c>
      <c r="C60" s="61" t="s">
        <v>2310</v>
      </c>
      <c r="D60" t="s">
        <v>1582</v>
      </c>
      <c r="E60" t="s">
        <v>2189</v>
      </c>
      <c r="F60" s="61"/>
      <c r="H60" t="str">
        <f>ToJsonArray(supplementary_offering_legacyid__4[[#Headers],[offeringid]:[json]],supplementary_offering_legacyid__4[[#This Row],[offeringid]:[ignore]])</f>
        <v>{"offeringid":"990000419","name":"Plan Bolsa USSD 7","mode":"I"}</v>
      </c>
      <c r="I60" t="str">
        <f>ToJsonArray(supplementary_offering_legacyid__4[[#This Row],[semilla04]],supplementary_offering_legacyid__4[[#This Row],[json]])</f>
        <v>{"17083124640":{"offeringid":"990000419","name":"Plan Bolsa USSD 7","mode":"I"}}</v>
      </c>
    </row>
    <row r="61" spans="1:9" x14ac:dyDescent="0.25">
      <c r="A61" s="60" t="s">
        <v>2311</v>
      </c>
      <c r="B61" s="60" t="str">
        <f>findKey(supplementary_offering_legacyid__4[[#This Row],[PRODUCCION]])</f>
        <v>BAG15K</v>
      </c>
      <c r="C61" s="61" t="s">
        <v>2312</v>
      </c>
      <c r="D61" t="s">
        <v>2313</v>
      </c>
      <c r="E61" t="s">
        <v>2189</v>
      </c>
      <c r="F61" s="61"/>
      <c r="H61" t="str">
        <f>ToJsonArray(supplementary_offering_legacyid__4[[#Headers],[offeringid]:[json]],supplementary_offering_legacyid__4[[#This Row],[offeringid]:[ignore]])</f>
        <v>{"offeringid":"990000101","name":"TIGO BAG15K","mode":"I"}</v>
      </c>
      <c r="I61" t="str">
        <f>ToJsonArray(supplementary_offering_legacyid__4[[#This Row],[semilla04]],supplementary_offering_legacyid__4[[#This Row],[json]])</f>
        <v>{"BAG15K":{"offeringid":"990000101","name":"TIGO BAG15K","mode":"I"}}</v>
      </c>
    </row>
    <row r="62" spans="1:9" x14ac:dyDescent="0.25">
      <c r="A62" s="60" t="s">
        <v>2314</v>
      </c>
      <c r="B62" s="60" t="str">
        <f>findKey(supplementary_offering_legacyid__4[[#This Row],[PRODUCCION]])</f>
        <v>BAG20K</v>
      </c>
      <c r="C62" s="61" t="s">
        <v>2315</v>
      </c>
      <c r="D62" t="s">
        <v>2316</v>
      </c>
      <c r="E62" t="s">
        <v>2189</v>
      </c>
      <c r="F62" s="61"/>
      <c r="H62" t="str">
        <f>ToJsonArray(supplementary_offering_legacyid__4[[#Headers],[offeringid]:[json]],supplementary_offering_legacyid__4[[#This Row],[offeringid]:[ignore]])</f>
        <v>{"offeringid":"990000102","name":"TIGO BAG20K","mode":"I"}</v>
      </c>
      <c r="I62" t="str">
        <f>ToJsonArray(supplementary_offering_legacyid__4[[#This Row],[semilla04]],supplementary_offering_legacyid__4[[#This Row],[json]])</f>
        <v>{"BAG20K":{"offeringid":"990000102","name":"TIGO BAG20K","mode":"I"}}</v>
      </c>
    </row>
    <row r="63" spans="1:9" x14ac:dyDescent="0.25">
      <c r="A63" s="60" t="s">
        <v>2317</v>
      </c>
      <c r="B63" s="60" t="str">
        <f>findKey(supplementary_offering_legacyid__4[[#This Row],[PRODUCCION]])</f>
        <v>BAG30K</v>
      </c>
      <c r="C63" s="61" t="s">
        <v>2318</v>
      </c>
      <c r="D63" t="s">
        <v>2319</v>
      </c>
      <c r="E63" t="s">
        <v>2189</v>
      </c>
      <c r="F63" s="61"/>
      <c r="H63" t="str">
        <f>ToJsonArray(supplementary_offering_legacyid__4[[#Headers],[offeringid]:[json]],supplementary_offering_legacyid__4[[#This Row],[offeringid]:[ignore]])</f>
        <v>{"offeringid":"990000103","name":"TIGO BAG30K","mode":"I"}</v>
      </c>
      <c r="I63" t="str">
        <f>ToJsonArray(supplementary_offering_legacyid__4[[#This Row],[semilla04]],supplementary_offering_legacyid__4[[#This Row],[json]])</f>
        <v>{"BAG30K":{"offeringid":"990000103","name":"TIGO BAG30K","mode":"I"}}</v>
      </c>
    </row>
    <row r="64" spans="1:9" x14ac:dyDescent="0.25">
      <c r="A64" s="60" t="s">
        <v>2320</v>
      </c>
      <c r="B64" s="60" t="str">
        <f>findKey(supplementary_offering_legacyid__4[[#This Row],[PRODUCCION]])</f>
        <v>BAG50K</v>
      </c>
      <c r="C64" s="61" t="s">
        <v>2321</v>
      </c>
      <c r="D64" t="s">
        <v>2322</v>
      </c>
      <c r="E64" t="s">
        <v>2189</v>
      </c>
      <c r="F64" s="61"/>
      <c r="H64" t="str">
        <f>ToJsonArray(supplementary_offering_legacyid__4[[#Headers],[offeringid]:[json]],supplementary_offering_legacyid__4[[#This Row],[offeringid]:[ignore]])</f>
        <v>{"offeringid":"990000104","name":"TIGO BAG50K","mode":"I"}</v>
      </c>
      <c r="I64" t="str">
        <f>ToJsonArray(supplementary_offering_legacyid__4[[#This Row],[semilla04]],supplementary_offering_legacyid__4[[#This Row],[json]])</f>
        <v>{"BAG50K":{"offeringid":"990000104","name":"TIGO BAG50K","mode":"I"}}</v>
      </c>
    </row>
    <row r="65" spans="1:9" x14ac:dyDescent="0.25">
      <c r="A65" s="60" t="s">
        <v>2323</v>
      </c>
      <c r="B65" s="60" t="str">
        <f>findKey(supplementary_offering_legacyid__4[[#This Row],[PRODUCCION]])</f>
        <v>BAG100K</v>
      </c>
      <c r="C65" s="61" t="s">
        <v>2324</v>
      </c>
      <c r="D65" t="s">
        <v>2325</v>
      </c>
      <c r="E65" t="s">
        <v>2189</v>
      </c>
      <c r="F65" s="61"/>
      <c r="H65" t="str">
        <f>ToJsonArray(supplementary_offering_legacyid__4[[#Headers],[offeringid]:[json]],supplementary_offering_legacyid__4[[#This Row],[offeringid]:[ignore]])</f>
        <v>{"offeringid":"990000105","name":"TIGO BAG100K","mode":"I"}</v>
      </c>
      <c r="I65" t="str">
        <f>ToJsonArray(supplementary_offering_legacyid__4[[#This Row],[semilla04]],supplementary_offering_legacyid__4[[#This Row],[json]])</f>
        <v>{"BAG100K":{"offeringid":"990000105","name":"TIGO BAG100K","mode":"I"}}</v>
      </c>
    </row>
    <row r="66" spans="1:9" x14ac:dyDescent="0.25">
      <c r="A66" s="60" t="s">
        <v>2326</v>
      </c>
      <c r="B66" s="60" t="str">
        <f>findKey(supplementary_offering_legacyid__4[[#This Row],[PRODUCCION]])</f>
        <v>100001-01</v>
      </c>
      <c r="C66" s="61" t="s">
        <v>2327</v>
      </c>
      <c r="D66" t="s">
        <v>2328</v>
      </c>
      <c r="E66" t="s">
        <v>2329</v>
      </c>
      <c r="F66" s="61"/>
      <c r="H66" t="str">
        <f>ToJsonArray(supplementary_offering_legacyid__4[[#Headers],[offeringid]:[json]],supplementary_offering_legacyid__4[[#This Row],[offeringid]:[ignore]])</f>
        <v>{"offeringid":"910000101","name":"Voz - OnNet - Bajo 1_910000101","mode":"N"}</v>
      </c>
      <c r="I66" t="str">
        <f>ToJsonArray(supplementary_offering_legacyid__4[[#This Row],[semilla04]],supplementary_offering_legacyid__4[[#This Row],[json]])</f>
        <v>{"100001-01":{"offeringid":"910000101","name":"Voz - OnNet - Bajo 1_910000101","mode":"N"}}</v>
      </c>
    </row>
    <row r="67" spans="1:9" x14ac:dyDescent="0.25">
      <c r="A67" s="60" t="s">
        <v>2330</v>
      </c>
      <c r="B67" s="60" t="str">
        <f>findKey(supplementary_offering_legacyid__4[[#This Row],[PRODUCCION]])</f>
        <v>100001-26</v>
      </c>
      <c r="C67" s="61" t="s">
        <v>2331</v>
      </c>
      <c r="D67" t="s">
        <v>2332</v>
      </c>
      <c r="E67" t="s">
        <v>2329</v>
      </c>
      <c r="F67" s="61"/>
      <c r="H67" t="str">
        <f>ToJsonArray(supplementary_offering_legacyid__4[[#Headers],[offeringid]:[json]],supplementary_offering_legacyid__4[[#This Row],[offeringid]:[ignore]])</f>
        <v>{"offeringid":"910000126","name":"Voz-OnNet-Ilimitado_910000126","mode":"N"}</v>
      </c>
      <c r="I67" t="str">
        <f>ToJsonArray(supplementary_offering_legacyid__4[[#This Row],[semilla04]],supplementary_offering_legacyid__4[[#This Row],[json]])</f>
        <v>{"100001-26":{"offeringid":"910000126","name":"Voz-OnNet-Ilimitado_910000126","mode":"N"}}</v>
      </c>
    </row>
    <row r="68" spans="1:9" x14ac:dyDescent="0.25">
      <c r="A68" s="60" t="s">
        <v>2333</v>
      </c>
      <c r="B68" s="60" t="str">
        <f>findKey(supplementary_offering_legacyid__4[[#This Row],[PRODUCCION]])</f>
        <v>100001-28</v>
      </c>
      <c r="C68" s="61" t="s">
        <v>2334</v>
      </c>
      <c r="D68" t="s">
        <v>2335</v>
      </c>
      <c r="E68" t="s">
        <v>2329</v>
      </c>
      <c r="F68" s="61"/>
      <c r="H68" t="str">
        <f>ToJsonArray(supplementary_offering_legacyid__4[[#Headers],[offeringid]:[json]],supplementary_offering_legacyid__4[[#This Row],[offeringid]:[ignore]])</f>
        <v>{"offeringid":"910000128","name":"Voz-OnNet-10800s_910000128","mode":"N"}</v>
      </c>
      <c r="I68" t="str">
        <f>ToJsonArray(supplementary_offering_legacyid__4[[#This Row],[semilla04]],supplementary_offering_legacyid__4[[#This Row],[json]])</f>
        <v>{"100001-28":{"offeringid":"910000128","name":"Voz-OnNet-10800s_910000128","mode":"N"}}</v>
      </c>
    </row>
    <row r="69" spans="1:9" x14ac:dyDescent="0.25">
      <c r="A69" s="60" t="s">
        <v>2336</v>
      </c>
      <c r="B69" s="60" t="str">
        <f>findKey(supplementary_offering_legacyid__4[[#This Row],[PRODUCCION]])</f>
        <v>100001-29</v>
      </c>
      <c r="C69" s="61" t="s">
        <v>2337</v>
      </c>
      <c r="D69" t="s">
        <v>2338</v>
      </c>
      <c r="E69" t="s">
        <v>2329</v>
      </c>
      <c r="F69" s="61"/>
      <c r="H69" t="str">
        <f>ToJsonArray(supplementary_offering_legacyid__4[[#Headers],[offeringid]:[json]],supplementary_offering_legacyid__4[[#This Row],[offeringid]:[ignore]])</f>
        <v>{"offeringid":"910000129","name":"Voz-OnNet-18000s_910000129","mode":"N"}</v>
      </c>
      <c r="I69" t="str">
        <f>ToJsonArray(supplementary_offering_legacyid__4[[#This Row],[semilla04]],supplementary_offering_legacyid__4[[#This Row],[json]])</f>
        <v>{"100001-29":{"offeringid":"910000129","name":"Voz-OnNet-18000s_910000129","mode":"N"}}</v>
      </c>
    </row>
    <row r="70" spans="1:9" x14ac:dyDescent="0.25">
      <c r="A70" s="60" t="s">
        <v>2339</v>
      </c>
      <c r="B70" s="60" t="str">
        <f>findKey(supplementary_offering_legacyid__4[[#This Row],[PRODUCCION]])</f>
        <v>100001-37</v>
      </c>
      <c r="C70" s="61" t="s">
        <v>2340</v>
      </c>
      <c r="D70" t="s">
        <v>2341</v>
      </c>
      <c r="E70" t="s">
        <v>2329</v>
      </c>
      <c r="F70" s="61"/>
      <c r="H70" t="str">
        <f>ToJsonArray(supplementary_offering_legacyid__4[[#Headers],[offeringid]:[json]],supplementary_offering_legacyid__4[[#This Row],[offeringid]:[ignore]])</f>
        <v>{"offeringid":"910000137","name":"Voz-OnNet-2678400s_910000137","mode":"N"}</v>
      </c>
      <c r="I70" t="str">
        <f>ToJsonArray(supplementary_offering_legacyid__4[[#This Row],[semilla04]],supplementary_offering_legacyid__4[[#This Row],[json]])</f>
        <v>{"100001-37":{"offeringid":"910000137","name":"Voz-OnNet-2678400s_910000137","mode":"N"}}</v>
      </c>
    </row>
    <row r="71" spans="1:9" x14ac:dyDescent="0.25">
      <c r="A71" s="60" t="s">
        <v>2342</v>
      </c>
      <c r="B71" s="60" t="str">
        <f>findKey(supplementary_offering_legacyid__4[[#This Row],[PRODUCCION]])</f>
        <v>100001-38</v>
      </c>
      <c r="C71" s="61" t="s">
        <v>2343</v>
      </c>
      <c r="D71" t="s">
        <v>2344</v>
      </c>
      <c r="E71" t="s">
        <v>2329</v>
      </c>
      <c r="F71" s="61"/>
      <c r="H71" t="str">
        <f>ToJsonArray(supplementary_offering_legacyid__4[[#Headers],[offeringid]:[json]],supplementary_offering_legacyid__4[[#This Row],[offeringid]:[ignore]])</f>
        <v>{"offeringid":"910000138","name":"Voz-OnNet-2678400s_910000138","mode":"N"}</v>
      </c>
      <c r="I71" t="str">
        <f>ToJsonArray(supplementary_offering_legacyid__4[[#This Row],[semilla04]],supplementary_offering_legacyid__4[[#This Row],[json]])</f>
        <v>{"100001-38":{"offeringid":"910000138","name":"Voz-OnNet-2678400s_910000138","mode":"N"}}</v>
      </c>
    </row>
    <row r="72" spans="1:9" x14ac:dyDescent="0.25">
      <c r="A72" s="60" t="s">
        <v>2345</v>
      </c>
      <c r="B72" s="60" t="str">
        <f>findKey(supplementary_offering_legacyid__4[[#This Row],[PRODUCCION]])</f>
        <v>100001-39</v>
      </c>
      <c r="C72" s="61" t="s">
        <v>2346</v>
      </c>
      <c r="D72" t="s">
        <v>2347</v>
      </c>
      <c r="E72" t="s">
        <v>2329</v>
      </c>
      <c r="F72" s="61"/>
      <c r="H72" t="str">
        <f>ToJsonArray(supplementary_offering_legacyid__4[[#Headers],[offeringid]:[json]],supplementary_offering_legacyid__4[[#This Row],[offeringid]:[ignore]])</f>
        <v>{"offeringid":"910000139","name":"Voz-OnNet-39000s_910000139","mode":"N"}</v>
      </c>
      <c r="I72" t="str">
        <f>ToJsonArray(supplementary_offering_legacyid__4[[#This Row],[semilla04]],supplementary_offering_legacyid__4[[#This Row],[json]])</f>
        <v>{"100001-39":{"offeringid":"910000139","name":"Voz-OnNet-39000s_910000139","mode":"N"}}</v>
      </c>
    </row>
    <row r="73" spans="1:9" x14ac:dyDescent="0.25">
      <c r="A73" s="60" t="s">
        <v>2348</v>
      </c>
      <c r="B73" s="60" t="str">
        <f>findKey(supplementary_offering_legacyid__4[[#This Row],[PRODUCCION]])</f>
        <v>100001-42</v>
      </c>
      <c r="C73" s="61" t="s">
        <v>2349</v>
      </c>
      <c r="D73" t="s">
        <v>2350</v>
      </c>
      <c r="E73" t="s">
        <v>2329</v>
      </c>
      <c r="F73" s="61"/>
      <c r="H73" t="str">
        <f>ToJsonArray(supplementary_offering_legacyid__4[[#Headers],[offeringid]:[json]],supplementary_offering_legacyid__4[[#This Row],[offeringid]:[ignore]])</f>
        <v>{"offeringid":"910000142","name":"Voz-OnNet-72000s_910000142","mode":"N"}</v>
      </c>
      <c r="I73" t="str">
        <f>ToJsonArray(supplementary_offering_legacyid__4[[#This Row],[semilla04]],supplementary_offering_legacyid__4[[#This Row],[json]])</f>
        <v>{"100001-42":{"offeringid":"910000142","name":"Voz-OnNet-72000s_910000142","mode":"N"}}</v>
      </c>
    </row>
    <row r="74" spans="1:9" x14ac:dyDescent="0.25">
      <c r="A74" s="60" t="s">
        <v>2351</v>
      </c>
      <c r="B74" s="60" t="str">
        <f>findKey(supplementary_offering_legacyid__4[[#This Row],[PRODUCCION]])</f>
        <v>100001-45</v>
      </c>
      <c r="C74" s="61" t="s">
        <v>2352</v>
      </c>
      <c r="D74" t="s">
        <v>2353</v>
      </c>
      <c r="E74" t="s">
        <v>2329</v>
      </c>
      <c r="F74" s="61"/>
      <c r="H74" t="str">
        <f>ToJsonArray(supplementary_offering_legacyid__4[[#Headers],[offeringid]:[json]],supplementary_offering_legacyid__4[[#This Row],[offeringid]:[ignore]])</f>
        <v>{"offeringid":"910000145","name":"Voz-OnNet-Ilimitado_910000145","mode":"N"}</v>
      </c>
      <c r="I74" t="str">
        <f>ToJsonArray(supplementary_offering_legacyid__4[[#This Row],[semilla04]],supplementary_offering_legacyid__4[[#This Row],[json]])</f>
        <v>{"100001-45":{"offeringid":"910000145","name":"Voz-OnNet-Ilimitado_910000145","mode":"N"}}</v>
      </c>
    </row>
    <row r="75" spans="1:9" x14ac:dyDescent="0.25">
      <c r="A75" s="60" t="s">
        <v>2354</v>
      </c>
      <c r="B75" s="60" t="str">
        <f>findKey(supplementary_offering_legacyid__4[[#This Row],[PRODUCCION]])</f>
        <v>100001-46</v>
      </c>
      <c r="C75" s="61" t="s">
        <v>2355</v>
      </c>
      <c r="D75" t="s">
        <v>2356</v>
      </c>
      <c r="E75" t="s">
        <v>2329</v>
      </c>
      <c r="F75" s="61"/>
      <c r="H75" t="str">
        <f>ToJsonArray(supplementary_offering_legacyid__4[[#Headers],[offeringid]:[json]],supplementary_offering_legacyid__4[[#This Row],[offeringid]:[ignore]])</f>
        <v>{"offeringid":"910000146","name":"Voz-OnNet-Ilimitado_910000146","mode":"N"}</v>
      </c>
      <c r="I75" t="str">
        <f>ToJsonArray(supplementary_offering_legacyid__4[[#This Row],[semilla04]],supplementary_offering_legacyid__4[[#This Row],[json]])</f>
        <v>{"100001-46":{"offeringid":"910000146","name":"Voz-OnNet-Ilimitado_910000146","mode":"N"}}</v>
      </c>
    </row>
    <row r="76" spans="1:9" x14ac:dyDescent="0.25">
      <c r="A76" s="60" t="s">
        <v>2357</v>
      </c>
      <c r="B76" s="60" t="str">
        <f>findKey(supplementary_offering_legacyid__4[[#This Row],[PRODUCCION]])</f>
        <v>100001-47</v>
      </c>
      <c r="C76" s="61" t="s">
        <v>2358</v>
      </c>
      <c r="D76" t="s">
        <v>2359</v>
      </c>
      <c r="E76" t="s">
        <v>2329</v>
      </c>
      <c r="F76" s="61"/>
      <c r="H76" t="str">
        <f>ToJsonArray(supplementary_offering_legacyid__4[[#Headers],[offeringid]:[json]],supplementary_offering_legacyid__4[[#This Row],[offeringid]:[ignore]])</f>
        <v>{"offeringid":"910000147","name":"Voz-OnNet-Ilimitado_910000147","mode":"N"}</v>
      </c>
      <c r="I76" t="str">
        <f>ToJsonArray(supplementary_offering_legacyid__4[[#This Row],[semilla04]],supplementary_offering_legacyid__4[[#This Row],[json]])</f>
        <v>{"100001-47":{"offeringid":"910000147","name":"Voz-OnNet-Ilimitado_910000147","mode":"N"}}</v>
      </c>
    </row>
    <row r="77" spans="1:9" x14ac:dyDescent="0.25">
      <c r="A77" s="60" t="s">
        <v>2360</v>
      </c>
      <c r="B77" s="60" t="str">
        <f>findKey(supplementary_offering_legacyid__4[[#This Row],[PRODUCCION]])</f>
        <v>100001-48</v>
      </c>
      <c r="C77" s="61" t="s">
        <v>2361</v>
      </c>
      <c r="D77" t="s">
        <v>2362</v>
      </c>
      <c r="E77" t="s">
        <v>2329</v>
      </c>
      <c r="F77" s="61"/>
      <c r="H77" t="str">
        <f>ToJsonArray(supplementary_offering_legacyid__4[[#Headers],[offeringid]:[json]],supplementary_offering_legacyid__4[[#This Row],[offeringid]:[ignore]])</f>
        <v>{"offeringid":"910000148","name":"Voz-OnNet-Ilimitado_910000148","mode":"N"}</v>
      </c>
      <c r="I77" t="str">
        <f>ToJsonArray(supplementary_offering_legacyid__4[[#This Row],[semilla04]],supplementary_offering_legacyid__4[[#This Row],[json]])</f>
        <v>{"100001-48":{"offeringid":"910000148","name":"Voz-OnNet-Ilimitado_910000148","mode":"N"}}</v>
      </c>
    </row>
    <row r="78" spans="1:9" x14ac:dyDescent="0.25">
      <c r="A78" s="60" t="s">
        <v>2363</v>
      </c>
      <c r="B78" s="60" t="str">
        <f>findKey(supplementary_offering_legacyid__4[[#This Row],[PRODUCCION]])</f>
        <v>100001-49</v>
      </c>
      <c r="C78" s="61" t="s">
        <v>2364</v>
      </c>
      <c r="D78" t="s">
        <v>2365</v>
      </c>
      <c r="E78" t="s">
        <v>2329</v>
      </c>
      <c r="F78" s="61"/>
      <c r="H78" t="str">
        <f>ToJsonArray(supplementary_offering_legacyid__4[[#Headers],[offeringid]:[json]],supplementary_offering_legacyid__4[[#This Row],[offeringid]:[ignore]])</f>
        <v>{"offeringid":"910000149","name":"Voz-OnNet-Ilimitado_910000149","mode":"N"}</v>
      </c>
      <c r="I78" t="str">
        <f>ToJsonArray(supplementary_offering_legacyid__4[[#This Row],[semilla04]],supplementary_offering_legacyid__4[[#This Row],[json]])</f>
        <v>{"100001-49":{"offeringid":"910000149","name":"Voz-OnNet-Ilimitado_910000149","mode":"N"}}</v>
      </c>
    </row>
    <row r="79" spans="1:9" x14ac:dyDescent="0.25">
      <c r="A79" s="60" t="s">
        <v>2366</v>
      </c>
      <c r="B79" s="60" t="str">
        <f>findKey(supplementary_offering_legacyid__4[[#This Row],[PRODUCCION]])</f>
        <v>100001-50</v>
      </c>
      <c r="C79" s="61" t="s">
        <v>2367</v>
      </c>
      <c r="D79" t="s">
        <v>2368</v>
      </c>
      <c r="E79" t="s">
        <v>2329</v>
      </c>
      <c r="F79" s="61"/>
      <c r="H79" t="str">
        <f>ToJsonArray(supplementary_offering_legacyid__4[[#Headers],[offeringid]:[json]],supplementary_offering_legacyid__4[[#This Row],[offeringid]:[ignore]])</f>
        <v>{"offeringid":"910000150","name":"Voz-OnNet-Ilimitado_910000150","mode":"N"}</v>
      </c>
      <c r="I79" t="str">
        <f>ToJsonArray(supplementary_offering_legacyid__4[[#This Row],[semilla04]],supplementary_offering_legacyid__4[[#This Row],[json]])</f>
        <v>{"100001-50":{"offeringid":"910000150","name":"Voz-OnNet-Ilimitado_910000150","mode":"N"}}</v>
      </c>
    </row>
    <row r="80" spans="1:9" x14ac:dyDescent="0.25">
      <c r="A80" s="60" t="s">
        <v>2369</v>
      </c>
      <c r="B80" s="60" t="str">
        <f>findKey(supplementary_offering_legacyid__4[[#This Row],[PRODUCCION]])</f>
        <v>100002-01</v>
      </c>
      <c r="C80" s="61" t="s">
        <v>2370</v>
      </c>
      <c r="D80" t="s">
        <v>2371</v>
      </c>
      <c r="E80" t="s">
        <v>2329</v>
      </c>
      <c r="F80" s="61"/>
      <c r="H80" t="str">
        <f>ToJsonArray(supplementary_offering_legacyid__4[[#Headers],[offeringid]:[json]],supplementary_offering_legacyid__4[[#This Row],[offeringid]:[ignore]])</f>
        <v>{"offeringid":"910000201","name":"Voz - Todo destino - Bajo 1_910000201","mode":"N"}</v>
      </c>
      <c r="I80" t="str">
        <f>ToJsonArray(supplementary_offering_legacyid__4[[#This Row],[semilla04]],supplementary_offering_legacyid__4[[#This Row],[json]])</f>
        <v>{"100002-01":{"offeringid":"910000201","name":"Voz - Todo destino - Bajo 1_910000201","mode":"N"}}</v>
      </c>
    </row>
    <row r="81" spans="1:9" x14ac:dyDescent="0.25">
      <c r="A81" s="60" t="s">
        <v>2372</v>
      </c>
      <c r="B81" s="60" t="str">
        <f>findKey(supplementary_offering_legacyid__4[[#This Row],[PRODUCCION]])</f>
        <v>100002-03</v>
      </c>
      <c r="C81" s="61" t="s">
        <v>2373</v>
      </c>
      <c r="D81" t="s">
        <v>2374</v>
      </c>
      <c r="E81" t="s">
        <v>2329</v>
      </c>
      <c r="F81" s="61"/>
      <c r="H81" t="str">
        <f>ToJsonArray(supplementary_offering_legacyid__4[[#Headers],[offeringid]:[json]],supplementary_offering_legacyid__4[[#This Row],[offeringid]:[ignore]])</f>
        <v>{"offeringid":"910000203","name":"Voz - Todo destino - Medio 1_910000203","mode":"N"}</v>
      </c>
      <c r="I81" t="str">
        <f>ToJsonArray(supplementary_offering_legacyid__4[[#This Row],[semilla04]],supplementary_offering_legacyid__4[[#This Row],[json]])</f>
        <v>{"100002-03":{"offeringid":"910000203","name":"Voz - Todo destino - Medio 1_910000203","mode":"N"}}</v>
      </c>
    </row>
    <row r="82" spans="1:9" x14ac:dyDescent="0.25">
      <c r="A82" s="60" t="s">
        <v>2375</v>
      </c>
      <c r="B82" s="60" t="str">
        <f>findKey(supplementary_offering_legacyid__4[[#This Row],[PRODUCCION]])</f>
        <v>100002-37</v>
      </c>
      <c r="C82" s="61" t="s">
        <v>2376</v>
      </c>
      <c r="D82" t="s">
        <v>2377</v>
      </c>
      <c r="E82" t="s">
        <v>2329</v>
      </c>
      <c r="F82" s="61"/>
      <c r="H82" t="str">
        <f>ToJsonArray(supplementary_offering_legacyid__4[[#Headers],[offeringid]:[json]],supplementary_offering_legacyid__4[[#This Row],[offeringid]:[ignore]])</f>
        <v>{"offeringid":"910000237","name":"Voz-TD-600m_c_910000237","mode":"N"}</v>
      </c>
      <c r="I82" t="str">
        <f>ToJsonArray(supplementary_offering_legacyid__4[[#This Row],[semilla04]],supplementary_offering_legacyid__4[[#This Row],[json]])</f>
        <v>{"100002-37":{"offeringid":"910000237","name":"Voz-TD-600m_c_910000237","mode":"N"}}</v>
      </c>
    </row>
    <row r="83" spans="1:9" x14ac:dyDescent="0.25">
      <c r="A83" s="60" t="s">
        <v>2378</v>
      </c>
      <c r="B83" s="60" t="str">
        <f>findKey(supplementary_offering_legacyid__4[[#This Row],[PRODUCCION]])</f>
        <v>100002-49</v>
      </c>
      <c r="C83" s="61" t="s">
        <v>2379</v>
      </c>
      <c r="D83" t="s">
        <v>2380</v>
      </c>
      <c r="E83" t="s">
        <v>2329</v>
      </c>
      <c r="F83" s="61"/>
      <c r="H83" t="str">
        <f>ToJsonArray(supplementary_offering_legacyid__4[[#Headers],[offeringid]:[json]],supplementary_offering_legacyid__4[[#This Row],[offeringid]:[ignore]])</f>
        <v>{"offeringid":"910000249","name":"Voz-TD-700m_910000249","mode":"N"}</v>
      </c>
      <c r="I83" t="str">
        <f>ToJsonArray(supplementary_offering_legacyid__4[[#This Row],[semilla04]],supplementary_offering_legacyid__4[[#This Row],[json]])</f>
        <v>{"100002-49":{"offeringid":"910000249","name":"Voz-TD-700m_910000249","mode":"N"}}</v>
      </c>
    </row>
    <row r="84" spans="1:9" x14ac:dyDescent="0.25">
      <c r="A84" s="60" t="s">
        <v>2381</v>
      </c>
      <c r="B84" s="60" t="str">
        <f>findKey(supplementary_offering_legacyid__4[[#This Row],[PRODUCCION]])</f>
        <v>100002-55</v>
      </c>
      <c r="C84" s="61" t="s">
        <v>2382</v>
      </c>
      <c r="D84" t="s">
        <v>2383</v>
      </c>
      <c r="E84" t="s">
        <v>2329</v>
      </c>
      <c r="F84" s="61"/>
      <c r="H84" t="str">
        <f>ToJsonArray(supplementary_offering_legacyid__4[[#Headers],[offeringid]:[json]],supplementary_offering_legacyid__4[[#This Row],[offeringid]:[ignore]])</f>
        <v>{"offeringid":"910000255","name":"Voz-TD-200m_910000255","mode":"N"}</v>
      </c>
      <c r="I84" t="str">
        <f>ToJsonArray(supplementary_offering_legacyid__4[[#This Row],[semilla04]],supplementary_offering_legacyid__4[[#This Row],[json]])</f>
        <v>{"100002-55":{"offeringid":"910000255","name":"Voz-TD-200m_910000255","mode":"N"}}</v>
      </c>
    </row>
    <row r="85" spans="1:9" x14ac:dyDescent="0.25">
      <c r="A85" s="60" t="s">
        <v>2384</v>
      </c>
      <c r="B85" s="60" t="str">
        <f>findKey(supplementary_offering_legacyid__4[[#This Row],[PRODUCCION]])</f>
        <v>100002-56</v>
      </c>
      <c r="C85" s="61" t="s">
        <v>2385</v>
      </c>
      <c r="D85" t="s">
        <v>2386</v>
      </c>
      <c r="E85" t="s">
        <v>2329</v>
      </c>
      <c r="F85" s="61"/>
      <c r="H85" t="str">
        <f>ToJsonArray(supplementary_offering_legacyid__4[[#Headers],[offeringid]:[json]],supplementary_offering_legacyid__4[[#This Row],[offeringid]:[ignore]])</f>
        <v>{"offeringid":"910000256","name":"Voz-TD-300m_910000256","mode":"N"}</v>
      </c>
      <c r="I85" t="str">
        <f>ToJsonArray(supplementary_offering_legacyid__4[[#This Row],[semilla04]],supplementary_offering_legacyid__4[[#This Row],[json]])</f>
        <v>{"100002-56":{"offeringid":"910000256","name":"Voz-TD-300m_910000256","mode":"N"}}</v>
      </c>
    </row>
    <row r="86" spans="1:9" x14ac:dyDescent="0.25">
      <c r="A86" s="60" t="s">
        <v>2387</v>
      </c>
      <c r="B86" s="60" t="str">
        <f>findKey(supplementary_offering_legacyid__4[[#This Row],[PRODUCCION]])</f>
        <v>100002-67</v>
      </c>
      <c r="C86" s="61" t="s">
        <v>2388</v>
      </c>
      <c r="D86" t="s">
        <v>2389</v>
      </c>
      <c r="E86" t="s">
        <v>2329</v>
      </c>
      <c r="F86" s="61"/>
      <c r="H86" t="str">
        <f>ToJsonArray(supplementary_offering_legacyid__4[[#Headers],[offeringid]:[json]],supplementary_offering_legacyid__4[[#This Row],[offeringid]:[ignore]])</f>
        <v>{"offeringid":"910000267","name":"Voz-TD-12000s_910000267","mode":"N"}</v>
      </c>
      <c r="I86" t="str">
        <f>ToJsonArray(supplementary_offering_legacyid__4[[#This Row],[semilla04]],supplementary_offering_legacyid__4[[#This Row],[json]])</f>
        <v>{"100002-67":{"offeringid":"910000267","name":"Voz-TD-12000s_910000267","mode":"N"}}</v>
      </c>
    </row>
    <row r="87" spans="1:9" x14ac:dyDescent="0.25">
      <c r="A87" s="60" t="s">
        <v>2390</v>
      </c>
      <c r="B87" s="60" t="str">
        <f>findKey(supplementary_offering_legacyid__4[[#This Row],[PRODUCCION]])</f>
        <v>100002-80</v>
      </c>
      <c r="C87" s="61" t="s">
        <v>2391</v>
      </c>
      <c r="D87" t="s">
        <v>2392</v>
      </c>
      <c r="E87" t="s">
        <v>2329</v>
      </c>
      <c r="F87" s="61"/>
      <c r="H87" t="str">
        <f>ToJsonArray(supplementary_offering_legacyid__4[[#Headers],[offeringid]:[json]],supplementary_offering_legacyid__4[[#This Row],[offeringid]:[ignore]])</f>
        <v>{"offeringid":"910000280","name":"Voz-TD-Ilimitado_910000280","mode":"N"}</v>
      </c>
      <c r="I87" t="str">
        <f>ToJsonArray(supplementary_offering_legacyid__4[[#This Row],[semilla04]],supplementary_offering_legacyid__4[[#This Row],[json]])</f>
        <v>{"100002-80":{"offeringid":"910000280","name":"Voz-TD-Ilimitado_910000280","mode":"N"}}</v>
      </c>
    </row>
    <row r="88" spans="1:9" x14ac:dyDescent="0.25">
      <c r="A88" s="60" t="s">
        <v>2393</v>
      </c>
      <c r="B88" s="60" t="str">
        <f>findKey(supplementary_offering_legacyid__4[[#This Row],[PRODUCCION]])</f>
        <v>100002-86</v>
      </c>
      <c r="C88" s="61" t="s">
        <v>2394</v>
      </c>
      <c r="D88" t="s">
        <v>2395</v>
      </c>
      <c r="E88" t="s">
        <v>2329</v>
      </c>
      <c r="F88" s="61"/>
      <c r="H88" t="str">
        <f>ToJsonArray(supplementary_offering_legacyid__4[[#Headers],[offeringid]:[json]],supplementary_offering_legacyid__4[[#This Row],[offeringid]:[ignore]])</f>
        <v>{"offeringid":"910000286","name":"Voz-TD-24000s_910000286","mode":"N"}</v>
      </c>
      <c r="I88" t="str">
        <f>ToJsonArray(supplementary_offering_legacyid__4[[#This Row],[semilla04]],supplementary_offering_legacyid__4[[#This Row],[json]])</f>
        <v>{"100002-86":{"offeringid":"910000286","name":"Voz-TD-24000s_910000286","mode":"N"}}</v>
      </c>
    </row>
    <row r="89" spans="1:9" x14ac:dyDescent="0.25">
      <c r="A89" s="60" t="s">
        <v>2396</v>
      </c>
      <c r="B89" s="60" t="str">
        <f>findKey(supplementary_offering_legacyid__4[[#This Row],[PRODUCCION]])</f>
        <v>100002-87</v>
      </c>
      <c r="C89" s="61" t="s">
        <v>2397</v>
      </c>
      <c r="D89" t="s">
        <v>2398</v>
      </c>
      <c r="E89" t="s">
        <v>2329</v>
      </c>
      <c r="F89" s="61"/>
      <c r="H89" t="str">
        <f>ToJsonArray(supplementary_offering_legacyid__4[[#Headers],[offeringid]:[json]],supplementary_offering_legacyid__4[[#This Row],[offeringid]:[ignore]])</f>
        <v>{"offeringid":"910000287","name":"Voz-TD-54000s_910000287","mode":"N"}</v>
      </c>
      <c r="I89" t="str">
        <f>ToJsonArray(supplementary_offering_legacyid__4[[#This Row],[semilla04]],supplementary_offering_legacyid__4[[#This Row],[json]])</f>
        <v>{"100002-87":{"offeringid":"910000287","name":"Voz-TD-54000s_910000287","mode":"N"}}</v>
      </c>
    </row>
    <row r="90" spans="1:9" x14ac:dyDescent="0.25">
      <c r="A90" s="60" t="s">
        <v>2399</v>
      </c>
      <c r="B90" s="60" t="str">
        <f>findKey(supplementary_offering_legacyid__4[[#This Row],[PRODUCCION]])</f>
        <v>100002-88</v>
      </c>
      <c r="C90" s="61" t="s">
        <v>2400</v>
      </c>
      <c r="D90" t="s">
        <v>2401</v>
      </c>
      <c r="E90" t="s">
        <v>2329</v>
      </c>
      <c r="F90" s="61"/>
      <c r="H90" t="str">
        <f>ToJsonArray(supplementary_offering_legacyid__4[[#Headers],[offeringid]:[json]],supplementary_offering_legacyid__4[[#This Row],[offeringid]:[ignore]])</f>
        <v>{"offeringid":"910000288","name":"Voz-TD-2678400s_910000288","mode":"N"}</v>
      </c>
      <c r="I90" t="str">
        <f>ToJsonArray(supplementary_offering_legacyid__4[[#This Row],[semilla04]],supplementary_offering_legacyid__4[[#This Row],[json]])</f>
        <v>{"100002-88":{"offeringid":"910000288","name":"Voz-TD-2678400s_910000288","mode":"N"}}</v>
      </c>
    </row>
    <row r="91" spans="1:9" x14ac:dyDescent="0.25">
      <c r="A91" s="60" t="s">
        <v>2402</v>
      </c>
      <c r="B91" s="60" t="str">
        <f>findKey(supplementary_offering_legacyid__4[[#This Row],[PRODUCCION]])</f>
        <v>100002-89</v>
      </c>
      <c r="C91" s="61" t="s">
        <v>2403</v>
      </c>
      <c r="D91" t="s">
        <v>2404</v>
      </c>
      <c r="E91" t="s">
        <v>2329</v>
      </c>
      <c r="F91" s="61"/>
      <c r="H91" t="str">
        <f>ToJsonArray(supplementary_offering_legacyid__4[[#Headers],[offeringid]:[json]],supplementary_offering_legacyid__4[[#This Row],[offeringid]:[ignore]])</f>
        <v>{"offeringid":"910000289","name":"Voz-TD-2678400s_910000289","mode":"N"}</v>
      </c>
      <c r="I91" t="str">
        <f>ToJsonArray(supplementary_offering_legacyid__4[[#This Row],[semilla04]],supplementary_offering_legacyid__4[[#This Row],[json]])</f>
        <v>{"100002-89":{"offeringid":"910000289","name":"Voz-TD-2678400s_910000289","mode":"N"}}</v>
      </c>
    </row>
    <row r="92" spans="1:9" x14ac:dyDescent="0.25">
      <c r="A92" s="60" t="s">
        <v>2405</v>
      </c>
      <c r="B92" s="60" t="str">
        <f>findKey(supplementary_offering_legacyid__4[[#This Row],[PRODUCCION]])</f>
        <v>100002-90</v>
      </c>
      <c r="C92" s="61" t="s">
        <v>2406</v>
      </c>
      <c r="D92" t="s">
        <v>2407</v>
      </c>
      <c r="E92" t="s">
        <v>2329</v>
      </c>
      <c r="F92" s="61"/>
      <c r="H92" t="str">
        <f>ToJsonArray(supplementary_offering_legacyid__4[[#Headers],[offeringid]:[json]],supplementary_offering_legacyid__4[[#This Row],[offeringid]:[ignore]])</f>
        <v>{"offeringid":"910000290","name":"Voz-TD-2678400s_910000290","mode":"N"}</v>
      </c>
      <c r="I92" t="str">
        <f>ToJsonArray(supplementary_offering_legacyid__4[[#This Row],[semilla04]],supplementary_offering_legacyid__4[[#This Row],[json]])</f>
        <v>{"100002-90":{"offeringid":"910000290","name":"Voz-TD-2678400s_910000290","mode":"N"}}</v>
      </c>
    </row>
    <row r="93" spans="1:9" x14ac:dyDescent="0.25">
      <c r="A93" s="60" t="s">
        <v>2408</v>
      </c>
      <c r="B93" s="60" t="str">
        <f>findKey(supplementary_offering_legacyid__4[[#This Row],[PRODUCCION]])</f>
        <v>100002-91</v>
      </c>
      <c r="C93" s="61" t="s">
        <v>2409</v>
      </c>
      <c r="D93" t="s">
        <v>2410</v>
      </c>
      <c r="E93" t="s">
        <v>2329</v>
      </c>
      <c r="F93" s="61"/>
      <c r="H93" t="str">
        <f>ToJsonArray(supplementary_offering_legacyid__4[[#Headers],[offeringid]:[json]],supplementary_offering_legacyid__4[[#This Row],[offeringid]:[ignore]])</f>
        <v>{"offeringid":"910000291","name":"Voz-TD-27000s_910000291","mode":"N"}</v>
      </c>
      <c r="I93" t="str">
        <f>ToJsonArray(supplementary_offering_legacyid__4[[#This Row],[semilla04]],supplementary_offering_legacyid__4[[#This Row],[json]])</f>
        <v>{"100002-91":{"offeringid":"910000291","name":"Voz-TD-27000s_910000291","mode":"N"}}</v>
      </c>
    </row>
    <row r="94" spans="1:9" x14ac:dyDescent="0.25">
      <c r="A94" s="60" t="s">
        <v>2411</v>
      </c>
      <c r="B94" s="60" t="str">
        <f>findKey(supplementary_offering_legacyid__4[[#This Row],[PRODUCCION]])</f>
        <v>100002-92</v>
      </c>
      <c r="C94" s="61" t="s">
        <v>2412</v>
      </c>
      <c r="D94" t="s">
        <v>2413</v>
      </c>
      <c r="E94" t="s">
        <v>2329</v>
      </c>
      <c r="F94" s="61"/>
      <c r="H94" t="str">
        <f>ToJsonArray(supplementary_offering_legacyid__4[[#Headers],[offeringid]:[json]],supplementary_offering_legacyid__4[[#This Row],[offeringid]:[ignore]])</f>
        <v>{"offeringid":"910000292","name":"Voz-TD-36000s_910000292","mode":"N"}</v>
      </c>
      <c r="I94" t="str">
        <f>ToJsonArray(supplementary_offering_legacyid__4[[#This Row],[semilla04]],supplementary_offering_legacyid__4[[#This Row],[json]])</f>
        <v>{"100002-92":{"offeringid":"910000292","name":"Voz-TD-36000s_910000292","mode":"N"}}</v>
      </c>
    </row>
    <row r="95" spans="1:9" x14ac:dyDescent="0.25">
      <c r="A95" s="60" t="s">
        <v>2414</v>
      </c>
      <c r="B95" s="60" t="str">
        <f>findKey(supplementary_offering_legacyid__4[[#This Row],[PRODUCCION]])</f>
        <v>100002-93</v>
      </c>
      <c r="C95" s="61" t="s">
        <v>2415</v>
      </c>
      <c r="D95" t="s">
        <v>2416</v>
      </c>
      <c r="E95" t="s">
        <v>2329</v>
      </c>
      <c r="F95" s="61"/>
      <c r="H95" t="str">
        <f>ToJsonArray(supplementary_offering_legacyid__4[[#Headers],[offeringid]:[json]],supplementary_offering_legacyid__4[[#This Row],[offeringid]:[ignore]])</f>
        <v>{"offeringid":"910000293","name":"Voz-TD-60000s_910000293","mode":"N"}</v>
      </c>
      <c r="I95" t="str">
        <f>ToJsonArray(supplementary_offering_legacyid__4[[#This Row],[semilla04]],supplementary_offering_legacyid__4[[#This Row],[json]])</f>
        <v>{"100002-93":{"offeringid":"910000293","name":"Voz-TD-60000s_910000293","mode":"N"}}</v>
      </c>
    </row>
    <row r="96" spans="1:9" x14ac:dyDescent="0.25">
      <c r="A96" s="60" t="s">
        <v>2417</v>
      </c>
      <c r="B96" s="60" t="str">
        <f>findKey(supplementary_offering_legacyid__4[[#This Row],[PRODUCCION]])</f>
        <v>100002-94</v>
      </c>
      <c r="C96" s="61" t="s">
        <v>2418</v>
      </c>
      <c r="D96" t="s">
        <v>2419</v>
      </c>
      <c r="E96" t="s">
        <v>2329</v>
      </c>
      <c r="F96" s="61"/>
      <c r="H96" t="str">
        <f>ToJsonArray(supplementary_offering_legacyid__4[[#Headers],[offeringid]:[json]],supplementary_offering_legacyid__4[[#This Row],[offeringid]:[ignore]])</f>
        <v>{"offeringid":"910000294","name":"Voz-TD-78000s_910000294","mode":"N"}</v>
      </c>
      <c r="I96" t="str">
        <f>ToJsonArray(supplementary_offering_legacyid__4[[#This Row],[semilla04]],supplementary_offering_legacyid__4[[#This Row],[json]])</f>
        <v>{"100002-94":{"offeringid":"910000294","name":"Voz-TD-78000s_910000294","mode":"N"}}</v>
      </c>
    </row>
    <row r="97" spans="1:9" x14ac:dyDescent="0.25">
      <c r="A97" s="60" t="s">
        <v>2420</v>
      </c>
      <c r="B97" s="60" t="str">
        <f>findKey(supplementary_offering_legacyid__4[[#This Row],[PRODUCCION]])</f>
        <v>100002-95</v>
      </c>
      <c r="C97" s="61" t="s">
        <v>2421</v>
      </c>
      <c r="D97" t="s">
        <v>2422</v>
      </c>
      <c r="E97" t="s">
        <v>2329</v>
      </c>
      <c r="F97" s="61"/>
      <c r="H97" t="str">
        <f>ToJsonArray(supplementary_offering_legacyid__4[[#Headers],[offeringid]:[json]],supplementary_offering_legacyid__4[[#This Row],[offeringid]:[ignore]])</f>
        <v>{"offeringid":"910000295","name":"Voz-TD-98000s_910000295","mode":"N"}</v>
      </c>
      <c r="I97" t="str">
        <f>ToJsonArray(supplementary_offering_legacyid__4[[#This Row],[semilla04]],supplementary_offering_legacyid__4[[#This Row],[json]])</f>
        <v>{"100002-95":{"offeringid":"910000295","name":"Voz-TD-98000s_910000295","mode":"N"}}</v>
      </c>
    </row>
    <row r="98" spans="1:9" x14ac:dyDescent="0.25">
      <c r="A98" s="60" t="s">
        <v>2423</v>
      </c>
      <c r="B98" s="60" t="str">
        <f>findKey(supplementary_offering_legacyid__4[[#This Row],[PRODUCCION]])</f>
        <v>100002-96</v>
      </c>
      <c r="C98" s="61" t="s">
        <v>2424</v>
      </c>
      <c r="D98" t="s">
        <v>2425</v>
      </c>
      <c r="E98" t="s">
        <v>2329</v>
      </c>
      <c r="F98" s="61"/>
      <c r="H98" t="str">
        <f>ToJsonArray(supplementary_offering_legacyid__4[[#Headers],[offeringid]:[json]],supplementary_offering_legacyid__4[[#This Row],[offeringid]:[ignore]])</f>
        <v>{"offeringid":"910000296","name":"Voz-TD-114000s_910000296","mode":"N"}</v>
      </c>
      <c r="I98" t="str">
        <f>ToJsonArray(supplementary_offering_legacyid__4[[#This Row],[semilla04]],supplementary_offering_legacyid__4[[#This Row],[json]])</f>
        <v>{"100002-96":{"offeringid":"910000296","name":"Voz-TD-114000s_910000296","mode":"N"}}</v>
      </c>
    </row>
    <row r="99" spans="1:9" x14ac:dyDescent="0.25">
      <c r="A99" s="60" t="s">
        <v>2426</v>
      </c>
      <c r="B99" s="60" t="str">
        <f>findKey(supplementary_offering_legacyid__4[[#This Row],[PRODUCCION]])</f>
        <v>100002-97</v>
      </c>
      <c r="C99" s="61" t="s">
        <v>2427</v>
      </c>
      <c r="D99" t="s">
        <v>2428</v>
      </c>
      <c r="E99" t="s">
        <v>2329</v>
      </c>
      <c r="F99" s="61"/>
      <c r="H99" t="str">
        <f>ToJsonArray(supplementary_offering_legacyid__4[[#Headers],[offeringid]:[json]],supplementary_offering_legacyid__4[[#This Row],[offeringid]:[ignore]])</f>
        <v>{"offeringid":"910000297","name":"Voz-TD-132000s_910000297","mode":"N"}</v>
      </c>
      <c r="I99" t="str">
        <f>ToJsonArray(supplementary_offering_legacyid__4[[#This Row],[semilla04]],supplementary_offering_legacyid__4[[#This Row],[json]])</f>
        <v>{"100002-97":{"offeringid":"910000297","name":"Voz-TD-132000s_910000297","mode":"N"}}</v>
      </c>
    </row>
    <row r="100" spans="1:9" x14ac:dyDescent="0.25">
      <c r="A100" s="60" t="s">
        <v>2429</v>
      </c>
      <c r="B100" s="60" t="str">
        <f>findKey(supplementary_offering_legacyid__4[[#This Row],[PRODUCCION]])</f>
        <v>100002-98</v>
      </c>
      <c r="C100" s="61" t="s">
        <v>2430</v>
      </c>
      <c r="D100" t="s">
        <v>2431</v>
      </c>
      <c r="E100" t="s">
        <v>2329</v>
      </c>
      <c r="F100" s="61"/>
      <c r="H100" t="str">
        <f>ToJsonArray(supplementary_offering_legacyid__4[[#Headers],[offeringid]:[json]],supplementary_offering_legacyid__4[[#This Row],[offeringid]:[ignore]])</f>
        <v>{"offeringid":"910000298","name":"Voz-TD-150000s_910000298","mode":"N"}</v>
      </c>
      <c r="I100" t="str">
        <f>ToJsonArray(supplementary_offering_legacyid__4[[#This Row],[semilla04]],supplementary_offering_legacyid__4[[#This Row],[json]])</f>
        <v>{"100002-98":{"offeringid":"910000298","name":"Voz-TD-150000s_910000298","mode":"N"}}</v>
      </c>
    </row>
    <row r="101" spans="1:9" x14ac:dyDescent="0.25">
      <c r="A101" s="60" t="s">
        <v>2432</v>
      </c>
      <c r="B101" s="60" t="str">
        <f>findKey(supplementary_offering_legacyid__4[[#This Row],[PRODUCCION]])</f>
        <v>100002-99</v>
      </c>
      <c r="C101" s="61" t="s">
        <v>2433</v>
      </c>
      <c r="D101" t="s">
        <v>2434</v>
      </c>
      <c r="E101" t="s">
        <v>2329</v>
      </c>
      <c r="F101" s="61"/>
      <c r="H101" t="str">
        <f>ToJsonArray(supplementary_offering_legacyid__4[[#Headers],[offeringid]:[json]],supplementary_offering_legacyid__4[[#This Row],[offeringid]:[ignore]])</f>
        <v>{"offeringid":"910000299","name":"Voz-TD-2678400s_910000299","mode":"N"}</v>
      </c>
      <c r="I101" t="str">
        <f>ToJsonArray(supplementary_offering_legacyid__4[[#This Row],[semilla04]],supplementary_offering_legacyid__4[[#This Row],[json]])</f>
        <v>{"100002-99":{"offeringid":"910000299","name":"Voz-TD-2678400s_910000299","mode":"N"}}</v>
      </c>
    </row>
    <row r="102" spans="1:9" x14ac:dyDescent="0.25">
      <c r="A102" s="60" t="s">
        <v>2435</v>
      </c>
      <c r="B102" s="60" t="str">
        <f>findKey(supplementary_offering_legacyid__4[[#This Row],[PRODUCCION]])</f>
        <v>100012-01</v>
      </c>
      <c r="C102" s="61" t="s">
        <v>2436</v>
      </c>
      <c r="D102" t="s">
        <v>2437</v>
      </c>
      <c r="E102" t="s">
        <v>2329</v>
      </c>
      <c r="F102" s="61"/>
      <c r="H102" t="str">
        <f>ToJsonArray(supplementary_offering_legacyid__4[[#Headers],[offeringid]:[json]],supplementary_offering_legacyid__4[[#This Row],[offeringid]:[ignore]])</f>
        <v>{"offeringid":"910001201","name":"Voz-TD-168000s_910001201","mode":"N"}</v>
      </c>
      <c r="I102" t="str">
        <f>ToJsonArray(supplementary_offering_legacyid__4[[#This Row],[semilla04]],supplementary_offering_legacyid__4[[#This Row],[json]])</f>
        <v>{"100012-01":{"offeringid":"910001201","name":"Voz-TD-168000s_910001201","mode":"N"}}</v>
      </c>
    </row>
    <row r="103" spans="1:9" x14ac:dyDescent="0.25">
      <c r="A103" s="60" t="s">
        <v>2438</v>
      </c>
      <c r="B103" s="60" t="str">
        <f>findKey(supplementary_offering_legacyid__4[[#This Row],[PRODUCCION]])</f>
        <v>100012-02</v>
      </c>
      <c r="C103" s="61" t="s">
        <v>2439</v>
      </c>
      <c r="D103" t="s">
        <v>2440</v>
      </c>
      <c r="E103" t="s">
        <v>2329</v>
      </c>
      <c r="F103" s="61"/>
      <c r="H103" t="str">
        <f>ToJsonArray(supplementary_offering_legacyid__4[[#Headers],[offeringid]:[json]],supplementary_offering_legacyid__4[[#This Row],[offeringid]:[ignore]])</f>
        <v>{"offeringid":"910001202","name":"Voz-TD-186000s_910001202","mode":"N"}</v>
      </c>
      <c r="I103" t="str">
        <f>ToJsonArray(supplementary_offering_legacyid__4[[#This Row],[semilla04]],supplementary_offering_legacyid__4[[#This Row],[json]])</f>
        <v>{"100012-02":{"offeringid":"910001202","name":"Voz-TD-186000s_910001202","mode":"N"}}</v>
      </c>
    </row>
    <row r="104" spans="1:9" x14ac:dyDescent="0.25">
      <c r="A104" s="60" t="s">
        <v>2441</v>
      </c>
      <c r="B104" s="60" t="str">
        <f>findKey(supplementary_offering_legacyid__4[[#This Row],[PRODUCCION]])</f>
        <v>100012-07</v>
      </c>
      <c r="C104" s="61" t="s">
        <v>2442</v>
      </c>
      <c r="D104" t="s">
        <v>2443</v>
      </c>
      <c r="E104" t="s">
        <v>2329</v>
      </c>
      <c r="F104" s="61"/>
      <c r="H104" t="str">
        <f>ToJsonArray(supplementary_offering_legacyid__4[[#Headers],[offeringid]:[json]],supplementary_offering_legacyid__4[[#This Row],[offeringid]:[ignore]])</f>
        <v>{"offeringid":"910001207","name":"Voz-TD-2678400s_910001207","mode":"N"}</v>
      </c>
      <c r="I104" t="str">
        <f>ToJsonArray(supplementary_offering_legacyid__4[[#This Row],[semilla04]],supplementary_offering_legacyid__4[[#This Row],[json]])</f>
        <v>{"100012-07":{"offeringid":"910001207","name":"Voz-TD-2678400s_910001207","mode":"N"}}</v>
      </c>
    </row>
    <row r="105" spans="1:9" x14ac:dyDescent="0.25">
      <c r="A105" s="60" t="s">
        <v>2444</v>
      </c>
      <c r="B105" s="60" t="str">
        <f>findKey(supplementary_offering_legacyid__4[[#This Row],[PRODUCCION]])</f>
        <v>100012-08</v>
      </c>
      <c r="C105" s="61" t="s">
        <v>2445</v>
      </c>
      <c r="D105" t="s">
        <v>2446</v>
      </c>
      <c r="E105" t="s">
        <v>2329</v>
      </c>
      <c r="F105" s="61"/>
      <c r="H105" t="str">
        <f>ToJsonArray(supplementary_offering_legacyid__4[[#Headers],[offeringid]:[json]],supplementary_offering_legacyid__4[[#This Row],[offeringid]:[ignore]])</f>
        <v>{"offeringid":"910001208","name":"Voz-TD-Ilimitado_910001208","mode":"N"}</v>
      </c>
      <c r="I105" t="str">
        <f>ToJsonArray(supplementary_offering_legacyid__4[[#This Row],[semilla04]],supplementary_offering_legacyid__4[[#This Row],[json]])</f>
        <v>{"100012-08":{"offeringid":"910001208","name":"Voz-TD-Ilimitado_910001208","mode":"N"}}</v>
      </c>
    </row>
    <row r="106" spans="1:9" x14ac:dyDescent="0.25">
      <c r="A106" s="60" t="s">
        <v>2447</v>
      </c>
      <c r="B106" s="60" t="str">
        <f>findKey(supplementary_offering_legacyid__4[[#This Row],[PRODUCCION]])</f>
        <v>100012-10</v>
      </c>
      <c r="C106" s="61" t="s">
        <v>2448</v>
      </c>
      <c r="D106" t="s">
        <v>2449</v>
      </c>
      <c r="E106" t="s">
        <v>2329</v>
      </c>
      <c r="F106" s="61"/>
      <c r="H106" t="str">
        <f>ToJsonArray(supplementary_offering_legacyid__4[[#Headers],[offeringid]:[json]],supplementary_offering_legacyid__4[[#This Row],[offeringid]:[ignore]])</f>
        <v>{"offeringid":"910001210","name":"Voz-TD-15000s_910001210","mode":"N"}</v>
      </c>
      <c r="I106" t="str">
        <f>ToJsonArray(supplementary_offering_legacyid__4[[#This Row],[semilla04]],supplementary_offering_legacyid__4[[#This Row],[json]])</f>
        <v>{"100012-10":{"offeringid":"910001210","name":"Voz-TD-15000s_910001210","mode":"N"}}</v>
      </c>
    </row>
    <row r="107" spans="1:9" x14ac:dyDescent="0.25">
      <c r="A107" s="60" t="s">
        <v>2450</v>
      </c>
      <c r="B107" s="60" t="str">
        <f>findKey(supplementary_offering_legacyid__4[[#This Row],[PRODUCCION]])</f>
        <v>100012-11</v>
      </c>
      <c r="C107" s="61" t="s">
        <v>2451</v>
      </c>
      <c r="D107" t="s">
        <v>2452</v>
      </c>
      <c r="E107" t="s">
        <v>2329</v>
      </c>
      <c r="F107" s="61"/>
      <c r="H107" t="str">
        <f>ToJsonArray(supplementary_offering_legacyid__4[[#Headers],[offeringid]:[json]],supplementary_offering_legacyid__4[[#This Row],[offeringid]:[ignore]])</f>
        <v>{"offeringid":"910001211","name":"Voz-TD-24000s_910001211","mode":"N"}</v>
      </c>
      <c r="I107" t="str">
        <f>ToJsonArray(supplementary_offering_legacyid__4[[#This Row],[semilla04]],supplementary_offering_legacyid__4[[#This Row],[json]])</f>
        <v>{"100012-11":{"offeringid":"910001211","name":"Voz-TD-24000s_910001211","mode":"N"}}</v>
      </c>
    </row>
    <row r="108" spans="1:9" x14ac:dyDescent="0.25">
      <c r="A108" s="60" t="s">
        <v>2453</v>
      </c>
      <c r="B108" s="60" t="str">
        <f>findKey(supplementary_offering_legacyid__4[[#This Row],[PRODUCCION]])</f>
        <v>100012-12</v>
      </c>
      <c r="C108" s="61" t="s">
        <v>2454</v>
      </c>
      <c r="D108" t="s">
        <v>2455</v>
      </c>
      <c r="E108" t="s">
        <v>2329</v>
      </c>
      <c r="F108" s="61"/>
      <c r="H108" t="str">
        <f>ToJsonArray(supplementary_offering_legacyid__4[[#Headers],[offeringid]:[json]],supplementary_offering_legacyid__4[[#This Row],[offeringid]:[ignore]])</f>
        <v>{"offeringid":"910001212","name":"Voz-TD-36000s_910001212","mode":"N"}</v>
      </c>
      <c r="I108" t="str">
        <f>ToJsonArray(supplementary_offering_legacyid__4[[#This Row],[semilla04]],supplementary_offering_legacyid__4[[#This Row],[json]])</f>
        <v>{"100012-12":{"offeringid":"910001212","name":"Voz-TD-36000s_910001212","mode":"N"}}</v>
      </c>
    </row>
    <row r="109" spans="1:9" x14ac:dyDescent="0.25">
      <c r="A109" s="60" t="s">
        <v>2456</v>
      </c>
      <c r="B109" s="60" t="str">
        <f>findKey(supplementary_offering_legacyid__4[[#This Row],[PRODUCCION]])</f>
        <v>100012-13</v>
      </c>
      <c r="C109" s="61" t="s">
        <v>2457</v>
      </c>
      <c r="D109" t="s">
        <v>2458</v>
      </c>
      <c r="E109" t="s">
        <v>2329</v>
      </c>
      <c r="F109" s="61"/>
      <c r="H109" t="str">
        <f>ToJsonArray(supplementary_offering_legacyid__4[[#Headers],[offeringid]:[json]],supplementary_offering_legacyid__4[[#This Row],[offeringid]:[ignore]])</f>
        <v>{"offeringid":"910001213","name":"Voz-TD-54000s_910001213","mode":"N"}</v>
      </c>
      <c r="I109" t="str">
        <f>ToJsonArray(supplementary_offering_legacyid__4[[#This Row],[semilla04]],supplementary_offering_legacyid__4[[#This Row],[json]])</f>
        <v>{"100012-13":{"offeringid":"910001213","name":"Voz-TD-54000s_910001213","mode":"N"}}</v>
      </c>
    </row>
    <row r="110" spans="1:9" x14ac:dyDescent="0.25">
      <c r="A110" s="60" t="s">
        <v>2459</v>
      </c>
      <c r="B110" s="60" t="str">
        <f>findKey(supplementary_offering_legacyid__4[[#This Row],[PRODUCCION]])</f>
        <v>100012-14</v>
      </c>
      <c r="C110" s="61" t="s">
        <v>2460</v>
      </c>
      <c r="D110" t="s">
        <v>2461</v>
      </c>
      <c r="E110" t="s">
        <v>2329</v>
      </c>
      <c r="F110" s="61"/>
      <c r="H110" t="str">
        <f>ToJsonArray(supplementary_offering_legacyid__4[[#Headers],[offeringid]:[json]],supplementary_offering_legacyid__4[[#This Row],[offeringid]:[ignore]])</f>
        <v>{"offeringid":"910001214","name":"Voz-TD-84000s_910001214","mode":"N"}</v>
      </c>
      <c r="I110" t="str">
        <f>ToJsonArray(supplementary_offering_legacyid__4[[#This Row],[semilla04]],supplementary_offering_legacyid__4[[#This Row],[json]])</f>
        <v>{"100012-14":{"offeringid":"910001214","name":"Voz-TD-84000s_910001214","mode":"N"}}</v>
      </c>
    </row>
    <row r="111" spans="1:9" x14ac:dyDescent="0.25">
      <c r="A111" s="60" t="s">
        <v>2462</v>
      </c>
      <c r="B111" s="60" t="str">
        <f>findKey(supplementary_offering_legacyid__4[[#This Row],[PRODUCCION]])</f>
        <v>100012-15</v>
      </c>
      <c r="C111" s="61" t="s">
        <v>2463</v>
      </c>
      <c r="D111" t="s">
        <v>2464</v>
      </c>
      <c r="E111" t="s">
        <v>2329</v>
      </c>
      <c r="F111" s="61"/>
      <c r="H111" t="str">
        <f>ToJsonArray(supplementary_offering_legacyid__4[[#Headers],[offeringid]:[json]],supplementary_offering_legacyid__4[[#This Row],[offeringid]:[ignore]])</f>
        <v>{"offeringid":"910001215","name":"Voz-TD-2678400s_910001215","mode":"N"}</v>
      </c>
      <c r="I111" t="str">
        <f>ToJsonArray(supplementary_offering_legacyid__4[[#This Row],[semilla04]],supplementary_offering_legacyid__4[[#This Row],[json]])</f>
        <v>{"100012-15":{"offeringid":"910001215","name":"Voz-TD-2678400s_910001215","mode":"N"}}</v>
      </c>
    </row>
    <row r="112" spans="1:9" x14ac:dyDescent="0.25">
      <c r="A112" s="60" t="s">
        <v>2465</v>
      </c>
      <c r="B112" s="60" t="str">
        <f>findKey(supplementary_offering_legacyid__4[[#This Row],[PRODUCCION]])</f>
        <v>100012-16</v>
      </c>
      <c r="C112" s="61" t="s">
        <v>2466</v>
      </c>
      <c r="D112" t="s">
        <v>2467</v>
      </c>
      <c r="E112" t="s">
        <v>2329</v>
      </c>
      <c r="F112" s="61"/>
      <c r="H112" t="str">
        <f>ToJsonArray(supplementary_offering_legacyid__4[[#Headers],[offeringid]:[json]],supplementary_offering_legacyid__4[[#This Row],[offeringid]:[ignore]])</f>
        <v>{"offeringid":"910001216","name":"Voz-TD-21000s_910001216","mode":"N"}</v>
      </c>
      <c r="I112" t="str">
        <f>ToJsonArray(supplementary_offering_legacyid__4[[#This Row],[semilla04]],supplementary_offering_legacyid__4[[#This Row],[json]])</f>
        <v>{"100012-16":{"offeringid":"910001216","name":"Voz-TD-21000s_910001216","mode":"N"}}</v>
      </c>
    </row>
    <row r="113" spans="1:9" x14ac:dyDescent="0.25">
      <c r="A113" s="60" t="s">
        <v>2468</v>
      </c>
      <c r="B113" s="60" t="str">
        <f>findKey(supplementary_offering_legacyid__4[[#This Row],[PRODUCCION]])</f>
        <v>100012-17</v>
      </c>
      <c r="C113" s="61" t="s">
        <v>2469</v>
      </c>
      <c r="D113" t="s">
        <v>2470</v>
      </c>
      <c r="E113" t="s">
        <v>2329</v>
      </c>
      <c r="F113" s="61"/>
      <c r="H113" t="str">
        <f>ToJsonArray(supplementary_offering_legacyid__4[[#Headers],[offeringid]:[json]],supplementary_offering_legacyid__4[[#This Row],[offeringid]:[ignore]])</f>
        <v>{"offeringid":"910001217","name":"Voz-TD-30000s_910001217","mode":"N"}</v>
      </c>
      <c r="I113" t="str">
        <f>ToJsonArray(supplementary_offering_legacyid__4[[#This Row],[semilla04]],supplementary_offering_legacyid__4[[#This Row],[json]])</f>
        <v>{"100012-17":{"offeringid":"910001217","name":"Voz-TD-30000s_910001217","mode":"N"}}</v>
      </c>
    </row>
    <row r="114" spans="1:9" x14ac:dyDescent="0.25">
      <c r="A114" s="60" t="s">
        <v>2471</v>
      </c>
      <c r="B114" s="60" t="str">
        <f>findKey(supplementary_offering_legacyid__4[[#This Row],[PRODUCCION]])</f>
        <v>100012-18</v>
      </c>
      <c r="C114" s="61" t="s">
        <v>2472</v>
      </c>
      <c r="D114" t="s">
        <v>2473</v>
      </c>
      <c r="E114" t="s">
        <v>2329</v>
      </c>
      <c r="F114" s="61"/>
      <c r="H114" t="str">
        <f>ToJsonArray(supplementary_offering_legacyid__4[[#Headers],[offeringid]:[json]],supplementary_offering_legacyid__4[[#This Row],[offeringid]:[ignore]])</f>
        <v>{"offeringid":"910001218","name":"Voz-TD-42000s_910001218","mode":"N"}</v>
      </c>
      <c r="I114" t="str">
        <f>ToJsonArray(supplementary_offering_legacyid__4[[#This Row],[semilla04]],supplementary_offering_legacyid__4[[#This Row],[json]])</f>
        <v>{"100012-18":{"offeringid":"910001218","name":"Voz-TD-42000s_910001218","mode":"N"}}</v>
      </c>
    </row>
    <row r="115" spans="1:9" x14ac:dyDescent="0.25">
      <c r="A115" s="60" t="s">
        <v>2474</v>
      </c>
      <c r="B115" s="60" t="str">
        <f>findKey(supplementary_offering_legacyid__4[[#This Row],[PRODUCCION]])</f>
        <v>100012-19</v>
      </c>
      <c r="C115" s="61" t="s">
        <v>2475</v>
      </c>
      <c r="D115" t="s">
        <v>2476</v>
      </c>
      <c r="E115" t="s">
        <v>2329</v>
      </c>
      <c r="F115" s="61"/>
      <c r="H115" t="str">
        <f>ToJsonArray(supplementary_offering_legacyid__4[[#Headers],[offeringid]:[json]],supplementary_offering_legacyid__4[[#This Row],[offeringid]:[ignore]])</f>
        <v>{"offeringid":"910001219","name":"Voz-TD-60000s_910001219","mode":"N"}</v>
      </c>
      <c r="I115" t="str">
        <f>ToJsonArray(supplementary_offering_legacyid__4[[#This Row],[semilla04]],supplementary_offering_legacyid__4[[#This Row],[json]])</f>
        <v>{"100012-19":{"offeringid":"910001219","name":"Voz-TD-60000s_910001219","mode":"N"}}</v>
      </c>
    </row>
    <row r="116" spans="1:9" x14ac:dyDescent="0.25">
      <c r="A116" s="60" t="s">
        <v>2477</v>
      </c>
      <c r="B116" s="60" t="str">
        <f>findKey(supplementary_offering_legacyid__4[[#This Row],[PRODUCCION]])</f>
        <v>100012-20</v>
      </c>
      <c r="C116" s="61" t="s">
        <v>2478</v>
      </c>
      <c r="D116" t="s">
        <v>2479</v>
      </c>
      <c r="E116" t="s">
        <v>2329</v>
      </c>
      <c r="F116" s="61"/>
      <c r="H116" t="str">
        <f>ToJsonArray(supplementary_offering_legacyid__4[[#Headers],[offeringid]:[json]],supplementary_offering_legacyid__4[[#This Row],[offeringid]:[ignore]])</f>
        <v>{"offeringid":"910001220","name":"Voz-TD-9000s_910001220","mode":"N"}</v>
      </c>
      <c r="I116" t="str">
        <f>ToJsonArray(supplementary_offering_legacyid__4[[#This Row],[semilla04]],supplementary_offering_legacyid__4[[#This Row],[json]])</f>
        <v>{"100012-20":{"offeringid":"910001220","name":"Voz-TD-9000s_910001220","mode":"N"}}</v>
      </c>
    </row>
    <row r="117" spans="1:9" x14ac:dyDescent="0.25">
      <c r="A117" s="60" t="s">
        <v>2480</v>
      </c>
      <c r="B117" s="60" t="str">
        <f>findKey(supplementary_offering_legacyid__4[[#This Row],[PRODUCCION]])</f>
        <v>100012-21</v>
      </c>
      <c r="C117" s="61" t="s">
        <v>2481</v>
      </c>
      <c r="D117" t="s">
        <v>2482</v>
      </c>
      <c r="E117" t="s">
        <v>2329</v>
      </c>
      <c r="F117" s="61"/>
      <c r="H117" t="str">
        <f>ToJsonArray(supplementary_offering_legacyid__4[[#Headers],[offeringid]:[json]],supplementary_offering_legacyid__4[[#This Row],[offeringid]:[ignore]])</f>
        <v>{"offeringid":"910001221","name":"Voz-TD-24000s_910001221","mode":"N"}</v>
      </c>
      <c r="I117" t="str">
        <f>ToJsonArray(supplementary_offering_legacyid__4[[#This Row],[semilla04]],supplementary_offering_legacyid__4[[#This Row],[json]])</f>
        <v>{"100012-21":{"offeringid":"910001221","name":"Voz-TD-24000s_910001221","mode":"N"}}</v>
      </c>
    </row>
    <row r="118" spans="1:9" x14ac:dyDescent="0.25">
      <c r="A118" s="60" t="s">
        <v>2483</v>
      </c>
      <c r="B118" s="60" t="str">
        <f>findKey(supplementary_offering_legacyid__4[[#This Row],[PRODUCCION]])</f>
        <v>100012-22</v>
      </c>
      <c r="C118" s="61" t="s">
        <v>2484</v>
      </c>
      <c r="D118" t="s">
        <v>2485</v>
      </c>
      <c r="E118" t="s">
        <v>2329</v>
      </c>
      <c r="F118" s="61"/>
      <c r="H118" t="str">
        <f>ToJsonArray(supplementary_offering_legacyid__4[[#Headers],[offeringid]:[json]],supplementary_offering_legacyid__4[[#This Row],[offeringid]:[ignore]])</f>
        <v>{"offeringid":"910001222","name":"Voz-TD-36000s_910001222","mode":"N"}</v>
      </c>
      <c r="I118" t="str">
        <f>ToJsonArray(supplementary_offering_legacyid__4[[#This Row],[semilla04]],supplementary_offering_legacyid__4[[#This Row],[json]])</f>
        <v>{"100012-22":{"offeringid":"910001222","name":"Voz-TD-36000s_910001222","mode":"N"}}</v>
      </c>
    </row>
    <row r="119" spans="1:9" x14ac:dyDescent="0.25">
      <c r="A119" s="60" t="s">
        <v>2486</v>
      </c>
      <c r="B119" s="60" t="str">
        <f>findKey(supplementary_offering_legacyid__4[[#This Row],[PRODUCCION]])</f>
        <v>100012-23</v>
      </c>
      <c r="C119" s="61" t="s">
        <v>2487</v>
      </c>
      <c r="D119" t="s">
        <v>2488</v>
      </c>
      <c r="E119" t="s">
        <v>2329</v>
      </c>
      <c r="F119" s="61"/>
      <c r="H119" t="str">
        <f>ToJsonArray(supplementary_offering_legacyid__4[[#Headers],[offeringid]:[json]],supplementary_offering_legacyid__4[[#This Row],[offeringid]:[ignore]])</f>
        <v>{"offeringid":"910001223","name":"Voz-TD-42000s_910001223","mode":"N"}</v>
      </c>
      <c r="I119" t="str">
        <f>ToJsonArray(supplementary_offering_legacyid__4[[#This Row],[semilla04]],supplementary_offering_legacyid__4[[#This Row],[json]])</f>
        <v>{"100012-23":{"offeringid":"910001223","name":"Voz-TD-42000s_910001223","mode":"N"}}</v>
      </c>
    </row>
    <row r="120" spans="1:9" x14ac:dyDescent="0.25">
      <c r="A120" s="60" t="s">
        <v>2489</v>
      </c>
      <c r="B120" s="60" t="str">
        <f>findKey(supplementary_offering_legacyid__4[[#This Row],[PRODUCCION]])</f>
        <v>100012-24</v>
      </c>
      <c r="C120" s="61" t="s">
        <v>2490</v>
      </c>
      <c r="D120" t="s">
        <v>2491</v>
      </c>
      <c r="E120" t="s">
        <v>2329</v>
      </c>
      <c r="F120" s="61"/>
      <c r="H120" t="str">
        <f>ToJsonArray(supplementary_offering_legacyid__4[[#Headers],[offeringid]:[json]],supplementary_offering_legacyid__4[[#This Row],[offeringid]:[ignore]])</f>
        <v>{"offeringid":"910001224","name":"Voz-TD-6000s_910001224","mode":"N"}</v>
      </c>
      <c r="I120" t="str">
        <f>ToJsonArray(supplementary_offering_legacyid__4[[#This Row],[semilla04]],supplementary_offering_legacyid__4[[#This Row],[json]])</f>
        <v>{"100012-24":{"offeringid":"910001224","name":"Voz-TD-6000s_910001224","mode":"N"}}</v>
      </c>
    </row>
    <row r="121" spans="1:9" x14ac:dyDescent="0.25">
      <c r="A121" s="60" t="s">
        <v>2492</v>
      </c>
      <c r="B121" s="60" t="str">
        <f>findKey(supplementary_offering_legacyid__4[[#This Row],[PRODUCCION]])</f>
        <v>100012-25</v>
      </c>
      <c r="C121" s="61" t="s">
        <v>2493</v>
      </c>
      <c r="D121" t="s">
        <v>2494</v>
      </c>
      <c r="E121" t="s">
        <v>2329</v>
      </c>
      <c r="F121" s="61"/>
      <c r="H121" t="str">
        <f>ToJsonArray(supplementary_offering_legacyid__4[[#Headers],[offeringid]:[json]],supplementary_offering_legacyid__4[[#This Row],[offeringid]:[ignore]])</f>
        <v>{"offeringid":"910001225","name":"Voz-TD-30000s_910001225","mode":"N"}</v>
      </c>
      <c r="I121" t="str">
        <f>ToJsonArray(supplementary_offering_legacyid__4[[#This Row],[semilla04]],supplementary_offering_legacyid__4[[#This Row],[json]])</f>
        <v>{"100012-25":{"offeringid":"910001225","name":"Voz-TD-30000s_910001225","mode":"N"}}</v>
      </c>
    </row>
    <row r="122" spans="1:9" x14ac:dyDescent="0.25">
      <c r="A122" s="60" t="s">
        <v>2495</v>
      </c>
      <c r="B122" s="60" t="str">
        <f>findKey(supplementary_offering_legacyid__4[[#This Row],[PRODUCCION]])</f>
        <v>100012-36</v>
      </c>
      <c r="C122" s="61" t="s">
        <v>2496</v>
      </c>
      <c r="D122" t="s">
        <v>2497</v>
      </c>
      <c r="E122" t="s">
        <v>2329</v>
      </c>
      <c r="F122" s="61"/>
      <c r="H122" t="str">
        <f>ToJsonArray(supplementary_offering_legacyid__4[[#Headers],[offeringid]:[json]],supplementary_offering_legacyid__4[[#This Row],[offeringid]:[ignore]])</f>
        <v>{"offeringid":"910001236","name":"Voz-TD-12000s_910001236","mode":"N"}</v>
      </c>
      <c r="I122" t="str">
        <f>ToJsonArray(supplementary_offering_legacyid__4[[#This Row],[semilla04]],supplementary_offering_legacyid__4[[#This Row],[json]])</f>
        <v>{"100012-36":{"offeringid":"910001236","name":"Voz-TD-12000s_910001236","mode":"N"}}</v>
      </c>
    </row>
    <row r="123" spans="1:9" x14ac:dyDescent="0.25">
      <c r="A123" s="60" t="s">
        <v>2498</v>
      </c>
      <c r="B123" s="60" t="str">
        <f>findKey(supplementary_offering_legacyid__4[[#This Row],[PRODUCCION]])</f>
        <v>100012-37</v>
      </c>
      <c r="C123" s="61" t="s">
        <v>2499</v>
      </c>
      <c r="D123" t="s">
        <v>2500</v>
      </c>
      <c r="E123" t="s">
        <v>2329</v>
      </c>
      <c r="F123" s="61"/>
      <c r="H123" t="str">
        <f>ToJsonArray(supplementary_offering_legacyid__4[[#Headers],[offeringid]:[json]],supplementary_offering_legacyid__4[[#This Row],[offeringid]:[ignore]])</f>
        <v>{"offeringid":"910001237","name":"Voz-TD-30000s_910001237","mode":"N"}</v>
      </c>
      <c r="I123" t="str">
        <f>ToJsonArray(supplementary_offering_legacyid__4[[#This Row],[semilla04]],supplementary_offering_legacyid__4[[#This Row],[json]])</f>
        <v>{"100012-37":{"offeringid":"910001237","name":"Voz-TD-30000s_910001237","mode":"N"}}</v>
      </c>
    </row>
    <row r="124" spans="1:9" x14ac:dyDescent="0.25">
      <c r="A124" s="60" t="s">
        <v>2501</v>
      </c>
      <c r="B124" s="60" t="str">
        <f>findKey(supplementary_offering_legacyid__4[[#This Row],[PRODUCCION]])</f>
        <v>100012-38</v>
      </c>
      <c r="C124" s="61" t="s">
        <v>2502</v>
      </c>
      <c r="D124" t="s">
        <v>2503</v>
      </c>
      <c r="E124" t="s">
        <v>2329</v>
      </c>
      <c r="F124" s="61"/>
      <c r="H124" t="str">
        <f>ToJsonArray(supplementary_offering_legacyid__4[[#Headers],[offeringid]:[json]],supplementary_offering_legacyid__4[[#This Row],[offeringid]:[ignore]])</f>
        <v>{"offeringid":"910001238","name":"Voz-TD-48000s_910001238","mode":"N"}</v>
      </c>
      <c r="I124" t="str">
        <f>ToJsonArray(supplementary_offering_legacyid__4[[#This Row],[semilla04]],supplementary_offering_legacyid__4[[#This Row],[json]])</f>
        <v>{"100012-38":{"offeringid":"910001238","name":"Voz-TD-48000s_910001238","mode":"N"}}</v>
      </c>
    </row>
    <row r="125" spans="1:9" x14ac:dyDescent="0.25">
      <c r="A125" s="60" t="s">
        <v>2504</v>
      </c>
      <c r="B125" s="60" t="str">
        <f>findKey(supplementary_offering_legacyid__4[[#This Row],[PRODUCCION]])</f>
        <v>100012-39</v>
      </c>
      <c r="C125" s="61" t="s">
        <v>2505</v>
      </c>
      <c r="D125" t="s">
        <v>2506</v>
      </c>
      <c r="E125" t="s">
        <v>2329</v>
      </c>
      <c r="F125" s="61"/>
      <c r="H125" t="str">
        <f>ToJsonArray(supplementary_offering_legacyid__4[[#Headers],[offeringid]:[json]],supplementary_offering_legacyid__4[[#This Row],[offeringid]:[ignore]])</f>
        <v>{"offeringid":"910001239","name":"Voz-TD-72000s_910001239","mode":"N"}</v>
      </c>
      <c r="I125" t="str">
        <f>ToJsonArray(supplementary_offering_legacyid__4[[#This Row],[semilla04]],supplementary_offering_legacyid__4[[#This Row],[json]])</f>
        <v>{"100012-39":{"offeringid":"910001239","name":"Voz-TD-72000s_910001239","mode":"N"}}</v>
      </c>
    </row>
    <row r="126" spans="1:9" x14ac:dyDescent="0.25">
      <c r="A126" s="60" t="s">
        <v>2507</v>
      </c>
      <c r="B126" s="60" t="str">
        <f>findKey(supplementary_offering_legacyid__4[[#This Row],[PRODUCCION]])</f>
        <v>100012-40</v>
      </c>
      <c r="C126" s="61" t="s">
        <v>2508</v>
      </c>
      <c r="D126" t="s">
        <v>2509</v>
      </c>
      <c r="E126" t="s">
        <v>2329</v>
      </c>
      <c r="F126" s="61"/>
      <c r="H126" t="str">
        <f>ToJsonArray(supplementary_offering_legacyid__4[[#Headers],[offeringid]:[json]],supplementary_offering_legacyid__4[[#This Row],[offeringid]:[ignore]])</f>
        <v>{"offeringid":"910001240","name":"Voz-TD-2678400s_910001240","mode":"N"}</v>
      </c>
      <c r="I126" t="str">
        <f>ToJsonArray(supplementary_offering_legacyid__4[[#This Row],[semilla04]],supplementary_offering_legacyid__4[[#This Row],[json]])</f>
        <v>{"100012-40":{"offeringid":"910001240","name":"Voz-TD-2678400s_910001240","mode":"N"}}</v>
      </c>
    </row>
    <row r="127" spans="1:9" x14ac:dyDescent="0.25">
      <c r="A127" s="60" t="s">
        <v>2510</v>
      </c>
      <c r="B127" s="60" t="str">
        <f>findKey(supplementary_offering_legacyid__4[[#This Row],[PRODUCCION]])</f>
        <v>100012-41</v>
      </c>
      <c r="C127" s="61" t="s">
        <v>2511</v>
      </c>
      <c r="D127" t="s">
        <v>2512</v>
      </c>
      <c r="E127" t="s">
        <v>2329</v>
      </c>
      <c r="F127" s="61"/>
      <c r="H127" t="str">
        <f>ToJsonArray(supplementary_offering_legacyid__4[[#Headers],[offeringid]:[json]],supplementary_offering_legacyid__4[[#This Row],[offeringid]:[ignore]])</f>
        <v>{"offeringid":"910001241","name":"Voz-TD-2678400s_910001241","mode":"N"}</v>
      </c>
      <c r="I127" t="str">
        <f>ToJsonArray(supplementary_offering_legacyid__4[[#This Row],[semilla04]],supplementary_offering_legacyid__4[[#This Row],[json]])</f>
        <v>{"100012-41":{"offeringid":"910001241","name":"Voz-TD-2678400s_910001241","mode":"N"}}</v>
      </c>
    </row>
    <row r="128" spans="1:9" x14ac:dyDescent="0.25">
      <c r="A128" s="60" t="s">
        <v>2513</v>
      </c>
      <c r="B128" s="60" t="str">
        <f>findKey(supplementary_offering_legacyid__4[[#This Row],[PRODUCCION]])</f>
        <v>100012-42</v>
      </c>
      <c r="C128" s="61" t="s">
        <v>2514</v>
      </c>
      <c r="D128" t="s">
        <v>2515</v>
      </c>
      <c r="E128" t="s">
        <v>2329</v>
      </c>
      <c r="F128" s="61"/>
      <c r="H128" t="str">
        <f>ToJsonArray(supplementary_offering_legacyid__4[[#Headers],[offeringid]:[json]],supplementary_offering_legacyid__4[[#This Row],[offeringid]:[ignore]])</f>
        <v>{"offeringid":"910001242","name":"Voz-TD-15000s_910001242","mode":"N"}</v>
      </c>
      <c r="I128" t="str">
        <f>ToJsonArray(supplementary_offering_legacyid__4[[#This Row],[semilla04]],supplementary_offering_legacyid__4[[#This Row],[json]])</f>
        <v>{"100012-42":{"offeringid":"910001242","name":"Voz-TD-15000s_910001242","mode":"N"}}</v>
      </c>
    </row>
    <row r="129" spans="1:9" x14ac:dyDescent="0.25">
      <c r="A129" s="60" t="s">
        <v>2516</v>
      </c>
      <c r="B129" s="60" t="str">
        <f>findKey(supplementary_offering_legacyid__4[[#This Row],[PRODUCCION]])</f>
        <v>100012-43</v>
      </c>
      <c r="C129" s="61" t="s">
        <v>2517</v>
      </c>
      <c r="D129" t="s">
        <v>2518</v>
      </c>
      <c r="E129" t="s">
        <v>2329</v>
      </c>
      <c r="F129" s="61"/>
      <c r="H129" t="str">
        <f>ToJsonArray(supplementary_offering_legacyid__4[[#Headers],[offeringid]:[json]],supplementary_offering_legacyid__4[[#This Row],[offeringid]:[ignore]])</f>
        <v>{"offeringid":"910001243","name":"Voz-TD-24000s_910001243","mode":"N"}</v>
      </c>
      <c r="I129" t="str">
        <f>ToJsonArray(supplementary_offering_legacyid__4[[#This Row],[semilla04]],supplementary_offering_legacyid__4[[#This Row],[json]])</f>
        <v>{"100012-43":{"offeringid":"910001243","name":"Voz-TD-24000s_910001243","mode":"N"}}</v>
      </c>
    </row>
    <row r="130" spans="1:9" x14ac:dyDescent="0.25">
      <c r="A130" s="60" t="s">
        <v>2519</v>
      </c>
      <c r="B130" s="60" t="str">
        <f>findKey(supplementary_offering_legacyid__4[[#This Row],[PRODUCCION]])</f>
        <v>100012-44</v>
      </c>
      <c r="C130" s="61" t="s">
        <v>2520</v>
      </c>
      <c r="D130" t="s">
        <v>2521</v>
      </c>
      <c r="E130" t="s">
        <v>2329</v>
      </c>
      <c r="F130" s="61"/>
      <c r="H130" t="str">
        <f>ToJsonArray(supplementary_offering_legacyid__4[[#Headers],[offeringid]:[json]],supplementary_offering_legacyid__4[[#This Row],[offeringid]:[ignore]])</f>
        <v>{"offeringid":"910001244","name":"Voz-TD-45000s_910001244","mode":"N"}</v>
      </c>
      <c r="I130" t="str">
        <f>ToJsonArray(supplementary_offering_legacyid__4[[#This Row],[semilla04]],supplementary_offering_legacyid__4[[#This Row],[json]])</f>
        <v>{"100012-44":{"offeringid":"910001244","name":"Voz-TD-45000s_910001244","mode":"N"}}</v>
      </c>
    </row>
    <row r="131" spans="1:9" x14ac:dyDescent="0.25">
      <c r="A131" s="60" t="s">
        <v>2522</v>
      </c>
      <c r="B131" s="60" t="str">
        <f>findKey(supplementary_offering_legacyid__4[[#This Row],[PRODUCCION]])</f>
        <v>100012-45</v>
      </c>
      <c r="C131" s="61" t="s">
        <v>2523</v>
      </c>
      <c r="D131" t="s">
        <v>2524</v>
      </c>
      <c r="E131" t="s">
        <v>2329</v>
      </c>
      <c r="F131" s="61"/>
      <c r="H131" t="str">
        <f>ToJsonArray(supplementary_offering_legacyid__4[[#Headers],[offeringid]:[json]],supplementary_offering_legacyid__4[[#This Row],[offeringid]:[ignore]])</f>
        <v>{"offeringid":"910001245","name":"Voz-TD-54000s_910001245","mode":"N"}</v>
      </c>
      <c r="I131" t="str">
        <f>ToJsonArray(supplementary_offering_legacyid__4[[#This Row],[semilla04]],supplementary_offering_legacyid__4[[#This Row],[json]])</f>
        <v>{"100012-45":{"offeringid":"910001245","name":"Voz-TD-54000s_910001245","mode":"N"}}</v>
      </c>
    </row>
    <row r="132" spans="1:9" x14ac:dyDescent="0.25">
      <c r="A132" s="60" t="s">
        <v>2525</v>
      </c>
      <c r="B132" s="60" t="str">
        <f>findKey(supplementary_offering_legacyid__4[[#This Row],[PRODUCCION]])</f>
        <v>100012-46</v>
      </c>
      <c r="C132" s="61" t="s">
        <v>2526</v>
      </c>
      <c r="D132" t="s">
        <v>2527</v>
      </c>
      <c r="E132" t="s">
        <v>2329</v>
      </c>
      <c r="F132" s="61"/>
      <c r="H132" t="str">
        <f>ToJsonArray(supplementary_offering_legacyid__4[[#Headers],[offeringid]:[json]],supplementary_offering_legacyid__4[[#This Row],[offeringid]:[ignore]])</f>
        <v>{"offeringid":"910001246","name":"Voz-TD-84000s_910001246","mode":"N"}</v>
      </c>
      <c r="I132" t="str">
        <f>ToJsonArray(supplementary_offering_legacyid__4[[#This Row],[semilla04]],supplementary_offering_legacyid__4[[#This Row],[json]])</f>
        <v>{"100012-46":{"offeringid":"910001246","name":"Voz-TD-84000s_910001246","mode":"N"}}</v>
      </c>
    </row>
    <row r="133" spans="1:9" x14ac:dyDescent="0.25">
      <c r="A133" s="60" t="s">
        <v>2528</v>
      </c>
      <c r="B133" s="60" t="str">
        <f>findKey(supplementary_offering_legacyid__4[[#This Row],[PRODUCCION]])</f>
        <v>100012-47</v>
      </c>
      <c r="C133" s="61" t="s">
        <v>2529</v>
      </c>
      <c r="D133" t="s">
        <v>2530</v>
      </c>
      <c r="E133" t="s">
        <v>2329</v>
      </c>
      <c r="F133" s="61"/>
      <c r="H133" t="str">
        <f>ToJsonArray(supplementary_offering_legacyid__4[[#Headers],[offeringid]:[json]],supplementary_offering_legacyid__4[[#This Row],[offeringid]:[ignore]])</f>
        <v>{"offeringid":"910001247","name":"Voz-TD-Ilimitado_910001247","mode":"N"}</v>
      </c>
      <c r="I133" t="str">
        <f>ToJsonArray(supplementary_offering_legacyid__4[[#This Row],[semilla04]],supplementary_offering_legacyid__4[[#This Row],[json]])</f>
        <v>{"100012-47":{"offeringid":"910001247","name":"Voz-TD-Ilimitado_910001247","mode":"N"}}</v>
      </c>
    </row>
    <row r="134" spans="1:9" x14ac:dyDescent="0.25">
      <c r="A134" s="60" t="s">
        <v>2531</v>
      </c>
      <c r="B134" s="60" t="str">
        <f>findKey(supplementary_offering_legacyid__4[[#This Row],[PRODUCCION]])</f>
        <v>100012-48</v>
      </c>
      <c r="C134" s="61" t="s">
        <v>2532</v>
      </c>
      <c r="D134" t="s">
        <v>2533</v>
      </c>
      <c r="E134" t="s">
        <v>2329</v>
      </c>
      <c r="F134" s="61"/>
      <c r="H134" t="str">
        <f>ToJsonArray(supplementary_offering_legacyid__4[[#Headers],[offeringid]:[json]],supplementary_offering_legacyid__4[[#This Row],[offeringid]:[ignore]])</f>
        <v>{"offeringid":"910001248","name":"Voz-TD-Ilimitado_910001248","mode":"N"}</v>
      </c>
      <c r="I134" t="str">
        <f>ToJsonArray(supplementary_offering_legacyid__4[[#This Row],[semilla04]],supplementary_offering_legacyid__4[[#This Row],[json]])</f>
        <v>{"100012-48":{"offeringid":"910001248","name":"Voz-TD-Ilimitado_910001248","mode":"N"}}</v>
      </c>
    </row>
    <row r="135" spans="1:9" x14ac:dyDescent="0.25">
      <c r="A135" s="60" t="s">
        <v>2534</v>
      </c>
      <c r="B135" s="60" t="str">
        <f>findKey(supplementary_offering_legacyid__4[[#This Row],[PRODUCCION]])</f>
        <v>100012-49</v>
      </c>
      <c r="C135" s="61" t="s">
        <v>2535</v>
      </c>
      <c r="D135" t="s">
        <v>2536</v>
      </c>
      <c r="E135" t="s">
        <v>2329</v>
      </c>
      <c r="F135" s="61"/>
      <c r="H135" t="str">
        <f>ToJsonArray(supplementary_offering_legacyid__4[[#Headers],[offeringid]:[json]],supplementary_offering_legacyid__4[[#This Row],[offeringid]:[ignore]])</f>
        <v>{"offeringid":"910001249","name":"Voz-TD-Ilimitado_910001249","mode":"N"}</v>
      </c>
      <c r="I135" t="str">
        <f>ToJsonArray(supplementary_offering_legacyid__4[[#This Row],[semilla04]],supplementary_offering_legacyid__4[[#This Row],[json]])</f>
        <v>{"100012-49":{"offeringid":"910001249","name":"Voz-TD-Ilimitado_910001249","mode":"N"}}</v>
      </c>
    </row>
    <row r="136" spans="1:9" x14ac:dyDescent="0.25">
      <c r="A136" s="60" t="s">
        <v>2537</v>
      </c>
      <c r="B136" s="60" t="str">
        <f>findKey(supplementary_offering_legacyid__4[[#This Row],[PRODUCCION]])</f>
        <v>100012-50</v>
      </c>
      <c r="C136" s="61" t="s">
        <v>2538</v>
      </c>
      <c r="D136" t="s">
        <v>2539</v>
      </c>
      <c r="E136" t="s">
        <v>2329</v>
      </c>
      <c r="F136" s="61"/>
      <c r="H136" t="str">
        <f>ToJsonArray(supplementary_offering_legacyid__4[[#Headers],[offeringid]:[json]],supplementary_offering_legacyid__4[[#This Row],[offeringid]:[ignore]])</f>
        <v>{"offeringid":"910001250","name":"Voz-TD-Ilimitado_910001250","mode":"N"}</v>
      </c>
      <c r="I136" t="str">
        <f>ToJsonArray(supplementary_offering_legacyid__4[[#This Row],[semilla04]],supplementary_offering_legacyid__4[[#This Row],[json]])</f>
        <v>{"100012-50":{"offeringid":"910001250","name":"Voz-TD-Ilimitado_910001250","mode":"N"}}</v>
      </c>
    </row>
    <row r="137" spans="1:9" x14ac:dyDescent="0.25">
      <c r="A137" s="60" t="s">
        <v>2540</v>
      </c>
      <c r="B137" s="60" t="str">
        <f>findKey(supplementary_offering_legacyid__4[[#This Row],[PRODUCCION]])</f>
        <v>100012-51</v>
      </c>
      <c r="C137" s="61" t="s">
        <v>2541</v>
      </c>
      <c r="D137" t="s">
        <v>2542</v>
      </c>
      <c r="E137" t="s">
        <v>2329</v>
      </c>
      <c r="F137" s="61"/>
      <c r="H137" t="str">
        <f>ToJsonArray(supplementary_offering_legacyid__4[[#Headers],[offeringid]:[json]],supplementary_offering_legacyid__4[[#This Row],[offeringid]:[ignore]])</f>
        <v>{"offeringid":"910001251","name":"Voz-TD-Ilimitado_910001251","mode":"N"}</v>
      </c>
      <c r="I137" t="str">
        <f>ToJsonArray(supplementary_offering_legacyid__4[[#This Row],[semilla04]],supplementary_offering_legacyid__4[[#This Row],[json]])</f>
        <v>{"100012-51":{"offeringid":"910001251","name":"Voz-TD-Ilimitado_910001251","mode":"N"}}</v>
      </c>
    </row>
    <row r="138" spans="1:9" x14ac:dyDescent="0.25">
      <c r="A138" s="60" t="s">
        <v>2543</v>
      </c>
      <c r="B138" s="60" t="str">
        <f>findKey(supplementary_offering_legacyid__4[[#This Row],[PRODUCCION]])</f>
        <v>100012-52</v>
      </c>
      <c r="C138" s="61" t="s">
        <v>2544</v>
      </c>
      <c r="D138" t="s">
        <v>2545</v>
      </c>
      <c r="E138" t="s">
        <v>2329</v>
      </c>
      <c r="F138" s="61"/>
      <c r="H138" t="str">
        <f>ToJsonArray(supplementary_offering_legacyid__4[[#Headers],[offeringid]:[json]],supplementary_offering_legacyid__4[[#This Row],[offeringid]:[ignore]])</f>
        <v>{"offeringid":"910001252","name":"Voz-TD-Ilimitado_910001252","mode":"N"}</v>
      </c>
      <c r="I138" t="str">
        <f>ToJsonArray(supplementary_offering_legacyid__4[[#This Row],[semilla04]],supplementary_offering_legacyid__4[[#This Row],[json]])</f>
        <v>{"100012-52":{"offeringid":"910001252","name":"Voz-TD-Ilimitado_910001252","mode":"N"}}</v>
      </c>
    </row>
    <row r="139" spans="1:9" x14ac:dyDescent="0.25">
      <c r="A139" s="60" t="s">
        <v>2546</v>
      </c>
      <c r="B139" s="60" t="str">
        <f>findKey(supplementary_offering_legacyid__4[[#This Row],[PRODUCCION]])</f>
        <v>100012-53</v>
      </c>
      <c r="C139" s="61" t="s">
        <v>2547</v>
      </c>
      <c r="D139" t="s">
        <v>2548</v>
      </c>
      <c r="E139" t="s">
        <v>2329</v>
      </c>
      <c r="F139" s="61"/>
      <c r="H139" t="str">
        <f>ToJsonArray(supplementary_offering_legacyid__4[[#Headers],[offeringid]:[json]],supplementary_offering_legacyid__4[[#This Row],[offeringid]:[ignore]])</f>
        <v>{"offeringid":"910001253","name":"Voz-TD-Ilimitado_910001253","mode":"N"}</v>
      </c>
      <c r="I139" t="str">
        <f>ToJsonArray(supplementary_offering_legacyid__4[[#This Row],[semilla04]],supplementary_offering_legacyid__4[[#This Row],[json]])</f>
        <v>{"100012-53":{"offeringid":"910001253","name":"Voz-TD-Ilimitado_910001253","mode":"N"}}</v>
      </c>
    </row>
    <row r="140" spans="1:9" x14ac:dyDescent="0.25">
      <c r="A140" s="60" t="s">
        <v>2549</v>
      </c>
      <c r="B140" s="60" t="str">
        <f>findKey(supplementary_offering_legacyid__4[[#This Row],[PRODUCCION]])</f>
        <v>100012-54</v>
      </c>
      <c r="C140" s="61" t="s">
        <v>2550</v>
      </c>
      <c r="D140" t="s">
        <v>2551</v>
      </c>
      <c r="E140" t="s">
        <v>2329</v>
      </c>
      <c r="F140" s="61"/>
      <c r="H140" t="str">
        <f>ToJsonArray(supplementary_offering_legacyid__4[[#Headers],[offeringid]:[json]],supplementary_offering_legacyid__4[[#This Row],[offeringid]:[ignore]])</f>
        <v>{"offeringid":"910001254","name":"Voz-TD-Ilimitado_910001254","mode":"N"}</v>
      </c>
      <c r="I140" t="str">
        <f>ToJsonArray(supplementary_offering_legacyid__4[[#This Row],[semilla04]],supplementary_offering_legacyid__4[[#This Row],[json]])</f>
        <v>{"100012-54":{"offeringid":"910001254","name":"Voz-TD-Ilimitado_910001254","mode":"N"}}</v>
      </c>
    </row>
    <row r="141" spans="1:9" x14ac:dyDescent="0.25">
      <c r="A141" s="60" t="s">
        <v>2552</v>
      </c>
      <c r="B141" s="60" t="str">
        <f>findKey(supplementary_offering_legacyid__4[[#This Row],[PRODUCCION]])</f>
        <v>100012-55</v>
      </c>
      <c r="C141" s="61" t="s">
        <v>2553</v>
      </c>
      <c r="D141" t="s">
        <v>2554</v>
      </c>
      <c r="E141" t="s">
        <v>2329</v>
      </c>
      <c r="F141" s="61"/>
      <c r="H141" t="str">
        <f>ToJsonArray(supplementary_offering_legacyid__4[[#Headers],[offeringid]:[json]],supplementary_offering_legacyid__4[[#This Row],[offeringid]:[ignore]])</f>
        <v>{"offeringid":"910001255","name":"Voz-TD-Ilimitado_910001255","mode":"N"}</v>
      </c>
      <c r="I141" t="str">
        <f>ToJsonArray(supplementary_offering_legacyid__4[[#This Row],[semilla04]],supplementary_offering_legacyid__4[[#This Row],[json]])</f>
        <v>{"100012-55":{"offeringid":"910001255","name":"Voz-TD-Ilimitado_910001255","mode":"N"}}</v>
      </c>
    </row>
    <row r="142" spans="1:9" x14ac:dyDescent="0.25">
      <c r="A142" s="60" t="s">
        <v>2555</v>
      </c>
      <c r="B142" s="60" t="str">
        <f>findKey(supplementary_offering_legacyid__4[[#This Row],[PRODUCCION]])</f>
        <v>100012-56</v>
      </c>
      <c r="C142" s="61" t="s">
        <v>2556</v>
      </c>
      <c r="D142" t="s">
        <v>2557</v>
      </c>
      <c r="E142" t="s">
        <v>2329</v>
      </c>
      <c r="F142" s="61"/>
      <c r="H142" t="str">
        <f>ToJsonArray(supplementary_offering_legacyid__4[[#Headers],[offeringid]:[json]],supplementary_offering_legacyid__4[[#This Row],[offeringid]:[ignore]])</f>
        <v>{"offeringid":"910001256","name":"Voz-TD-Ilimitado_910001256","mode":"N"}</v>
      </c>
      <c r="I142" t="str">
        <f>ToJsonArray(supplementary_offering_legacyid__4[[#This Row],[semilla04]],supplementary_offering_legacyid__4[[#This Row],[json]])</f>
        <v>{"100012-56":{"offeringid":"910001256","name":"Voz-TD-Ilimitado_910001256","mode":"N"}}</v>
      </c>
    </row>
    <row r="143" spans="1:9" x14ac:dyDescent="0.25">
      <c r="A143" s="60" t="s">
        <v>2558</v>
      </c>
      <c r="B143" s="60" t="str">
        <f>findKey(supplementary_offering_legacyid__4[[#This Row],[PRODUCCION]])</f>
        <v>100012-57</v>
      </c>
      <c r="C143" s="61" t="s">
        <v>2559</v>
      </c>
      <c r="D143" t="s">
        <v>2560</v>
      </c>
      <c r="E143" t="s">
        <v>2329</v>
      </c>
      <c r="F143" s="61"/>
      <c r="H143" t="str">
        <f>ToJsonArray(supplementary_offering_legacyid__4[[#Headers],[offeringid]:[json]],supplementary_offering_legacyid__4[[#This Row],[offeringid]:[ignore]])</f>
        <v>{"offeringid":"910001257","name":"Voz-TD-Ilimitado_910001257","mode":"N"}</v>
      </c>
      <c r="I143" t="str">
        <f>ToJsonArray(supplementary_offering_legacyid__4[[#This Row],[semilla04]],supplementary_offering_legacyid__4[[#This Row],[json]])</f>
        <v>{"100012-57":{"offeringid":"910001257","name":"Voz-TD-Ilimitado_910001257","mode":"N"}}</v>
      </c>
    </row>
    <row r="144" spans="1:9" x14ac:dyDescent="0.25">
      <c r="A144" s="60" t="s">
        <v>2561</v>
      </c>
      <c r="B144" s="60" t="str">
        <f>findKey(supplementary_offering_legacyid__4[[#This Row],[PRODUCCION]])</f>
        <v>100012-58</v>
      </c>
      <c r="C144" s="61" t="s">
        <v>2562</v>
      </c>
      <c r="D144" t="s">
        <v>2563</v>
      </c>
      <c r="E144" t="s">
        <v>2329</v>
      </c>
      <c r="F144" s="61"/>
      <c r="H144" t="str">
        <f>ToJsonArray(supplementary_offering_legacyid__4[[#Headers],[offeringid]:[json]],supplementary_offering_legacyid__4[[#This Row],[offeringid]:[ignore]])</f>
        <v>{"offeringid":"910001258","name":"Voz-TD-Ilimitado_910001258","mode":"N"}</v>
      </c>
      <c r="I144" t="str">
        <f>ToJsonArray(supplementary_offering_legacyid__4[[#This Row],[semilla04]],supplementary_offering_legacyid__4[[#This Row],[json]])</f>
        <v>{"100012-58":{"offeringid":"910001258","name":"Voz-TD-Ilimitado_910001258","mode":"N"}}</v>
      </c>
    </row>
    <row r="145" spans="1:9" x14ac:dyDescent="0.25">
      <c r="A145" s="60" t="s">
        <v>2564</v>
      </c>
      <c r="B145" s="60" t="str">
        <f>findKey(supplementary_offering_legacyid__4[[#This Row],[PRODUCCION]])</f>
        <v>100012-59</v>
      </c>
      <c r="C145" s="61" t="s">
        <v>2565</v>
      </c>
      <c r="D145" t="s">
        <v>2566</v>
      </c>
      <c r="E145" t="s">
        <v>2329</v>
      </c>
      <c r="F145" s="61"/>
      <c r="H145" t="str">
        <f>ToJsonArray(supplementary_offering_legacyid__4[[#Headers],[offeringid]:[json]],supplementary_offering_legacyid__4[[#This Row],[offeringid]:[ignore]])</f>
        <v>{"offeringid":"910001259","name":"Voz-TD-Ilimitado_910001259","mode":"N"}</v>
      </c>
      <c r="I145" t="str">
        <f>ToJsonArray(supplementary_offering_legacyid__4[[#This Row],[semilla04]],supplementary_offering_legacyid__4[[#This Row],[json]])</f>
        <v>{"100012-59":{"offeringid":"910001259","name":"Voz-TD-Ilimitado_910001259","mode":"N"}}</v>
      </c>
    </row>
    <row r="146" spans="1:9" x14ac:dyDescent="0.25">
      <c r="A146" s="60" t="s">
        <v>2567</v>
      </c>
      <c r="B146" s="60" t="str">
        <f>findKey(supplementary_offering_legacyid__4[[#This Row],[PRODUCCION]])</f>
        <v>100012-60</v>
      </c>
      <c r="C146" s="61" t="s">
        <v>2568</v>
      </c>
      <c r="D146" t="s">
        <v>2569</v>
      </c>
      <c r="E146" t="s">
        <v>2329</v>
      </c>
      <c r="F146" s="61"/>
      <c r="H146" t="str">
        <f>ToJsonArray(supplementary_offering_legacyid__4[[#Headers],[offeringid]:[json]],supplementary_offering_legacyid__4[[#This Row],[offeringid]:[ignore]])</f>
        <v>{"offeringid":"910001260","name":"Voz-TD-15000s_910001260","mode":"N"}</v>
      </c>
      <c r="I146" t="str">
        <f>ToJsonArray(supplementary_offering_legacyid__4[[#This Row],[semilla04]],supplementary_offering_legacyid__4[[#This Row],[json]])</f>
        <v>{"100012-60":{"offeringid":"910001260","name":"Voz-TD-15000s_910001260","mode":"N"}}</v>
      </c>
    </row>
    <row r="147" spans="1:9" x14ac:dyDescent="0.25">
      <c r="A147" s="60" t="s">
        <v>2570</v>
      </c>
      <c r="B147" s="60" t="str">
        <f>findKey(supplementary_offering_legacyid__4[[#This Row],[PRODUCCION]])</f>
        <v>100012-61</v>
      </c>
      <c r="C147" s="61" t="s">
        <v>2571</v>
      </c>
      <c r="D147" t="s">
        <v>2572</v>
      </c>
      <c r="E147" t="s">
        <v>2329</v>
      </c>
      <c r="F147" s="61"/>
      <c r="H147" t="str">
        <f>ToJsonArray(supplementary_offering_legacyid__4[[#Headers],[offeringid]:[json]],supplementary_offering_legacyid__4[[#This Row],[offeringid]:[ignore]])</f>
        <v>{"offeringid":"910001261","name":"Voz-TD-24000s_910001261","mode":"N"}</v>
      </c>
      <c r="I147" t="str">
        <f>ToJsonArray(supplementary_offering_legacyid__4[[#This Row],[semilla04]],supplementary_offering_legacyid__4[[#This Row],[json]])</f>
        <v>{"100012-61":{"offeringid":"910001261","name":"Voz-TD-24000s_910001261","mode":"N"}}</v>
      </c>
    </row>
    <row r="148" spans="1:9" x14ac:dyDescent="0.25">
      <c r="A148" s="60" t="s">
        <v>2573</v>
      </c>
      <c r="B148" s="60" t="str">
        <f>findKey(supplementary_offering_legacyid__4[[#This Row],[PRODUCCION]])</f>
        <v>100012-62</v>
      </c>
      <c r="C148" s="61" t="s">
        <v>2574</v>
      </c>
      <c r="D148" t="s">
        <v>2575</v>
      </c>
      <c r="E148" t="s">
        <v>2329</v>
      </c>
      <c r="F148" s="61"/>
      <c r="H148" t="str">
        <f>ToJsonArray(supplementary_offering_legacyid__4[[#Headers],[offeringid]:[json]],supplementary_offering_legacyid__4[[#This Row],[offeringid]:[ignore]])</f>
        <v>{"offeringid":"910001262","name":"Voz-TD-45000s_910001262","mode":"N"}</v>
      </c>
      <c r="I148" t="str">
        <f>ToJsonArray(supplementary_offering_legacyid__4[[#This Row],[semilla04]],supplementary_offering_legacyid__4[[#This Row],[json]])</f>
        <v>{"100012-62":{"offeringid":"910001262","name":"Voz-TD-45000s_910001262","mode":"N"}}</v>
      </c>
    </row>
    <row r="149" spans="1:9" x14ac:dyDescent="0.25">
      <c r="A149" s="60" t="s">
        <v>2576</v>
      </c>
      <c r="B149" s="60" t="str">
        <f>findKey(supplementary_offering_legacyid__4[[#This Row],[PRODUCCION]])</f>
        <v>100012-63</v>
      </c>
      <c r="C149" s="61" t="s">
        <v>2577</v>
      </c>
      <c r="D149" t="s">
        <v>2578</v>
      </c>
      <c r="E149" t="s">
        <v>2329</v>
      </c>
      <c r="F149" s="61"/>
      <c r="H149" t="str">
        <f>ToJsonArray(supplementary_offering_legacyid__4[[#Headers],[offeringid]:[json]],supplementary_offering_legacyid__4[[#This Row],[offeringid]:[ignore]])</f>
        <v>{"offeringid":"910001263","name":"Voz-TD-54000s_910001263","mode":"N"}</v>
      </c>
      <c r="I149" t="str">
        <f>ToJsonArray(supplementary_offering_legacyid__4[[#This Row],[semilla04]],supplementary_offering_legacyid__4[[#This Row],[json]])</f>
        <v>{"100012-63":{"offeringid":"910001263","name":"Voz-TD-54000s_910001263","mode":"N"}}</v>
      </c>
    </row>
    <row r="150" spans="1:9" x14ac:dyDescent="0.25">
      <c r="A150" s="60" t="s">
        <v>2579</v>
      </c>
      <c r="B150" s="60" t="str">
        <f>findKey(supplementary_offering_legacyid__4[[#This Row],[PRODUCCION]])</f>
        <v>100012-64</v>
      </c>
      <c r="C150" s="61" t="s">
        <v>2580</v>
      </c>
      <c r="D150" t="s">
        <v>2581</v>
      </c>
      <c r="E150" t="s">
        <v>2329</v>
      </c>
      <c r="F150" s="61"/>
      <c r="H150" t="str">
        <f>ToJsonArray(supplementary_offering_legacyid__4[[#Headers],[offeringid]:[json]],supplementary_offering_legacyid__4[[#This Row],[offeringid]:[ignore]])</f>
        <v>{"offeringid":"910001264","name":"Voz-TD-Ilimitado_910001264","mode":"N"}</v>
      </c>
      <c r="I150" t="str">
        <f>ToJsonArray(supplementary_offering_legacyid__4[[#This Row],[semilla04]],supplementary_offering_legacyid__4[[#This Row],[json]])</f>
        <v>{"100012-64":{"offeringid":"910001264","name":"Voz-TD-Ilimitado_910001264","mode":"N"}}</v>
      </c>
    </row>
    <row r="151" spans="1:9" x14ac:dyDescent="0.25">
      <c r="A151" s="60" t="s">
        <v>2582</v>
      </c>
      <c r="B151" s="60" t="str">
        <f>findKey(supplementary_offering_legacyid__4[[#This Row],[PRODUCCION]])</f>
        <v>100012-71</v>
      </c>
      <c r="C151" s="61" t="s">
        <v>2583</v>
      </c>
      <c r="D151" t="s">
        <v>2584</v>
      </c>
      <c r="E151" t="s">
        <v>2329</v>
      </c>
      <c r="F151" s="61"/>
      <c r="H151" t="str">
        <f>ToJsonArray(supplementary_offering_legacyid__4[[#Headers],[offeringid]:[json]],supplementary_offering_legacyid__4[[#This Row],[offeringid]:[ignore]])</f>
        <v>{"offeringid":"910001271","name":"Voz-TD-12000s_910001271","mode":"N"}</v>
      </c>
      <c r="I151" t="str">
        <f>ToJsonArray(supplementary_offering_legacyid__4[[#This Row],[semilla04]],supplementary_offering_legacyid__4[[#This Row],[json]])</f>
        <v>{"100012-71":{"offeringid":"910001271","name":"Voz-TD-12000s_910001271","mode":"N"}}</v>
      </c>
    </row>
    <row r="152" spans="1:9" x14ac:dyDescent="0.25">
      <c r="A152" s="60" t="s">
        <v>2585</v>
      </c>
      <c r="B152" s="60" t="str">
        <f>findKey(supplementary_offering_legacyid__4[[#This Row],[PRODUCCION]])</f>
        <v>100012-72</v>
      </c>
      <c r="C152" s="61" t="s">
        <v>2586</v>
      </c>
      <c r="D152" t="s">
        <v>2587</v>
      </c>
      <c r="E152" t="s">
        <v>2329</v>
      </c>
      <c r="F152" s="61"/>
      <c r="H152" t="str">
        <f>ToJsonArray(supplementary_offering_legacyid__4[[#Headers],[offeringid]:[json]],supplementary_offering_legacyid__4[[#This Row],[offeringid]:[ignore]])</f>
        <v>{"offeringid":"910001272","name":"Voz-TD-12000s_910001272","mode":"N"}</v>
      </c>
      <c r="I152" t="str">
        <f>ToJsonArray(supplementary_offering_legacyid__4[[#This Row],[semilla04]],supplementary_offering_legacyid__4[[#This Row],[json]])</f>
        <v>{"100012-72":{"offeringid":"910001272","name":"Voz-TD-12000s_910001272","mode":"N"}}</v>
      </c>
    </row>
    <row r="153" spans="1:9" x14ac:dyDescent="0.25">
      <c r="A153" s="60" t="s">
        <v>2588</v>
      </c>
      <c r="B153" s="60" t="str">
        <f>findKey(supplementary_offering_legacyid__4[[#This Row],[PRODUCCION]])</f>
        <v>100012-73</v>
      </c>
      <c r="C153" s="61" t="s">
        <v>2589</v>
      </c>
      <c r="D153" t="s">
        <v>2590</v>
      </c>
      <c r="E153" t="s">
        <v>2329</v>
      </c>
      <c r="F153" s="61"/>
      <c r="H153" t="str">
        <f>ToJsonArray(supplementary_offering_legacyid__4[[#Headers],[offeringid]:[json]],supplementary_offering_legacyid__4[[#This Row],[offeringid]:[ignore]])</f>
        <v>{"offeringid":"910001273","name":"Voz-TD-12000s_910001273","mode":"N"}</v>
      </c>
      <c r="I153" t="str">
        <f>ToJsonArray(supplementary_offering_legacyid__4[[#This Row],[semilla04]],supplementary_offering_legacyid__4[[#This Row],[json]])</f>
        <v>{"100012-73":{"offeringid":"910001273","name":"Voz-TD-12000s_910001273","mode":"N"}}</v>
      </c>
    </row>
    <row r="154" spans="1:9" x14ac:dyDescent="0.25">
      <c r="A154" s="60" t="s">
        <v>2591</v>
      </c>
      <c r="B154" s="60" t="str">
        <f>findKey(supplementary_offering_legacyid__4[[#This Row],[PRODUCCION]])</f>
        <v>100012-74</v>
      </c>
      <c r="C154" s="61" t="s">
        <v>2592</v>
      </c>
      <c r="D154" t="s">
        <v>2593</v>
      </c>
      <c r="E154" t="s">
        <v>2329</v>
      </c>
      <c r="F154" s="61"/>
      <c r="H154" t="str">
        <f>ToJsonArray(supplementary_offering_legacyid__4[[#Headers],[offeringid]:[json]],supplementary_offering_legacyid__4[[#This Row],[offeringid]:[ignore]])</f>
        <v>{"offeringid":"910001274","name":"Voz-TD-12000s_910001274","mode":"N"}</v>
      </c>
      <c r="I154" t="str">
        <f>ToJsonArray(supplementary_offering_legacyid__4[[#This Row],[semilla04]],supplementary_offering_legacyid__4[[#This Row],[json]])</f>
        <v>{"100012-74":{"offeringid":"910001274","name":"Voz-TD-12000s_910001274","mode":"N"}}</v>
      </c>
    </row>
    <row r="155" spans="1:9" x14ac:dyDescent="0.25">
      <c r="A155" s="60" t="s">
        <v>2594</v>
      </c>
      <c r="B155" s="60" t="str">
        <f>findKey(supplementary_offering_legacyid__4[[#This Row],[PRODUCCION]])</f>
        <v>100012-75</v>
      </c>
      <c r="C155" s="61" t="s">
        <v>2595</v>
      </c>
      <c r="D155" t="s">
        <v>2596</v>
      </c>
      <c r="E155" t="s">
        <v>2329</v>
      </c>
      <c r="F155" s="61"/>
      <c r="H155" t="str">
        <f>ToJsonArray(supplementary_offering_legacyid__4[[#Headers],[offeringid]:[json]],supplementary_offering_legacyid__4[[#This Row],[offeringid]:[ignore]])</f>
        <v>{"offeringid":"910001275","name":"Voz-TD-12000s_910001275","mode":"N"}</v>
      </c>
      <c r="I155" t="str">
        <f>ToJsonArray(supplementary_offering_legacyid__4[[#This Row],[semilla04]],supplementary_offering_legacyid__4[[#This Row],[json]])</f>
        <v>{"100012-75":{"offeringid":"910001275","name":"Voz-TD-12000s_910001275","mode":"N"}}</v>
      </c>
    </row>
    <row r="156" spans="1:9" x14ac:dyDescent="0.25">
      <c r="A156" s="60" t="s">
        <v>2597</v>
      </c>
      <c r="B156" s="60" t="str">
        <f>findKey(supplementary_offering_legacyid__4[[#This Row],[PRODUCCION]])</f>
        <v>100101-00</v>
      </c>
      <c r="C156" s="61" t="s">
        <v>2598</v>
      </c>
      <c r="D156" t="s">
        <v>2599</v>
      </c>
      <c r="E156" t="s">
        <v>2189</v>
      </c>
      <c r="F156" s="61"/>
      <c r="H156" t="str">
        <f>ToJsonArray(supplementary_offering_legacyid__4[[#Headers],[offeringid]:[json]],supplementary_offering_legacyid__4[[#This Row],[offeringid]:[ignore]])</f>
        <v>{"offeringid":"910010100","name":"Voz - OnNet - Regalo 0_910010100","mode":"I"}</v>
      </c>
      <c r="I156" t="str">
        <f>ToJsonArray(supplementary_offering_legacyid__4[[#This Row],[semilla04]],supplementary_offering_legacyid__4[[#This Row],[json]])</f>
        <v>{"100101-00":{"offeringid":"910010100","name":"Voz - OnNet - Regalo 0_910010100","mode":"I"}}</v>
      </c>
    </row>
    <row r="157" spans="1:9" x14ac:dyDescent="0.25">
      <c r="A157" s="60" t="s">
        <v>2600</v>
      </c>
      <c r="B157" s="60" t="str">
        <f>findKey(supplementary_offering_legacyid__4[[#This Row],[PRODUCCION]])</f>
        <v>100149-11</v>
      </c>
      <c r="C157" s="61" t="s">
        <v>2601</v>
      </c>
      <c r="D157" t="s">
        <v>2602</v>
      </c>
      <c r="E157" t="s">
        <v>2329</v>
      </c>
      <c r="F157" s="61"/>
      <c r="H157" t="str">
        <f>ToJsonArray(supplementary_offering_legacyid__4[[#Headers],[offeringid]:[json]],supplementary_offering_legacyid__4[[#This Row],[offeringid]:[ignore]])</f>
        <v>{"offeringid":"910014911","name":"Voz-LDI G1y2-600s_910014911","mode":"N"}</v>
      </c>
      <c r="I157" t="str">
        <f>ToJsonArray(supplementary_offering_legacyid__4[[#This Row],[semilla04]],supplementary_offering_legacyid__4[[#This Row],[json]])</f>
        <v>{"100149-11":{"offeringid":"910014911","name":"Voz-LDI G1y2-600s_910014911","mode":"N"}}</v>
      </c>
    </row>
    <row r="158" spans="1:9" x14ac:dyDescent="0.25">
      <c r="A158" s="60" t="s">
        <v>2603</v>
      </c>
      <c r="B158" s="60" t="str">
        <f>findKey(supplementary_offering_legacyid__4[[#This Row],[PRODUCCION]])</f>
        <v>200001-14</v>
      </c>
      <c r="C158" s="61" t="s">
        <v>2604</v>
      </c>
      <c r="D158" t="s">
        <v>2605</v>
      </c>
      <c r="E158" t="s">
        <v>2329</v>
      </c>
      <c r="F158" s="61"/>
      <c r="H158" t="str">
        <f>ToJsonArray(supplementary_offering_legacyid__4[[#Headers],[offeringid]:[json]],supplementary_offering_legacyid__4[[#This Row],[offeringid]:[ignore]])</f>
        <v>{"offeringid":"920000114","name":"Data 5Gb_920000114","mode":"N"}</v>
      </c>
      <c r="I158" t="str">
        <f>ToJsonArray(supplementary_offering_legacyid__4[[#This Row],[semilla04]],supplementary_offering_legacyid__4[[#This Row],[json]])</f>
        <v>{"200001-14":{"offeringid":"920000114","name":"Data 5Gb_920000114","mode":"N"}}</v>
      </c>
    </row>
    <row r="159" spans="1:9" x14ac:dyDescent="0.25">
      <c r="A159" s="60" t="s">
        <v>2606</v>
      </c>
      <c r="B159" s="60" t="str">
        <f>findKey(supplementary_offering_legacyid__4[[#This Row],[PRODUCCION]])</f>
        <v>200001-20</v>
      </c>
      <c r="C159" s="61" t="s">
        <v>2607</v>
      </c>
      <c r="D159" t="s">
        <v>2608</v>
      </c>
      <c r="E159" t="s">
        <v>2329</v>
      </c>
      <c r="F159" s="61"/>
      <c r="H159" t="str">
        <f>ToJsonArray(supplementary_offering_legacyid__4[[#Headers],[offeringid]:[json]],supplementary_offering_legacyid__4[[#This Row],[offeringid]:[ignore]])</f>
        <v>{"offeringid":"920000120","name":"Data 2.5Gb_920000120","mode":"N"}</v>
      </c>
      <c r="I159" t="str">
        <f>ToJsonArray(supplementary_offering_legacyid__4[[#This Row],[semilla04]],supplementary_offering_legacyid__4[[#This Row],[json]])</f>
        <v>{"200001-20":{"offeringid":"920000120","name":"Data 2.5Gb_920000120","mode":"N"}}</v>
      </c>
    </row>
    <row r="160" spans="1:9" x14ac:dyDescent="0.25">
      <c r="A160" s="60" t="s">
        <v>2609</v>
      </c>
      <c r="B160" s="60" t="str">
        <f>findKey(supplementary_offering_legacyid__4[[#This Row],[PRODUCCION]])</f>
        <v>200001-22</v>
      </c>
      <c r="C160" s="61" t="s">
        <v>2610</v>
      </c>
      <c r="D160" t="s">
        <v>2611</v>
      </c>
      <c r="E160" t="s">
        <v>2329</v>
      </c>
      <c r="F160" s="61"/>
      <c r="H160" t="str">
        <f>ToJsonArray(supplementary_offering_legacyid__4[[#Headers],[offeringid]:[json]],supplementary_offering_legacyid__4[[#This Row],[offeringid]:[ignore]])</f>
        <v>{"offeringid":"920000122","name":"Data 6Gb_920000122","mode":"N"}</v>
      </c>
      <c r="I160" t="str">
        <f>ToJsonArray(supplementary_offering_legacyid__4[[#This Row],[semilla04]],supplementary_offering_legacyid__4[[#This Row],[json]])</f>
        <v>{"200001-22":{"offeringid":"920000122","name":"Data 6Gb_920000122","mode":"N"}}</v>
      </c>
    </row>
    <row r="161" spans="1:9" x14ac:dyDescent="0.25">
      <c r="A161" s="60" t="s">
        <v>2612</v>
      </c>
      <c r="B161" s="60" t="str">
        <f>findKey(supplementary_offering_legacyid__4[[#This Row],[PRODUCCION]])</f>
        <v>200001-23</v>
      </c>
      <c r="C161" s="61" t="s">
        <v>2613</v>
      </c>
      <c r="D161" t="s">
        <v>2614</v>
      </c>
      <c r="E161" t="s">
        <v>2329</v>
      </c>
      <c r="F161" s="61"/>
      <c r="H161" t="str">
        <f>ToJsonArray(supplementary_offering_legacyid__4[[#Headers],[offeringid]:[json]],supplementary_offering_legacyid__4[[#This Row],[offeringid]:[ignore]])</f>
        <v>{"offeringid":"920000123","name":"Data 8Gb_920000123","mode":"N"}</v>
      </c>
      <c r="I161" t="str">
        <f>ToJsonArray(supplementary_offering_legacyid__4[[#This Row],[semilla04]],supplementary_offering_legacyid__4[[#This Row],[json]])</f>
        <v>{"200001-23":{"offeringid":"920000123","name":"Data 8Gb_920000123","mode":"N"}}</v>
      </c>
    </row>
    <row r="162" spans="1:9" x14ac:dyDescent="0.25">
      <c r="A162" s="60" t="s">
        <v>2615</v>
      </c>
      <c r="B162" s="60" t="str">
        <f>findKey(supplementary_offering_legacyid__4[[#This Row],[PRODUCCION]])</f>
        <v>200001-28</v>
      </c>
      <c r="C162" s="61" t="s">
        <v>2616</v>
      </c>
      <c r="D162" t="s">
        <v>2617</v>
      </c>
      <c r="E162" t="s">
        <v>2329</v>
      </c>
      <c r="F162" s="61"/>
      <c r="H162" t="str">
        <f>ToJsonArray(supplementary_offering_legacyid__4[[#Headers],[offeringid]:[json]],supplementary_offering_legacyid__4[[#This Row],[offeringid]:[ignore]])</f>
        <v>{"offeringid":"920000128","name":"Data 1GB_920000128","mode":"N"}</v>
      </c>
      <c r="I162" t="str">
        <f>ToJsonArray(supplementary_offering_legacyid__4[[#This Row],[semilla04]],supplementary_offering_legacyid__4[[#This Row],[json]])</f>
        <v>{"200001-28":{"offeringid":"920000128","name":"Data 1GB_920000128","mode":"N"}}</v>
      </c>
    </row>
    <row r="163" spans="1:9" x14ac:dyDescent="0.25">
      <c r="A163" s="60" t="s">
        <v>2618</v>
      </c>
      <c r="B163" s="60" t="str">
        <f>findKey(supplementary_offering_legacyid__4[[#This Row],[PRODUCCION]])</f>
        <v>200001-29</v>
      </c>
      <c r="C163" s="61" t="s">
        <v>2619</v>
      </c>
      <c r="D163" t="s">
        <v>2620</v>
      </c>
      <c r="E163" t="s">
        <v>2329</v>
      </c>
      <c r="F163" s="61"/>
      <c r="H163" t="str">
        <f>ToJsonArray(supplementary_offering_legacyid__4[[#Headers],[offeringid]:[json]],supplementary_offering_legacyid__4[[#This Row],[offeringid]:[ignore]])</f>
        <v>{"offeringid":"920000129","name":"Data 1.5GB_920000129","mode":"N"}</v>
      </c>
      <c r="I163" t="str">
        <f>ToJsonArray(supplementary_offering_legacyid__4[[#This Row],[semilla04]],supplementary_offering_legacyid__4[[#This Row],[json]])</f>
        <v>{"200001-29":{"offeringid":"920000129","name":"Data 1.5GB_920000129","mode":"N"}}</v>
      </c>
    </row>
    <row r="164" spans="1:9" x14ac:dyDescent="0.25">
      <c r="A164" s="60" t="s">
        <v>2621</v>
      </c>
      <c r="B164" s="60" t="str">
        <f>findKey(supplementary_offering_legacyid__4[[#This Row],[PRODUCCION]])</f>
        <v>200001-30</v>
      </c>
      <c r="C164" s="61" t="s">
        <v>2622</v>
      </c>
      <c r="D164" t="s">
        <v>2623</v>
      </c>
      <c r="E164" t="s">
        <v>2329</v>
      </c>
      <c r="F164" s="61"/>
      <c r="H164" t="str">
        <f>ToJsonArray(supplementary_offering_legacyid__4[[#Headers],[offeringid]:[json]],supplementary_offering_legacyid__4[[#This Row],[offeringid]:[ignore]])</f>
        <v>{"offeringid":"920000130","name":"Data 2.5GB_920000130","mode":"N"}</v>
      </c>
      <c r="I164" t="str">
        <f>ToJsonArray(supplementary_offering_legacyid__4[[#This Row],[semilla04]],supplementary_offering_legacyid__4[[#This Row],[json]])</f>
        <v>{"200001-30":{"offeringid":"920000130","name":"Data 2.5GB_920000130","mode":"N"}}</v>
      </c>
    </row>
    <row r="165" spans="1:9" x14ac:dyDescent="0.25">
      <c r="A165" s="60" t="s">
        <v>2624</v>
      </c>
      <c r="B165" s="60" t="str">
        <f>findKey(supplementary_offering_legacyid__4[[#This Row],[PRODUCCION]])</f>
        <v>200001-34</v>
      </c>
      <c r="C165" s="61" t="s">
        <v>2625</v>
      </c>
      <c r="D165" t="s">
        <v>2626</v>
      </c>
      <c r="E165" t="s">
        <v>2329</v>
      </c>
      <c r="F165" s="61"/>
      <c r="H165" t="str">
        <f>ToJsonArray(supplementary_offering_legacyid__4[[#Headers],[offeringid]:[json]],supplementary_offering_legacyid__4[[#This Row],[offeringid]:[ignore]])</f>
        <v>{"offeringid":"920000134","name":"Data 4.2GB_920000134","mode":"N"}</v>
      </c>
      <c r="I165" t="str">
        <f>ToJsonArray(supplementary_offering_legacyid__4[[#This Row],[semilla04]],supplementary_offering_legacyid__4[[#This Row],[json]])</f>
        <v>{"200001-34":{"offeringid":"920000134","name":"Data 4.2GB_920000134","mode":"N"}}</v>
      </c>
    </row>
    <row r="166" spans="1:9" x14ac:dyDescent="0.25">
      <c r="A166" s="60" t="s">
        <v>2627</v>
      </c>
      <c r="B166" s="60" t="str">
        <f>findKey(supplementary_offering_legacyid__4[[#This Row],[PRODUCCION]])</f>
        <v>200001-35</v>
      </c>
      <c r="C166" s="61" t="s">
        <v>2628</v>
      </c>
      <c r="D166" t="s">
        <v>2629</v>
      </c>
      <c r="E166" t="s">
        <v>2329</v>
      </c>
      <c r="F166" s="61"/>
      <c r="H166" t="str">
        <f>ToJsonArray(supplementary_offering_legacyid__4[[#Headers],[offeringid]:[json]],supplementary_offering_legacyid__4[[#This Row],[offeringid]:[ignore]])</f>
        <v>{"offeringid":"920000135","name":"Data 5.2GB_920000135","mode":"N"}</v>
      </c>
      <c r="I166" t="str">
        <f>ToJsonArray(supplementary_offering_legacyid__4[[#This Row],[semilla04]],supplementary_offering_legacyid__4[[#This Row],[json]])</f>
        <v>{"200001-35":{"offeringid":"920000135","name":"Data 5.2GB_920000135","mode":"N"}}</v>
      </c>
    </row>
    <row r="167" spans="1:9" x14ac:dyDescent="0.25">
      <c r="A167" s="60" t="s">
        <v>2630</v>
      </c>
      <c r="B167" s="60" t="str">
        <f>findKey(supplementary_offering_legacyid__4[[#This Row],[PRODUCCION]])</f>
        <v>200001-36</v>
      </c>
      <c r="C167" s="61" t="s">
        <v>2631</v>
      </c>
      <c r="D167" t="s">
        <v>2632</v>
      </c>
      <c r="E167" t="s">
        <v>2329</v>
      </c>
      <c r="F167" s="61"/>
      <c r="H167" t="str">
        <f>ToJsonArray(supplementary_offering_legacyid__4[[#Headers],[offeringid]:[json]],supplementary_offering_legacyid__4[[#This Row],[offeringid]:[ignore]])</f>
        <v>{"offeringid":"920000136","name":"Data 3.5GB_920000136","mode":"N"}</v>
      </c>
      <c r="I167" t="str">
        <f>ToJsonArray(supplementary_offering_legacyid__4[[#This Row],[semilla04]],supplementary_offering_legacyid__4[[#This Row],[json]])</f>
        <v>{"200001-36":{"offeringid":"920000136","name":"Data 3.5GB_920000136","mode":"N"}}</v>
      </c>
    </row>
    <row r="168" spans="1:9" x14ac:dyDescent="0.25">
      <c r="A168" s="60" t="s">
        <v>2633</v>
      </c>
      <c r="B168" s="60" t="str">
        <f>findKey(supplementary_offering_legacyid__4[[#This Row],[PRODUCCION]])</f>
        <v>200001-37</v>
      </c>
      <c r="C168" s="61" t="s">
        <v>2634</v>
      </c>
      <c r="D168" t="s">
        <v>2635</v>
      </c>
      <c r="E168" t="s">
        <v>2329</v>
      </c>
      <c r="F168" s="61"/>
      <c r="H168" t="str">
        <f>ToJsonArray(supplementary_offering_legacyid__4[[#Headers],[offeringid]:[json]],supplementary_offering_legacyid__4[[#This Row],[offeringid]:[ignore]])</f>
        <v>{"offeringid":"920000137","name":"Data 2 GB_920000137","mode":"N"}</v>
      </c>
      <c r="I168" t="str">
        <f>ToJsonArray(supplementary_offering_legacyid__4[[#This Row],[semilla04]],supplementary_offering_legacyid__4[[#This Row],[json]])</f>
        <v>{"200001-37":{"offeringid":"920000137","name":"Data 2 GB_920000137","mode":"N"}}</v>
      </c>
    </row>
    <row r="169" spans="1:9" x14ac:dyDescent="0.25">
      <c r="A169" s="60" t="s">
        <v>2636</v>
      </c>
      <c r="B169" s="60" t="str">
        <f>findKey(supplementary_offering_legacyid__4[[#This Row],[PRODUCCION]])</f>
        <v>200001-48</v>
      </c>
      <c r="C169" s="61" t="s">
        <v>2637</v>
      </c>
      <c r="D169" t="s">
        <v>2638</v>
      </c>
      <c r="E169" t="s">
        <v>2329</v>
      </c>
      <c r="F169" s="61"/>
      <c r="H169" t="str">
        <f>ToJsonArray(supplementary_offering_legacyid__4[[#Headers],[offeringid]:[json]],supplementary_offering_legacyid__4[[#This Row],[offeringid]:[ignore]])</f>
        <v>{"offeringid":"920000148","name":"Data Unlimited_920000148","mode":"N"}</v>
      </c>
      <c r="I169" t="str">
        <f>ToJsonArray(supplementary_offering_legacyid__4[[#This Row],[semilla04]],supplementary_offering_legacyid__4[[#This Row],[json]])</f>
        <v>{"200001-48":{"offeringid":"920000148","name":"Data Unlimited_920000148","mode":"N"}}</v>
      </c>
    </row>
    <row r="170" spans="1:9" x14ac:dyDescent="0.25">
      <c r="A170" s="60" t="s">
        <v>2639</v>
      </c>
      <c r="B170" s="60" t="str">
        <f>findKey(supplementary_offering_legacyid__4[[#This Row],[PRODUCCION]])</f>
        <v>200001-52</v>
      </c>
      <c r="C170" s="61" t="s">
        <v>2640</v>
      </c>
      <c r="D170" t="s">
        <v>2641</v>
      </c>
      <c r="E170" t="s">
        <v>2329</v>
      </c>
      <c r="F170" s="61"/>
      <c r="H170" t="str">
        <f>ToJsonArray(supplementary_offering_legacyid__4[[#Headers],[offeringid]:[json]],supplementary_offering_legacyid__4[[#This Row],[offeringid]:[ignore]])</f>
        <v>{"offeringid":"920000152","name":"Data 500 MB_920000152","mode":"N"}</v>
      </c>
      <c r="I170" t="str">
        <f>ToJsonArray(supplementary_offering_legacyid__4[[#This Row],[semilla04]],supplementary_offering_legacyid__4[[#This Row],[json]])</f>
        <v>{"200001-52":{"offeringid":"920000152","name":"Data 500 MB_920000152","mode":"N"}}</v>
      </c>
    </row>
    <row r="171" spans="1:9" x14ac:dyDescent="0.25">
      <c r="A171" s="60" t="s">
        <v>2642</v>
      </c>
      <c r="B171" s="60" t="str">
        <f>findKey(supplementary_offering_legacyid__4[[#This Row],[PRODUCCION]])</f>
        <v>200001-54</v>
      </c>
      <c r="C171" s="61" t="s">
        <v>2643</v>
      </c>
      <c r="D171" t="s">
        <v>2644</v>
      </c>
      <c r="E171" t="s">
        <v>2329</v>
      </c>
      <c r="F171" s="61"/>
      <c r="H171" t="str">
        <f>ToJsonArray(supplementary_offering_legacyid__4[[#Headers],[offeringid]:[json]],supplementary_offering_legacyid__4[[#This Row],[offeringid]:[ignore]])</f>
        <v>{"offeringid":"920000154","name":"Data 1 GB_920000154","mode":"N"}</v>
      </c>
      <c r="I171" t="str">
        <f>ToJsonArray(supplementary_offering_legacyid__4[[#This Row],[semilla04]],supplementary_offering_legacyid__4[[#This Row],[json]])</f>
        <v>{"200001-54":{"offeringid":"920000154","name":"Data 1 GB_920000154","mode":"N"}}</v>
      </c>
    </row>
    <row r="172" spans="1:9" x14ac:dyDescent="0.25">
      <c r="A172" s="60" t="s">
        <v>2645</v>
      </c>
      <c r="B172" s="60" t="str">
        <f>findKey(supplementary_offering_legacyid__4[[#This Row],[PRODUCCION]])</f>
        <v>200001-55</v>
      </c>
      <c r="C172" s="61" t="s">
        <v>2646</v>
      </c>
      <c r="D172" t="s">
        <v>2647</v>
      </c>
      <c r="E172" t="s">
        <v>2329</v>
      </c>
      <c r="F172" s="61"/>
      <c r="H172" t="str">
        <f>ToJsonArray(supplementary_offering_legacyid__4[[#Headers],[offeringid]:[json]],supplementary_offering_legacyid__4[[#This Row],[offeringid]:[ignore]])</f>
        <v>{"offeringid":"920000155","name":"Data 1 GB_920000155","mode":"N"}</v>
      </c>
      <c r="I172" t="str">
        <f>ToJsonArray(supplementary_offering_legacyid__4[[#This Row],[semilla04]],supplementary_offering_legacyid__4[[#This Row],[json]])</f>
        <v>{"200001-55":{"offeringid":"920000155","name":"Data 1 GB_920000155","mode":"N"}}</v>
      </c>
    </row>
    <row r="173" spans="1:9" x14ac:dyDescent="0.25">
      <c r="A173" s="60" t="s">
        <v>2648</v>
      </c>
      <c r="B173" s="60" t="str">
        <f>findKey(supplementary_offering_legacyid__4[[#This Row],[PRODUCCION]])</f>
        <v>200001-56</v>
      </c>
      <c r="C173" s="61" t="s">
        <v>2649</v>
      </c>
      <c r="D173" t="s">
        <v>2650</v>
      </c>
      <c r="E173" t="s">
        <v>2329</v>
      </c>
      <c r="F173" s="61"/>
      <c r="H173" t="str">
        <f>ToJsonArray(supplementary_offering_legacyid__4[[#Headers],[offeringid]:[json]],supplementary_offering_legacyid__4[[#This Row],[offeringid]:[ignore]])</f>
        <v>{"offeringid":"920000156","name":"Data 1.5GB_920000156","mode":"N"}</v>
      </c>
      <c r="I173" t="str">
        <f>ToJsonArray(supplementary_offering_legacyid__4[[#This Row],[semilla04]],supplementary_offering_legacyid__4[[#This Row],[json]])</f>
        <v>{"200001-56":{"offeringid":"920000156","name":"Data 1.5GB_920000156","mode":"N"}}</v>
      </c>
    </row>
    <row r="174" spans="1:9" x14ac:dyDescent="0.25">
      <c r="A174" s="60" t="s">
        <v>2651</v>
      </c>
      <c r="B174" s="60" t="str">
        <f>findKey(supplementary_offering_legacyid__4[[#This Row],[PRODUCCION]])</f>
        <v>200001-58</v>
      </c>
      <c r="C174" s="61" t="s">
        <v>2652</v>
      </c>
      <c r="D174" t="s">
        <v>2653</v>
      </c>
      <c r="E174" t="s">
        <v>2329</v>
      </c>
      <c r="F174" s="61"/>
      <c r="H174" t="str">
        <f>ToJsonArray(supplementary_offering_legacyid__4[[#Headers],[offeringid]:[json]],supplementary_offering_legacyid__4[[#This Row],[offeringid]:[ignore]])</f>
        <v>{"offeringid":"920000158","name":"Data 2GB_920000158","mode":"N"}</v>
      </c>
      <c r="I174" t="str">
        <f>ToJsonArray(supplementary_offering_legacyid__4[[#This Row],[semilla04]],supplementary_offering_legacyid__4[[#This Row],[json]])</f>
        <v>{"200001-58":{"offeringid":"920000158","name":"Data 2GB_920000158","mode":"N"}}</v>
      </c>
    </row>
    <row r="175" spans="1:9" x14ac:dyDescent="0.25">
      <c r="A175" s="60" t="s">
        <v>2654</v>
      </c>
      <c r="B175" s="60" t="str">
        <f>findKey(supplementary_offering_legacyid__4[[#This Row],[PRODUCCION]])</f>
        <v>200001-60</v>
      </c>
      <c r="C175" s="61" t="s">
        <v>2655</v>
      </c>
      <c r="D175" t="s">
        <v>2656</v>
      </c>
      <c r="E175" t="s">
        <v>2329</v>
      </c>
      <c r="F175" s="61"/>
      <c r="H175" t="str">
        <f>ToJsonArray(supplementary_offering_legacyid__4[[#Headers],[offeringid]:[json]],supplementary_offering_legacyid__4[[#This Row],[offeringid]:[ignore]])</f>
        <v>{"offeringid":"920000160","name":"Data 2GB_920000160","mode":"N"}</v>
      </c>
      <c r="I175" t="str">
        <f>ToJsonArray(supplementary_offering_legacyid__4[[#This Row],[semilla04]],supplementary_offering_legacyid__4[[#This Row],[json]])</f>
        <v>{"200001-60":{"offeringid":"920000160","name":"Data 2GB_920000160","mode":"N"}}</v>
      </c>
    </row>
    <row r="176" spans="1:9" x14ac:dyDescent="0.25">
      <c r="A176" s="60" t="s">
        <v>2657</v>
      </c>
      <c r="B176" s="60" t="str">
        <f>findKey(supplementary_offering_legacyid__4[[#This Row],[PRODUCCION]])</f>
        <v>200001-61</v>
      </c>
      <c r="C176" s="61" t="s">
        <v>2658</v>
      </c>
      <c r="D176" t="s">
        <v>2659</v>
      </c>
      <c r="E176" t="s">
        <v>2329</v>
      </c>
      <c r="F176" s="61"/>
      <c r="H176" t="str">
        <f>ToJsonArray(supplementary_offering_legacyid__4[[#Headers],[offeringid]:[json]],supplementary_offering_legacyid__4[[#This Row],[offeringid]:[ignore]])</f>
        <v>{"offeringid":"920000161","name":"Data 3GB_920000161","mode":"N"}</v>
      </c>
      <c r="I176" t="str">
        <f>ToJsonArray(supplementary_offering_legacyid__4[[#This Row],[semilla04]],supplementary_offering_legacyid__4[[#This Row],[json]])</f>
        <v>{"200001-61":{"offeringid":"920000161","name":"Data 3GB_920000161","mode":"N"}}</v>
      </c>
    </row>
    <row r="177" spans="1:9" x14ac:dyDescent="0.25">
      <c r="A177" s="60" t="s">
        <v>2660</v>
      </c>
      <c r="B177" s="60" t="str">
        <f>findKey(supplementary_offering_legacyid__4[[#This Row],[PRODUCCION]])</f>
        <v>200001-62</v>
      </c>
      <c r="C177" s="61" t="s">
        <v>2661</v>
      </c>
      <c r="D177" t="s">
        <v>2662</v>
      </c>
      <c r="E177" t="s">
        <v>2329</v>
      </c>
      <c r="F177" s="61"/>
      <c r="H177" t="str">
        <f>ToJsonArray(supplementary_offering_legacyid__4[[#Headers],[offeringid]:[json]],supplementary_offering_legacyid__4[[#This Row],[offeringid]:[ignore]])</f>
        <v>{"offeringid":"920000162","name":"Data 2.5GB_920000162","mode":"N"}</v>
      </c>
      <c r="I177" t="str">
        <f>ToJsonArray(supplementary_offering_legacyid__4[[#This Row],[semilla04]],supplementary_offering_legacyid__4[[#This Row],[json]])</f>
        <v>{"200001-62":{"offeringid":"920000162","name":"Data 2.5GB_920000162","mode":"N"}}</v>
      </c>
    </row>
    <row r="178" spans="1:9" x14ac:dyDescent="0.25">
      <c r="A178" s="60" t="s">
        <v>2663</v>
      </c>
      <c r="B178" s="60" t="str">
        <f>findKey(supplementary_offering_legacyid__4[[#This Row],[PRODUCCION]])</f>
        <v>200001-65</v>
      </c>
      <c r="C178" s="61" t="s">
        <v>2664</v>
      </c>
      <c r="D178" t="s">
        <v>2665</v>
      </c>
      <c r="E178" t="s">
        <v>2329</v>
      </c>
      <c r="F178" s="61"/>
      <c r="H178" t="str">
        <f>ToJsonArray(supplementary_offering_legacyid__4[[#Headers],[offeringid]:[json]],supplementary_offering_legacyid__4[[#This Row],[offeringid]:[ignore]])</f>
        <v>{"offeringid":"920000165","name":"Data 3.5GB_920000165","mode":"N"}</v>
      </c>
      <c r="I178" t="str">
        <f>ToJsonArray(supplementary_offering_legacyid__4[[#This Row],[semilla04]],supplementary_offering_legacyid__4[[#This Row],[json]])</f>
        <v>{"200001-65":{"offeringid":"920000165","name":"Data 3.5GB_920000165","mode":"N"}}</v>
      </c>
    </row>
    <row r="179" spans="1:9" x14ac:dyDescent="0.25">
      <c r="A179" s="60" t="s">
        <v>2666</v>
      </c>
      <c r="B179" s="60" t="str">
        <f>findKey(supplementary_offering_legacyid__4[[#This Row],[PRODUCCION]])</f>
        <v>200001-66</v>
      </c>
      <c r="C179" s="61" t="s">
        <v>2667</v>
      </c>
      <c r="D179" t="s">
        <v>2668</v>
      </c>
      <c r="E179" t="s">
        <v>2329</v>
      </c>
      <c r="F179" s="61"/>
      <c r="H179" t="str">
        <f>ToJsonArray(supplementary_offering_legacyid__4[[#Headers],[offeringid]:[json]],supplementary_offering_legacyid__4[[#This Row],[offeringid]:[ignore]])</f>
        <v>{"offeringid":"920000166","name":"Data 3GB_920000166","mode":"N"}</v>
      </c>
      <c r="I179" t="str">
        <f>ToJsonArray(supplementary_offering_legacyid__4[[#This Row],[semilla04]],supplementary_offering_legacyid__4[[#This Row],[json]])</f>
        <v>{"200001-66":{"offeringid":"920000166","name":"Data 3GB_920000166","mode":"N"}}</v>
      </c>
    </row>
    <row r="180" spans="1:9" x14ac:dyDescent="0.25">
      <c r="A180" s="60" t="s">
        <v>2669</v>
      </c>
      <c r="B180" s="60" t="str">
        <f>findKey(supplementary_offering_legacyid__4[[#This Row],[PRODUCCION]])</f>
        <v>200001-68</v>
      </c>
      <c r="C180" s="61" t="s">
        <v>2670</v>
      </c>
      <c r="D180" t="s">
        <v>2671</v>
      </c>
      <c r="E180" t="s">
        <v>2329</v>
      </c>
      <c r="F180" s="61"/>
      <c r="H180" t="str">
        <f>ToJsonArray(supplementary_offering_legacyid__4[[#Headers],[offeringid]:[json]],supplementary_offering_legacyid__4[[#This Row],[offeringid]:[ignore]])</f>
        <v>{"offeringid":"920000168","name":"Data 4GB_920000168","mode":"N"}</v>
      </c>
      <c r="I180" t="str">
        <f>ToJsonArray(supplementary_offering_legacyid__4[[#This Row],[semilla04]],supplementary_offering_legacyid__4[[#This Row],[json]])</f>
        <v>{"200001-68":{"offeringid":"920000168","name":"Data 4GB_920000168","mode":"N"}}</v>
      </c>
    </row>
    <row r="181" spans="1:9" x14ac:dyDescent="0.25">
      <c r="A181" s="60" t="s">
        <v>2672</v>
      </c>
      <c r="B181" s="60" t="str">
        <f>findKey(supplementary_offering_legacyid__4[[#This Row],[PRODUCCION]])</f>
        <v>200001-69</v>
      </c>
      <c r="C181" s="61" t="s">
        <v>2673</v>
      </c>
      <c r="D181" t="s">
        <v>2674</v>
      </c>
      <c r="E181" t="s">
        <v>2329</v>
      </c>
      <c r="F181" s="61"/>
      <c r="H181" t="str">
        <f>ToJsonArray(supplementary_offering_legacyid__4[[#Headers],[offeringid]:[json]],supplementary_offering_legacyid__4[[#This Row],[offeringid]:[ignore]])</f>
        <v>{"offeringid":"920000169","name":"Data 4GB_920000169","mode":"N"}</v>
      </c>
      <c r="I181" t="str">
        <f>ToJsonArray(supplementary_offering_legacyid__4[[#This Row],[semilla04]],supplementary_offering_legacyid__4[[#This Row],[json]])</f>
        <v>{"200001-69":{"offeringid":"920000169","name":"Data 4GB_920000169","mode":"N"}}</v>
      </c>
    </row>
    <row r="182" spans="1:9" x14ac:dyDescent="0.25">
      <c r="A182" s="60" t="s">
        <v>2675</v>
      </c>
      <c r="B182" s="60" t="str">
        <f>findKey(supplementary_offering_legacyid__4[[#This Row],[PRODUCCION]])</f>
        <v>200001-70</v>
      </c>
      <c r="C182" s="61" t="s">
        <v>2676</v>
      </c>
      <c r="D182" t="s">
        <v>2677</v>
      </c>
      <c r="E182" t="s">
        <v>2329</v>
      </c>
      <c r="F182" s="61"/>
      <c r="H182" t="str">
        <f>ToJsonArray(supplementary_offering_legacyid__4[[#Headers],[offeringid]:[json]],supplementary_offering_legacyid__4[[#This Row],[offeringid]:[ignore]])</f>
        <v>{"offeringid":"920000170","name":"Data 5GB_920000170","mode":"N"}</v>
      </c>
      <c r="I182" t="str">
        <f>ToJsonArray(supplementary_offering_legacyid__4[[#This Row],[semilla04]],supplementary_offering_legacyid__4[[#This Row],[json]])</f>
        <v>{"200001-70":{"offeringid":"920000170","name":"Data 5GB_920000170","mode":"N"}}</v>
      </c>
    </row>
    <row r="183" spans="1:9" x14ac:dyDescent="0.25">
      <c r="A183" s="60" t="s">
        <v>2678</v>
      </c>
      <c r="B183" s="60" t="str">
        <f>findKey(supplementary_offering_legacyid__4[[#This Row],[PRODUCCION]])</f>
        <v>200001-71</v>
      </c>
      <c r="C183" s="61" t="s">
        <v>2679</v>
      </c>
      <c r="D183" t="s">
        <v>2680</v>
      </c>
      <c r="E183" t="s">
        <v>2329</v>
      </c>
      <c r="F183" s="61"/>
      <c r="H183" t="str">
        <f>ToJsonArray(supplementary_offering_legacyid__4[[#Headers],[offeringid]:[json]],supplementary_offering_legacyid__4[[#This Row],[offeringid]:[ignore]])</f>
        <v>{"offeringid":"920000171","name":"Data 5.5GB_920000171","mode":"N"}</v>
      </c>
      <c r="I183" t="str">
        <f>ToJsonArray(supplementary_offering_legacyid__4[[#This Row],[semilla04]],supplementary_offering_legacyid__4[[#This Row],[json]])</f>
        <v>{"200001-71":{"offeringid":"920000171","name":"Data 5.5GB_920000171","mode":"N"}}</v>
      </c>
    </row>
    <row r="184" spans="1:9" x14ac:dyDescent="0.25">
      <c r="A184" s="60" t="s">
        <v>2681</v>
      </c>
      <c r="B184" s="60" t="str">
        <f>findKey(supplementary_offering_legacyid__4[[#This Row],[PRODUCCION]])</f>
        <v>200001-72</v>
      </c>
      <c r="C184" s="61" t="s">
        <v>2682</v>
      </c>
      <c r="D184" t="s">
        <v>2683</v>
      </c>
      <c r="E184" t="s">
        <v>2329</v>
      </c>
      <c r="F184" s="61"/>
      <c r="H184" t="str">
        <f>ToJsonArray(supplementary_offering_legacyid__4[[#Headers],[offeringid]:[json]],supplementary_offering_legacyid__4[[#This Row],[offeringid]:[ignore]])</f>
        <v>{"offeringid":"920000172","name":"Data 6.5GB_920000172","mode":"N"}</v>
      </c>
      <c r="I184" t="str">
        <f>ToJsonArray(supplementary_offering_legacyid__4[[#This Row],[semilla04]],supplementary_offering_legacyid__4[[#This Row],[json]])</f>
        <v>{"200001-72":{"offeringid":"920000172","name":"Data 6.5GB_920000172","mode":"N"}}</v>
      </c>
    </row>
    <row r="185" spans="1:9" x14ac:dyDescent="0.25">
      <c r="A185" s="60" t="s">
        <v>2684</v>
      </c>
      <c r="B185" s="60" t="str">
        <f>findKey(supplementary_offering_legacyid__4[[#This Row],[PRODUCCION]])</f>
        <v>200001-74</v>
      </c>
      <c r="C185" s="61" t="s">
        <v>2685</v>
      </c>
      <c r="D185" t="s">
        <v>2686</v>
      </c>
      <c r="E185" t="s">
        <v>2329</v>
      </c>
      <c r="F185" s="61"/>
      <c r="H185" t="str">
        <f>ToJsonArray(supplementary_offering_legacyid__4[[#Headers],[offeringid]:[json]],supplementary_offering_legacyid__4[[#This Row],[offeringid]:[ignore]])</f>
        <v>{"offeringid":"920000174","name":"Data 800MB_920000174","mode":"N"}</v>
      </c>
      <c r="I185" t="str">
        <f>ToJsonArray(supplementary_offering_legacyid__4[[#This Row],[semilla04]],supplementary_offering_legacyid__4[[#This Row],[json]])</f>
        <v>{"200001-74":{"offeringid":"920000174","name":"Data 800MB_920000174","mode":"N"}}</v>
      </c>
    </row>
    <row r="186" spans="1:9" x14ac:dyDescent="0.25">
      <c r="A186" s="60" t="s">
        <v>2687</v>
      </c>
      <c r="B186" s="60" t="str">
        <f>findKey(supplementary_offering_legacyid__4[[#This Row],[PRODUCCION]])</f>
        <v>200001-75</v>
      </c>
      <c r="C186" s="61" t="s">
        <v>2688</v>
      </c>
      <c r="D186" t="s">
        <v>2689</v>
      </c>
      <c r="E186" t="s">
        <v>2329</v>
      </c>
      <c r="F186" s="61"/>
      <c r="H186" t="str">
        <f>ToJsonArray(supplementary_offering_legacyid__4[[#Headers],[offeringid]:[json]],supplementary_offering_legacyid__4[[#This Row],[offeringid]:[ignore]])</f>
        <v>{"offeringid":"920000175","name":"Data 1.5GB_920000175","mode":"N"}</v>
      </c>
      <c r="I186" t="str">
        <f>ToJsonArray(supplementary_offering_legacyid__4[[#This Row],[semilla04]],supplementary_offering_legacyid__4[[#This Row],[json]])</f>
        <v>{"200001-75":{"offeringid":"920000175","name":"Data 1.5GB_920000175","mode":"N"}}</v>
      </c>
    </row>
    <row r="187" spans="1:9" x14ac:dyDescent="0.25">
      <c r="A187" s="60" t="s">
        <v>2690</v>
      </c>
      <c r="B187" s="60" t="str">
        <f>findKey(supplementary_offering_legacyid__4[[#This Row],[PRODUCCION]])</f>
        <v>200001-76</v>
      </c>
      <c r="C187" s="61" t="s">
        <v>2691</v>
      </c>
      <c r="D187" t="s">
        <v>2692</v>
      </c>
      <c r="E187" t="s">
        <v>2329</v>
      </c>
      <c r="F187" s="61"/>
      <c r="H187" t="str">
        <f>ToJsonArray(supplementary_offering_legacyid__4[[#Headers],[offeringid]:[json]],supplementary_offering_legacyid__4[[#This Row],[offeringid]:[ignore]])</f>
        <v>{"offeringid":"920000176","name":"Data 2GB_920000176","mode":"N"}</v>
      </c>
      <c r="I187" t="str">
        <f>ToJsonArray(supplementary_offering_legacyid__4[[#This Row],[semilla04]],supplementary_offering_legacyid__4[[#This Row],[json]])</f>
        <v>{"200001-76":{"offeringid":"920000176","name":"Data 2GB_920000176","mode":"N"}}</v>
      </c>
    </row>
    <row r="188" spans="1:9" x14ac:dyDescent="0.25">
      <c r="A188" s="60" t="s">
        <v>2693</v>
      </c>
      <c r="B188" s="60" t="str">
        <f>findKey(supplementary_offering_legacyid__4[[#This Row],[PRODUCCION]])</f>
        <v>200001-77</v>
      </c>
      <c r="C188" s="61" t="s">
        <v>2694</v>
      </c>
      <c r="D188" t="s">
        <v>2695</v>
      </c>
      <c r="E188" t="s">
        <v>2329</v>
      </c>
      <c r="F188" s="61"/>
      <c r="H188" t="str">
        <f>ToJsonArray(supplementary_offering_legacyid__4[[#Headers],[offeringid]:[json]],supplementary_offering_legacyid__4[[#This Row],[offeringid]:[ignore]])</f>
        <v>{"offeringid":"920000177","name":"Data 2.5GB_920000177","mode":"N"}</v>
      </c>
      <c r="I188" t="str">
        <f>ToJsonArray(supplementary_offering_legacyid__4[[#This Row],[semilla04]],supplementary_offering_legacyid__4[[#This Row],[json]])</f>
        <v>{"200001-77":{"offeringid":"920000177","name":"Data 2.5GB_920000177","mode":"N"}}</v>
      </c>
    </row>
    <row r="189" spans="1:9" x14ac:dyDescent="0.25">
      <c r="A189" s="60" t="s">
        <v>2696</v>
      </c>
      <c r="B189" s="60" t="str">
        <f>findKey(supplementary_offering_legacyid__4[[#This Row],[PRODUCCION]])</f>
        <v>200001-78</v>
      </c>
      <c r="C189" s="61" t="s">
        <v>2697</v>
      </c>
      <c r="D189" t="s">
        <v>2698</v>
      </c>
      <c r="E189" t="s">
        <v>2329</v>
      </c>
      <c r="F189" s="61"/>
      <c r="H189" t="str">
        <f>ToJsonArray(supplementary_offering_legacyid__4[[#Headers],[offeringid]:[json]],supplementary_offering_legacyid__4[[#This Row],[offeringid]:[ignore]])</f>
        <v>{"offeringid":"920000178","name":"Data 3GB_920000178","mode":"N"}</v>
      </c>
      <c r="I189" t="str">
        <f>ToJsonArray(supplementary_offering_legacyid__4[[#This Row],[semilla04]],supplementary_offering_legacyid__4[[#This Row],[json]])</f>
        <v>{"200001-78":{"offeringid":"920000178","name":"Data 3GB_920000178","mode":"N"}}</v>
      </c>
    </row>
    <row r="190" spans="1:9" x14ac:dyDescent="0.25">
      <c r="A190" s="60" t="s">
        <v>2699</v>
      </c>
      <c r="B190" s="60" t="str">
        <f>findKey(supplementary_offering_legacyid__4[[#This Row],[PRODUCCION]])</f>
        <v>200001-79</v>
      </c>
      <c r="C190" s="61" t="s">
        <v>2700</v>
      </c>
      <c r="D190" t="s">
        <v>2701</v>
      </c>
      <c r="E190" t="s">
        <v>2329</v>
      </c>
      <c r="F190" s="61"/>
      <c r="H190" t="str">
        <f>ToJsonArray(supplementary_offering_legacyid__4[[#Headers],[offeringid]:[json]],supplementary_offering_legacyid__4[[#This Row],[offeringid]:[ignore]])</f>
        <v>{"offeringid":"920000179","name":"Data 3.5GB_920000179","mode":"N"}</v>
      </c>
      <c r="I190" t="str">
        <f>ToJsonArray(supplementary_offering_legacyid__4[[#This Row],[semilla04]],supplementary_offering_legacyid__4[[#This Row],[json]])</f>
        <v>{"200001-79":{"offeringid":"920000179","name":"Data 3.5GB_920000179","mode":"N"}}</v>
      </c>
    </row>
    <row r="191" spans="1:9" x14ac:dyDescent="0.25">
      <c r="A191" s="60" t="s">
        <v>2702</v>
      </c>
      <c r="B191" s="60" t="str">
        <f>findKey(supplementary_offering_legacyid__4[[#This Row],[PRODUCCION]])</f>
        <v>200001-80</v>
      </c>
      <c r="C191" s="61" t="s">
        <v>2703</v>
      </c>
      <c r="D191" t="s">
        <v>2704</v>
      </c>
      <c r="E191" t="s">
        <v>2329</v>
      </c>
      <c r="F191" s="61"/>
      <c r="H191" t="str">
        <f>ToJsonArray(supplementary_offering_legacyid__4[[#Headers],[offeringid]:[json]],supplementary_offering_legacyid__4[[#This Row],[offeringid]:[ignore]])</f>
        <v>{"offeringid":"920000180","name":"Data 4GB_920000180","mode":"N"}</v>
      </c>
      <c r="I191" t="str">
        <f>ToJsonArray(supplementary_offering_legacyid__4[[#This Row],[semilla04]],supplementary_offering_legacyid__4[[#This Row],[json]])</f>
        <v>{"200001-80":{"offeringid":"920000180","name":"Data 4GB_920000180","mode":"N"}}</v>
      </c>
    </row>
    <row r="192" spans="1:9" x14ac:dyDescent="0.25">
      <c r="A192" s="60" t="s">
        <v>2705</v>
      </c>
      <c r="B192" s="60" t="str">
        <f>findKey(supplementary_offering_legacyid__4[[#This Row],[PRODUCCION]])</f>
        <v>200001-81</v>
      </c>
      <c r="C192" s="61" t="s">
        <v>2706</v>
      </c>
      <c r="D192" t="s">
        <v>2707</v>
      </c>
      <c r="E192" t="s">
        <v>2329</v>
      </c>
      <c r="F192" s="61"/>
      <c r="H192" t="str">
        <f>ToJsonArray(supplementary_offering_legacyid__4[[#Headers],[offeringid]:[json]],supplementary_offering_legacyid__4[[#This Row],[offeringid]:[ignore]])</f>
        <v>{"offeringid":"920000181","name":"Data 4.5GB_920000181","mode":"N"}</v>
      </c>
      <c r="I192" t="str">
        <f>ToJsonArray(supplementary_offering_legacyid__4[[#This Row],[semilla04]],supplementary_offering_legacyid__4[[#This Row],[json]])</f>
        <v>{"200001-81":{"offeringid":"920000181","name":"Data 4.5GB_920000181","mode":"N"}}</v>
      </c>
    </row>
    <row r="193" spans="1:9" x14ac:dyDescent="0.25">
      <c r="A193" s="60" t="s">
        <v>2708</v>
      </c>
      <c r="B193" s="60" t="str">
        <f>findKey(supplementary_offering_legacyid__4[[#This Row],[PRODUCCION]])</f>
        <v>200001-82</v>
      </c>
      <c r="C193" s="61" t="s">
        <v>2709</v>
      </c>
      <c r="D193" t="s">
        <v>2710</v>
      </c>
      <c r="E193" t="s">
        <v>2329</v>
      </c>
      <c r="F193" s="61"/>
      <c r="H193" t="str">
        <f>ToJsonArray(supplementary_offering_legacyid__4[[#Headers],[offeringid]:[json]],supplementary_offering_legacyid__4[[#This Row],[offeringid]:[ignore]])</f>
        <v>{"offeringid":"920000182","name":"Data 5GB_920000182","mode":"N"}</v>
      </c>
      <c r="I193" t="str">
        <f>ToJsonArray(supplementary_offering_legacyid__4[[#This Row],[semilla04]],supplementary_offering_legacyid__4[[#This Row],[json]])</f>
        <v>{"200001-82":{"offeringid":"920000182","name":"Data 5GB_920000182","mode":"N"}}</v>
      </c>
    </row>
    <row r="194" spans="1:9" x14ac:dyDescent="0.25">
      <c r="A194" s="60" t="s">
        <v>2711</v>
      </c>
      <c r="B194" s="60" t="str">
        <f>findKey(supplementary_offering_legacyid__4[[#This Row],[PRODUCCION]])</f>
        <v>200001-91</v>
      </c>
      <c r="C194" s="61" t="s">
        <v>2712</v>
      </c>
      <c r="D194" t="s">
        <v>2713</v>
      </c>
      <c r="E194" t="s">
        <v>2329</v>
      </c>
      <c r="F194" s="61"/>
      <c r="H194" t="str">
        <f>ToJsonArray(supplementary_offering_legacyid__4[[#Headers],[offeringid]:[json]],supplementary_offering_legacyid__4[[#This Row],[offeringid]:[ignore]])</f>
        <v>{"offeringid":"920000191","name":"Data 3.5GB_920000191","mode":"N"}</v>
      </c>
      <c r="I194" t="str">
        <f>ToJsonArray(supplementary_offering_legacyid__4[[#This Row],[semilla04]],supplementary_offering_legacyid__4[[#This Row],[json]])</f>
        <v>{"200001-91":{"offeringid":"920000191","name":"Data 3.5GB_920000191","mode":"N"}}</v>
      </c>
    </row>
    <row r="195" spans="1:9" x14ac:dyDescent="0.25">
      <c r="A195" s="60" t="s">
        <v>2714</v>
      </c>
      <c r="B195" s="60" t="str">
        <f>findKey(supplementary_offering_legacyid__4[[#This Row],[PRODUCCION]])</f>
        <v>200001-92</v>
      </c>
      <c r="C195" s="61" t="s">
        <v>2715</v>
      </c>
      <c r="D195" t="s">
        <v>2716</v>
      </c>
      <c r="E195" t="s">
        <v>2329</v>
      </c>
      <c r="F195" s="61"/>
      <c r="H195" t="str">
        <f>ToJsonArray(supplementary_offering_legacyid__4[[#Headers],[offeringid]:[json]],supplementary_offering_legacyid__4[[#This Row],[offeringid]:[ignore]])</f>
        <v>{"offeringid":"920000192","name":"Data 4.5GB_920000192","mode":"N"}</v>
      </c>
      <c r="I195" t="str">
        <f>ToJsonArray(supplementary_offering_legacyid__4[[#This Row],[semilla04]],supplementary_offering_legacyid__4[[#This Row],[json]])</f>
        <v>{"200001-92":{"offeringid":"920000192","name":"Data 4.5GB_920000192","mode":"N"}}</v>
      </c>
    </row>
    <row r="196" spans="1:9" x14ac:dyDescent="0.25">
      <c r="A196" s="60" t="s">
        <v>2717</v>
      </c>
      <c r="B196" s="60" t="str">
        <f>findKey(supplementary_offering_legacyid__4[[#This Row],[PRODUCCION]])</f>
        <v>200001-93</v>
      </c>
      <c r="C196" s="61" t="s">
        <v>2718</v>
      </c>
      <c r="D196" t="s">
        <v>2719</v>
      </c>
      <c r="E196" t="s">
        <v>2329</v>
      </c>
      <c r="F196" s="61"/>
      <c r="H196" t="str">
        <f>ToJsonArray(supplementary_offering_legacyid__4[[#Headers],[offeringid]:[json]],supplementary_offering_legacyid__4[[#This Row],[offeringid]:[ignore]])</f>
        <v>{"offeringid":"920000193","name":"Data 7GB_920000193","mode":"N"}</v>
      </c>
      <c r="I196" t="str">
        <f>ToJsonArray(supplementary_offering_legacyid__4[[#This Row],[semilla04]],supplementary_offering_legacyid__4[[#This Row],[json]])</f>
        <v>{"200001-93":{"offeringid":"920000193","name":"Data 7GB_920000193","mode":"N"}}</v>
      </c>
    </row>
    <row r="197" spans="1:9" x14ac:dyDescent="0.25">
      <c r="A197" s="60" t="s">
        <v>2720</v>
      </c>
      <c r="B197" s="60" t="str">
        <f>findKey(supplementary_offering_legacyid__4[[#This Row],[PRODUCCION]])</f>
        <v>200001-95</v>
      </c>
      <c r="C197" s="61" t="s">
        <v>2721</v>
      </c>
      <c r="D197" t="s">
        <v>2722</v>
      </c>
      <c r="E197" t="s">
        <v>2329</v>
      </c>
      <c r="F197" s="61"/>
      <c r="H197" t="str">
        <f>ToJsonArray(supplementary_offering_legacyid__4[[#Headers],[offeringid]:[json]],supplementary_offering_legacyid__4[[#This Row],[offeringid]:[ignore]])</f>
        <v>{"offeringid":"920000195","name":"Data 5.5GB_920000195","mode":"N"}</v>
      </c>
      <c r="I197" t="str">
        <f>ToJsonArray(supplementary_offering_legacyid__4[[#This Row],[semilla04]],supplementary_offering_legacyid__4[[#This Row],[json]])</f>
        <v>{"200001-95":{"offeringid":"920000195","name":"Data 5.5GB_920000195","mode":"N"}}</v>
      </c>
    </row>
    <row r="198" spans="1:9" x14ac:dyDescent="0.25">
      <c r="A198" s="60" t="s">
        <v>2723</v>
      </c>
      <c r="B198" s="60" t="str">
        <f>findKey(supplementary_offering_legacyid__4[[#This Row],[PRODUCCION]])</f>
        <v>200001-96</v>
      </c>
      <c r="C198" s="61" t="s">
        <v>2724</v>
      </c>
      <c r="D198" t="s">
        <v>2725</v>
      </c>
      <c r="E198" t="s">
        <v>2329</v>
      </c>
      <c r="F198" s="61"/>
      <c r="H198" t="str">
        <f>ToJsonArray(supplementary_offering_legacyid__4[[#Headers],[offeringid]:[json]],supplementary_offering_legacyid__4[[#This Row],[offeringid]:[ignore]])</f>
        <v>{"offeringid":"920000196","name":"Data 1.5GB_920000196","mode":"N"}</v>
      </c>
      <c r="I198" t="str">
        <f>ToJsonArray(supplementary_offering_legacyid__4[[#This Row],[semilla04]],supplementary_offering_legacyid__4[[#This Row],[json]])</f>
        <v>{"200001-96":{"offeringid":"920000196","name":"Data 1.5GB_920000196","mode":"N"}}</v>
      </c>
    </row>
    <row r="199" spans="1:9" x14ac:dyDescent="0.25">
      <c r="A199" s="60" t="s">
        <v>2726</v>
      </c>
      <c r="B199" s="60" t="str">
        <f>findKey(supplementary_offering_legacyid__4[[#This Row],[PRODUCCION]])</f>
        <v>200001-97</v>
      </c>
      <c r="C199" s="61" t="s">
        <v>2727</v>
      </c>
      <c r="D199" t="s">
        <v>2728</v>
      </c>
      <c r="E199" t="s">
        <v>2329</v>
      </c>
      <c r="F199" s="61"/>
      <c r="H199" t="str">
        <f>ToJsonArray(supplementary_offering_legacyid__4[[#Headers],[offeringid]:[json]],supplementary_offering_legacyid__4[[#This Row],[offeringid]:[ignore]])</f>
        <v>{"offeringid":"920000197","name":"Data 2.5GB_920000197","mode":"N"}</v>
      </c>
      <c r="I199" t="str">
        <f>ToJsonArray(supplementary_offering_legacyid__4[[#This Row],[semilla04]],supplementary_offering_legacyid__4[[#This Row],[json]])</f>
        <v>{"200001-97":{"offeringid":"920000197","name":"Data 2.5GB_920000197","mode":"N"}}</v>
      </c>
    </row>
    <row r="200" spans="1:9" x14ac:dyDescent="0.25">
      <c r="A200" s="60" t="s">
        <v>2729</v>
      </c>
      <c r="B200" s="60" t="str">
        <f>findKey(supplementary_offering_legacyid__4[[#This Row],[PRODUCCION]])</f>
        <v>200001-98</v>
      </c>
      <c r="C200" s="61" t="s">
        <v>2730</v>
      </c>
      <c r="D200" t="s">
        <v>2731</v>
      </c>
      <c r="E200" t="s">
        <v>2329</v>
      </c>
      <c r="F200" s="61"/>
      <c r="H200" t="str">
        <f>ToJsonArray(supplementary_offering_legacyid__4[[#Headers],[offeringid]:[json]],supplementary_offering_legacyid__4[[#This Row],[offeringid]:[ignore]])</f>
        <v>{"offeringid":"920000198","name":"Data 3GB_920000198","mode":"N"}</v>
      </c>
      <c r="I200" t="str">
        <f>ToJsonArray(supplementary_offering_legacyid__4[[#This Row],[semilla04]],supplementary_offering_legacyid__4[[#This Row],[json]])</f>
        <v>{"200001-98":{"offeringid":"920000198","name":"Data 3GB_920000198","mode":"N"}}</v>
      </c>
    </row>
    <row r="201" spans="1:9" x14ac:dyDescent="0.25">
      <c r="A201" s="60" t="s">
        <v>2732</v>
      </c>
      <c r="B201" s="60" t="str">
        <f>findKey(supplementary_offering_legacyid__4[[#This Row],[PRODUCCION]])</f>
        <v>200001-99</v>
      </c>
      <c r="C201" s="61" t="s">
        <v>2733</v>
      </c>
      <c r="D201" t="s">
        <v>2734</v>
      </c>
      <c r="E201" t="s">
        <v>2329</v>
      </c>
      <c r="F201" s="61"/>
      <c r="H201" t="str">
        <f>ToJsonArray(supplementary_offering_legacyid__4[[#Headers],[offeringid]:[json]],supplementary_offering_legacyid__4[[#This Row],[offeringid]:[ignore]])</f>
        <v>{"offeringid":"920000199","name":"Data 4GB_920000199","mode":"N"}</v>
      </c>
      <c r="I201" t="str">
        <f>ToJsonArray(supplementary_offering_legacyid__4[[#This Row],[semilla04]],supplementary_offering_legacyid__4[[#This Row],[json]])</f>
        <v>{"200001-99":{"offeringid":"920000199","name":"Data 4GB_920000199","mode":"N"}}</v>
      </c>
    </row>
    <row r="202" spans="1:9" x14ac:dyDescent="0.25">
      <c r="A202" s="60" t="s">
        <v>2735</v>
      </c>
      <c r="B202" s="60" t="str">
        <f>findKey(supplementary_offering_legacyid__4[[#This Row],[PRODUCCION]])</f>
        <v>200003-01</v>
      </c>
      <c r="C202" s="61" t="s">
        <v>2736</v>
      </c>
      <c r="D202" t="s">
        <v>2737</v>
      </c>
      <c r="E202" t="s">
        <v>2329</v>
      </c>
      <c r="F202" s="61"/>
      <c r="H202" t="str">
        <f>ToJsonArray(supplementary_offering_legacyid__4[[#Headers],[offeringid]:[json]],supplementary_offering_legacyid__4[[#This Row],[offeringid]:[ignore]])</f>
        <v>{"offeringid":"920000301","name":"BlackBerry Total_920000301","mode":"N"}</v>
      </c>
      <c r="I202" t="str">
        <f>ToJsonArray(supplementary_offering_legacyid__4[[#This Row],[semilla04]],supplementary_offering_legacyid__4[[#This Row],[json]])</f>
        <v>{"200003-01":{"offeringid":"920000301","name":"BlackBerry Total_920000301","mode":"N"}}</v>
      </c>
    </row>
    <row r="203" spans="1:9" x14ac:dyDescent="0.25">
      <c r="A203" s="60" t="s">
        <v>2738</v>
      </c>
      <c r="B203" s="60" t="str">
        <f>findKey(supplementary_offering_legacyid__4[[#This Row],[PRODUCCION]])</f>
        <v>200003-06</v>
      </c>
      <c r="C203" s="61" t="s">
        <v>2739</v>
      </c>
      <c r="D203" t="s">
        <v>2740</v>
      </c>
      <c r="E203" t="s">
        <v>2329</v>
      </c>
      <c r="F203" s="61"/>
      <c r="H203" t="str">
        <f>ToJsonArray(supplementary_offering_legacyid__4[[#Headers],[offeringid]:[json]],supplementary_offering_legacyid__4[[#This Row],[offeringid]:[ignore]])</f>
        <v>{"offeringid":"920000306","name":"BlackBerry Social_920000306","mode":"N"}</v>
      </c>
      <c r="I203" t="str">
        <f>ToJsonArray(supplementary_offering_legacyid__4[[#This Row],[semilla04]],supplementary_offering_legacyid__4[[#This Row],[json]])</f>
        <v>{"200003-06":{"offeringid":"920000306","name":"BlackBerry Social_920000306","mode":"N"}}</v>
      </c>
    </row>
    <row r="204" spans="1:9" x14ac:dyDescent="0.25">
      <c r="A204" s="60" t="s">
        <v>2741</v>
      </c>
      <c r="B204" s="60" t="str">
        <f>findKey(supplementary_offering_legacyid__4[[#This Row],[PRODUCCION]])</f>
        <v>200005-03</v>
      </c>
      <c r="C204" s="61" t="s">
        <v>2742</v>
      </c>
      <c r="D204" t="s">
        <v>2743</v>
      </c>
      <c r="E204" t="s">
        <v>2329</v>
      </c>
      <c r="F204" s="61"/>
      <c r="H204" t="str">
        <f>ToJsonArray(supplementary_offering_legacyid__4[[#Headers],[offeringid]:[json]],supplementary_offering_legacyid__4[[#This Row],[offeringid]:[ignore]])</f>
        <v>{"offeringid":"920000503","name":"DPI Chat_920000503","mode":"N"}</v>
      </c>
      <c r="I204" t="str">
        <f>ToJsonArray(supplementary_offering_legacyid__4[[#This Row],[semilla04]],supplementary_offering_legacyid__4[[#This Row],[json]])</f>
        <v>{"200005-03":{"offeringid":"920000503","name":"DPI Chat_920000503","mode":"N"}}</v>
      </c>
    </row>
    <row r="205" spans="1:9" x14ac:dyDescent="0.25">
      <c r="A205" s="60" t="s">
        <v>2744</v>
      </c>
      <c r="B205" s="60" t="str">
        <f>findKey(supplementary_offering_legacyid__4[[#This Row],[PRODUCCION]])</f>
        <v>200005-07</v>
      </c>
      <c r="C205" s="61" t="s">
        <v>2745</v>
      </c>
      <c r="D205" t="s">
        <v>2746</v>
      </c>
      <c r="E205" t="s">
        <v>2329</v>
      </c>
      <c r="F205" s="61"/>
      <c r="H205" t="str">
        <f>ToJsonArray(supplementary_offering_legacyid__4[[#Headers],[offeringid]:[json]],supplementary_offering_legacyid__4[[#This Row],[offeringid]:[ignore]])</f>
        <v>{"offeringid":"920000507","name":"DPI Chat + Redes sociales_920000507","mode":"N"}</v>
      </c>
      <c r="I205" t="str">
        <f>ToJsonArray(supplementary_offering_legacyid__4[[#This Row],[semilla04]],supplementary_offering_legacyid__4[[#This Row],[json]])</f>
        <v>{"200005-07":{"offeringid":"920000507","name":"DPI Chat + Redes sociales_920000507","mode":"N"}}</v>
      </c>
    </row>
    <row r="206" spans="1:9" x14ac:dyDescent="0.25">
      <c r="A206" s="60" t="s">
        <v>2747</v>
      </c>
      <c r="B206" s="60" t="str">
        <f>findKey(supplementary_offering_legacyid__4[[#This Row],[PRODUCCION]])</f>
        <v>200005-09</v>
      </c>
      <c r="C206" s="61" t="s">
        <v>2748</v>
      </c>
      <c r="D206" t="s">
        <v>2749</v>
      </c>
      <c r="E206" t="s">
        <v>2329</v>
      </c>
      <c r="F206" s="61"/>
      <c r="H206" t="str">
        <f>ToJsonArray(supplementary_offering_legacyid__4[[#Headers],[offeringid]:[json]],supplementary_offering_legacyid__4[[#This Row],[offeringid]:[ignore]])</f>
        <v>{"offeringid":"920000509","name":"DPI Chat + Mail_920000509","mode":"N"}</v>
      </c>
      <c r="I206" t="str">
        <f>ToJsonArray(supplementary_offering_legacyid__4[[#This Row],[semilla04]],supplementary_offering_legacyid__4[[#This Row],[json]])</f>
        <v>{"200005-09":{"offeringid":"920000509","name":"DPI Chat + Mail_920000509","mode":"N"}}</v>
      </c>
    </row>
    <row r="207" spans="1:9" x14ac:dyDescent="0.25">
      <c r="A207" s="60" t="s">
        <v>2750</v>
      </c>
      <c r="B207" s="60" t="str">
        <f>findKey(supplementary_offering_legacyid__4[[#This Row],[PRODUCCION]])</f>
        <v>200007-09</v>
      </c>
      <c r="C207" s="61" t="s">
        <v>2751</v>
      </c>
      <c r="D207" t="s">
        <v>2752</v>
      </c>
      <c r="E207" t="s">
        <v>2329</v>
      </c>
      <c r="F207" s="61"/>
      <c r="H207" t="str">
        <f>ToJsonArray(supplementary_offering_legacyid__4[[#Headers],[offeringid]:[json]],supplementary_offering_legacyid__4[[#This Row],[offeringid]:[ignore]])</f>
        <v>{"offeringid":"920000709","name":"Deezer 5 Gb_920000709","mode":"N"}</v>
      </c>
      <c r="I207" t="str">
        <f>ToJsonArray(supplementary_offering_legacyid__4[[#This Row],[semilla04]],supplementary_offering_legacyid__4[[#This Row],[json]])</f>
        <v>{"200007-09":{"offeringid":"920000709","name":"Deezer 5 Gb_920000709","mode":"N"}}</v>
      </c>
    </row>
    <row r="208" spans="1:9" x14ac:dyDescent="0.25">
      <c r="A208" s="60" t="s">
        <v>2753</v>
      </c>
      <c r="B208" s="60" t="str">
        <f>findKey(supplementary_offering_legacyid__4[[#This Row],[PRODUCCION]])</f>
        <v>200008-08</v>
      </c>
      <c r="C208" s="61" t="s">
        <v>2754</v>
      </c>
      <c r="D208" t="s">
        <v>2755</v>
      </c>
      <c r="E208" t="s">
        <v>2329</v>
      </c>
      <c r="F208" s="61"/>
      <c r="H208" t="str">
        <f>ToJsonArray(supplementary_offering_legacyid__4[[#Headers],[offeringid]:[json]],supplementary_offering_legacyid__4[[#This Row],[offeringid]:[ignore]])</f>
        <v>{"offeringid":"920000808","name":"Smart 5GB_920000808","mode":"N"}</v>
      </c>
      <c r="I208" t="str">
        <f>ToJsonArray(supplementary_offering_legacyid__4[[#This Row],[semilla04]],supplementary_offering_legacyid__4[[#This Row],[json]])</f>
        <v>{"200008-08":{"offeringid":"920000808","name":"Smart 5GB_920000808","mode":"N"}}</v>
      </c>
    </row>
    <row r="209" spans="1:9" x14ac:dyDescent="0.25">
      <c r="A209" s="60" t="s">
        <v>2756</v>
      </c>
      <c r="B209" s="60" t="str">
        <f>findKey(supplementary_offering_legacyid__4[[#This Row],[PRODUCCION]])</f>
        <v>200008-11</v>
      </c>
      <c r="C209" s="61" t="s">
        <v>2757</v>
      </c>
      <c r="D209" t="s">
        <v>2758</v>
      </c>
      <c r="E209" t="s">
        <v>2329</v>
      </c>
      <c r="F209" s="61"/>
      <c r="H209" t="str">
        <f>ToJsonArray(supplementary_offering_legacyid__4[[#Headers],[offeringid]:[json]],supplementary_offering_legacyid__4[[#This Row],[offeringid]:[ignore]])</f>
        <v>{"offeringid":"920000811","name":"Smart sin datos_920000811","mode":"N"}</v>
      </c>
      <c r="I209" t="str">
        <f>ToJsonArray(supplementary_offering_legacyid__4[[#This Row],[semilla04]],supplementary_offering_legacyid__4[[#This Row],[json]])</f>
        <v>{"200008-11":{"offeringid":"920000811","name":"Smart sin datos_920000811","mode":"N"}}</v>
      </c>
    </row>
    <row r="210" spans="1:9" x14ac:dyDescent="0.25">
      <c r="A210" s="60" t="s">
        <v>2759</v>
      </c>
      <c r="B210" s="60" t="str">
        <f>findKey(supplementary_offering_legacyid__4[[#This Row],[PRODUCCION]])</f>
        <v>200008-15</v>
      </c>
      <c r="C210" s="61" t="s">
        <v>2760</v>
      </c>
      <c r="D210" t="s">
        <v>2761</v>
      </c>
      <c r="E210" t="s">
        <v>2329</v>
      </c>
      <c r="F210" s="61"/>
      <c r="H210" t="str">
        <f>ToJsonArray(supplementary_offering_legacyid__4[[#Headers],[offeringid]:[json]],supplementary_offering_legacyid__4[[#This Row],[offeringid]:[ignore]])</f>
        <v>{"offeringid":"920000815","name":"Smart sin navegacion_920000815","mode":"N"}</v>
      </c>
      <c r="I210" t="str">
        <f>ToJsonArray(supplementary_offering_legacyid__4[[#This Row],[semilla04]],supplementary_offering_legacyid__4[[#This Row],[json]])</f>
        <v>{"200008-15":{"offeringid":"920000815","name":"Smart sin navegacion_920000815","mode":"N"}}</v>
      </c>
    </row>
    <row r="211" spans="1:9" x14ac:dyDescent="0.25">
      <c r="A211" s="60" t="s">
        <v>2762</v>
      </c>
      <c r="B211" s="60" t="str">
        <f>findKey(supplementary_offering_legacyid__4[[#This Row],[PRODUCCION]])</f>
        <v>200008-16</v>
      </c>
      <c r="C211" s="61" t="s">
        <v>2763</v>
      </c>
      <c r="D211" t="s">
        <v>2764</v>
      </c>
      <c r="E211" t="s">
        <v>2329</v>
      </c>
      <c r="F211" s="61"/>
      <c r="H211" t="str">
        <f>ToJsonArray(supplementary_offering_legacyid__4[[#Headers],[offeringid]:[json]],supplementary_offering_legacyid__4[[#This Row],[offeringid]:[ignore]])</f>
        <v>{"offeringid":"920000816","name":"Smart sin navegacion_920000816","mode":"N"}</v>
      </c>
      <c r="I211" t="str">
        <f>ToJsonArray(supplementary_offering_legacyid__4[[#This Row],[semilla04]],supplementary_offering_legacyid__4[[#This Row],[json]])</f>
        <v>{"200008-16":{"offeringid":"920000816","name":"Smart sin navegacion_920000816","mode":"N"}}</v>
      </c>
    </row>
    <row r="212" spans="1:9" x14ac:dyDescent="0.25">
      <c r="A212" s="60" t="s">
        <v>2765</v>
      </c>
      <c r="B212" s="60" t="str">
        <f>findKey(supplementary_offering_legacyid__4[[#This Row],[PRODUCCION]])</f>
        <v>200008-17</v>
      </c>
      <c r="C212" s="61" t="s">
        <v>2766</v>
      </c>
      <c r="D212" t="s">
        <v>2767</v>
      </c>
      <c r="E212" t="s">
        <v>2329</v>
      </c>
      <c r="F212" s="61"/>
      <c r="H212" t="str">
        <f>ToJsonArray(supplementary_offering_legacyid__4[[#Headers],[offeringid]:[json]],supplementary_offering_legacyid__4[[#This Row],[offeringid]:[ignore]])</f>
        <v>{"offeringid":"920000817","name":"Smart cero pesos_920000817","mode":"N"}</v>
      </c>
      <c r="I212" t="str">
        <f>ToJsonArray(supplementary_offering_legacyid__4[[#This Row],[semilla04]],supplementary_offering_legacyid__4[[#This Row],[json]])</f>
        <v>{"200008-17":{"offeringid":"920000817","name":"Smart cero pesos_920000817","mode":"N"}}</v>
      </c>
    </row>
    <row r="213" spans="1:9" x14ac:dyDescent="0.25">
      <c r="A213" s="60" t="s">
        <v>2768</v>
      </c>
      <c r="B213" s="60" t="str">
        <f>findKey(supplementary_offering_legacyid__4[[#This Row],[PRODUCCION]])</f>
        <v>200008-18</v>
      </c>
      <c r="C213" s="61" t="s">
        <v>2769</v>
      </c>
      <c r="D213" t="s">
        <v>2770</v>
      </c>
      <c r="E213" t="s">
        <v>2329</v>
      </c>
      <c r="F213" s="61"/>
      <c r="H213" t="str">
        <f>ToJsonArray(supplementary_offering_legacyid__4[[#Headers],[offeringid]:[json]],supplementary_offering_legacyid__4[[#This Row],[offeringid]:[ignore]])</f>
        <v>{"offeringid":"920000818","name":"Smart 49_920000818","mode":"N"}</v>
      </c>
      <c r="I213" t="str">
        <f>ToJsonArray(supplementary_offering_legacyid__4[[#This Row],[semilla04]],supplementary_offering_legacyid__4[[#This Row],[json]])</f>
        <v>{"200008-18":{"offeringid":"920000818","name":"Smart 49_920000818","mode":"N"}}</v>
      </c>
    </row>
    <row r="214" spans="1:9" x14ac:dyDescent="0.25">
      <c r="A214" s="60" t="s">
        <v>2771</v>
      </c>
      <c r="B214" s="60" t="str">
        <f>findKey(supplementary_offering_legacyid__4[[#This Row],[PRODUCCION]])</f>
        <v>200008-19</v>
      </c>
      <c r="C214" s="61" t="s">
        <v>2772</v>
      </c>
      <c r="D214" t="s">
        <v>2773</v>
      </c>
      <c r="E214" t="s">
        <v>2329</v>
      </c>
      <c r="F214" s="61"/>
      <c r="H214" t="str">
        <f>ToJsonArray(supplementary_offering_legacyid__4[[#Headers],[offeringid]:[json]],supplementary_offering_legacyid__4[[#This Row],[offeringid]:[ignore]])</f>
        <v>{"offeringid":"920000819","name":"Smart 50_920000819","mode":"N"}</v>
      </c>
      <c r="I214" t="str">
        <f>ToJsonArray(supplementary_offering_legacyid__4[[#This Row],[semilla04]],supplementary_offering_legacyid__4[[#This Row],[json]])</f>
        <v>{"200008-19":{"offeringid":"920000819","name":"Smart 50_920000819","mode":"N"}}</v>
      </c>
    </row>
    <row r="215" spans="1:9" x14ac:dyDescent="0.25">
      <c r="A215" s="60" t="s">
        <v>2774</v>
      </c>
      <c r="B215" s="60" t="str">
        <f>findKey(supplementary_offering_legacyid__4[[#This Row],[PRODUCCION]])</f>
        <v>200008-20</v>
      </c>
      <c r="C215" s="61" t="s">
        <v>2775</v>
      </c>
      <c r="D215" t="s">
        <v>2776</v>
      </c>
      <c r="E215" t="s">
        <v>2329</v>
      </c>
      <c r="F215" s="61"/>
      <c r="H215" t="str">
        <f>ToJsonArray(supplementary_offering_legacyid__4[[#Headers],[offeringid]:[json]],supplementary_offering_legacyid__4[[#This Row],[offeringid]:[ignore]])</f>
        <v>{"offeringid":"920000820","name":"Smart 51_920000820","mode":"N"}</v>
      </c>
      <c r="I215" t="str">
        <f>ToJsonArray(supplementary_offering_legacyid__4[[#This Row],[semilla04]],supplementary_offering_legacyid__4[[#This Row],[json]])</f>
        <v>{"200008-20":{"offeringid":"920000820","name":"Smart 51_920000820","mode":"N"}}</v>
      </c>
    </row>
    <row r="216" spans="1:9" x14ac:dyDescent="0.25">
      <c r="A216" s="60" t="s">
        <v>2777</v>
      </c>
      <c r="B216" s="60" t="str">
        <f>findKey(supplementary_offering_legacyid__4[[#This Row],[PRODUCCION]])</f>
        <v>200008-21</v>
      </c>
      <c r="C216" s="61" t="s">
        <v>2778</v>
      </c>
      <c r="D216" t="s">
        <v>2779</v>
      </c>
      <c r="E216" t="s">
        <v>2329</v>
      </c>
      <c r="F216" s="61"/>
      <c r="H216" t="str">
        <f>ToJsonArray(supplementary_offering_legacyid__4[[#Headers],[offeringid]:[json]],supplementary_offering_legacyid__4[[#This Row],[offeringid]:[ignore]])</f>
        <v>{"offeringid":"920000821","name":"Smart sin navegacion_920000821","mode":"N"}</v>
      </c>
      <c r="I216" t="str">
        <f>ToJsonArray(supplementary_offering_legacyid__4[[#This Row],[semilla04]],supplementary_offering_legacyid__4[[#This Row],[json]])</f>
        <v>{"200008-21":{"offeringid":"920000821","name":"Smart sin navegacion_920000821","mode":"N"}}</v>
      </c>
    </row>
    <row r="217" spans="1:9" x14ac:dyDescent="0.25">
      <c r="A217" s="60" t="s">
        <v>2780</v>
      </c>
      <c r="B217" s="60" t="str">
        <f>findKey(supplementary_offering_legacyid__4[[#This Row],[PRODUCCION]])</f>
        <v>200008-22</v>
      </c>
      <c r="C217" s="61" t="s">
        <v>2781</v>
      </c>
      <c r="D217" t="s">
        <v>2782</v>
      </c>
      <c r="E217" t="s">
        <v>2329</v>
      </c>
      <c r="F217" s="61"/>
      <c r="H217" t="str">
        <f>ToJsonArray(supplementary_offering_legacyid__4[[#Headers],[offeringid]:[json]],supplementary_offering_legacyid__4[[#This Row],[offeringid]:[ignore]])</f>
        <v>{"offeringid":"920000822","name":"Smart sin navegacion_920000822","mode":"N"}</v>
      </c>
      <c r="I217" t="str">
        <f>ToJsonArray(supplementary_offering_legacyid__4[[#This Row],[semilla04]],supplementary_offering_legacyid__4[[#This Row],[json]])</f>
        <v>{"200008-22":{"offeringid":"920000822","name":"Smart sin navegacion_920000822","mode":"N"}}</v>
      </c>
    </row>
    <row r="218" spans="1:9" x14ac:dyDescent="0.25">
      <c r="A218" s="60" t="s">
        <v>2783</v>
      </c>
      <c r="B218" s="60" t="str">
        <f>findKey(supplementary_offering_legacyid__4[[#This Row],[PRODUCCION]])</f>
        <v>200008-23</v>
      </c>
      <c r="C218" s="61" t="s">
        <v>2784</v>
      </c>
      <c r="D218" t="s">
        <v>2785</v>
      </c>
      <c r="E218" t="s">
        <v>2329</v>
      </c>
      <c r="F218" s="61"/>
      <c r="H218" t="str">
        <f>ToJsonArray(supplementary_offering_legacyid__4[[#Headers],[offeringid]:[json]],supplementary_offering_legacyid__4[[#This Row],[offeringid]:[ignore]])</f>
        <v>{"offeringid":"920000823","name":"Smart sin navegacion_920000823","mode":"N"}</v>
      </c>
      <c r="I218" t="str">
        <f>ToJsonArray(supplementary_offering_legacyid__4[[#This Row],[semilla04]],supplementary_offering_legacyid__4[[#This Row],[json]])</f>
        <v>{"200008-23":{"offeringid":"920000823","name":"Smart sin navegacion_920000823","mode":"N"}}</v>
      </c>
    </row>
    <row r="219" spans="1:9" x14ac:dyDescent="0.25">
      <c r="A219" s="60" t="s">
        <v>2786</v>
      </c>
      <c r="B219" s="60" t="str">
        <f>findKey(supplementary_offering_legacyid__4[[#This Row],[PRODUCCION]])</f>
        <v>200008-24</v>
      </c>
      <c r="C219" s="61" t="s">
        <v>2787</v>
      </c>
      <c r="D219" t="s">
        <v>2788</v>
      </c>
      <c r="E219" t="s">
        <v>2329</v>
      </c>
      <c r="F219" s="61"/>
      <c r="H219" t="str">
        <f>ToJsonArray(supplementary_offering_legacyid__4[[#Headers],[offeringid]:[json]],supplementary_offering_legacyid__4[[#This Row],[offeringid]:[ignore]])</f>
        <v>{"offeringid":"920000824","name":"Smart sin navegacion_920000824","mode":"N"}</v>
      </c>
      <c r="I219" t="str">
        <f>ToJsonArray(supplementary_offering_legacyid__4[[#This Row],[semilla04]],supplementary_offering_legacyid__4[[#This Row],[json]])</f>
        <v>{"200008-24":{"offeringid":"920000824","name":"Smart sin navegacion_920000824","mode":"N"}}</v>
      </c>
    </row>
    <row r="220" spans="1:9" x14ac:dyDescent="0.25">
      <c r="A220" s="60" t="s">
        <v>2789</v>
      </c>
      <c r="B220" s="60" t="str">
        <f>findKey(supplementary_offering_legacyid__4[[#This Row],[PRODUCCION]])</f>
        <v>200008-25</v>
      </c>
      <c r="C220" s="61" t="s">
        <v>2790</v>
      </c>
      <c r="D220" t="s">
        <v>2791</v>
      </c>
      <c r="E220" t="s">
        <v>2329</v>
      </c>
      <c r="F220" s="61"/>
      <c r="H220" t="str">
        <f>ToJsonArray(supplementary_offering_legacyid__4[[#Headers],[offeringid]:[json]],supplementary_offering_legacyid__4[[#This Row],[offeringid]:[ignore]])</f>
        <v>{"offeringid":"920000825","name":"Smart sin navegacion_920000825","mode":"N"}</v>
      </c>
      <c r="I220" t="str">
        <f>ToJsonArray(supplementary_offering_legacyid__4[[#This Row],[semilla04]],supplementary_offering_legacyid__4[[#This Row],[json]])</f>
        <v>{"200008-25":{"offeringid":"920000825","name":"Smart sin navegacion_920000825","mode":"N"}}</v>
      </c>
    </row>
    <row r="221" spans="1:9" x14ac:dyDescent="0.25">
      <c r="A221" s="60" t="s">
        <v>2792</v>
      </c>
      <c r="B221" s="60" t="str">
        <f>findKey(supplementary_offering_legacyid__4[[#This Row],[PRODUCCION]])</f>
        <v>200008-26</v>
      </c>
      <c r="C221" s="61" t="s">
        <v>2793</v>
      </c>
      <c r="D221" t="s">
        <v>2794</v>
      </c>
      <c r="E221" t="s">
        <v>2329</v>
      </c>
      <c r="F221" s="61"/>
      <c r="H221" t="str">
        <f>ToJsonArray(supplementary_offering_legacyid__4[[#Headers],[offeringid]:[json]],supplementary_offering_legacyid__4[[#This Row],[offeringid]:[ignore]])</f>
        <v>{"offeringid":"920000826","name":"Smart sin navegacion_920000826","mode":"N"}</v>
      </c>
      <c r="I221" t="str">
        <f>ToJsonArray(supplementary_offering_legacyid__4[[#This Row],[semilla04]],supplementary_offering_legacyid__4[[#This Row],[json]])</f>
        <v>{"200008-26":{"offeringid":"920000826","name":"Smart sin navegacion_920000826","mode":"N"}}</v>
      </c>
    </row>
    <row r="222" spans="1:9" x14ac:dyDescent="0.25">
      <c r="A222" s="60" t="s">
        <v>2795</v>
      </c>
      <c r="B222" s="60" t="str">
        <f>findKey(supplementary_offering_legacyid__4[[#This Row],[PRODUCCION]])</f>
        <v>200008-27</v>
      </c>
      <c r="C222" s="61" t="s">
        <v>2796</v>
      </c>
      <c r="D222" t="s">
        <v>2797</v>
      </c>
      <c r="E222" t="s">
        <v>2329</v>
      </c>
      <c r="F222" s="61"/>
      <c r="H222" t="str">
        <f>ToJsonArray(supplementary_offering_legacyid__4[[#Headers],[offeringid]:[json]],supplementary_offering_legacyid__4[[#This Row],[offeringid]:[ignore]])</f>
        <v>{"offeringid":"920000827","name":"Smart sin navegacion_920000827","mode":"N"}</v>
      </c>
      <c r="I222" t="str">
        <f>ToJsonArray(supplementary_offering_legacyid__4[[#This Row],[semilla04]],supplementary_offering_legacyid__4[[#This Row],[json]])</f>
        <v>{"200008-27":{"offeringid":"920000827","name":"Smart sin navegacion_920000827","mode":"N"}}</v>
      </c>
    </row>
    <row r="223" spans="1:9" x14ac:dyDescent="0.25">
      <c r="A223" s="60" t="s">
        <v>2798</v>
      </c>
      <c r="B223" s="60" t="str">
        <f>findKey(supplementary_offering_legacyid__4[[#This Row],[PRODUCCION]])</f>
        <v>200008-28</v>
      </c>
      <c r="C223" s="61" t="s">
        <v>2799</v>
      </c>
      <c r="D223" t="s">
        <v>2800</v>
      </c>
      <c r="E223" t="s">
        <v>2329</v>
      </c>
      <c r="F223" s="61"/>
      <c r="H223" t="str">
        <f>ToJsonArray(supplementary_offering_legacyid__4[[#Headers],[offeringid]:[json]],supplementary_offering_legacyid__4[[#This Row],[offeringid]:[ignore]])</f>
        <v>{"offeringid":"920000828","name":"Smart sin navegacion_920000828","mode":"N"}</v>
      </c>
      <c r="I223" t="str">
        <f>ToJsonArray(supplementary_offering_legacyid__4[[#This Row],[semilla04]],supplementary_offering_legacyid__4[[#This Row],[json]])</f>
        <v>{"200008-28":{"offeringid":"920000828","name":"Smart sin navegacion_920000828","mode":"N"}}</v>
      </c>
    </row>
    <row r="224" spans="1:9" x14ac:dyDescent="0.25">
      <c r="A224" s="60" t="s">
        <v>2801</v>
      </c>
      <c r="B224" s="60" t="str">
        <f>findKey(supplementary_offering_legacyid__4[[#This Row],[PRODUCCION]])</f>
        <v>200008-29</v>
      </c>
      <c r="C224" s="61" t="s">
        <v>2802</v>
      </c>
      <c r="D224" t="s">
        <v>2803</v>
      </c>
      <c r="E224" t="s">
        <v>2329</v>
      </c>
      <c r="F224" s="61"/>
      <c r="H224" t="str">
        <f>ToJsonArray(supplementary_offering_legacyid__4[[#Headers],[offeringid]:[json]],supplementary_offering_legacyid__4[[#This Row],[offeringid]:[ignore]])</f>
        <v>{"offeringid":"920000829","name":"Smart sin navegacion_920000829","mode":"N"}</v>
      </c>
      <c r="I224" t="str">
        <f>ToJsonArray(supplementary_offering_legacyid__4[[#This Row],[semilla04]],supplementary_offering_legacyid__4[[#This Row],[json]])</f>
        <v>{"200008-29":{"offeringid":"920000829","name":"Smart sin navegacion_920000829","mode":"N"}}</v>
      </c>
    </row>
    <row r="225" spans="1:9" x14ac:dyDescent="0.25">
      <c r="A225" s="60" t="s">
        <v>2804</v>
      </c>
      <c r="B225" s="60" t="str">
        <f>findKey(supplementary_offering_legacyid__4[[#This Row],[PRODUCCION]])</f>
        <v>200008-30</v>
      </c>
      <c r="C225" s="61" t="s">
        <v>2805</v>
      </c>
      <c r="D225" t="s">
        <v>2806</v>
      </c>
      <c r="E225" t="s">
        <v>2329</v>
      </c>
      <c r="F225" s="61"/>
      <c r="H225" t="str">
        <f>ToJsonArray(supplementary_offering_legacyid__4[[#Headers],[offeringid]:[json]],supplementary_offering_legacyid__4[[#This Row],[offeringid]:[ignore]])</f>
        <v>{"offeringid":"920000830","name":"Smart sin navegacion_920000830","mode":"N"}</v>
      </c>
      <c r="I225" t="str">
        <f>ToJsonArray(supplementary_offering_legacyid__4[[#This Row],[semilla04]],supplementary_offering_legacyid__4[[#This Row],[json]])</f>
        <v>{"200008-30":{"offeringid":"920000830","name":"Smart sin navegacion_920000830","mode":"N"}}</v>
      </c>
    </row>
    <row r="226" spans="1:9" x14ac:dyDescent="0.25">
      <c r="A226" s="60" t="s">
        <v>2807</v>
      </c>
      <c r="B226" s="60" t="str">
        <f>findKey(supplementary_offering_legacyid__4[[#This Row],[PRODUCCION]])</f>
        <v>200008-31</v>
      </c>
      <c r="C226" s="61" t="s">
        <v>2808</v>
      </c>
      <c r="D226" t="s">
        <v>2809</v>
      </c>
      <c r="E226" t="s">
        <v>2329</v>
      </c>
      <c r="F226" s="61"/>
      <c r="H226" t="str">
        <f>ToJsonArray(supplementary_offering_legacyid__4[[#Headers],[offeringid]:[json]],supplementary_offering_legacyid__4[[#This Row],[offeringid]:[ignore]])</f>
        <v>{"offeringid":"920000831","name":"Smart sin navegacion_920000831","mode":"N"}</v>
      </c>
      <c r="I226" t="str">
        <f>ToJsonArray(supplementary_offering_legacyid__4[[#This Row],[semilla04]],supplementary_offering_legacyid__4[[#This Row],[json]])</f>
        <v>{"200008-31":{"offeringid":"920000831","name":"Smart sin navegacion_920000831","mode":"N"}}</v>
      </c>
    </row>
    <row r="227" spans="1:9" x14ac:dyDescent="0.25">
      <c r="A227" s="60" t="s">
        <v>2810</v>
      </c>
      <c r="B227" s="60" t="str">
        <f>findKey(supplementary_offering_legacyid__4[[#This Row],[PRODUCCION]])</f>
        <v>200008-32</v>
      </c>
      <c r="C227" s="61" t="s">
        <v>2811</v>
      </c>
      <c r="D227" t="s">
        <v>2812</v>
      </c>
      <c r="E227" t="s">
        <v>2329</v>
      </c>
      <c r="F227" s="61"/>
      <c r="H227" t="str">
        <f>ToJsonArray(supplementary_offering_legacyid__4[[#Headers],[offeringid]:[json]],supplementary_offering_legacyid__4[[#This Row],[offeringid]:[ignore]])</f>
        <v>{"offeringid":"920000832","name":"Smart sin navegacion_920000832","mode":"N"}</v>
      </c>
      <c r="I227" t="str">
        <f>ToJsonArray(supplementary_offering_legacyid__4[[#This Row],[semilla04]],supplementary_offering_legacyid__4[[#This Row],[json]])</f>
        <v>{"200008-32":{"offeringid":"920000832","name":"Smart sin navegacion_920000832","mode":"N"}}</v>
      </c>
    </row>
    <row r="228" spans="1:9" x14ac:dyDescent="0.25">
      <c r="A228" s="60" t="s">
        <v>2813</v>
      </c>
      <c r="B228" s="60" t="str">
        <f>findKey(supplementary_offering_legacyid__4[[#This Row],[PRODUCCION]])</f>
        <v>200008-33</v>
      </c>
      <c r="C228" s="61" t="s">
        <v>2814</v>
      </c>
      <c r="D228" t="s">
        <v>2815</v>
      </c>
      <c r="E228" t="s">
        <v>2329</v>
      </c>
      <c r="F228" s="61"/>
      <c r="H228" t="str">
        <f>ToJsonArray(supplementary_offering_legacyid__4[[#Headers],[offeringid]:[json]],supplementary_offering_legacyid__4[[#This Row],[offeringid]:[ignore]])</f>
        <v>{"offeringid":"920000833","name":"Smart sin navegacion_920000833","mode":"N"}</v>
      </c>
      <c r="I228" t="str">
        <f>ToJsonArray(supplementary_offering_legacyid__4[[#This Row],[semilla04]],supplementary_offering_legacyid__4[[#This Row],[json]])</f>
        <v>{"200008-33":{"offeringid":"920000833","name":"Smart sin navegacion_920000833","mode":"N"}}</v>
      </c>
    </row>
    <row r="229" spans="1:9" x14ac:dyDescent="0.25">
      <c r="A229" s="60" t="s">
        <v>2816</v>
      </c>
      <c r="B229" s="60" t="str">
        <f>findKey(supplementary_offering_legacyid__4[[#This Row],[PRODUCCION]])</f>
        <v>200008-34</v>
      </c>
      <c r="C229" s="61" t="s">
        <v>2817</v>
      </c>
      <c r="D229" t="s">
        <v>2818</v>
      </c>
      <c r="E229" t="s">
        <v>2329</v>
      </c>
      <c r="F229" s="61"/>
      <c r="H229" t="str">
        <f>ToJsonArray(supplementary_offering_legacyid__4[[#Headers],[offeringid]:[json]],supplementary_offering_legacyid__4[[#This Row],[offeringid]:[ignore]])</f>
        <v>{"offeringid":"920000834","name":"Smart sin navegacion_920000834","mode":"N"}</v>
      </c>
      <c r="I229" t="str">
        <f>ToJsonArray(supplementary_offering_legacyid__4[[#This Row],[semilla04]],supplementary_offering_legacyid__4[[#This Row],[json]])</f>
        <v>{"200008-34":{"offeringid":"920000834","name":"Smart sin navegacion_920000834","mode":"N"}}</v>
      </c>
    </row>
    <row r="230" spans="1:9" x14ac:dyDescent="0.25">
      <c r="A230" s="60" t="s">
        <v>2819</v>
      </c>
      <c r="B230" s="60" t="str">
        <f>findKey(supplementary_offering_legacyid__4[[#This Row],[PRODUCCION]])</f>
        <v>200008-35</v>
      </c>
      <c r="C230" s="61" t="s">
        <v>2820</v>
      </c>
      <c r="D230" t="s">
        <v>2821</v>
      </c>
      <c r="E230" t="s">
        <v>2329</v>
      </c>
      <c r="F230" s="61"/>
      <c r="H230" t="str">
        <f>ToJsonArray(supplementary_offering_legacyid__4[[#Headers],[offeringid]:[json]],supplementary_offering_legacyid__4[[#This Row],[offeringid]:[ignore]])</f>
        <v>{"offeringid":"920000835","name":"Smart sin navegacion_920000835","mode":"N"}</v>
      </c>
      <c r="I230" t="str">
        <f>ToJsonArray(supplementary_offering_legacyid__4[[#This Row],[semilla04]],supplementary_offering_legacyid__4[[#This Row],[json]])</f>
        <v>{"200008-35":{"offeringid":"920000835","name":"Smart sin navegacion_920000835","mode":"N"}}</v>
      </c>
    </row>
    <row r="231" spans="1:9" x14ac:dyDescent="0.25">
      <c r="A231" s="60" t="s">
        <v>2822</v>
      </c>
      <c r="B231" s="60" t="str">
        <f>findKey(supplementary_offering_legacyid__4[[#This Row],[PRODUCCION]])</f>
        <v>200008-36</v>
      </c>
      <c r="C231" s="61" t="s">
        <v>2823</v>
      </c>
      <c r="D231" t="s">
        <v>2824</v>
      </c>
      <c r="E231" t="s">
        <v>2329</v>
      </c>
      <c r="F231" s="61"/>
      <c r="H231" t="str">
        <f>ToJsonArray(supplementary_offering_legacyid__4[[#Headers],[offeringid]:[json]],supplementary_offering_legacyid__4[[#This Row],[offeringid]:[ignore]])</f>
        <v>{"offeringid":"920000836","name":"Smart sin navegacion_920000836","mode":"N"}</v>
      </c>
      <c r="I231" t="str">
        <f>ToJsonArray(supplementary_offering_legacyid__4[[#This Row],[semilla04]],supplementary_offering_legacyid__4[[#This Row],[json]])</f>
        <v>{"200008-36":{"offeringid":"920000836","name":"Smart sin navegacion_920000836","mode":"N"}}</v>
      </c>
    </row>
    <row r="232" spans="1:9" x14ac:dyDescent="0.25">
      <c r="A232" s="60" t="s">
        <v>2825</v>
      </c>
      <c r="B232" s="60" t="str">
        <f>findKey(supplementary_offering_legacyid__4[[#This Row],[PRODUCCION]])</f>
        <v>200008-37</v>
      </c>
      <c r="C232" s="61" t="s">
        <v>2826</v>
      </c>
      <c r="D232" t="s">
        <v>2827</v>
      </c>
      <c r="E232" t="s">
        <v>2329</v>
      </c>
      <c r="F232" s="61"/>
      <c r="H232" t="str">
        <f>ToJsonArray(supplementary_offering_legacyid__4[[#Headers],[offeringid]:[json]],supplementary_offering_legacyid__4[[#This Row],[offeringid]:[ignore]])</f>
        <v>{"offeringid":"920000837","name":"Smart sin navegacion_920000837","mode":"N"}</v>
      </c>
      <c r="I232" t="str">
        <f>ToJsonArray(supplementary_offering_legacyid__4[[#This Row],[semilla04]],supplementary_offering_legacyid__4[[#This Row],[json]])</f>
        <v>{"200008-37":{"offeringid":"920000837","name":"Smart sin navegacion_920000837","mode":"N"}}</v>
      </c>
    </row>
    <row r="233" spans="1:9" x14ac:dyDescent="0.25">
      <c r="A233" s="60" t="s">
        <v>2828</v>
      </c>
      <c r="B233" s="60" t="str">
        <f>findKey(supplementary_offering_legacyid__4[[#This Row],[PRODUCCION]])</f>
        <v>200008-38</v>
      </c>
      <c r="C233" s="61" t="s">
        <v>2829</v>
      </c>
      <c r="D233" t="s">
        <v>2830</v>
      </c>
      <c r="E233" t="s">
        <v>2329</v>
      </c>
      <c r="F233" s="61"/>
      <c r="H233" t="str">
        <f>ToJsonArray(supplementary_offering_legacyid__4[[#Headers],[offeringid]:[json]],supplementary_offering_legacyid__4[[#This Row],[offeringid]:[ignore]])</f>
        <v>{"offeringid":"920000838","name":"Smart sin navegacion_920000838","mode":"N"}</v>
      </c>
      <c r="I233" t="str">
        <f>ToJsonArray(supplementary_offering_legacyid__4[[#This Row],[semilla04]],supplementary_offering_legacyid__4[[#This Row],[json]])</f>
        <v>{"200008-38":{"offeringid":"920000838","name":"Smart sin navegacion_920000838","mode":"N"}}</v>
      </c>
    </row>
    <row r="234" spans="1:9" x14ac:dyDescent="0.25">
      <c r="A234" s="60" t="s">
        <v>2831</v>
      </c>
      <c r="B234" s="60" t="str">
        <f>findKey(supplementary_offering_legacyid__4[[#This Row],[PRODUCCION]])</f>
        <v>200008-39</v>
      </c>
      <c r="C234" s="61" t="s">
        <v>2832</v>
      </c>
      <c r="D234" t="s">
        <v>2833</v>
      </c>
      <c r="E234" t="s">
        <v>2329</v>
      </c>
      <c r="F234" s="61"/>
      <c r="H234" t="str">
        <f>ToJsonArray(supplementary_offering_legacyid__4[[#Headers],[offeringid]:[json]],supplementary_offering_legacyid__4[[#This Row],[offeringid]:[ignore]])</f>
        <v>{"offeringid":"920000839","name":"Smart sin navegacion_920000839","mode":"N"}</v>
      </c>
      <c r="I234" t="str">
        <f>ToJsonArray(supplementary_offering_legacyid__4[[#This Row],[semilla04]],supplementary_offering_legacyid__4[[#This Row],[json]])</f>
        <v>{"200008-39":{"offeringid":"920000839","name":"Smart sin navegacion_920000839","mode":"N"}}</v>
      </c>
    </row>
    <row r="235" spans="1:9" x14ac:dyDescent="0.25">
      <c r="A235" s="60" t="s">
        <v>2834</v>
      </c>
      <c r="B235" s="60" t="str">
        <f>findKey(supplementary_offering_legacyid__4[[#This Row],[PRODUCCION]])</f>
        <v>200008-40</v>
      </c>
      <c r="C235" s="61" t="s">
        <v>2835</v>
      </c>
      <c r="D235" t="s">
        <v>2836</v>
      </c>
      <c r="E235" t="s">
        <v>2329</v>
      </c>
      <c r="F235" s="61"/>
      <c r="H235" t="str">
        <f>ToJsonArray(supplementary_offering_legacyid__4[[#Headers],[offeringid]:[json]],supplementary_offering_legacyid__4[[#This Row],[offeringid]:[ignore]])</f>
        <v>{"offeringid":"920000840","name":"Smart sin navegacion_920000840","mode":"N"}</v>
      </c>
      <c r="I235" t="str">
        <f>ToJsonArray(supplementary_offering_legacyid__4[[#This Row],[semilla04]],supplementary_offering_legacyid__4[[#This Row],[json]])</f>
        <v>{"200008-40":{"offeringid":"920000840","name":"Smart sin navegacion_920000840","mode":"N"}}</v>
      </c>
    </row>
    <row r="236" spans="1:9" x14ac:dyDescent="0.25">
      <c r="A236" s="60" t="s">
        <v>2837</v>
      </c>
      <c r="B236" s="60" t="str">
        <f>findKey(supplementary_offering_legacyid__4[[#This Row],[PRODUCCION]])</f>
        <v>200008-41</v>
      </c>
      <c r="C236" s="61" t="s">
        <v>2838</v>
      </c>
      <c r="D236" t="s">
        <v>2839</v>
      </c>
      <c r="E236" t="s">
        <v>2329</v>
      </c>
      <c r="F236" s="61"/>
      <c r="H236" t="str">
        <f>ToJsonArray(supplementary_offering_legacyid__4[[#Headers],[offeringid]:[json]],supplementary_offering_legacyid__4[[#This Row],[offeringid]:[ignore]])</f>
        <v>{"offeringid":"920000841","name":"Smart sin navegacion_920000841","mode":"N"}</v>
      </c>
      <c r="I236" t="str">
        <f>ToJsonArray(supplementary_offering_legacyid__4[[#This Row],[semilla04]],supplementary_offering_legacyid__4[[#This Row],[json]])</f>
        <v>{"200008-41":{"offeringid":"920000841","name":"Smart sin navegacion_920000841","mode":"N"}}</v>
      </c>
    </row>
    <row r="237" spans="1:9" x14ac:dyDescent="0.25">
      <c r="A237" s="60" t="s">
        <v>2840</v>
      </c>
      <c r="B237" s="60" t="str">
        <f>findKey(supplementary_offering_legacyid__4[[#This Row],[PRODUCCION]])</f>
        <v>200008-42</v>
      </c>
      <c r="C237" s="61" t="s">
        <v>2841</v>
      </c>
      <c r="D237" t="s">
        <v>2842</v>
      </c>
      <c r="E237" t="s">
        <v>2329</v>
      </c>
      <c r="F237" s="61"/>
      <c r="H237" t="str">
        <f>ToJsonArray(supplementary_offering_legacyid__4[[#Headers],[offeringid]:[json]],supplementary_offering_legacyid__4[[#This Row],[offeringid]:[ignore]])</f>
        <v>{"offeringid":"920000842","name":"Smart sin navegacion_920000842","mode":"N"}</v>
      </c>
      <c r="I237" t="str">
        <f>ToJsonArray(supplementary_offering_legacyid__4[[#This Row],[semilla04]],supplementary_offering_legacyid__4[[#This Row],[json]])</f>
        <v>{"200008-42":{"offeringid":"920000842","name":"Smart sin navegacion_920000842","mode":"N"}}</v>
      </c>
    </row>
    <row r="238" spans="1:9" x14ac:dyDescent="0.25">
      <c r="A238" s="60" t="s">
        <v>2843</v>
      </c>
      <c r="B238" s="60" t="str">
        <f>findKey(supplementary_offering_legacyid__4[[#This Row],[PRODUCCION]])</f>
        <v>200008-43</v>
      </c>
      <c r="C238" s="61" t="s">
        <v>2844</v>
      </c>
      <c r="D238" t="s">
        <v>2845</v>
      </c>
      <c r="E238" t="s">
        <v>2329</v>
      </c>
      <c r="F238" s="61"/>
      <c r="H238" t="str">
        <f>ToJsonArray(supplementary_offering_legacyid__4[[#Headers],[offeringid]:[json]],supplementary_offering_legacyid__4[[#This Row],[offeringid]:[ignore]])</f>
        <v>{"offeringid":"920000843","name":"Smart sin navegacion_920000843","mode":"N"}</v>
      </c>
      <c r="I238" t="str">
        <f>ToJsonArray(supplementary_offering_legacyid__4[[#This Row],[semilla04]],supplementary_offering_legacyid__4[[#This Row],[json]])</f>
        <v>{"200008-43":{"offeringid":"920000843","name":"Smart sin navegacion_920000843","mode":"N"}}</v>
      </c>
    </row>
    <row r="239" spans="1:9" x14ac:dyDescent="0.25">
      <c r="A239" s="60" t="s">
        <v>2846</v>
      </c>
      <c r="B239" s="60" t="str">
        <f>findKey(supplementary_offering_legacyid__4[[#This Row],[PRODUCCION]])</f>
        <v>200011-01</v>
      </c>
      <c r="C239" s="61" t="s">
        <v>2847</v>
      </c>
      <c r="D239" t="s">
        <v>2848</v>
      </c>
      <c r="E239" t="s">
        <v>2329</v>
      </c>
      <c r="F239" s="61"/>
      <c r="H239" t="str">
        <f>ToJsonArray(supplementary_offering_legacyid__4[[#Headers],[offeringid]:[json]],supplementary_offering_legacyid__4[[#This Row],[offeringid]:[ignore]])</f>
        <v>{"offeringid":"920001101","name":"Data 5GB_920001101","mode":"N"}</v>
      </c>
      <c r="I239" t="str">
        <f>ToJsonArray(supplementary_offering_legacyid__4[[#This Row],[semilla04]],supplementary_offering_legacyid__4[[#This Row],[json]])</f>
        <v>{"200011-01":{"offeringid":"920001101","name":"Data 5GB_920001101","mode":"N"}}</v>
      </c>
    </row>
    <row r="240" spans="1:9" x14ac:dyDescent="0.25">
      <c r="A240" s="60" t="s">
        <v>2849</v>
      </c>
      <c r="B240" s="60" t="str">
        <f>findKey(supplementary_offering_legacyid__4[[#This Row],[PRODUCCION]])</f>
        <v>200011-02</v>
      </c>
      <c r="C240" s="61" t="s">
        <v>2850</v>
      </c>
      <c r="D240" t="s">
        <v>2851</v>
      </c>
      <c r="E240" t="s">
        <v>2329</v>
      </c>
      <c r="F240" s="61"/>
      <c r="H240" t="str">
        <f>ToJsonArray(supplementary_offering_legacyid__4[[#Headers],[offeringid]:[json]],supplementary_offering_legacyid__4[[#This Row],[offeringid]:[ignore]])</f>
        <v>{"offeringid":"920001102","name":"Data 6GB_920001102","mode":"N"}</v>
      </c>
      <c r="I240" t="str">
        <f>ToJsonArray(supplementary_offering_legacyid__4[[#This Row],[semilla04]],supplementary_offering_legacyid__4[[#This Row],[json]])</f>
        <v>{"200011-02":{"offeringid":"920001102","name":"Data 6GB_920001102","mode":"N"}}</v>
      </c>
    </row>
    <row r="241" spans="1:9" x14ac:dyDescent="0.25">
      <c r="A241" s="60" t="s">
        <v>2852</v>
      </c>
      <c r="B241" s="60" t="str">
        <f>findKey(supplementary_offering_legacyid__4[[#This Row],[PRODUCCION]])</f>
        <v>200011-03</v>
      </c>
      <c r="C241" s="61" t="s">
        <v>2853</v>
      </c>
      <c r="D241" t="s">
        <v>2854</v>
      </c>
      <c r="E241" t="s">
        <v>2329</v>
      </c>
      <c r="F241" s="61"/>
      <c r="H241" t="str">
        <f>ToJsonArray(supplementary_offering_legacyid__4[[#Headers],[offeringid]:[json]],supplementary_offering_legacyid__4[[#This Row],[offeringid]:[ignore]])</f>
        <v>{"offeringid":"920001103","name":"Data 8GB_920001103","mode":"N"}</v>
      </c>
      <c r="I241" t="str">
        <f>ToJsonArray(supplementary_offering_legacyid__4[[#This Row],[semilla04]],supplementary_offering_legacyid__4[[#This Row],[json]])</f>
        <v>{"200011-03":{"offeringid":"920001103","name":"Data 8GB_920001103","mode":"N"}}</v>
      </c>
    </row>
    <row r="242" spans="1:9" x14ac:dyDescent="0.25">
      <c r="A242" s="60" t="s">
        <v>2855</v>
      </c>
      <c r="B242" s="60" t="str">
        <f>findKey(supplementary_offering_legacyid__4[[#This Row],[PRODUCCION]])</f>
        <v>200011-06</v>
      </c>
      <c r="C242" s="61" t="s">
        <v>2856</v>
      </c>
      <c r="D242" t="s">
        <v>2857</v>
      </c>
      <c r="E242" t="s">
        <v>2329</v>
      </c>
      <c r="F242" s="61"/>
      <c r="H242" t="str">
        <f>ToJsonArray(supplementary_offering_legacyid__4[[#Headers],[offeringid]:[json]],supplementary_offering_legacyid__4[[#This Row],[offeringid]:[ignore]])</f>
        <v>{"offeringid":"920001106","name":"Data WhatsFace_920001106","mode":"N"}</v>
      </c>
      <c r="I242" t="str">
        <f>ToJsonArray(supplementary_offering_legacyid__4[[#This Row],[semilla04]],supplementary_offering_legacyid__4[[#This Row],[json]])</f>
        <v>{"200011-06":{"offeringid":"920001106","name":"Data WhatsFace_920001106","mode":"N"}}</v>
      </c>
    </row>
    <row r="243" spans="1:9" x14ac:dyDescent="0.25">
      <c r="A243" s="60" t="s">
        <v>2858</v>
      </c>
      <c r="B243" s="60" t="str">
        <f>findKey(supplementary_offering_legacyid__4[[#This Row],[PRODUCCION]])</f>
        <v>200011-12</v>
      </c>
      <c r="C243" s="61" t="s">
        <v>2859</v>
      </c>
      <c r="D243" t="s">
        <v>2860</v>
      </c>
      <c r="E243" t="s">
        <v>2329</v>
      </c>
      <c r="F243" s="61"/>
      <c r="H243" t="str">
        <f>ToJsonArray(supplementary_offering_legacyid__4[[#Headers],[offeringid]:[json]],supplementary_offering_legacyid__4[[#This Row],[offeringid]:[ignore]])</f>
        <v>{"offeringid":"920001112","name":"Data WhatsFace_920001112","mode":"N"}</v>
      </c>
      <c r="I243" t="str">
        <f>ToJsonArray(supplementary_offering_legacyid__4[[#This Row],[semilla04]],supplementary_offering_legacyid__4[[#This Row],[json]])</f>
        <v>{"200011-12":{"offeringid":"920001112","name":"Data WhatsFace_920001112","mode":"N"}}</v>
      </c>
    </row>
    <row r="244" spans="1:9" x14ac:dyDescent="0.25">
      <c r="A244" s="60" t="s">
        <v>2861</v>
      </c>
      <c r="B244" s="60" t="str">
        <f>findKey(supplementary_offering_legacyid__4[[#This Row],[PRODUCCION]])</f>
        <v>200011-13</v>
      </c>
      <c r="C244" s="61" t="s">
        <v>2862</v>
      </c>
      <c r="D244" t="s">
        <v>2863</v>
      </c>
      <c r="E244" t="s">
        <v>2329</v>
      </c>
      <c r="F244" s="61"/>
      <c r="H244" t="str">
        <f>ToJsonArray(supplementary_offering_legacyid__4[[#Headers],[offeringid]:[json]],supplementary_offering_legacyid__4[[#This Row],[offeringid]:[ignore]])</f>
        <v>{"offeringid":"920001113","name":"Data 800MB_920001113","mode":"N"}</v>
      </c>
      <c r="I244" t="str">
        <f>ToJsonArray(supplementary_offering_legacyid__4[[#This Row],[semilla04]],supplementary_offering_legacyid__4[[#This Row],[json]])</f>
        <v>{"200011-13":{"offeringid":"920001113","name":"Data 800MB_920001113","mode":"N"}}</v>
      </c>
    </row>
    <row r="245" spans="1:9" x14ac:dyDescent="0.25">
      <c r="A245" s="60" t="s">
        <v>2864</v>
      </c>
      <c r="B245" s="60" t="str">
        <f>findKey(supplementary_offering_legacyid__4[[#This Row],[PRODUCCION]])</f>
        <v>200011-14</v>
      </c>
      <c r="C245" s="61" t="s">
        <v>2865</v>
      </c>
      <c r="D245" t="s">
        <v>2866</v>
      </c>
      <c r="E245" t="s">
        <v>2329</v>
      </c>
      <c r="F245" s="61"/>
      <c r="H245" t="str">
        <f>ToJsonArray(supplementary_offering_legacyid__4[[#Headers],[offeringid]:[json]],supplementary_offering_legacyid__4[[#This Row],[offeringid]:[ignore]])</f>
        <v>{"offeringid":"920001114","name":"Data 1.5GB_920001114","mode":"N"}</v>
      </c>
      <c r="I245" t="str">
        <f>ToJsonArray(supplementary_offering_legacyid__4[[#This Row],[semilla04]],supplementary_offering_legacyid__4[[#This Row],[json]])</f>
        <v>{"200011-14":{"offeringid":"920001114","name":"Data 1.5GB_920001114","mode":"N"}}</v>
      </c>
    </row>
    <row r="246" spans="1:9" x14ac:dyDescent="0.25">
      <c r="A246" s="60" t="s">
        <v>2867</v>
      </c>
      <c r="B246" s="60" t="str">
        <f>findKey(supplementary_offering_legacyid__4[[#This Row],[PRODUCCION]])</f>
        <v>200011-15</v>
      </c>
      <c r="C246" s="61" t="s">
        <v>2868</v>
      </c>
      <c r="D246" t="s">
        <v>2869</v>
      </c>
      <c r="E246" t="s">
        <v>2329</v>
      </c>
      <c r="F246" s="61"/>
      <c r="H246" t="str">
        <f>ToJsonArray(supplementary_offering_legacyid__4[[#Headers],[offeringid]:[json]],supplementary_offering_legacyid__4[[#This Row],[offeringid]:[ignore]])</f>
        <v>{"offeringid":"920001115","name":"Data 2.5GB_920001115","mode":"N"}</v>
      </c>
      <c r="I246" t="str">
        <f>ToJsonArray(supplementary_offering_legacyid__4[[#This Row],[semilla04]],supplementary_offering_legacyid__4[[#This Row],[json]])</f>
        <v>{"200011-15":{"offeringid":"920001115","name":"Data 2.5GB_920001115","mode":"N"}}</v>
      </c>
    </row>
    <row r="247" spans="1:9" x14ac:dyDescent="0.25">
      <c r="A247" s="60" t="s">
        <v>2870</v>
      </c>
      <c r="B247" s="60" t="str">
        <f>findKey(supplementary_offering_legacyid__4[[#This Row],[PRODUCCION]])</f>
        <v>200011-16</v>
      </c>
      <c r="C247" s="61" t="s">
        <v>2871</v>
      </c>
      <c r="D247" t="s">
        <v>2872</v>
      </c>
      <c r="E247" t="s">
        <v>2329</v>
      </c>
      <c r="F247" s="61"/>
      <c r="H247" t="str">
        <f>ToJsonArray(supplementary_offering_legacyid__4[[#Headers],[offeringid]:[json]],supplementary_offering_legacyid__4[[#This Row],[offeringid]:[ignore]])</f>
        <v>{"offeringid":"920001116","name":"Data 3.5GB_920001116","mode":"N"}</v>
      </c>
      <c r="I247" t="str">
        <f>ToJsonArray(supplementary_offering_legacyid__4[[#This Row],[semilla04]],supplementary_offering_legacyid__4[[#This Row],[json]])</f>
        <v>{"200011-16":{"offeringid":"920001116","name":"Data 3.5GB_920001116","mode":"N"}}</v>
      </c>
    </row>
    <row r="248" spans="1:9" x14ac:dyDescent="0.25">
      <c r="A248" s="60" t="s">
        <v>2873</v>
      </c>
      <c r="B248" s="60" t="str">
        <f>findKey(supplementary_offering_legacyid__4[[#This Row],[PRODUCCION]])</f>
        <v>200011-17</v>
      </c>
      <c r="C248" s="61" t="s">
        <v>2874</v>
      </c>
      <c r="D248" t="s">
        <v>2875</v>
      </c>
      <c r="E248" t="s">
        <v>2329</v>
      </c>
      <c r="F248" s="61"/>
      <c r="H248" t="str">
        <f>ToJsonArray(supplementary_offering_legacyid__4[[#Headers],[offeringid]:[json]],supplementary_offering_legacyid__4[[#This Row],[offeringid]:[ignore]])</f>
        <v>{"offeringid":"920001117","name":"Data 4GB_920001117","mode":"N"}</v>
      </c>
      <c r="I248" t="str">
        <f>ToJsonArray(supplementary_offering_legacyid__4[[#This Row],[semilla04]],supplementary_offering_legacyid__4[[#This Row],[json]])</f>
        <v>{"200011-17":{"offeringid":"920001117","name":"Data 4GB_920001117","mode":"N"}}</v>
      </c>
    </row>
    <row r="249" spans="1:9" x14ac:dyDescent="0.25">
      <c r="A249" s="60" t="s">
        <v>2876</v>
      </c>
      <c r="B249" s="60" t="str">
        <f>findKey(supplementary_offering_legacyid__4[[#This Row],[PRODUCCION]])</f>
        <v>200011-18</v>
      </c>
      <c r="C249" s="61" t="s">
        <v>2877</v>
      </c>
      <c r="D249" t="s">
        <v>2878</v>
      </c>
      <c r="E249" t="s">
        <v>2329</v>
      </c>
      <c r="F249" s="61"/>
      <c r="H249" t="str">
        <f>ToJsonArray(supplementary_offering_legacyid__4[[#Headers],[offeringid]:[json]],supplementary_offering_legacyid__4[[#This Row],[offeringid]:[ignore]])</f>
        <v>{"offeringid":"920001118","name":"Data 6GB_920001118","mode":"N"}</v>
      </c>
      <c r="I249" t="str">
        <f>ToJsonArray(supplementary_offering_legacyid__4[[#This Row],[semilla04]],supplementary_offering_legacyid__4[[#This Row],[json]])</f>
        <v>{"200011-18":{"offeringid":"920001118","name":"Data 6GB_920001118","mode":"N"}}</v>
      </c>
    </row>
    <row r="250" spans="1:9" x14ac:dyDescent="0.25">
      <c r="A250" s="60" t="s">
        <v>2879</v>
      </c>
      <c r="B250" s="60" t="str">
        <f>findKey(supplementary_offering_legacyid__4[[#This Row],[PRODUCCION]])</f>
        <v>200011-19</v>
      </c>
      <c r="C250" s="61" t="s">
        <v>2880</v>
      </c>
      <c r="D250" t="s">
        <v>2881</v>
      </c>
      <c r="E250" t="s">
        <v>2329</v>
      </c>
      <c r="F250" s="61"/>
      <c r="H250" t="str">
        <f>ToJsonArray(supplementary_offering_legacyid__4[[#Headers],[offeringid]:[json]],supplementary_offering_legacyid__4[[#This Row],[offeringid]:[ignore]])</f>
        <v>{"offeringid":"920001119","name":"Data 8GB_920001119","mode":"N"}</v>
      </c>
      <c r="I250" t="str">
        <f>ToJsonArray(supplementary_offering_legacyid__4[[#This Row],[semilla04]],supplementary_offering_legacyid__4[[#This Row],[json]])</f>
        <v>{"200011-19":{"offeringid":"920001119","name":"Data 8GB_920001119","mode":"N"}}</v>
      </c>
    </row>
    <row r="251" spans="1:9" x14ac:dyDescent="0.25">
      <c r="A251" s="60" t="s">
        <v>2882</v>
      </c>
      <c r="B251" s="60" t="str">
        <f>findKey(supplementary_offering_legacyid__4[[#This Row],[PRODUCCION]])</f>
        <v>200011-20</v>
      </c>
      <c r="C251" s="61" t="s">
        <v>2883</v>
      </c>
      <c r="D251" t="s">
        <v>2884</v>
      </c>
      <c r="E251" t="s">
        <v>2329</v>
      </c>
      <c r="F251" s="61"/>
      <c r="H251" t="str">
        <f>ToJsonArray(supplementary_offering_legacyid__4[[#Headers],[offeringid]:[json]],supplementary_offering_legacyid__4[[#This Row],[offeringid]:[ignore]])</f>
        <v>{"offeringid":"920001120","name":"Data 10GB_920001120","mode":"N"}</v>
      </c>
      <c r="I251" t="str">
        <f>ToJsonArray(supplementary_offering_legacyid__4[[#This Row],[semilla04]],supplementary_offering_legacyid__4[[#This Row],[json]])</f>
        <v>{"200011-20":{"offeringid":"920001120","name":"Data 10GB_920001120","mode":"N"}}</v>
      </c>
    </row>
    <row r="252" spans="1:9" x14ac:dyDescent="0.25">
      <c r="A252" s="60" t="s">
        <v>2885</v>
      </c>
      <c r="B252" s="60" t="str">
        <f>findKey(supplementary_offering_legacyid__4[[#This Row],[PRODUCCION]])</f>
        <v>200011-21</v>
      </c>
      <c r="C252" s="61" t="s">
        <v>2886</v>
      </c>
      <c r="D252" t="s">
        <v>2887</v>
      </c>
      <c r="E252" t="s">
        <v>2329</v>
      </c>
      <c r="F252" s="61"/>
      <c r="H252" t="str">
        <f>ToJsonArray(supplementary_offering_legacyid__4[[#Headers],[offeringid]:[json]],supplementary_offering_legacyid__4[[#This Row],[offeringid]:[ignore]])</f>
        <v>{"offeringid":"920001121","name":"Data 12GB_920001121","mode":"N"}</v>
      </c>
      <c r="I252" t="str">
        <f>ToJsonArray(supplementary_offering_legacyid__4[[#This Row],[semilla04]],supplementary_offering_legacyid__4[[#This Row],[json]])</f>
        <v>{"200011-21":{"offeringid":"920001121","name":"Data 12GB_920001121","mode":"N"}}</v>
      </c>
    </row>
    <row r="253" spans="1:9" x14ac:dyDescent="0.25">
      <c r="A253" s="60" t="s">
        <v>2888</v>
      </c>
      <c r="B253" s="60" t="str">
        <f>findKey(supplementary_offering_legacyid__4[[#This Row],[PRODUCCION]])</f>
        <v>200011-22</v>
      </c>
      <c r="C253" s="61" t="s">
        <v>2889</v>
      </c>
      <c r="D253" t="s">
        <v>2890</v>
      </c>
      <c r="E253" t="s">
        <v>2329</v>
      </c>
      <c r="F253" s="61"/>
      <c r="H253" t="str">
        <f>ToJsonArray(supplementary_offering_legacyid__4[[#Headers],[offeringid]:[json]],supplementary_offering_legacyid__4[[#This Row],[offeringid]:[ignore]])</f>
        <v>{"offeringid":"920001122","name":"Data WhatsApp_920001122","mode":"N"}</v>
      </c>
      <c r="I253" t="str">
        <f>ToJsonArray(supplementary_offering_legacyid__4[[#This Row],[semilla04]],supplementary_offering_legacyid__4[[#This Row],[json]])</f>
        <v>{"200011-22":{"offeringid":"920001122","name":"Data WhatsApp_920001122","mode":"N"}}</v>
      </c>
    </row>
    <row r="254" spans="1:9" x14ac:dyDescent="0.25">
      <c r="A254" s="60" t="s">
        <v>2891</v>
      </c>
      <c r="B254" s="60" t="str">
        <f>findKey(supplementary_offering_legacyid__4[[#This Row],[PRODUCCION]])</f>
        <v>200011-23</v>
      </c>
      <c r="C254" s="61" t="s">
        <v>2892</v>
      </c>
      <c r="D254" t="s">
        <v>2893</v>
      </c>
      <c r="E254" t="s">
        <v>2329</v>
      </c>
      <c r="F254" s="61"/>
      <c r="H254" t="str">
        <f>ToJsonArray(supplementary_offering_legacyid__4[[#Headers],[offeringid]:[json]],supplementary_offering_legacyid__4[[#This Row],[offeringid]:[ignore]])</f>
        <v>{"offeringid":"920001123","name":"Data WhatsFace_920001123","mode":"N"}</v>
      </c>
      <c r="I254" t="str">
        <f>ToJsonArray(supplementary_offering_legacyid__4[[#This Row],[semilla04]],supplementary_offering_legacyid__4[[#This Row],[json]])</f>
        <v>{"200011-23":{"offeringid":"920001123","name":"Data WhatsFace_920001123","mode":"N"}}</v>
      </c>
    </row>
    <row r="255" spans="1:9" x14ac:dyDescent="0.25">
      <c r="A255" s="60" t="s">
        <v>2894</v>
      </c>
      <c r="B255" s="60" t="str">
        <f>findKey(supplementary_offering_legacyid__4[[#This Row],[PRODUCCION]])</f>
        <v>200011-26</v>
      </c>
      <c r="C255" s="61" t="s">
        <v>2895</v>
      </c>
      <c r="D255" t="s">
        <v>2896</v>
      </c>
      <c r="E255" t="s">
        <v>2329</v>
      </c>
      <c r="F255" s="61"/>
      <c r="H255" t="str">
        <f>ToJsonArray(supplementary_offering_legacyid__4[[#Headers],[offeringid]:[json]],supplementary_offering_legacyid__4[[#This Row],[offeringid]:[ignore]])</f>
        <v>{"offeringid":"920001126","name":"Data Unlimited_920001126","mode":"N"}</v>
      </c>
      <c r="I255" t="str">
        <f>ToJsonArray(supplementary_offering_legacyid__4[[#This Row],[semilla04]],supplementary_offering_legacyid__4[[#This Row],[json]])</f>
        <v>{"200011-26":{"offeringid":"920001126","name":"Data Unlimited_920001126","mode":"N"}}</v>
      </c>
    </row>
    <row r="256" spans="1:9" x14ac:dyDescent="0.25">
      <c r="A256" s="60" t="s">
        <v>2897</v>
      </c>
      <c r="B256" s="60" t="str">
        <f>findKey(supplementary_offering_legacyid__4[[#This Row],[PRODUCCION]])</f>
        <v>200011-29</v>
      </c>
      <c r="C256" s="61" t="s">
        <v>2898</v>
      </c>
      <c r="D256" t="s">
        <v>2899</v>
      </c>
      <c r="E256" t="s">
        <v>2329</v>
      </c>
      <c r="F256" s="61"/>
      <c r="H256" t="str">
        <f>ToJsonArray(supplementary_offering_legacyid__4[[#Headers],[offeringid]:[json]],supplementary_offering_legacyid__4[[#This Row],[offeringid]:[ignore]])</f>
        <v>{"offeringid":"920001129","name":"Data 2.5GB WhatsFace_920001129","mode":"N"}</v>
      </c>
      <c r="I256" t="str">
        <f>ToJsonArray(supplementary_offering_legacyid__4[[#This Row],[semilla04]],supplementary_offering_legacyid__4[[#This Row],[json]])</f>
        <v>{"200011-29":{"offeringid":"920001129","name":"Data 2.5GB WhatsFace_920001129","mode":"N"}}</v>
      </c>
    </row>
    <row r="257" spans="1:9" x14ac:dyDescent="0.25">
      <c r="A257" s="60" t="s">
        <v>2900</v>
      </c>
      <c r="B257" s="60" t="str">
        <f>findKey(supplementary_offering_legacyid__4[[#This Row],[PRODUCCION]])</f>
        <v>200011-30</v>
      </c>
      <c r="C257" s="61" t="s">
        <v>2901</v>
      </c>
      <c r="D257" t="s">
        <v>2902</v>
      </c>
      <c r="E257" t="s">
        <v>2329</v>
      </c>
      <c r="F257" s="61"/>
      <c r="H257" t="str">
        <f>ToJsonArray(supplementary_offering_legacyid__4[[#Headers],[offeringid]:[json]],supplementary_offering_legacyid__4[[#This Row],[offeringid]:[ignore]])</f>
        <v>{"offeringid":"920001130","name":"Data 3.5GB WhatsFace_920001130","mode":"N"}</v>
      </c>
      <c r="I257" t="str">
        <f>ToJsonArray(supplementary_offering_legacyid__4[[#This Row],[semilla04]],supplementary_offering_legacyid__4[[#This Row],[json]])</f>
        <v>{"200011-30":{"offeringid":"920001130","name":"Data 3.5GB WhatsFace_920001130","mode":"N"}}</v>
      </c>
    </row>
    <row r="258" spans="1:9" x14ac:dyDescent="0.25">
      <c r="A258" s="60" t="s">
        <v>2903</v>
      </c>
      <c r="B258" s="60" t="str">
        <f>findKey(supplementary_offering_legacyid__4[[#This Row],[PRODUCCION]])</f>
        <v>200011-31</v>
      </c>
      <c r="C258" s="61" t="s">
        <v>2904</v>
      </c>
      <c r="D258" t="s">
        <v>2905</v>
      </c>
      <c r="E258" t="s">
        <v>2329</v>
      </c>
      <c r="F258" s="61"/>
      <c r="H258" t="str">
        <f>ToJsonArray(supplementary_offering_legacyid__4[[#Headers],[offeringid]:[json]],supplementary_offering_legacyid__4[[#This Row],[offeringid]:[ignore]])</f>
        <v>{"offeringid":"920001131","name":"Data 7GB WhatsFace_920001131","mode":"N"}</v>
      </c>
      <c r="I258" t="str">
        <f>ToJsonArray(supplementary_offering_legacyid__4[[#This Row],[semilla04]],supplementary_offering_legacyid__4[[#This Row],[json]])</f>
        <v>{"200011-31":{"offeringid":"920001131","name":"Data 7GB WhatsFace_920001131","mode":"N"}}</v>
      </c>
    </row>
    <row r="259" spans="1:9" x14ac:dyDescent="0.25">
      <c r="A259" s="60" t="s">
        <v>2906</v>
      </c>
      <c r="B259" s="60" t="str">
        <f>findKey(supplementary_offering_legacyid__4[[#This Row],[PRODUCCION]])</f>
        <v>200011-48</v>
      </c>
      <c r="C259" s="61" t="s">
        <v>2907</v>
      </c>
      <c r="D259" t="s">
        <v>2908</v>
      </c>
      <c r="E259" t="s">
        <v>2329</v>
      </c>
      <c r="F259" s="61"/>
      <c r="H259" t="str">
        <f>ToJsonArray(supplementary_offering_legacyid__4[[#Headers],[offeringid]:[json]],supplementary_offering_legacyid__4[[#This Row],[offeringid]:[ignore]])</f>
        <v>{"offeringid":"920001148","name":"Data 800MB_920001148","mode":"N"}</v>
      </c>
      <c r="I259" t="str">
        <f>ToJsonArray(supplementary_offering_legacyid__4[[#This Row],[semilla04]],supplementary_offering_legacyid__4[[#This Row],[json]])</f>
        <v>{"200011-48":{"offeringid":"920001148","name":"Data 800MB_920001148","mode":"N"}}</v>
      </c>
    </row>
    <row r="260" spans="1:9" x14ac:dyDescent="0.25">
      <c r="A260" s="60" t="s">
        <v>2909</v>
      </c>
      <c r="B260" s="60" t="str">
        <f>findKey(supplementary_offering_legacyid__4[[#This Row],[PRODUCCION]])</f>
        <v>200011-49</v>
      </c>
      <c r="C260" s="61" t="s">
        <v>2910</v>
      </c>
      <c r="D260" t="s">
        <v>2911</v>
      </c>
      <c r="E260" t="s">
        <v>2329</v>
      </c>
      <c r="F260" s="61"/>
      <c r="H260" t="str">
        <f>ToJsonArray(supplementary_offering_legacyid__4[[#Headers],[offeringid]:[json]],supplementary_offering_legacyid__4[[#This Row],[offeringid]:[ignore]])</f>
        <v>{"offeringid":"920001149","name":"Data 1.5GB_920001149","mode":"N"}</v>
      </c>
      <c r="I260" t="str">
        <f>ToJsonArray(supplementary_offering_legacyid__4[[#This Row],[semilla04]],supplementary_offering_legacyid__4[[#This Row],[json]])</f>
        <v>{"200011-49":{"offeringid":"920001149","name":"Data 1.5GB_920001149","mode":"N"}}</v>
      </c>
    </row>
    <row r="261" spans="1:9" x14ac:dyDescent="0.25">
      <c r="A261" s="60" t="s">
        <v>2912</v>
      </c>
      <c r="B261" s="60" t="str">
        <f>findKey(supplementary_offering_legacyid__4[[#This Row],[PRODUCCION]])</f>
        <v>200011-50</v>
      </c>
      <c r="C261" s="61" t="s">
        <v>2913</v>
      </c>
      <c r="D261" t="s">
        <v>2914</v>
      </c>
      <c r="E261" t="s">
        <v>2329</v>
      </c>
      <c r="F261" s="61"/>
      <c r="H261" t="str">
        <f>ToJsonArray(supplementary_offering_legacyid__4[[#Headers],[offeringid]:[json]],supplementary_offering_legacyid__4[[#This Row],[offeringid]:[ignore]])</f>
        <v>{"offeringid":"920001150","name":"Data 2.5GB_920001150","mode":"N"}</v>
      </c>
      <c r="I261" t="str">
        <f>ToJsonArray(supplementary_offering_legacyid__4[[#This Row],[semilla04]],supplementary_offering_legacyid__4[[#This Row],[json]])</f>
        <v>{"200011-50":{"offeringid":"920001150","name":"Data 2.5GB_920001150","mode":"N"}}</v>
      </c>
    </row>
    <row r="262" spans="1:9" x14ac:dyDescent="0.25">
      <c r="A262" s="60" t="s">
        <v>2915</v>
      </c>
      <c r="B262" s="60" t="str">
        <f>findKey(supplementary_offering_legacyid__4[[#This Row],[PRODUCCION]])</f>
        <v>200011-51</v>
      </c>
      <c r="C262" s="61" t="s">
        <v>2916</v>
      </c>
      <c r="D262" t="s">
        <v>2917</v>
      </c>
      <c r="E262" t="s">
        <v>2329</v>
      </c>
      <c r="F262" s="61"/>
      <c r="H262" t="str">
        <f>ToJsonArray(supplementary_offering_legacyid__4[[#Headers],[offeringid]:[json]],supplementary_offering_legacyid__4[[#This Row],[offeringid]:[ignore]])</f>
        <v>{"offeringid":"920001151","name":"Data 3.5GB_920001151","mode":"N"}</v>
      </c>
      <c r="I262" t="str">
        <f>ToJsonArray(supplementary_offering_legacyid__4[[#This Row],[semilla04]],supplementary_offering_legacyid__4[[#This Row],[json]])</f>
        <v>{"200011-51":{"offeringid":"920001151","name":"Data 3.5GB_920001151","mode":"N"}}</v>
      </c>
    </row>
    <row r="263" spans="1:9" x14ac:dyDescent="0.25">
      <c r="A263" s="60" t="s">
        <v>2918</v>
      </c>
      <c r="B263" s="60" t="str">
        <f>findKey(supplementary_offering_legacyid__4[[#This Row],[PRODUCCION]])</f>
        <v>200011-52</v>
      </c>
      <c r="C263" s="61" t="s">
        <v>2919</v>
      </c>
      <c r="D263" t="s">
        <v>2920</v>
      </c>
      <c r="E263" t="s">
        <v>2329</v>
      </c>
      <c r="F263" s="61"/>
      <c r="H263" t="str">
        <f>ToJsonArray(supplementary_offering_legacyid__4[[#Headers],[offeringid]:[json]],supplementary_offering_legacyid__4[[#This Row],[offeringid]:[ignore]])</f>
        <v>{"offeringid":"920001152","name":"Data 4GB_920001152","mode":"N"}</v>
      </c>
      <c r="I263" t="str">
        <f>ToJsonArray(supplementary_offering_legacyid__4[[#This Row],[semilla04]],supplementary_offering_legacyid__4[[#This Row],[json]])</f>
        <v>{"200011-52":{"offeringid":"920001152","name":"Data 4GB_920001152","mode":"N"}}</v>
      </c>
    </row>
    <row r="264" spans="1:9" x14ac:dyDescent="0.25">
      <c r="A264" s="60" t="s">
        <v>2921</v>
      </c>
      <c r="B264" s="60" t="str">
        <f>findKey(supplementary_offering_legacyid__4[[#This Row],[PRODUCCION]])</f>
        <v>200011-53</v>
      </c>
      <c r="C264" s="61" t="s">
        <v>2922</v>
      </c>
      <c r="D264" t="s">
        <v>2923</v>
      </c>
      <c r="E264" t="s">
        <v>2329</v>
      </c>
      <c r="F264" s="61"/>
      <c r="H264" t="str">
        <f>ToJsonArray(supplementary_offering_legacyid__4[[#Headers],[offeringid]:[json]],supplementary_offering_legacyid__4[[#This Row],[offeringid]:[ignore]])</f>
        <v>{"offeringid":"920001153","name":"Data 7GB_920001153","mode":"N"}</v>
      </c>
      <c r="I264" t="str">
        <f>ToJsonArray(supplementary_offering_legacyid__4[[#This Row],[semilla04]],supplementary_offering_legacyid__4[[#This Row],[json]])</f>
        <v>{"200011-53":{"offeringid":"920001153","name":"Data 7GB_920001153","mode":"N"}}</v>
      </c>
    </row>
    <row r="265" spans="1:9" x14ac:dyDescent="0.25">
      <c r="A265" s="60" t="s">
        <v>2924</v>
      </c>
      <c r="B265" s="60" t="str">
        <f>findKey(supplementary_offering_legacyid__4[[#This Row],[PRODUCCION]])</f>
        <v>200011-54</v>
      </c>
      <c r="C265" s="61" t="s">
        <v>2925</v>
      </c>
      <c r="D265" t="s">
        <v>2926</v>
      </c>
      <c r="E265" t="s">
        <v>2329</v>
      </c>
      <c r="F265" s="61"/>
      <c r="H265" t="str">
        <f>ToJsonArray(supplementary_offering_legacyid__4[[#Headers],[offeringid]:[json]],supplementary_offering_legacyid__4[[#This Row],[offeringid]:[ignore]])</f>
        <v>{"offeringid":"920001154","name":"Data 1GB_920001154","mode":"N"}</v>
      </c>
      <c r="I265" t="str">
        <f>ToJsonArray(supplementary_offering_legacyid__4[[#This Row],[semilla04]],supplementary_offering_legacyid__4[[#This Row],[json]])</f>
        <v>{"200011-54":{"offeringid":"920001154","name":"Data 1GB_920001154","mode":"N"}}</v>
      </c>
    </row>
    <row r="266" spans="1:9" x14ac:dyDescent="0.25">
      <c r="A266" s="60" t="s">
        <v>2927</v>
      </c>
      <c r="B266" s="60" t="str">
        <f>findKey(supplementary_offering_legacyid__4[[#This Row],[PRODUCCION]])</f>
        <v>200011-55</v>
      </c>
      <c r="C266" s="61" t="s">
        <v>2928</v>
      </c>
      <c r="D266" t="s">
        <v>2929</v>
      </c>
      <c r="E266" t="s">
        <v>2329</v>
      </c>
      <c r="F266" s="61"/>
      <c r="H266" t="str">
        <f>ToJsonArray(supplementary_offering_legacyid__4[[#Headers],[offeringid]:[json]],supplementary_offering_legacyid__4[[#This Row],[offeringid]:[ignore]])</f>
        <v>{"offeringid":"920001155","name":"Data 1GB_920001155","mode":"N"}</v>
      </c>
      <c r="I266" t="str">
        <f>ToJsonArray(supplementary_offering_legacyid__4[[#This Row],[semilla04]],supplementary_offering_legacyid__4[[#This Row],[json]])</f>
        <v>{"200011-55":{"offeringid":"920001155","name":"Data 1GB_920001155","mode":"N"}}</v>
      </c>
    </row>
    <row r="267" spans="1:9" x14ac:dyDescent="0.25">
      <c r="A267" s="60" t="s">
        <v>2930</v>
      </c>
      <c r="B267" s="60" t="str">
        <f>findKey(supplementary_offering_legacyid__4[[#This Row],[PRODUCCION]])</f>
        <v>200011-56</v>
      </c>
      <c r="C267" s="61" t="s">
        <v>2931</v>
      </c>
      <c r="D267" t="s">
        <v>2932</v>
      </c>
      <c r="E267" t="s">
        <v>2329</v>
      </c>
      <c r="F267" s="61"/>
      <c r="H267" t="str">
        <f>ToJsonArray(supplementary_offering_legacyid__4[[#Headers],[offeringid]:[json]],supplementary_offering_legacyid__4[[#This Row],[offeringid]:[ignore]])</f>
        <v>{"offeringid":"920001156","name":"Data 3GB_920001156","mode":"N"}</v>
      </c>
      <c r="I267" t="str">
        <f>ToJsonArray(supplementary_offering_legacyid__4[[#This Row],[semilla04]],supplementary_offering_legacyid__4[[#This Row],[json]])</f>
        <v>{"200011-56":{"offeringid":"920001156","name":"Data 3GB_920001156","mode":"N"}}</v>
      </c>
    </row>
    <row r="268" spans="1:9" x14ac:dyDescent="0.25">
      <c r="A268" s="60" t="s">
        <v>2933</v>
      </c>
      <c r="B268" s="60" t="str">
        <f>findKey(supplementary_offering_legacyid__4[[#This Row],[PRODUCCION]])</f>
        <v>200011-57</v>
      </c>
      <c r="C268" s="61" t="s">
        <v>2934</v>
      </c>
      <c r="D268" t="s">
        <v>2935</v>
      </c>
      <c r="E268" t="s">
        <v>2329</v>
      </c>
      <c r="F268" s="61"/>
      <c r="H268" t="str">
        <f>ToJsonArray(supplementary_offering_legacyid__4[[#Headers],[offeringid]:[json]],supplementary_offering_legacyid__4[[#This Row],[offeringid]:[ignore]])</f>
        <v>{"offeringid":"920001157","name":"Data 3GB_920001157","mode":"N"}</v>
      </c>
      <c r="I268" t="str">
        <f>ToJsonArray(supplementary_offering_legacyid__4[[#This Row],[semilla04]],supplementary_offering_legacyid__4[[#This Row],[json]])</f>
        <v>{"200011-57":{"offeringid":"920001157","name":"Data 3GB_920001157","mode":"N"}}</v>
      </c>
    </row>
    <row r="269" spans="1:9" x14ac:dyDescent="0.25">
      <c r="A269" s="60" t="s">
        <v>2936</v>
      </c>
      <c r="B269" s="60" t="str">
        <f>findKey(supplementary_offering_legacyid__4[[#This Row],[PRODUCCION]])</f>
        <v>200011-58</v>
      </c>
      <c r="C269" s="61" t="s">
        <v>2937</v>
      </c>
      <c r="D269" t="s">
        <v>2938</v>
      </c>
      <c r="E269" t="s">
        <v>2329</v>
      </c>
      <c r="F269" s="61"/>
      <c r="H269" t="str">
        <f>ToJsonArray(supplementary_offering_legacyid__4[[#Headers],[offeringid]:[json]],supplementary_offering_legacyid__4[[#This Row],[offeringid]:[ignore]])</f>
        <v>{"offeringid":"920001158","name":"Data 5GB_920001158","mode":"N"}</v>
      </c>
      <c r="I269" t="str">
        <f>ToJsonArray(supplementary_offering_legacyid__4[[#This Row],[semilla04]],supplementary_offering_legacyid__4[[#This Row],[json]])</f>
        <v>{"200011-58":{"offeringid":"920001158","name":"Data 5GB_920001158","mode":"N"}}</v>
      </c>
    </row>
    <row r="270" spans="1:9" x14ac:dyDescent="0.25">
      <c r="A270" s="60" t="s">
        <v>2939</v>
      </c>
      <c r="B270" s="60" t="str">
        <f>findKey(supplementary_offering_legacyid__4[[#This Row],[PRODUCCION]])</f>
        <v>200011-59</v>
      </c>
      <c r="C270" s="61" t="s">
        <v>2940</v>
      </c>
      <c r="D270" t="s">
        <v>2941</v>
      </c>
      <c r="E270" t="s">
        <v>2329</v>
      </c>
      <c r="F270" s="61"/>
      <c r="H270" t="str">
        <f>ToJsonArray(supplementary_offering_legacyid__4[[#Headers],[offeringid]:[json]],supplementary_offering_legacyid__4[[#This Row],[offeringid]:[ignore]])</f>
        <v>{"offeringid":"920001159","name":"Data 5GB_920001159","mode":"N"}</v>
      </c>
      <c r="I270" t="str">
        <f>ToJsonArray(supplementary_offering_legacyid__4[[#This Row],[semilla04]],supplementary_offering_legacyid__4[[#This Row],[json]])</f>
        <v>{"200011-59":{"offeringid":"920001159","name":"Data 5GB_920001159","mode":"N"}}</v>
      </c>
    </row>
    <row r="271" spans="1:9" x14ac:dyDescent="0.25">
      <c r="A271" s="60" t="s">
        <v>2942</v>
      </c>
      <c r="B271" s="60" t="str">
        <f>findKey(supplementary_offering_legacyid__4[[#This Row],[PRODUCCION]])</f>
        <v>200011-60</v>
      </c>
      <c r="C271" s="61" t="s">
        <v>2943</v>
      </c>
      <c r="D271" t="s">
        <v>2944</v>
      </c>
      <c r="E271" t="s">
        <v>2329</v>
      </c>
      <c r="F271" s="61"/>
      <c r="H271" t="str">
        <f>ToJsonArray(supplementary_offering_legacyid__4[[#Headers],[offeringid]:[json]],supplementary_offering_legacyid__4[[#This Row],[offeringid]:[ignore]])</f>
        <v>{"offeringid":"920001160","name":"Data 8GB_920001160","mode":"N"}</v>
      </c>
      <c r="I271" t="str">
        <f>ToJsonArray(supplementary_offering_legacyid__4[[#This Row],[semilla04]],supplementary_offering_legacyid__4[[#This Row],[json]])</f>
        <v>{"200011-60":{"offeringid":"920001160","name":"Data 8GB_920001160","mode":"N"}}</v>
      </c>
    </row>
    <row r="272" spans="1:9" x14ac:dyDescent="0.25">
      <c r="A272" s="60" t="s">
        <v>2945</v>
      </c>
      <c r="B272" s="60" t="str">
        <f>findKey(supplementary_offering_legacyid__4[[#This Row],[PRODUCCION]])</f>
        <v>200011-61</v>
      </c>
      <c r="C272" s="61" t="s">
        <v>2946</v>
      </c>
      <c r="D272" t="s">
        <v>2947</v>
      </c>
      <c r="E272" t="s">
        <v>2329</v>
      </c>
      <c r="F272" s="61"/>
      <c r="H272" t="str">
        <f>ToJsonArray(supplementary_offering_legacyid__4[[#Headers],[offeringid]:[json]],supplementary_offering_legacyid__4[[#This Row],[offeringid]:[ignore]])</f>
        <v>{"offeringid":"920001161","name":"Data 10GB_920001161","mode":"N"}</v>
      </c>
      <c r="I272" t="str">
        <f>ToJsonArray(supplementary_offering_legacyid__4[[#This Row],[semilla04]],supplementary_offering_legacyid__4[[#This Row],[json]])</f>
        <v>{"200011-61":{"offeringid":"920001161","name":"Data 10GB_920001161","mode":"N"}}</v>
      </c>
    </row>
    <row r="273" spans="1:9" x14ac:dyDescent="0.25">
      <c r="A273" s="60" t="s">
        <v>2948</v>
      </c>
      <c r="B273" s="60" t="str">
        <f>findKey(supplementary_offering_legacyid__4[[#This Row],[PRODUCCION]])</f>
        <v>200011-62</v>
      </c>
      <c r="C273" s="61" t="s">
        <v>2949</v>
      </c>
      <c r="D273" t="s">
        <v>2950</v>
      </c>
      <c r="E273" t="s">
        <v>2329</v>
      </c>
      <c r="F273" s="61"/>
      <c r="H273" t="str">
        <f>ToJsonArray(supplementary_offering_legacyid__4[[#Headers],[offeringid]:[json]],supplementary_offering_legacyid__4[[#This Row],[offeringid]:[ignore]])</f>
        <v>{"offeringid":"920001162","name":"Data 15GB_920001162","mode":"N"}</v>
      </c>
      <c r="I273" t="str">
        <f>ToJsonArray(supplementary_offering_legacyid__4[[#This Row],[semilla04]],supplementary_offering_legacyid__4[[#This Row],[json]])</f>
        <v>{"200011-62":{"offeringid":"920001162","name":"Data 15GB_920001162","mode":"N"}}</v>
      </c>
    </row>
    <row r="274" spans="1:9" x14ac:dyDescent="0.25">
      <c r="A274" s="60" t="s">
        <v>2951</v>
      </c>
      <c r="B274" s="60" t="str">
        <f>findKey(supplementary_offering_legacyid__4[[#This Row],[PRODUCCION]])</f>
        <v>200011-63</v>
      </c>
      <c r="C274" s="61" t="s">
        <v>2952</v>
      </c>
      <c r="D274" t="s">
        <v>2953</v>
      </c>
      <c r="E274" t="s">
        <v>2329</v>
      </c>
      <c r="F274" s="61"/>
      <c r="H274" t="str">
        <f>ToJsonArray(supplementary_offering_legacyid__4[[#Headers],[offeringid]:[json]],supplementary_offering_legacyid__4[[#This Row],[offeringid]:[ignore]])</f>
        <v>{"offeringid":"920001163","name":"Data 20GB_920001163","mode":"N"}</v>
      </c>
      <c r="I274" t="str">
        <f>ToJsonArray(supplementary_offering_legacyid__4[[#This Row],[semilla04]],supplementary_offering_legacyid__4[[#This Row],[json]])</f>
        <v>{"200011-63":{"offeringid":"920001163","name":"Data 20GB_920001163","mode":"N"}}</v>
      </c>
    </row>
    <row r="275" spans="1:9" x14ac:dyDescent="0.25">
      <c r="A275" s="60" t="s">
        <v>2954</v>
      </c>
      <c r="B275" s="60" t="str">
        <f>findKey(supplementary_offering_legacyid__4[[#This Row],[PRODUCCION]])</f>
        <v>200011-65</v>
      </c>
      <c r="C275" s="61" t="s">
        <v>2955</v>
      </c>
      <c r="D275" t="s">
        <v>2956</v>
      </c>
      <c r="E275" t="s">
        <v>2329</v>
      </c>
      <c r="F275" s="61"/>
      <c r="H275" t="str">
        <f>ToJsonArray(supplementary_offering_legacyid__4[[#Headers],[offeringid]:[json]],supplementary_offering_legacyid__4[[#This Row],[offeringid]:[ignore]])</f>
        <v>{"offeringid":"920001165","name":"Data 1TB_920001165","mode":"N"}</v>
      </c>
      <c r="I275" t="str">
        <f>ToJsonArray(supplementary_offering_legacyid__4[[#This Row],[semilla04]],supplementary_offering_legacyid__4[[#This Row],[json]])</f>
        <v>{"200011-65":{"offeringid":"920001165","name":"Data 1TB_920001165","mode":"N"}}</v>
      </c>
    </row>
    <row r="276" spans="1:9" x14ac:dyDescent="0.25">
      <c r="A276" s="60" t="s">
        <v>2957</v>
      </c>
      <c r="B276" s="60" t="str">
        <f>findKey(supplementary_offering_legacyid__4[[#This Row],[PRODUCCION]])</f>
        <v>200011-66</v>
      </c>
      <c r="C276" s="61" t="s">
        <v>2958</v>
      </c>
      <c r="D276" t="s">
        <v>2959</v>
      </c>
      <c r="E276" t="s">
        <v>2329</v>
      </c>
      <c r="F276" s="61"/>
      <c r="H276" t="str">
        <f>ToJsonArray(supplementary_offering_legacyid__4[[#Headers],[offeringid]:[json]],supplementary_offering_legacyid__4[[#This Row],[offeringid]:[ignore]])</f>
        <v>{"offeringid":"920001166","name":"Data 0.8GB_920001166","mode":"N"}</v>
      </c>
      <c r="I276" t="str">
        <f>ToJsonArray(supplementary_offering_legacyid__4[[#This Row],[semilla04]],supplementary_offering_legacyid__4[[#This Row],[json]])</f>
        <v>{"200011-66":{"offeringid":"920001166","name":"Data 0.8GB_920001166","mode":"N"}}</v>
      </c>
    </row>
    <row r="277" spans="1:9" x14ac:dyDescent="0.25">
      <c r="A277" s="60" t="s">
        <v>2960</v>
      </c>
      <c r="B277" s="60" t="str">
        <f>findKey(supplementary_offering_legacyid__4[[#This Row],[PRODUCCION]])</f>
        <v>200011-67</v>
      </c>
      <c r="C277" s="61" t="s">
        <v>2961</v>
      </c>
      <c r="D277" t="s">
        <v>2962</v>
      </c>
      <c r="E277" t="s">
        <v>2329</v>
      </c>
      <c r="F277" s="61"/>
      <c r="H277" t="str">
        <f>ToJsonArray(supplementary_offering_legacyid__4[[#Headers],[offeringid]:[json]],supplementary_offering_legacyid__4[[#This Row],[offeringid]:[ignore]])</f>
        <v>{"offeringid":"920001167","name":"Data 1.5GB_920001167","mode":"N"}</v>
      </c>
      <c r="I277" t="str">
        <f>ToJsonArray(supplementary_offering_legacyid__4[[#This Row],[semilla04]],supplementary_offering_legacyid__4[[#This Row],[json]])</f>
        <v>{"200011-67":{"offeringid":"920001167","name":"Data 1.5GB_920001167","mode":"N"}}</v>
      </c>
    </row>
    <row r="278" spans="1:9" x14ac:dyDescent="0.25">
      <c r="A278" s="60" t="s">
        <v>2963</v>
      </c>
      <c r="B278" s="60" t="str">
        <f>findKey(supplementary_offering_legacyid__4[[#This Row],[PRODUCCION]])</f>
        <v>200011-68</v>
      </c>
      <c r="C278" s="61" t="s">
        <v>2964</v>
      </c>
      <c r="D278" t="s">
        <v>2965</v>
      </c>
      <c r="E278" t="s">
        <v>2329</v>
      </c>
      <c r="F278" s="61"/>
      <c r="H278" t="str">
        <f>ToJsonArray(supplementary_offering_legacyid__4[[#Headers],[offeringid]:[json]],supplementary_offering_legacyid__4[[#This Row],[offeringid]:[ignore]])</f>
        <v>{"offeringid":"920001168","name":"Data 2.5GB_920001168","mode":"N"}</v>
      </c>
      <c r="I278" t="str">
        <f>ToJsonArray(supplementary_offering_legacyid__4[[#This Row],[semilla04]],supplementary_offering_legacyid__4[[#This Row],[json]])</f>
        <v>{"200011-68":{"offeringid":"920001168","name":"Data 2.5GB_920001168","mode":"N"}}</v>
      </c>
    </row>
    <row r="279" spans="1:9" x14ac:dyDescent="0.25">
      <c r="A279" s="60" t="s">
        <v>2966</v>
      </c>
      <c r="B279" s="60" t="str">
        <f>findKey(supplementary_offering_legacyid__4[[#This Row],[PRODUCCION]])</f>
        <v>200011-69</v>
      </c>
      <c r="C279" s="61" t="s">
        <v>2967</v>
      </c>
      <c r="D279" t="s">
        <v>2968</v>
      </c>
      <c r="E279" t="s">
        <v>2329</v>
      </c>
      <c r="F279" s="61"/>
      <c r="H279" t="str">
        <f>ToJsonArray(supplementary_offering_legacyid__4[[#Headers],[offeringid]:[json]],supplementary_offering_legacyid__4[[#This Row],[offeringid]:[ignore]])</f>
        <v>{"offeringid":"920001169","name":"Data 3GB_920001169","mode":"N"}</v>
      </c>
      <c r="I279" t="str">
        <f>ToJsonArray(supplementary_offering_legacyid__4[[#This Row],[semilla04]],supplementary_offering_legacyid__4[[#This Row],[json]])</f>
        <v>{"200011-69":{"offeringid":"920001169","name":"Data 3GB_920001169","mode":"N"}}</v>
      </c>
    </row>
    <row r="280" spans="1:9" x14ac:dyDescent="0.25">
      <c r="A280" s="60" t="s">
        <v>2969</v>
      </c>
      <c r="B280" s="60" t="str">
        <f>findKey(supplementary_offering_legacyid__4[[#This Row],[PRODUCCION]])</f>
        <v>200011-70</v>
      </c>
      <c r="C280" s="61" t="s">
        <v>2970</v>
      </c>
      <c r="D280" t="s">
        <v>2971</v>
      </c>
      <c r="E280" t="s">
        <v>2329</v>
      </c>
      <c r="F280" s="61"/>
      <c r="H280" t="str">
        <f>ToJsonArray(supplementary_offering_legacyid__4[[#Headers],[offeringid]:[json]],supplementary_offering_legacyid__4[[#This Row],[offeringid]:[ignore]])</f>
        <v>{"offeringid":"920001170","name":"Data 3.5GB_920001170","mode":"N"}</v>
      </c>
      <c r="I280" t="str">
        <f>ToJsonArray(supplementary_offering_legacyid__4[[#This Row],[semilla04]],supplementary_offering_legacyid__4[[#This Row],[json]])</f>
        <v>{"200011-70":{"offeringid":"920001170","name":"Data 3.5GB_920001170","mode":"N"}}</v>
      </c>
    </row>
    <row r="281" spans="1:9" x14ac:dyDescent="0.25">
      <c r="A281" s="60" t="s">
        <v>2972</v>
      </c>
      <c r="B281" s="60" t="str">
        <f>findKey(supplementary_offering_legacyid__4[[#This Row],[PRODUCCION]])</f>
        <v>200011-71</v>
      </c>
      <c r="C281" s="61" t="s">
        <v>2973</v>
      </c>
      <c r="D281" t="s">
        <v>2974</v>
      </c>
      <c r="E281" t="s">
        <v>2329</v>
      </c>
      <c r="F281" s="61"/>
      <c r="H281" t="str">
        <f>ToJsonArray(supplementary_offering_legacyid__4[[#Headers],[offeringid]:[json]],supplementary_offering_legacyid__4[[#This Row],[offeringid]:[ignore]])</f>
        <v>{"offeringid":"920001171","name":"Data 4GB_920001171","mode":"N"}</v>
      </c>
      <c r="I281" t="str">
        <f>ToJsonArray(supplementary_offering_legacyid__4[[#This Row],[semilla04]],supplementary_offering_legacyid__4[[#This Row],[json]])</f>
        <v>{"200011-71":{"offeringid":"920001171","name":"Data 4GB_920001171","mode":"N"}}</v>
      </c>
    </row>
    <row r="282" spans="1:9" x14ac:dyDescent="0.25">
      <c r="A282" s="60" t="s">
        <v>2975</v>
      </c>
      <c r="B282" s="60" t="str">
        <f>findKey(supplementary_offering_legacyid__4[[#This Row],[PRODUCCION]])</f>
        <v>200011-72</v>
      </c>
      <c r="C282" s="61" t="s">
        <v>2976</v>
      </c>
      <c r="D282" t="s">
        <v>2977</v>
      </c>
      <c r="E282" t="s">
        <v>2329</v>
      </c>
      <c r="F282" s="61"/>
      <c r="H282" t="str">
        <f>ToJsonArray(supplementary_offering_legacyid__4[[#Headers],[offeringid]:[json]],supplementary_offering_legacyid__4[[#This Row],[offeringid]:[ignore]])</f>
        <v>{"offeringid":"920001172","name":"Data 5GB_920001172","mode":"N"}</v>
      </c>
      <c r="I282" t="str">
        <f>ToJsonArray(supplementary_offering_legacyid__4[[#This Row],[semilla04]],supplementary_offering_legacyid__4[[#This Row],[json]])</f>
        <v>{"200011-72":{"offeringid":"920001172","name":"Data 5GB_920001172","mode":"N"}}</v>
      </c>
    </row>
    <row r="283" spans="1:9" x14ac:dyDescent="0.25">
      <c r="A283" s="60" t="s">
        <v>2978</v>
      </c>
      <c r="B283" s="60" t="str">
        <f>findKey(supplementary_offering_legacyid__4[[#This Row],[PRODUCCION]])</f>
        <v>200011-73</v>
      </c>
      <c r="C283" s="61" t="s">
        <v>2979</v>
      </c>
      <c r="D283" t="s">
        <v>2980</v>
      </c>
      <c r="E283" t="s">
        <v>2329</v>
      </c>
      <c r="F283" s="61"/>
      <c r="H283" t="str">
        <f>ToJsonArray(supplementary_offering_legacyid__4[[#Headers],[offeringid]:[json]],supplementary_offering_legacyid__4[[#This Row],[offeringid]:[ignore]])</f>
        <v>{"offeringid":"920001173","name":"Data 6.5GB_920001173","mode":"N"}</v>
      </c>
      <c r="I283" t="str">
        <f>ToJsonArray(supplementary_offering_legacyid__4[[#This Row],[semilla04]],supplementary_offering_legacyid__4[[#This Row],[json]])</f>
        <v>{"200011-73":{"offeringid":"920001173","name":"Data 6.5GB_920001173","mode":"N"}}</v>
      </c>
    </row>
    <row r="284" spans="1:9" x14ac:dyDescent="0.25">
      <c r="A284" s="60" t="s">
        <v>2981</v>
      </c>
      <c r="B284" s="60" t="str">
        <f>findKey(supplementary_offering_legacyid__4[[#This Row],[PRODUCCION]])</f>
        <v>200011-74</v>
      </c>
      <c r="C284" s="61" t="s">
        <v>2982</v>
      </c>
      <c r="D284" t="s">
        <v>2983</v>
      </c>
      <c r="E284" t="s">
        <v>2329</v>
      </c>
      <c r="F284" s="61"/>
      <c r="H284" t="str">
        <f>ToJsonArray(supplementary_offering_legacyid__4[[#Headers],[offeringid]:[json]],supplementary_offering_legacyid__4[[#This Row],[offeringid]:[ignore]])</f>
        <v>{"offeringid":"920001174","name":"Data 7GB_920001174","mode":"N"}</v>
      </c>
      <c r="I284" t="str">
        <f>ToJsonArray(supplementary_offering_legacyid__4[[#This Row],[semilla04]],supplementary_offering_legacyid__4[[#This Row],[json]])</f>
        <v>{"200011-74":{"offeringid":"920001174","name":"Data 7GB_920001174","mode":"N"}}</v>
      </c>
    </row>
    <row r="285" spans="1:9" x14ac:dyDescent="0.25">
      <c r="A285" s="60" t="s">
        <v>2984</v>
      </c>
      <c r="B285" s="60" t="str">
        <f>findKey(supplementary_offering_legacyid__4[[#This Row],[PRODUCCION]])</f>
        <v>200011-75</v>
      </c>
      <c r="C285" s="61" t="s">
        <v>2985</v>
      </c>
      <c r="D285" t="s">
        <v>2986</v>
      </c>
      <c r="E285" t="s">
        <v>2329</v>
      </c>
      <c r="F285" s="61"/>
      <c r="H285" t="str">
        <f>ToJsonArray(supplementary_offering_legacyid__4[[#Headers],[offeringid]:[json]],supplementary_offering_legacyid__4[[#This Row],[offeringid]:[ignore]])</f>
        <v>{"offeringid":"920001175","name":"Data 8GB_920001175","mode":"N"}</v>
      </c>
      <c r="I285" t="str">
        <f>ToJsonArray(supplementary_offering_legacyid__4[[#This Row],[semilla04]],supplementary_offering_legacyid__4[[#This Row],[json]])</f>
        <v>{"200011-75":{"offeringid":"920001175","name":"Data 8GB_920001175","mode":"N"}}</v>
      </c>
    </row>
    <row r="286" spans="1:9" x14ac:dyDescent="0.25">
      <c r="A286" s="60" t="s">
        <v>2987</v>
      </c>
      <c r="B286" s="60" t="str">
        <f>findKey(supplementary_offering_legacyid__4[[#This Row],[PRODUCCION]])</f>
        <v>200011-76</v>
      </c>
      <c r="C286" s="61" t="s">
        <v>2988</v>
      </c>
      <c r="D286" t="s">
        <v>2989</v>
      </c>
      <c r="E286" t="s">
        <v>2329</v>
      </c>
      <c r="F286" s="61"/>
      <c r="H286" t="str">
        <f>ToJsonArray(supplementary_offering_legacyid__4[[#Headers],[offeringid]:[json]],supplementary_offering_legacyid__4[[#This Row],[offeringid]:[ignore]])</f>
        <v>{"offeringid":"920001176","name":"Data 9GB_920001176","mode":"N"}</v>
      </c>
      <c r="I286" t="str">
        <f>ToJsonArray(supplementary_offering_legacyid__4[[#This Row],[semilla04]],supplementary_offering_legacyid__4[[#This Row],[json]])</f>
        <v>{"200011-76":{"offeringid":"920001176","name":"Data 9GB_920001176","mode":"N"}}</v>
      </c>
    </row>
    <row r="287" spans="1:9" x14ac:dyDescent="0.25">
      <c r="A287" s="60" t="s">
        <v>2990</v>
      </c>
      <c r="B287" s="60" t="str">
        <f>findKey(supplementary_offering_legacyid__4[[#This Row],[PRODUCCION]])</f>
        <v>200011-77</v>
      </c>
      <c r="C287" s="61" t="s">
        <v>2991</v>
      </c>
      <c r="D287" t="s">
        <v>2992</v>
      </c>
      <c r="E287" t="s">
        <v>2329</v>
      </c>
      <c r="F287" s="61"/>
      <c r="H287" t="str">
        <f>ToJsonArray(supplementary_offering_legacyid__4[[#Headers],[offeringid]:[json]],supplementary_offering_legacyid__4[[#This Row],[offeringid]:[ignore]])</f>
        <v>{"offeringid":"920001177","name":"Data 10GB_920001177","mode":"N"}</v>
      </c>
      <c r="I287" t="str">
        <f>ToJsonArray(supplementary_offering_legacyid__4[[#This Row],[semilla04]],supplementary_offering_legacyid__4[[#This Row],[json]])</f>
        <v>{"200011-77":{"offeringid":"920001177","name":"Data 10GB_920001177","mode":"N"}}</v>
      </c>
    </row>
    <row r="288" spans="1:9" x14ac:dyDescent="0.25">
      <c r="A288" s="60" t="s">
        <v>2993</v>
      </c>
      <c r="B288" s="60" t="str">
        <f>findKey(supplementary_offering_legacyid__4[[#This Row],[PRODUCCION]])</f>
        <v>200011-78</v>
      </c>
      <c r="C288" s="61" t="s">
        <v>2994</v>
      </c>
      <c r="D288" t="s">
        <v>2995</v>
      </c>
      <c r="E288" t="s">
        <v>2329</v>
      </c>
      <c r="F288" s="61"/>
      <c r="H288" t="str">
        <f>ToJsonArray(supplementary_offering_legacyid__4[[#Headers],[offeringid]:[json]],supplementary_offering_legacyid__4[[#This Row],[offeringid]:[ignore]])</f>
        <v>{"offeringid":"920001178","name":"Data 11GB_920001178","mode":"N"}</v>
      </c>
      <c r="I288" t="str">
        <f>ToJsonArray(supplementary_offering_legacyid__4[[#This Row],[semilla04]],supplementary_offering_legacyid__4[[#This Row],[json]])</f>
        <v>{"200011-78":{"offeringid":"920001178","name":"Data 11GB_920001178","mode":"N"}}</v>
      </c>
    </row>
    <row r="289" spans="1:9" x14ac:dyDescent="0.25">
      <c r="A289" s="60" t="s">
        <v>2996</v>
      </c>
      <c r="B289" s="60" t="str">
        <f>findKey(supplementary_offering_legacyid__4[[#This Row],[PRODUCCION]])</f>
        <v>200011-79</v>
      </c>
      <c r="C289" s="61" t="s">
        <v>2997</v>
      </c>
      <c r="D289" t="s">
        <v>2998</v>
      </c>
      <c r="E289" t="s">
        <v>2329</v>
      </c>
      <c r="F289" s="61"/>
      <c r="H289" t="str">
        <f>ToJsonArray(supplementary_offering_legacyid__4[[#Headers],[offeringid]:[json]],supplementary_offering_legacyid__4[[#This Row],[offeringid]:[ignore]])</f>
        <v>{"offeringid":"920001179","name":"Data 12GB_920001179","mode":"N"}</v>
      </c>
      <c r="I289" t="str">
        <f>ToJsonArray(supplementary_offering_legacyid__4[[#This Row],[semilla04]],supplementary_offering_legacyid__4[[#This Row],[json]])</f>
        <v>{"200011-79":{"offeringid":"920001179","name":"Data 12GB_920001179","mode":"N"}}</v>
      </c>
    </row>
    <row r="290" spans="1:9" x14ac:dyDescent="0.25">
      <c r="A290" s="60" t="s">
        <v>2999</v>
      </c>
      <c r="B290" s="60" t="str">
        <f>findKey(supplementary_offering_legacyid__4[[#This Row],[PRODUCCION]])</f>
        <v>200011-80</v>
      </c>
      <c r="C290" s="61" t="s">
        <v>3000</v>
      </c>
      <c r="D290" t="s">
        <v>3001</v>
      </c>
      <c r="E290" t="s">
        <v>2329</v>
      </c>
      <c r="F290" s="61"/>
      <c r="H290" t="str">
        <f>ToJsonArray(supplementary_offering_legacyid__4[[#Headers],[offeringid]:[json]],supplementary_offering_legacyid__4[[#This Row],[offeringid]:[ignore]])</f>
        <v>{"offeringid":"920001180","name":"Data 15GB_920001180","mode":"N"}</v>
      </c>
      <c r="I290" t="str">
        <f>ToJsonArray(supplementary_offering_legacyid__4[[#This Row],[semilla04]],supplementary_offering_legacyid__4[[#This Row],[json]])</f>
        <v>{"200011-80":{"offeringid":"920001180","name":"Data 15GB_920001180","mode":"N"}}</v>
      </c>
    </row>
    <row r="291" spans="1:9" x14ac:dyDescent="0.25">
      <c r="A291" s="60" t="s">
        <v>3002</v>
      </c>
      <c r="B291" s="60" t="str">
        <f>findKey(supplementary_offering_legacyid__4[[#This Row],[PRODUCCION]])</f>
        <v>200011-83</v>
      </c>
      <c r="C291" s="61" t="s">
        <v>3003</v>
      </c>
      <c r="D291" t="s">
        <v>3004</v>
      </c>
      <c r="E291" t="s">
        <v>2329</v>
      </c>
      <c r="F291" s="61"/>
      <c r="H291" t="str">
        <f>ToJsonArray(supplementary_offering_legacyid__4[[#Headers],[offeringid]:[json]],supplementary_offering_legacyid__4[[#This Row],[offeringid]:[ignore]])</f>
        <v>{"offeringid":"920001183","name":"Data 22GB_920001183","mode":"N"}</v>
      </c>
      <c r="I291" t="str">
        <f>ToJsonArray(supplementary_offering_legacyid__4[[#This Row],[semilla04]],supplementary_offering_legacyid__4[[#This Row],[json]])</f>
        <v>{"200011-83":{"offeringid":"920001183","name":"Data 22GB_920001183","mode":"N"}}</v>
      </c>
    </row>
    <row r="292" spans="1:9" x14ac:dyDescent="0.25">
      <c r="A292" s="60" t="s">
        <v>3005</v>
      </c>
      <c r="B292" s="60" t="str">
        <f>findKey(supplementary_offering_legacyid__4[[#This Row],[PRODUCCION]])</f>
        <v>200011-84</v>
      </c>
      <c r="C292" s="61" t="s">
        <v>3006</v>
      </c>
      <c r="D292" t="s">
        <v>3007</v>
      </c>
      <c r="E292" t="s">
        <v>2329</v>
      </c>
      <c r="F292" s="61"/>
      <c r="H292" t="str">
        <f>ToJsonArray(supplementary_offering_legacyid__4[[#Headers],[offeringid]:[json]],supplementary_offering_legacyid__4[[#This Row],[offeringid]:[ignore]])</f>
        <v>{"offeringid":"920001184","name":"Data 1GB_920001184","mode":"N"}</v>
      </c>
      <c r="I292" t="str">
        <f>ToJsonArray(supplementary_offering_legacyid__4[[#This Row],[semilla04]],supplementary_offering_legacyid__4[[#This Row],[json]])</f>
        <v>{"200011-84":{"offeringid":"920001184","name":"Data 1GB_920001184","mode":"N"}}</v>
      </c>
    </row>
    <row r="293" spans="1:9" x14ac:dyDescent="0.25">
      <c r="A293" s="60" t="s">
        <v>3008</v>
      </c>
      <c r="B293" s="60" t="str">
        <f>findKey(supplementary_offering_legacyid__4[[#This Row],[PRODUCCION]])</f>
        <v>200011-85</v>
      </c>
      <c r="C293" s="61" t="s">
        <v>3009</v>
      </c>
      <c r="D293" t="s">
        <v>3010</v>
      </c>
      <c r="E293" t="s">
        <v>2329</v>
      </c>
      <c r="F293" s="61"/>
      <c r="H293" t="str">
        <f>ToJsonArray(supplementary_offering_legacyid__4[[#Headers],[offeringid]:[json]],supplementary_offering_legacyid__4[[#This Row],[offeringid]:[ignore]])</f>
        <v>{"offeringid":"920001185","name":"Data 1.2GB_920001185","mode":"N"}</v>
      </c>
      <c r="I293" t="str">
        <f>ToJsonArray(supplementary_offering_legacyid__4[[#This Row],[semilla04]],supplementary_offering_legacyid__4[[#This Row],[json]])</f>
        <v>{"200011-85":{"offeringid":"920001185","name":"Data 1.2GB_920001185","mode":"N"}}</v>
      </c>
    </row>
    <row r="294" spans="1:9" x14ac:dyDescent="0.25">
      <c r="A294" s="60" t="s">
        <v>3011</v>
      </c>
      <c r="B294" s="60" t="str">
        <f>findKey(supplementary_offering_legacyid__4[[#This Row],[PRODUCCION]])</f>
        <v>200011-86</v>
      </c>
      <c r="C294" s="61" t="s">
        <v>3012</v>
      </c>
      <c r="D294" t="s">
        <v>3013</v>
      </c>
      <c r="E294" t="s">
        <v>2329</v>
      </c>
      <c r="F294" s="61"/>
      <c r="H294" t="str">
        <f>ToJsonArray(supplementary_offering_legacyid__4[[#Headers],[offeringid]:[json]],supplementary_offering_legacyid__4[[#This Row],[offeringid]:[ignore]])</f>
        <v>{"offeringid":"920001186","name":"Data 2.5GB_920001186","mode":"N"}</v>
      </c>
      <c r="I294" t="str">
        <f>ToJsonArray(supplementary_offering_legacyid__4[[#This Row],[semilla04]],supplementary_offering_legacyid__4[[#This Row],[json]])</f>
        <v>{"200011-86":{"offeringid":"920001186","name":"Data 2.5GB_920001186","mode":"N"}}</v>
      </c>
    </row>
    <row r="295" spans="1:9" x14ac:dyDescent="0.25">
      <c r="A295" s="60" t="s">
        <v>3014</v>
      </c>
      <c r="B295" s="60" t="str">
        <f>findKey(supplementary_offering_legacyid__4[[#This Row],[PRODUCCION]])</f>
        <v>200011-87</v>
      </c>
      <c r="C295" s="61" t="s">
        <v>3015</v>
      </c>
      <c r="D295" t="s">
        <v>3016</v>
      </c>
      <c r="E295" t="s">
        <v>2329</v>
      </c>
      <c r="F295" s="61"/>
      <c r="H295" t="str">
        <f>ToJsonArray(supplementary_offering_legacyid__4[[#Headers],[offeringid]:[json]],supplementary_offering_legacyid__4[[#This Row],[offeringid]:[ignore]])</f>
        <v>{"offeringid":"920001187","name":"Data 3.5GB_920001187","mode":"N"}</v>
      </c>
      <c r="I295" t="str">
        <f>ToJsonArray(supplementary_offering_legacyid__4[[#This Row],[semilla04]],supplementary_offering_legacyid__4[[#This Row],[json]])</f>
        <v>{"200011-87":{"offeringid":"920001187","name":"Data 3.5GB_920001187","mode":"N"}}</v>
      </c>
    </row>
    <row r="296" spans="1:9" x14ac:dyDescent="0.25">
      <c r="A296" s="60" t="s">
        <v>3017</v>
      </c>
      <c r="B296" s="60" t="str">
        <f>findKey(supplementary_offering_legacyid__4[[#This Row],[PRODUCCION]])</f>
        <v>200011-88</v>
      </c>
      <c r="C296" s="61" t="s">
        <v>3018</v>
      </c>
      <c r="D296" t="s">
        <v>3019</v>
      </c>
      <c r="E296" t="s">
        <v>2329</v>
      </c>
      <c r="F296" s="61"/>
      <c r="H296" t="str">
        <f>ToJsonArray(supplementary_offering_legacyid__4[[#Headers],[offeringid]:[json]],supplementary_offering_legacyid__4[[#This Row],[offeringid]:[ignore]])</f>
        <v>{"offeringid":"920001188","name":"Data 4GB_920001188","mode":"N"}</v>
      </c>
      <c r="I296" t="str">
        <f>ToJsonArray(supplementary_offering_legacyid__4[[#This Row],[semilla04]],supplementary_offering_legacyid__4[[#This Row],[json]])</f>
        <v>{"200011-88":{"offeringid":"920001188","name":"Data 4GB_920001188","mode":"N"}}</v>
      </c>
    </row>
    <row r="297" spans="1:9" x14ac:dyDescent="0.25">
      <c r="A297" s="60" t="s">
        <v>3020</v>
      </c>
      <c r="B297" s="60" t="str">
        <f>findKey(supplementary_offering_legacyid__4[[#This Row],[PRODUCCION]])</f>
        <v>200011-89</v>
      </c>
      <c r="C297" s="61" t="s">
        <v>3021</v>
      </c>
      <c r="D297" t="s">
        <v>3022</v>
      </c>
      <c r="E297" t="s">
        <v>2329</v>
      </c>
      <c r="F297" s="61"/>
      <c r="H297" t="str">
        <f>ToJsonArray(supplementary_offering_legacyid__4[[#Headers],[offeringid]:[json]],supplementary_offering_legacyid__4[[#This Row],[offeringid]:[ignore]])</f>
        <v>{"offeringid":"920001189","name":"Data 4.5GB_920001189","mode":"N"}</v>
      </c>
      <c r="I297" t="str">
        <f>ToJsonArray(supplementary_offering_legacyid__4[[#This Row],[semilla04]],supplementary_offering_legacyid__4[[#This Row],[json]])</f>
        <v>{"200011-89":{"offeringid":"920001189","name":"Data 4.5GB_920001189","mode":"N"}}</v>
      </c>
    </row>
    <row r="298" spans="1:9" x14ac:dyDescent="0.25">
      <c r="A298" s="60" t="s">
        <v>3023</v>
      </c>
      <c r="B298" s="60" t="str">
        <f>findKey(supplementary_offering_legacyid__4[[#This Row],[PRODUCCION]])</f>
        <v>200011-90</v>
      </c>
      <c r="C298" s="61" t="s">
        <v>3024</v>
      </c>
      <c r="D298" t="s">
        <v>3025</v>
      </c>
      <c r="E298" t="s">
        <v>2329</v>
      </c>
      <c r="F298" s="61"/>
      <c r="H298" t="str">
        <f>ToJsonArray(supplementary_offering_legacyid__4[[#Headers],[offeringid]:[json]],supplementary_offering_legacyid__4[[#This Row],[offeringid]:[ignore]])</f>
        <v>{"offeringid":"920001190","name":"Data 5.5GB_920001190","mode":"N"}</v>
      </c>
      <c r="I298" t="str">
        <f>ToJsonArray(supplementary_offering_legacyid__4[[#This Row],[semilla04]],supplementary_offering_legacyid__4[[#This Row],[json]])</f>
        <v>{"200011-90":{"offeringid":"920001190","name":"Data 5.5GB_920001190","mode":"N"}}</v>
      </c>
    </row>
    <row r="299" spans="1:9" x14ac:dyDescent="0.25">
      <c r="A299" s="60" t="s">
        <v>3026</v>
      </c>
      <c r="B299" s="60" t="str">
        <f>findKey(supplementary_offering_legacyid__4[[#This Row],[PRODUCCION]])</f>
        <v>200011-91</v>
      </c>
      <c r="C299" s="61" t="s">
        <v>3027</v>
      </c>
      <c r="D299" t="s">
        <v>3028</v>
      </c>
      <c r="E299" t="s">
        <v>2329</v>
      </c>
      <c r="F299" s="61"/>
      <c r="H299" t="str">
        <f>ToJsonArray(supplementary_offering_legacyid__4[[#Headers],[offeringid]:[json]],supplementary_offering_legacyid__4[[#This Row],[offeringid]:[ignore]])</f>
        <v>{"offeringid":"920001191","name":"Data 7GB_920001191","mode":"N"}</v>
      </c>
      <c r="I299" t="str">
        <f>ToJsonArray(supplementary_offering_legacyid__4[[#This Row],[semilla04]],supplementary_offering_legacyid__4[[#This Row],[json]])</f>
        <v>{"200011-91":{"offeringid":"920001191","name":"Data 7GB_920001191","mode":"N"}}</v>
      </c>
    </row>
    <row r="300" spans="1:9" x14ac:dyDescent="0.25">
      <c r="A300" s="60" t="s">
        <v>3029</v>
      </c>
      <c r="B300" s="60" t="str">
        <f>findKey(supplementary_offering_legacyid__4[[#This Row],[PRODUCCION]])</f>
        <v>200011-92</v>
      </c>
      <c r="C300" s="61" t="s">
        <v>3030</v>
      </c>
      <c r="D300" t="s">
        <v>3031</v>
      </c>
      <c r="E300" t="s">
        <v>2329</v>
      </c>
      <c r="F300" s="61"/>
      <c r="H300" t="str">
        <f>ToJsonArray(supplementary_offering_legacyid__4[[#Headers],[offeringid]:[json]],supplementary_offering_legacyid__4[[#This Row],[offeringid]:[ignore]])</f>
        <v>{"offeringid":"920001192","name":"Data 7.5GB_920001192","mode":"N"}</v>
      </c>
      <c r="I300" t="str">
        <f>ToJsonArray(supplementary_offering_legacyid__4[[#This Row],[semilla04]],supplementary_offering_legacyid__4[[#This Row],[json]])</f>
        <v>{"200011-92":{"offeringid":"920001192","name":"Data 7.5GB_920001192","mode":"N"}}</v>
      </c>
    </row>
    <row r="301" spans="1:9" x14ac:dyDescent="0.25">
      <c r="A301" s="60" t="s">
        <v>3032</v>
      </c>
      <c r="B301" s="60" t="str">
        <f>findKey(supplementary_offering_legacyid__4[[#This Row],[PRODUCCION]])</f>
        <v>200011-93</v>
      </c>
      <c r="C301" s="61" t="s">
        <v>3033</v>
      </c>
      <c r="D301" t="s">
        <v>3034</v>
      </c>
      <c r="E301" t="s">
        <v>2329</v>
      </c>
      <c r="F301" s="61"/>
      <c r="H301" t="str">
        <f>ToJsonArray(supplementary_offering_legacyid__4[[#Headers],[offeringid]:[json]],supplementary_offering_legacyid__4[[#This Row],[offeringid]:[ignore]])</f>
        <v>{"offeringid":"920001193","name":"Data 8.5GB_920001193","mode":"N"}</v>
      </c>
      <c r="I301" t="str">
        <f>ToJsonArray(supplementary_offering_legacyid__4[[#This Row],[semilla04]],supplementary_offering_legacyid__4[[#This Row],[json]])</f>
        <v>{"200011-93":{"offeringid":"920001193","name":"Data 8.5GB_920001193","mode":"N"}}</v>
      </c>
    </row>
    <row r="302" spans="1:9" x14ac:dyDescent="0.25">
      <c r="A302" s="60" t="s">
        <v>3035</v>
      </c>
      <c r="B302" s="60" t="str">
        <f>findKey(supplementary_offering_legacyid__4[[#This Row],[PRODUCCION]])</f>
        <v>200011-94</v>
      </c>
      <c r="C302" s="61" t="s">
        <v>3036</v>
      </c>
      <c r="D302" t="s">
        <v>3037</v>
      </c>
      <c r="E302" t="s">
        <v>2329</v>
      </c>
      <c r="F302" s="61"/>
      <c r="H302" t="str">
        <f>ToJsonArray(supplementary_offering_legacyid__4[[#Headers],[offeringid]:[json]],supplementary_offering_legacyid__4[[#This Row],[offeringid]:[ignore]])</f>
        <v>{"offeringid":"920001194","name":"Data 9.5GB_920001194","mode":"N"}</v>
      </c>
      <c r="I302" t="str">
        <f>ToJsonArray(supplementary_offering_legacyid__4[[#This Row],[semilla04]],supplementary_offering_legacyid__4[[#This Row],[json]])</f>
        <v>{"200011-94":{"offeringid":"920001194","name":"Data 9.5GB_920001194","mode":"N"}}</v>
      </c>
    </row>
    <row r="303" spans="1:9" x14ac:dyDescent="0.25">
      <c r="A303" s="60" t="s">
        <v>3038</v>
      </c>
      <c r="B303" s="60" t="str">
        <f>findKey(supplementary_offering_legacyid__4[[#This Row],[PRODUCCION]])</f>
        <v>200011-95</v>
      </c>
      <c r="C303" s="61" t="s">
        <v>3039</v>
      </c>
      <c r="D303" t="s">
        <v>3040</v>
      </c>
      <c r="E303" t="s">
        <v>2329</v>
      </c>
      <c r="F303" s="61"/>
      <c r="H303" t="str">
        <f>ToJsonArray(supplementary_offering_legacyid__4[[#Headers],[offeringid]:[json]],supplementary_offering_legacyid__4[[#This Row],[offeringid]:[ignore]])</f>
        <v>{"offeringid":"920001195","name":"Data 10.5GB_920001195","mode":"N"}</v>
      </c>
      <c r="I303" t="str">
        <f>ToJsonArray(supplementary_offering_legacyid__4[[#This Row],[semilla04]],supplementary_offering_legacyid__4[[#This Row],[json]])</f>
        <v>{"200011-95":{"offeringid":"920001195","name":"Data 10.5GB_920001195","mode":"N"}}</v>
      </c>
    </row>
    <row r="304" spans="1:9" x14ac:dyDescent="0.25">
      <c r="A304" s="60" t="s">
        <v>3041</v>
      </c>
      <c r="B304" s="60" t="str">
        <f>findKey(supplementary_offering_legacyid__4[[#This Row],[PRODUCCION]])</f>
        <v>200011-96</v>
      </c>
      <c r="C304" s="61" t="s">
        <v>3042</v>
      </c>
      <c r="D304" t="s">
        <v>3043</v>
      </c>
      <c r="E304" t="s">
        <v>2329</v>
      </c>
      <c r="F304" s="61"/>
      <c r="H304" t="str">
        <f>ToJsonArray(supplementary_offering_legacyid__4[[#Headers],[offeringid]:[json]],supplementary_offering_legacyid__4[[#This Row],[offeringid]:[ignore]])</f>
        <v>{"offeringid":"920001196","name":"Data 11.5GB_920001196","mode":"N"}</v>
      </c>
      <c r="I304" t="str">
        <f>ToJsonArray(supplementary_offering_legacyid__4[[#This Row],[semilla04]],supplementary_offering_legacyid__4[[#This Row],[json]])</f>
        <v>{"200011-96":{"offeringid":"920001196","name":"Data 11.5GB_920001196","mode":"N"}}</v>
      </c>
    </row>
    <row r="305" spans="1:9" x14ac:dyDescent="0.25">
      <c r="A305" s="60" t="s">
        <v>3044</v>
      </c>
      <c r="B305" s="60" t="str">
        <f>findKey(supplementary_offering_legacyid__4[[#This Row],[PRODUCCION]])</f>
        <v>200011-97</v>
      </c>
      <c r="C305" s="61" t="s">
        <v>3045</v>
      </c>
      <c r="D305" t="s">
        <v>3046</v>
      </c>
      <c r="E305" t="s">
        <v>2329</v>
      </c>
      <c r="F305" s="61"/>
      <c r="H305" t="str">
        <f>ToJsonArray(supplementary_offering_legacyid__4[[#Headers],[offeringid]:[json]],supplementary_offering_legacyid__4[[#This Row],[offeringid]:[ignore]])</f>
        <v>{"offeringid":"920001197","name":"Data 12.5GB_920001197","mode":"N"}</v>
      </c>
      <c r="I305" t="str">
        <f>ToJsonArray(supplementary_offering_legacyid__4[[#This Row],[semilla04]],supplementary_offering_legacyid__4[[#This Row],[json]])</f>
        <v>{"200011-97":{"offeringid":"920001197","name":"Data 12.5GB_920001197","mode":"N"}}</v>
      </c>
    </row>
    <row r="306" spans="1:9" x14ac:dyDescent="0.25">
      <c r="A306" s="60" t="s">
        <v>3047</v>
      </c>
      <c r="B306" s="60" t="str">
        <f>findKey(supplementary_offering_legacyid__4[[#This Row],[PRODUCCION]])</f>
        <v>200011-98</v>
      </c>
      <c r="C306" s="61" t="s">
        <v>3048</v>
      </c>
      <c r="D306" t="s">
        <v>3049</v>
      </c>
      <c r="E306" t="s">
        <v>2329</v>
      </c>
      <c r="F306" s="61"/>
      <c r="H306" t="str">
        <f>ToJsonArray(supplementary_offering_legacyid__4[[#Headers],[offeringid]:[json]],supplementary_offering_legacyid__4[[#This Row],[offeringid]:[ignore]])</f>
        <v>{"offeringid":"920001198","name":"Data 15.5GB_920001198","mode":"N"}</v>
      </c>
      <c r="I306" t="str">
        <f>ToJsonArray(supplementary_offering_legacyid__4[[#This Row],[semilla04]],supplementary_offering_legacyid__4[[#This Row],[json]])</f>
        <v>{"200011-98":{"offeringid":"920001198","name":"Data 15.5GB_920001198","mode":"N"}}</v>
      </c>
    </row>
    <row r="307" spans="1:9" x14ac:dyDescent="0.25">
      <c r="A307" s="60" t="s">
        <v>3050</v>
      </c>
      <c r="B307" s="60" t="str">
        <f>findKey(supplementary_offering_legacyid__4[[#This Row],[PRODUCCION]])</f>
        <v>200021-03</v>
      </c>
      <c r="C307" s="61" t="s">
        <v>3051</v>
      </c>
      <c r="D307" t="s">
        <v>3052</v>
      </c>
      <c r="E307" t="s">
        <v>2329</v>
      </c>
      <c r="F307" s="61"/>
      <c r="H307" t="str">
        <f>ToJsonArray(supplementary_offering_legacyid__4[[#Headers],[offeringid]:[json]],supplementary_offering_legacyid__4[[#This Row],[offeringid]:[ignore]])</f>
        <v>{"offeringid":"920002103","name":"Data 0.8GB_920002103","mode":"N"}</v>
      </c>
      <c r="I307" t="str">
        <f>ToJsonArray(supplementary_offering_legacyid__4[[#This Row],[semilla04]],supplementary_offering_legacyid__4[[#This Row],[json]])</f>
        <v>{"200021-03":{"offeringid":"920002103","name":"Data 0.8GB_920002103","mode":"N"}}</v>
      </c>
    </row>
    <row r="308" spans="1:9" x14ac:dyDescent="0.25">
      <c r="A308" s="60" t="s">
        <v>3053</v>
      </c>
      <c r="B308" s="60" t="str">
        <f>findKey(supplementary_offering_legacyid__4[[#This Row],[PRODUCCION]])</f>
        <v>200021-04</v>
      </c>
      <c r="C308" s="61" t="s">
        <v>3054</v>
      </c>
      <c r="D308" t="s">
        <v>3055</v>
      </c>
      <c r="E308" t="s">
        <v>2329</v>
      </c>
      <c r="F308" s="61"/>
      <c r="H308" t="str">
        <f>ToJsonArray(supplementary_offering_legacyid__4[[#Headers],[offeringid]:[json]],supplementary_offering_legacyid__4[[#This Row],[offeringid]:[ignore]])</f>
        <v>{"offeringid":"920002104","name":"Data 1.2GB_920002104","mode":"N"}</v>
      </c>
      <c r="I308" t="str">
        <f>ToJsonArray(supplementary_offering_legacyid__4[[#This Row],[semilla04]],supplementary_offering_legacyid__4[[#This Row],[json]])</f>
        <v>{"200021-04":{"offeringid":"920002104","name":"Data 1.2GB_920002104","mode":"N"}}</v>
      </c>
    </row>
    <row r="309" spans="1:9" x14ac:dyDescent="0.25">
      <c r="A309" s="60" t="s">
        <v>3056</v>
      </c>
      <c r="B309" s="60" t="str">
        <f>findKey(supplementary_offering_legacyid__4[[#This Row],[PRODUCCION]])</f>
        <v>200021-05</v>
      </c>
      <c r="C309" s="61" t="s">
        <v>3057</v>
      </c>
      <c r="D309" t="s">
        <v>3058</v>
      </c>
      <c r="E309" t="s">
        <v>2329</v>
      </c>
      <c r="F309" s="61"/>
      <c r="H309" t="str">
        <f>ToJsonArray(supplementary_offering_legacyid__4[[#Headers],[offeringid]:[json]],supplementary_offering_legacyid__4[[#This Row],[offeringid]:[ignore]])</f>
        <v>{"offeringid":"920002105","name":"Data 2.5GB_920002105","mode":"N"}</v>
      </c>
      <c r="I309" t="str">
        <f>ToJsonArray(supplementary_offering_legacyid__4[[#This Row],[semilla04]],supplementary_offering_legacyid__4[[#This Row],[json]])</f>
        <v>{"200021-05":{"offeringid":"920002105","name":"Data 2.5GB_920002105","mode":"N"}}</v>
      </c>
    </row>
    <row r="310" spans="1:9" x14ac:dyDescent="0.25">
      <c r="A310" s="60" t="s">
        <v>3059</v>
      </c>
      <c r="B310" s="60" t="str">
        <f>findKey(supplementary_offering_legacyid__4[[#This Row],[PRODUCCION]])</f>
        <v>200021-06</v>
      </c>
      <c r="C310" s="61" t="s">
        <v>3060</v>
      </c>
      <c r="D310" t="s">
        <v>3061</v>
      </c>
      <c r="E310" t="s">
        <v>2329</v>
      </c>
      <c r="F310" s="61"/>
      <c r="H310" t="str">
        <f>ToJsonArray(supplementary_offering_legacyid__4[[#Headers],[offeringid]:[json]],supplementary_offering_legacyid__4[[#This Row],[offeringid]:[ignore]])</f>
        <v>{"offeringid":"920002106","name":"Data 3.5GB_920002106","mode":"N"}</v>
      </c>
      <c r="I310" t="str">
        <f>ToJsonArray(supplementary_offering_legacyid__4[[#This Row],[semilla04]],supplementary_offering_legacyid__4[[#This Row],[json]])</f>
        <v>{"200021-06":{"offeringid":"920002106","name":"Data 3.5GB_920002106","mode":"N"}}</v>
      </c>
    </row>
    <row r="311" spans="1:9" x14ac:dyDescent="0.25">
      <c r="A311" s="60" t="s">
        <v>3062</v>
      </c>
      <c r="B311" s="60" t="str">
        <f>findKey(supplementary_offering_legacyid__4[[#This Row],[PRODUCCION]])</f>
        <v>200021-07</v>
      </c>
      <c r="C311" s="61" t="s">
        <v>3063</v>
      </c>
      <c r="D311" t="s">
        <v>3064</v>
      </c>
      <c r="E311" t="s">
        <v>2329</v>
      </c>
      <c r="F311" s="61"/>
      <c r="H311" t="str">
        <f>ToJsonArray(supplementary_offering_legacyid__4[[#Headers],[offeringid]:[json]],supplementary_offering_legacyid__4[[#This Row],[offeringid]:[ignore]])</f>
        <v>{"offeringid":"920002107","name":"Data 4GB_920002107","mode":"N"}</v>
      </c>
      <c r="I311" t="str">
        <f>ToJsonArray(supplementary_offering_legacyid__4[[#This Row],[semilla04]],supplementary_offering_legacyid__4[[#This Row],[json]])</f>
        <v>{"200021-07":{"offeringid":"920002107","name":"Data 4GB_920002107","mode":"N"}}</v>
      </c>
    </row>
    <row r="312" spans="1:9" x14ac:dyDescent="0.25">
      <c r="A312" s="60" t="s">
        <v>3065</v>
      </c>
      <c r="B312" s="60" t="str">
        <f>findKey(supplementary_offering_legacyid__4[[#This Row],[PRODUCCION]])</f>
        <v>200021-08</v>
      </c>
      <c r="C312" s="61" t="s">
        <v>3066</v>
      </c>
      <c r="D312" t="s">
        <v>3067</v>
      </c>
      <c r="E312" t="s">
        <v>2329</v>
      </c>
      <c r="F312" s="61"/>
      <c r="H312" t="str">
        <f>ToJsonArray(supplementary_offering_legacyid__4[[#Headers],[offeringid]:[json]],supplementary_offering_legacyid__4[[#This Row],[offeringid]:[ignore]])</f>
        <v>{"offeringid":"920002108","name":"Data 4.5GB_920002108","mode":"N"}</v>
      </c>
      <c r="I312" t="str">
        <f>ToJsonArray(supplementary_offering_legacyid__4[[#This Row],[semilla04]],supplementary_offering_legacyid__4[[#This Row],[json]])</f>
        <v>{"200021-08":{"offeringid":"920002108","name":"Data 4.5GB_920002108","mode":"N"}}</v>
      </c>
    </row>
    <row r="313" spans="1:9" x14ac:dyDescent="0.25">
      <c r="A313" s="60" t="s">
        <v>3068</v>
      </c>
      <c r="B313" s="60" t="str">
        <f>findKey(supplementary_offering_legacyid__4[[#This Row],[PRODUCCION]])</f>
        <v>200021-09</v>
      </c>
      <c r="C313" s="61" t="s">
        <v>3069</v>
      </c>
      <c r="D313" t="s">
        <v>3070</v>
      </c>
      <c r="E313" t="s">
        <v>2329</v>
      </c>
      <c r="F313" s="61"/>
      <c r="H313" t="str">
        <f>ToJsonArray(supplementary_offering_legacyid__4[[#Headers],[offeringid]:[json]],supplementary_offering_legacyid__4[[#This Row],[offeringid]:[ignore]])</f>
        <v>{"offeringid":"920002109","name":"Data 5.5GB_920002109","mode":"N"}</v>
      </c>
      <c r="I313" t="str">
        <f>ToJsonArray(supplementary_offering_legacyid__4[[#This Row],[semilla04]],supplementary_offering_legacyid__4[[#This Row],[json]])</f>
        <v>{"200021-09":{"offeringid":"920002109","name":"Data 5.5GB_920002109","mode":"N"}}</v>
      </c>
    </row>
    <row r="314" spans="1:9" x14ac:dyDescent="0.25">
      <c r="A314" s="60" t="s">
        <v>3071</v>
      </c>
      <c r="B314" s="60" t="str">
        <f>findKey(supplementary_offering_legacyid__4[[#This Row],[PRODUCCION]])</f>
        <v>200021-10</v>
      </c>
      <c r="C314" s="61" t="s">
        <v>3072</v>
      </c>
      <c r="D314" t="s">
        <v>3073</v>
      </c>
      <c r="E314" t="s">
        <v>2329</v>
      </c>
      <c r="F314" s="61"/>
      <c r="H314" t="str">
        <f>ToJsonArray(supplementary_offering_legacyid__4[[#Headers],[offeringid]:[json]],supplementary_offering_legacyid__4[[#This Row],[offeringid]:[ignore]])</f>
        <v>{"offeringid":"920002110","name":"Data 6.5GB_920002110","mode":"N"}</v>
      </c>
      <c r="I314" t="str">
        <f>ToJsonArray(supplementary_offering_legacyid__4[[#This Row],[semilla04]],supplementary_offering_legacyid__4[[#This Row],[json]])</f>
        <v>{"200021-10":{"offeringid":"920002110","name":"Data 6.5GB_920002110","mode":"N"}}</v>
      </c>
    </row>
    <row r="315" spans="1:9" x14ac:dyDescent="0.25">
      <c r="A315" s="60" t="s">
        <v>3074</v>
      </c>
      <c r="B315" s="60" t="str">
        <f>findKey(supplementary_offering_legacyid__4[[#This Row],[PRODUCCION]])</f>
        <v>200021-11</v>
      </c>
      <c r="C315" s="61" t="s">
        <v>3075</v>
      </c>
      <c r="D315" t="s">
        <v>3076</v>
      </c>
      <c r="E315" t="s">
        <v>2329</v>
      </c>
      <c r="F315" s="61"/>
      <c r="H315" t="str">
        <f>ToJsonArray(supplementary_offering_legacyid__4[[#Headers],[offeringid]:[json]],supplementary_offering_legacyid__4[[#This Row],[offeringid]:[ignore]])</f>
        <v>{"offeringid":"920002111","name":"Data 7.5GB_920002111","mode":"N"}</v>
      </c>
      <c r="I315" t="str">
        <f>ToJsonArray(supplementary_offering_legacyid__4[[#This Row],[semilla04]],supplementary_offering_legacyid__4[[#This Row],[json]])</f>
        <v>{"200021-11":{"offeringid":"920002111","name":"Data 7.5GB_920002111","mode":"N"}}</v>
      </c>
    </row>
    <row r="316" spans="1:9" x14ac:dyDescent="0.25">
      <c r="A316" s="60" t="s">
        <v>3077</v>
      </c>
      <c r="B316" s="60" t="str">
        <f>findKey(supplementary_offering_legacyid__4[[#This Row],[PRODUCCION]])</f>
        <v>200021-12</v>
      </c>
      <c r="C316" s="61" t="s">
        <v>3078</v>
      </c>
      <c r="D316" t="s">
        <v>3079</v>
      </c>
      <c r="E316" t="s">
        <v>2329</v>
      </c>
      <c r="F316" s="61"/>
      <c r="H316" t="str">
        <f>ToJsonArray(supplementary_offering_legacyid__4[[#Headers],[offeringid]:[json]],supplementary_offering_legacyid__4[[#This Row],[offeringid]:[ignore]])</f>
        <v>{"offeringid":"920002112","name":"Data 8.5GB_920002112","mode":"N"}</v>
      </c>
      <c r="I316" t="str">
        <f>ToJsonArray(supplementary_offering_legacyid__4[[#This Row],[semilla04]],supplementary_offering_legacyid__4[[#This Row],[json]])</f>
        <v>{"200021-12":{"offeringid":"920002112","name":"Data 8.5GB_920002112","mode":"N"}}</v>
      </c>
    </row>
    <row r="317" spans="1:9" x14ac:dyDescent="0.25">
      <c r="A317" s="60" t="s">
        <v>3080</v>
      </c>
      <c r="B317" s="60" t="str">
        <f>findKey(supplementary_offering_legacyid__4[[#This Row],[PRODUCCION]])</f>
        <v>200021-13</v>
      </c>
      <c r="C317" s="61" t="s">
        <v>3081</v>
      </c>
      <c r="D317" t="s">
        <v>3082</v>
      </c>
      <c r="E317" t="s">
        <v>2329</v>
      </c>
      <c r="F317" s="61"/>
      <c r="H317" t="str">
        <f>ToJsonArray(supplementary_offering_legacyid__4[[#Headers],[offeringid]:[json]],supplementary_offering_legacyid__4[[#This Row],[offeringid]:[ignore]])</f>
        <v>{"offeringid":"920002113","name":"Data 9GB_920002113","mode":"N"}</v>
      </c>
      <c r="I317" t="str">
        <f>ToJsonArray(supplementary_offering_legacyid__4[[#This Row],[semilla04]],supplementary_offering_legacyid__4[[#This Row],[json]])</f>
        <v>{"200021-13":{"offeringid":"920002113","name":"Data 9GB_920002113","mode":"N"}}</v>
      </c>
    </row>
    <row r="318" spans="1:9" x14ac:dyDescent="0.25">
      <c r="A318" s="60" t="s">
        <v>3083</v>
      </c>
      <c r="B318" s="60" t="str">
        <f>findKey(supplementary_offering_legacyid__4[[#This Row],[PRODUCCION]])</f>
        <v>200021-14</v>
      </c>
      <c r="C318" s="61" t="s">
        <v>3084</v>
      </c>
      <c r="D318" t="s">
        <v>3085</v>
      </c>
      <c r="E318" t="s">
        <v>2329</v>
      </c>
      <c r="F318" s="61"/>
      <c r="H318" t="str">
        <f>ToJsonArray(supplementary_offering_legacyid__4[[#Headers],[offeringid]:[json]],supplementary_offering_legacyid__4[[#This Row],[offeringid]:[ignore]])</f>
        <v>{"offeringid":"920002114","name":"Data 10GB_920002114","mode":"N"}</v>
      </c>
      <c r="I318" t="str">
        <f>ToJsonArray(supplementary_offering_legacyid__4[[#This Row],[semilla04]],supplementary_offering_legacyid__4[[#This Row],[json]])</f>
        <v>{"200021-14":{"offeringid":"920002114","name":"Data 10GB_920002114","mode":"N"}}</v>
      </c>
    </row>
    <row r="319" spans="1:9" x14ac:dyDescent="0.25">
      <c r="A319" s="60" t="s">
        <v>3086</v>
      </c>
      <c r="B319" s="60" t="str">
        <f>findKey(supplementary_offering_legacyid__4[[#This Row],[PRODUCCION]])</f>
        <v>200021-15</v>
      </c>
      <c r="C319" s="61" t="s">
        <v>3087</v>
      </c>
      <c r="D319" t="s">
        <v>3088</v>
      </c>
      <c r="E319" t="s">
        <v>2329</v>
      </c>
      <c r="F319" s="61"/>
      <c r="H319" t="str">
        <f>ToJsonArray(supplementary_offering_legacyid__4[[#Headers],[offeringid]:[json]],supplementary_offering_legacyid__4[[#This Row],[offeringid]:[ignore]])</f>
        <v>{"offeringid":"920002115","name":"Data 10.5GB_920002115","mode":"N"}</v>
      </c>
      <c r="I319" t="str">
        <f>ToJsonArray(supplementary_offering_legacyid__4[[#This Row],[semilla04]],supplementary_offering_legacyid__4[[#This Row],[json]])</f>
        <v>{"200021-15":{"offeringid":"920002115","name":"Data 10.5GB_920002115","mode":"N"}}</v>
      </c>
    </row>
    <row r="320" spans="1:9" x14ac:dyDescent="0.25">
      <c r="A320" s="60" t="s">
        <v>3089</v>
      </c>
      <c r="B320" s="60" t="str">
        <f>findKey(supplementary_offering_legacyid__4[[#This Row],[PRODUCCION]])</f>
        <v>200021-16</v>
      </c>
      <c r="C320" s="61" t="s">
        <v>3090</v>
      </c>
      <c r="D320" t="s">
        <v>3091</v>
      </c>
      <c r="E320" t="s">
        <v>2329</v>
      </c>
      <c r="F320" s="61"/>
      <c r="H320" t="str">
        <f>ToJsonArray(supplementary_offering_legacyid__4[[#Headers],[offeringid]:[json]],supplementary_offering_legacyid__4[[#This Row],[offeringid]:[ignore]])</f>
        <v>{"offeringid":"920002116","name":"Data 11.5GB_920002116","mode":"N"}</v>
      </c>
      <c r="I320" t="str">
        <f>ToJsonArray(supplementary_offering_legacyid__4[[#This Row],[semilla04]],supplementary_offering_legacyid__4[[#This Row],[json]])</f>
        <v>{"200021-16":{"offeringid":"920002116","name":"Data 11.5GB_920002116","mode":"N"}}</v>
      </c>
    </row>
    <row r="321" spans="1:9" x14ac:dyDescent="0.25">
      <c r="A321" s="60" t="s">
        <v>3092</v>
      </c>
      <c r="B321" s="60" t="str">
        <f>findKey(supplementary_offering_legacyid__4[[#This Row],[PRODUCCION]])</f>
        <v>200021-17</v>
      </c>
      <c r="C321" s="61" t="s">
        <v>3093</v>
      </c>
      <c r="D321" t="s">
        <v>3094</v>
      </c>
      <c r="E321" t="s">
        <v>2329</v>
      </c>
      <c r="F321" s="61"/>
      <c r="H321" t="str">
        <f>ToJsonArray(supplementary_offering_legacyid__4[[#Headers],[offeringid]:[json]],supplementary_offering_legacyid__4[[#This Row],[offeringid]:[ignore]])</f>
        <v>{"offeringid":"920002117","name":"Data 15GB_920002117","mode":"N"}</v>
      </c>
      <c r="I321" t="str">
        <f>ToJsonArray(supplementary_offering_legacyid__4[[#This Row],[semilla04]],supplementary_offering_legacyid__4[[#This Row],[json]])</f>
        <v>{"200021-17":{"offeringid":"920002117","name":"Data 15GB_920002117","mode":"N"}}</v>
      </c>
    </row>
    <row r="322" spans="1:9" x14ac:dyDescent="0.25">
      <c r="A322" s="60" t="s">
        <v>3095</v>
      </c>
      <c r="B322" s="60" t="str">
        <f>findKey(supplementary_offering_legacyid__4[[#This Row],[PRODUCCION]])</f>
        <v>200021-18</v>
      </c>
      <c r="C322" s="61" t="s">
        <v>3096</v>
      </c>
      <c r="D322" t="s">
        <v>3097</v>
      </c>
      <c r="E322" t="s">
        <v>2329</v>
      </c>
      <c r="F322" s="61"/>
      <c r="H322" t="str">
        <f>ToJsonArray(supplementary_offering_legacyid__4[[#Headers],[offeringid]:[json]],supplementary_offering_legacyid__4[[#This Row],[offeringid]:[ignore]])</f>
        <v>{"offeringid":"920002118","name":"Data 16GB_920002118","mode":"N"}</v>
      </c>
      <c r="I322" t="str">
        <f>ToJsonArray(supplementary_offering_legacyid__4[[#This Row],[semilla04]],supplementary_offering_legacyid__4[[#This Row],[json]])</f>
        <v>{"200021-18":{"offeringid":"920002118","name":"Data 16GB_920002118","mode":"N"}}</v>
      </c>
    </row>
    <row r="323" spans="1:9" x14ac:dyDescent="0.25">
      <c r="A323" s="60" t="s">
        <v>3098</v>
      </c>
      <c r="B323" s="60" t="str">
        <f>findKey(supplementary_offering_legacyid__4[[#This Row],[PRODUCCION]])</f>
        <v>200021-19</v>
      </c>
      <c r="C323" s="61" t="s">
        <v>3099</v>
      </c>
      <c r="D323" t="s">
        <v>3100</v>
      </c>
      <c r="E323" t="s">
        <v>2329</v>
      </c>
      <c r="F323" s="61"/>
      <c r="H323" t="str">
        <f>ToJsonArray(supplementary_offering_legacyid__4[[#Headers],[offeringid]:[json]],supplementary_offering_legacyid__4[[#This Row],[offeringid]:[ignore]])</f>
        <v>{"offeringid":"920002119","name":"Data 17GB_920002119","mode":"N"}</v>
      </c>
      <c r="I323" t="str">
        <f>ToJsonArray(supplementary_offering_legacyid__4[[#This Row],[semilla04]],supplementary_offering_legacyid__4[[#This Row],[json]])</f>
        <v>{"200021-19":{"offeringid":"920002119","name":"Data 17GB_920002119","mode":"N"}}</v>
      </c>
    </row>
    <row r="324" spans="1:9" x14ac:dyDescent="0.25">
      <c r="A324" s="60" t="s">
        <v>3101</v>
      </c>
      <c r="B324" s="60" t="str">
        <f>findKey(supplementary_offering_legacyid__4[[#This Row],[PRODUCCION]])</f>
        <v>200021-20</v>
      </c>
      <c r="C324" s="61" t="s">
        <v>3102</v>
      </c>
      <c r="D324" t="s">
        <v>3103</v>
      </c>
      <c r="E324" t="s">
        <v>2329</v>
      </c>
      <c r="F324" s="61"/>
      <c r="H324" t="str">
        <f>ToJsonArray(supplementary_offering_legacyid__4[[#Headers],[offeringid]:[json]],supplementary_offering_legacyid__4[[#This Row],[offeringid]:[ignore]])</f>
        <v>{"offeringid":"920002120","name":"Data 22GB_920002120","mode":"N"}</v>
      </c>
      <c r="I324" t="str">
        <f>ToJsonArray(supplementary_offering_legacyid__4[[#This Row],[semilla04]],supplementary_offering_legacyid__4[[#This Row],[json]])</f>
        <v>{"200021-20":{"offeringid":"920002120","name":"Data 22GB_920002120","mode":"N"}}</v>
      </c>
    </row>
    <row r="325" spans="1:9" x14ac:dyDescent="0.25">
      <c r="A325" s="60" t="s">
        <v>3104</v>
      </c>
      <c r="B325" s="60" t="str">
        <f>findKey(supplementary_offering_legacyid__4[[#This Row],[PRODUCCION]])</f>
        <v>200021-21</v>
      </c>
      <c r="C325" s="61" t="s">
        <v>3105</v>
      </c>
      <c r="D325" t="s">
        <v>3106</v>
      </c>
      <c r="E325" t="s">
        <v>2329</v>
      </c>
      <c r="F325" s="61"/>
      <c r="H325" t="str">
        <f>ToJsonArray(supplementary_offering_legacyid__4[[#Headers],[offeringid]:[json]],supplementary_offering_legacyid__4[[#This Row],[offeringid]:[ignore]])</f>
        <v>{"offeringid":"920002121","name":"Data 1GB_920002121","mode":"N"}</v>
      </c>
      <c r="I325" t="str">
        <f>ToJsonArray(supplementary_offering_legacyid__4[[#This Row],[semilla04]],supplementary_offering_legacyid__4[[#This Row],[json]])</f>
        <v>{"200021-21":{"offeringid":"920002121","name":"Data 1GB_920002121","mode":"N"}}</v>
      </c>
    </row>
    <row r="326" spans="1:9" x14ac:dyDescent="0.25">
      <c r="A326" s="60" t="s">
        <v>3107</v>
      </c>
      <c r="B326" s="60" t="str">
        <f>findKey(supplementary_offering_legacyid__4[[#This Row],[PRODUCCION]])</f>
        <v>200021-22</v>
      </c>
      <c r="C326" s="61" t="s">
        <v>3108</v>
      </c>
      <c r="D326" t="s">
        <v>3109</v>
      </c>
      <c r="E326" t="s">
        <v>2329</v>
      </c>
      <c r="F326" s="61"/>
      <c r="H326" t="str">
        <f>ToJsonArray(supplementary_offering_legacyid__4[[#Headers],[offeringid]:[json]],supplementary_offering_legacyid__4[[#This Row],[offeringid]:[ignore]])</f>
        <v>{"offeringid":"920002122","name":"Data 1.7GB_920002122","mode":"N"}</v>
      </c>
      <c r="I326" t="str">
        <f>ToJsonArray(supplementary_offering_legacyid__4[[#This Row],[semilla04]],supplementary_offering_legacyid__4[[#This Row],[json]])</f>
        <v>{"200021-22":{"offeringid":"920002122","name":"Data 1.7GB_920002122","mode":"N"}}</v>
      </c>
    </row>
    <row r="327" spans="1:9" x14ac:dyDescent="0.25">
      <c r="A327" s="60" t="s">
        <v>3110</v>
      </c>
      <c r="B327" s="60" t="str">
        <f>findKey(supplementary_offering_legacyid__4[[#This Row],[PRODUCCION]])</f>
        <v>200021-23</v>
      </c>
      <c r="C327" s="61" t="s">
        <v>3111</v>
      </c>
      <c r="D327" t="s">
        <v>3112</v>
      </c>
      <c r="E327" t="s">
        <v>2329</v>
      </c>
      <c r="F327" s="61"/>
      <c r="H327" t="str">
        <f>ToJsonArray(supplementary_offering_legacyid__4[[#Headers],[offeringid]:[json]],supplementary_offering_legacyid__4[[#This Row],[offeringid]:[ignore]])</f>
        <v>{"offeringid":"920002123","name":"Data 3.5GB_920002123","mode":"N"}</v>
      </c>
      <c r="I327" t="str">
        <f>ToJsonArray(supplementary_offering_legacyid__4[[#This Row],[semilla04]],supplementary_offering_legacyid__4[[#This Row],[json]])</f>
        <v>{"200021-23":{"offeringid":"920002123","name":"Data 3.5GB_920002123","mode":"N"}}</v>
      </c>
    </row>
    <row r="328" spans="1:9" x14ac:dyDescent="0.25">
      <c r="A328" s="60" t="s">
        <v>3113</v>
      </c>
      <c r="B328" s="60" t="str">
        <f>findKey(supplementary_offering_legacyid__4[[#This Row],[PRODUCCION]])</f>
        <v>200021-24</v>
      </c>
      <c r="C328" s="61" t="s">
        <v>3114</v>
      </c>
      <c r="D328" t="s">
        <v>3115</v>
      </c>
      <c r="E328" t="s">
        <v>2329</v>
      </c>
      <c r="F328" s="61"/>
      <c r="H328" t="str">
        <f>ToJsonArray(supplementary_offering_legacyid__4[[#Headers],[offeringid]:[json]],supplementary_offering_legacyid__4[[#This Row],[offeringid]:[ignore]])</f>
        <v>{"offeringid":"920002124","name":"Data 4.5GB_920002124","mode":"N"}</v>
      </c>
      <c r="I328" t="str">
        <f>ToJsonArray(supplementary_offering_legacyid__4[[#This Row],[semilla04]],supplementary_offering_legacyid__4[[#This Row],[json]])</f>
        <v>{"200021-24":{"offeringid":"920002124","name":"Data 4.5GB_920002124","mode":"N"}}</v>
      </c>
    </row>
    <row r="329" spans="1:9" x14ac:dyDescent="0.25">
      <c r="A329" s="60" t="s">
        <v>3116</v>
      </c>
      <c r="B329" s="60" t="str">
        <f>findKey(supplementary_offering_legacyid__4[[#This Row],[PRODUCCION]])</f>
        <v>200021-25</v>
      </c>
      <c r="C329" s="61" t="s">
        <v>3117</v>
      </c>
      <c r="D329" t="s">
        <v>3118</v>
      </c>
      <c r="E329" t="s">
        <v>2329</v>
      </c>
      <c r="F329" s="61"/>
      <c r="H329" t="str">
        <f>ToJsonArray(supplementary_offering_legacyid__4[[#Headers],[offeringid]:[json]],supplementary_offering_legacyid__4[[#This Row],[offeringid]:[ignore]])</f>
        <v>{"offeringid":"920002125","name":"Data 4.5GB_920002125","mode":"N"}</v>
      </c>
      <c r="I329" t="str">
        <f>ToJsonArray(supplementary_offering_legacyid__4[[#This Row],[semilla04]],supplementary_offering_legacyid__4[[#This Row],[json]])</f>
        <v>{"200021-25":{"offeringid":"920002125","name":"Data 4.5GB_920002125","mode":"N"}}</v>
      </c>
    </row>
    <row r="330" spans="1:9" x14ac:dyDescent="0.25">
      <c r="A330" s="60" t="s">
        <v>3119</v>
      </c>
      <c r="B330" s="60" t="str">
        <f>findKey(supplementary_offering_legacyid__4[[#This Row],[PRODUCCION]])</f>
        <v>200021-26</v>
      </c>
      <c r="C330" s="61" t="s">
        <v>3120</v>
      </c>
      <c r="D330" t="s">
        <v>3121</v>
      </c>
      <c r="E330" t="s">
        <v>2329</v>
      </c>
      <c r="F330" s="61"/>
      <c r="H330" t="str">
        <f>ToJsonArray(supplementary_offering_legacyid__4[[#Headers],[offeringid]:[json]],supplementary_offering_legacyid__4[[#This Row],[offeringid]:[ignore]])</f>
        <v>{"offeringid":"920002126","name":"Data 5.5GB_920002126","mode":"N"}</v>
      </c>
      <c r="I330" t="str">
        <f>ToJsonArray(supplementary_offering_legacyid__4[[#This Row],[semilla04]],supplementary_offering_legacyid__4[[#This Row],[json]])</f>
        <v>{"200021-26":{"offeringid":"920002126","name":"Data 5.5GB_920002126","mode":"N"}}</v>
      </c>
    </row>
    <row r="331" spans="1:9" x14ac:dyDescent="0.25">
      <c r="A331" s="60" t="s">
        <v>3122</v>
      </c>
      <c r="B331" s="60" t="str">
        <f>findKey(supplementary_offering_legacyid__4[[#This Row],[PRODUCCION]])</f>
        <v>200021-27</v>
      </c>
      <c r="C331" s="61" t="s">
        <v>3123</v>
      </c>
      <c r="D331" t="s">
        <v>3124</v>
      </c>
      <c r="E331" t="s">
        <v>2329</v>
      </c>
      <c r="F331" s="61"/>
      <c r="H331" t="str">
        <f>ToJsonArray(supplementary_offering_legacyid__4[[#Headers],[offeringid]:[json]],supplementary_offering_legacyid__4[[#This Row],[offeringid]:[ignore]])</f>
        <v>{"offeringid":"920002127","name":"Data 6.5GB_920002127","mode":"N"}</v>
      </c>
      <c r="I331" t="str">
        <f>ToJsonArray(supplementary_offering_legacyid__4[[#This Row],[semilla04]],supplementary_offering_legacyid__4[[#This Row],[json]])</f>
        <v>{"200021-27":{"offeringid":"920002127","name":"Data 6.5GB_920002127","mode":"N"}}</v>
      </c>
    </row>
    <row r="332" spans="1:9" x14ac:dyDescent="0.25">
      <c r="A332" s="60" t="s">
        <v>3125</v>
      </c>
      <c r="B332" s="60" t="str">
        <f>findKey(supplementary_offering_legacyid__4[[#This Row],[PRODUCCION]])</f>
        <v>200021-28</v>
      </c>
      <c r="C332" s="61" t="s">
        <v>3126</v>
      </c>
      <c r="D332" t="s">
        <v>3127</v>
      </c>
      <c r="E332" t="s">
        <v>2329</v>
      </c>
      <c r="F332" s="61"/>
      <c r="H332" t="str">
        <f>ToJsonArray(supplementary_offering_legacyid__4[[#Headers],[offeringid]:[json]],supplementary_offering_legacyid__4[[#This Row],[offeringid]:[ignore]])</f>
        <v>{"offeringid":"920002128","name":"Data 7.5GB_920002128","mode":"N"}</v>
      </c>
      <c r="I332" t="str">
        <f>ToJsonArray(supplementary_offering_legacyid__4[[#This Row],[semilla04]],supplementary_offering_legacyid__4[[#This Row],[json]])</f>
        <v>{"200021-28":{"offeringid":"920002128","name":"Data 7.5GB_920002128","mode":"N"}}</v>
      </c>
    </row>
    <row r="333" spans="1:9" x14ac:dyDescent="0.25">
      <c r="A333" s="60" t="s">
        <v>3128</v>
      </c>
      <c r="B333" s="60" t="str">
        <f>findKey(supplementary_offering_legacyid__4[[#This Row],[PRODUCCION]])</f>
        <v>200021-29</v>
      </c>
      <c r="C333" s="61" t="s">
        <v>3129</v>
      </c>
      <c r="D333" t="s">
        <v>3130</v>
      </c>
      <c r="E333" t="s">
        <v>2329</v>
      </c>
      <c r="F333" s="61"/>
      <c r="H333" t="str">
        <f>ToJsonArray(supplementary_offering_legacyid__4[[#Headers],[offeringid]:[json]],supplementary_offering_legacyid__4[[#This Row],[offeringid]:[ignore]])</f>
        <v>{"offeringid":"920002129","name":"Data 8.5GB_920002129","mode":"N"}</v>
      </c>
      <c r="I333" t="str">
        <f>ToJsonArray(supplementary_offering_legacyid__4[[#This Row],[semilla04]],supplementary_offering_legacyid__4[[#This Row],[json]])</f>
        <v>{"200021-29":{"offeringid":"920002129","name":"Data 8.5GB_920002129","mode":"N"}}</v>
      </c>
    </row>
    <row r="334" spans="1:9" x14ac:dyDescent="0.25">
      <c r="A334" s="60" t="s">
        <v>3131</v>
      </c>
      <c r="B334" s="60" t="str">
        <f>findKey(supplementary_offering_legacyid__4[[#This Row],[PRODUCCION]])</f>
        <v>200021-30</v>
      </c>
      <c r="C334" s="61" t="s">
        <v>3132</v>
      </c>
      <c r="D334" t="s">
        <v>3133</v>
      </c>
      <c r="E334" t="s">
        <v>2329</v>
      </c>
      <c r="F334" s="61"/>
      <c r="H334" t="str">
        <f>ToJsonArray(supplementary_offering_legacyid__4[[#Headers],[offeringid]:[json]],supplementary_offering_legacyid__4[[#This Row],[offeringid]:[ignore]])</f>
        <v>{"offeringid":"920002130","name":"Data 9.5GB_920002130","mode":"N"}</v>
      </c>
      <c r="I334" t="str">
        <f>ToJsonArray(supplementary_offering_legacyid__4[[#This Row],[semilla04]],supplementary_offering_legacyid__4[[#This Row],[json]])</f>
        <v>{"200021-30":{"offeringid":"920002130","name":"Data 9.5GB_920002130","mode":"N"}}</v>
      </c>
    </row>
    <row r="335" spans="1:9" x14ac:dyDescent="0.25">
      <c r="A335" s="60" t="s">
        <v>3134</v>
      </c>
      <c r="B335" s="60" t="str">
        <f>findKey(supplementary_offering_legacyid__4[[#This Row],[PRODUCCION]])</f>
        <v>200021-31</v>
      </c>
      <c r="C335" s="61" t="s">
        <v>3135</v>
      </c>
      <c r="D335" t="s">
        <v>3136</v>
      </c>
      <c r="E335" t="s">
        <v>2329</v>
      </c>
      <c r="F335" s="61"/>
      <c r="H335" t="str">
        <f>ToJsonArray(supplementary_offering_legacyid__4[[#Headers],[offeringid]:[json]],supplementary_offering_legacyid__4[[#This Row],[offeringid]:[ignore]])</f>
        <v>{"offeringid":"920002131","name":"Data 10GB_920002131","mode":"N"}</v>
      </c>
      <c r="I335" t="str">
        <f>ToJsonArray(supplementary_offering_legacyid__4[[#This Row],[semilla04]],supplementary_offering_legacyid__4[[#This Row],[json]])</f>
        <v>{"200021-31":{"offeringid":"920002131","name":"Data 10GB_920002131","mode":"N"}}</v>
      </c>
    </row>
    <row r="336" spans="1:9" x14ac:dyDescent="0.25">
      <c r="A336" s="60" t="s">
        <v>3137</v>
      </c>
      <c r="B336" s="60" t="str">
        <f>findKey(supplementary_offering_legacyid__4[[#This Row],[PRODUCCION]])</f>
        <v>200021-32</v>
      </c>
      <c r="C336" s="61" t="s">
        <v>3138</v>
      </c>
      <c r="D336" t="s">
        <v>3139</v>
      </c>
      <c r="E336" t="s">
        <v>2329</v>
      </c>
      <c r="F336" s="61"/>
      <c r="H336" t="str">
        <f>ToJsonArray(supplementary_offering_legacyid__4[[#Headers],[offeringid]:[json]],supplementary_offering_legacyid__4[[#This Row],[offeringid]:[ignore]])</f>
        <v>{"offeringid":"920002132","name":"Data 11GB_920002132","mode":"N"}</v>
      </c>
      <c r="I336" t="str">
        <f>ToJsonArray(supplementary_offering_legacyid__4[[#This Row],[semilla04]],supplementary_offering_legacyid__4[[#This Row],[json]])</f>
        <v>{"200021-32":{"offeringid":"920002132","name":"Data 11GB_920002132","mode":"N"}}</v>
      </c>
    </row>
    <row r="337" spans="1:9" x14ac:dyDescent="0.25">
      <c r="A337" s="60" t="s">
        <v>3140</v>
      </c>
      <c r="B337" s="60" t="str">
        <f>findKey(supplementary_offering_legacyid__4[[#This Row],[PRODUCCION]])</f>
        <v>200021-33</v>
      </c>
      <c r="C337" s="61" t="s">
        <v>3141</v>
      </c>
      <c r="D337" t="s">
        <v>3142</v>
      </c>
      <c r="E337" t="s">
        <v>2329</v>
      </c>
      <c r="F337" s="61"/>
      <c r="H337" t="str">
        <f>ToJsonArray(supplementary_offering_legacyid__4[[#Headers],[offeringid]:[json]],supplementary_offering_legacyid__4[[#This Row],[offeringid]:[ignore]])</f>
        <v>{"offeringid":"920002133","name":"Data 11.5GB_920002133","mode":"N"}</v>
      </c>
      <c r="I337" t="str">
        <f>ToJsonArray(supplementary_offering_legacyid__4[[#This Row],[semilla04]],supplementary_offering_legacyid__4[[#This Row],[json]])</f>
        <v>{"200021-33":{"offeringid":"920002133","name":"Data 11.5GB_920002133","mode":"N"}}</v>
      </c>
    </row>
    <row r="338" spans="1:9" x14ac:dyDescent="0.25">
      <c r="A338" s="60" t="s">
        <v>3143</v>
      </c>
      <c r="B338" s="60" t="str">
        <f>findKey(supplementary_offering_legacyid__4[[#This Row],[PRODUCCION]])</f>
        <v>200021-34</v>
      </c>
      <c r="C338" s="61" t="s">
        <v>3144</v>
      </c>
      <c r="D338" t="s">
        <v>3145</v>
      </c>
      <c r="E338" t="s">
        <v>2329</v>
      </c>
      <c r="F338" s="61"/>
      <c r="H338" t="str">
        <f>ToJsonArray(supplementary_offering_legacyid__4[[#Headers],[offeringid]:[json]],supplementary_offering_legacyid__4[[#This Row],[offeringid]:[ignore]])</f>
        <v>{"offeringid":"920002134","name":"Data 12.5GB_920002134","mode":"N"}</v>
      </c>
      <c r="I338" t="str">
        <f>ToJsonArray(supplementary_offering_legacyid__4[[#This Row],[semilla04]],supplementary_offering_legacyid__4[[#This Row],[json]])</f>
        <v>{"200021-34":{"offeringid":"920002134","name":"Data 12.5GB_920002134","mode":"N"}}</v>
      </c>
    </row>
    <row r="339" spans="1:9" x14ac:dyDescent="0.25">
      <c r="A339" s="60" t="s">
        <v>3146</v>
      </c>
      <c r="B339" s="60" t="str">
        <f>findKey(supplementary_offering_legacyid__4[[#This Row],[PRODUCCION]])</f>
        <v>200021-46</v>
      </c>
      <c r="C339" s="61" t="s">
        <v>3147</v>
      </c>
      <c r="D339" t="s">
        <v>3148</v>
      </c>
      <c r="E339" t="s">
        <v>2329</v>
      </c>
      <c r="F339" s="61"/>
      <c r="H339" t="str">
        <f>ToJsonArray(supplementary_offering_legacyid__4[[#Headers],[offeringid]:[json]],supplementary_offering_legacyid__4[[#This Row],[offeringid]:[ignore]])</f>
        <v>{"offeringid":"920002146","name":"Data 4.5GB_920002146","mode":"N"}</v>
      </c>
      <c r="I339" t="str">
        <f>ToJsonArray(supplementary_offering_legacyid__4[[#This Row],[semilla04]],supplementary_offering_legacyid__4[[#This Row],[json]])</f>
        <v>{"200021-46":{"offeringid":"920002146","name":"Data 4.5GB_920002146","mode":"N"}}</v>
      </c>
    </row>
    <row r="340" spans="1:9" x14ac:dyDescent="0.25">
      <c r="A340" s="60" t="s">
        <v>3149</v>
      </c>
      <c r="B340" s="60" t="str">
        <f>findKey(supplementary_offering_legacyid__4[[#This Row],[PRODUCCION]])</f>
        <v>200101-01</v>
      </c>
      <c r="C340" s="61" t="s">
        <v>3150</v>
      </c>
      <c r="D340" t="s">
        <v>3151</v>
      </c>
      <c r="E340" t="s">
        <v>2189</v>
      </c>
      <c r="F340" s="61"/>
      <c r="H340" t="str">
        <f>ToJsonArray(supplementary_offering_legacyid__4[[#Headers],[offeringid]:[json]],supplementary_offering_legacyid__4[[#This Row],[offeringid]:[ignore]])</f>
        <v>{"offeringid":"920010101","name":"Data - Regalo_920010101","mode":"I"}</v>
      </c>
      <c r="I340" t="str">
        <f>ToJsonArray(supplementary_offering_legacyid__4[[#This Row],[semilla04]],supplementary_offering_legacyid__4[[#This Row],[json]])</f>
        <v>{"200101-01":{"offeringid":"920010101","name":"Data - Regalo_920010101","mode":"I"}}</v>
      </c>
    </row>
    <row r="341" spans="1:9" x14ac:dyDescent="0.25">
      <c r="A341" s="60" t="s">
        <v>3152</v>
      </c>
      <c r="B341" s="60" t="str">
        <f>findKey(supplementary_offering_legacyid__4[[#This Row],[PRODUCCION]])</f>
        <v>200103-01</v>
      </c>
      <c r="C341" s="61" t="s">
        <v>3153</v>
      </c>
      <c r="D341" t="s">
        <v>3154</v>
      </c>
      <c r="E341" t="s">
        <v>2189</v>
      </c>
      <c r="F341" s="61"/>
      <c r="H341" t="str">
        <f>ToJsonArray(supplementary_offering_legacyid__4[[#Headers],[offeringid]:[json]],supplementary_offering_legacyid__4[[#This Row],[offeringid]:[ignore]])</f>
        <v>{"offeringid":"920010301","name":"BlackBerry Regalo_920010301","mode":"I"}</v>
      </c>
      <c r="I341" t="str">
        <f>ToJsonArray(supplementary_offering_legacyid__4[[#This Row],[semilla04]],supplementary_offering_legacyid__4[[#This Row],[json]])</f>
        <v>{"200103-01":{"offeringid":"920010301","name":"BlackBerry Regalo_920010301","mode":"I"}}</v>
      </c>
    </row>
    <row r="342" spans="1:9" x14ac:dyDescent="0.25">
      <c r="A342" s="60" t="s">
        <v>3155</v>
      </c>
      <c r="B342" s="60" t="str">
        <f>findKey(supplementary_offering_legacyid__4[[#This Row],[PRODUCCION]])</f>
        <v>300301-15</v>
      </c>
      <c r="C342" s="61" t="s">
        <v>3156</v>
      </c>
      <c r="D342" t="s">
        <v>3157</v>
      </c>
      <c r="E342" t="s">
        <v>2329</v>
      </c>
      <c r="F342" s="61"/>
      <c r="H342" t="str">
        <f>ToJsonArray(supplementary_offering_legacyid__4[[#Headers],[offeringid]:[json]],supplementary_offering_legacyid__4[[#This Row],[offeringid]:[ignore]])</f>
        <v>{"offeringid":"930030115","name":"Sms-OnNet-5000D_930030115","mode":"N"}</v>
      </c>
      <c r="I342" t="str">
        <f>ToJsonArray(supplementary_offering_legacyid__4[[#This Row],[semilla04]],supplementary_offering_legacyid__4[[#This Row],[json]])</f>
        <v>{"300301-15":{"offeringid":"930030115","name":"Sms-OnNet-5000D_930030115","mode":"N"}}</v>
      </c>
    </row>
    <row r="343" spans="1:9" x14ac:dyDescent="0.25">
      <c r="A343" s="60" t="s">
        <v>3158</v>
      </c>
      <c r="B343" s="60" t="str">
        <f>findKey(supplementary_offering_legacyid__4[[#This Row],[PRODUCCION]])</f>
        <v>300302-18</v>
      </c>
      <c r="C343" s="61" t="s">
        <v>3159</v>
      </c>
      <c r="D343" t="s">
        <v>3160</v>
      </c>
      <c r="E343" t="s">
        <v>2329</v>
      </c>
      <c r="F343" s="61"/>
      <c r="H343" t="str">
        <f>ToJsonArray(supplementary_offering_legacyid__4[[#Headers],[offeringid]:[json]],supplementary_offering_legacyid__4[[#This Row],[offeringid]:[ignore]])</f>
        <v>{"offeringid":"930030218","name":"Sms-TD-100_930030218","mode":"N"}</v>
      </c>
      <c r="I343" t="str">
        <f>ToJsonArray(supplementary_offering_legacyid__4[[#This Row],[semilla04]],supplementary_offering_legacyid__4[[#This Row],[json]])</f>
        <v>{"300302-18":{"offeringid":"930030218","name":"Sms-TD-100_930030218","mode":"N"}}</v>
      </c>
    </row>
    <row r="344" spans="1:9" x14ac:dyDescent="0.25">
      <c r="A344" s="60" t="s">
        <v>3161</v>
      </c>
      <c r="B344" s="60" t="str">
        <f>findKey(supplementary_offering_legacyid__4[[#This Row],[PRODUCCION]])</f>
        <v>300302-21</v>
      </c>
      <c r="C344" s="61" t="s">
        <v>3162</v>
      </c>
      <c r="D344" t="s">
        <v>3163</v>
      </c>
      <c r="E344" t="s">
        <v>2329</v>
      </c>
      <c r="F344" s="61"/>
      <c r="H344" t="str">
        <f>ToJsonArray(supplementary_offering_legacyid__4[[#Headers],[offeringid]:[json]],supplementary_offering_legacyid__4[[#This Row],[offeringid]:[ignore]])</f>
        <v>{"offeringid":"930030221","name":"Sms-TD-20_930030221","mode":"N"}</v>
      </c>
      <c r="I344" t="str">
        <f>ToJsonArray(supplementary_offering_legacyid__4[[#This Row],[semilla04]],supplementary_offering_legacyid__4[[#This Row],[json]])</f>
        <v>{"300302-21":{"offeringid":"930030221","name":"Sms-TD-20_930030221","mode":"N"}}</v>
      </c>
    </row>
    <row r="345" spans="1:9" x14ac:dyDescent="0.25">
      <c r="A345" s="60" t="s">
        <v>3164</v>
      </c>
      <c r="B345" s="60" t="str">
        <f>findKey(supplementary_offering_legacyid__4[[#This Row],[PRODUCCION]])</f>
        <v>300302-25</v>
      </c>
      <c r="C345" s="61" t="s">
        <v>3165</v>
      </c>
      <c r="D345" t="s">
        <v>3166</v>
      </c>
      <c r="E345" t="s">
        <v>2329</v>
      </c>
      <c r="F345" s="61"/>
      <c r="H345" t="str">
        <f>ToJsonArray(supplementary_offering_legacyid__4[[#Headers],[offeringid]:[json]],supplementary_offering_legacyid__4[[#This Row],[offeringid]:[ignore]])</f>
        <v>{"offeringid":"930030225","name":"Sms-TD-Ilimitado_930030225","mode":"N"}</v>
      </c>
      <c r="I345" t="str">
        <f>ToJsonArray(supplementary_offering_legacyid__4[[#This Row],[semilla04]],supplementary_offering_legacyid__4[[#This Row],[json]])</f>
        <v>{"300302-25":{"offeringid":"930030225","name":"Sms-TD-Ilimitado_930030225","mode":"N"}}</v>
      </c>
    </row>
    <row r="346" spans="1:9" x14ac:dyDescent="0.25">
      <c r="A346" s="60" t="s">
        <v>3167</v>
      </c>
      <c r="B346" s="60" t="str">
        <f>findKey(supplementary_offering_legacyid__4[[#This Row],[PRODUCCION]])</f>
        <v>300302-26</v>
      </c>
      <c r="C346" s="61" t="s">
        <v>3168</v>
      </c>
      <c r="D346" t="s">
        <v>3169</v>
      </c>
      <c r="E346" t="s">
        <v>2329</v>
      </c>
      <c r="F346" s="61"/>
      <c r="H346" t="str">
        <f>ToJsonArray(supplementary_offering_legacyid__4[[#Headers],[offeringid]:[json]],supplementary_offering_legacyid__4[[#This Row],[offeringid]:[ignore]])</f>
        <v>{"offeringid":"930030226","name":"Sms-TD-Ilimitado_930030226","mode":"N"}</v>
      </c>
      <c r="I346" t="str">
        <f>ToJsonArray(supplementary_offering_legacyid__4[[#This Row],[semilla04]],supplementary_offering_legacyid__4[[#This Row],[json]])</f>
        <v>{"300302-26":{"offeringid":"930030226","name":"Sms-TD-Ilimitado_930030226","mode":"N"}}</v>
      </c>
    </row>
    <row r="347" spans="1:9" x14ac:dyDescent="0.25">
      <c r="A347" s="60" t="s">
        <v>3170</v>
      </c>
      <c r="B347" s="60" t="str">
        <f>findKey(supplementary_offering_legacyid__4[[#This Row],[PRODUCCION]])</f>
        <v>300302-28</v>
      </c>
      <c r="C347" s="61" t="s">
        <v>3171</v>
      </c>
      <c r="D347" t="s">
        <v>3172</v>
      </c>
      <c r="E347" t="s">
        <v>2329</v>
      </c>
      <c r="F347" s="61"/>
      <c r="H347" t="str">
        <f>ToJsonArray(supplementary_offering_legacyid__4[[#Headers],[offeringid]:[json]],supplementary_offering_legacyid__4[[#This Row],[offeringid]:[ignore]])</f>
        <v>{"offeringid":"930030228","name":"Sms - Todo destino - 100_930030228","mode":"N"}</v>
      </c>
      <c r="I347" t="str">
        <f>ToJsonArray(supplementary_offering_legacyid__4[[#This Row],[semilla04]],supplementary_offering_legacyid__4[[#This Row],[json]])</f>
        <v>{"300302-28":{"offeringid":"930030228","name":"Sms - Todo destino - 100_930030228","mode":"N"}}</v>
      </c>
    </row>
    <row r="348" spans="1:9" x14ac:dyDescent="0.25">
      <c r="A348" s="60" t="s">
        <v>3173</v>
      </c>
      <c r="B348" s="60" t="str">
        <f>findKey(supplementary_offering_legacyid__4[[#This Row],[PRODUCCION]])</f>
        <v>300302-29</v>
      </c>
      <c r="C348" s="61" t="s">
        <v>3174</v>
      </c>
      <c r="D348" t="s">
        <v>3175</v>
      </c>
      <c r="E348" t="s">
        <v>2329</v>
      </c>
      <c r="F348" s="61"/>
      <c r="H348" t="str">
        <f>ToJsonArray(supplementary_offering_legacyid__4[[#Headers],[offeringid]:[json]],supplementary_offering_legacyid__4[[#This Row],[offeringid]:[ignore]])</f>
        <v>{"offeringid":"930030229","name":"Sms - Todo destino - 200_930030229","mode":"N"}</v>
      </c>
      <c r="I348" t="str">
        <f>ToJsonArray(supplementary_offering_legacyid__4[[#This Row],[semilla04]],supplementary_offering_legacyid__4[[#This Row],[json]])</f>
        <v>{"300302-29":{"offeringid":"930030229","name":"Sms - Todo destino - 200_930030229","mode":"N"}}</v>
      </c>
    </row>
    <row r="349" spans="1:9" x14ac:dyDescent="0.25">
      <c r="A349" s="60" t="s">
        <v>3176</v>
      </c>
      <c r="B349" s="60" t="str">
        <f>findKey(supplementary_offering_legacyid__4[[#This Row],[PRODUCCION]])</f>
        <v>300302-30</v>
      </c>
      <c r="C349" s="61" t="s">
        <v>3177</v>
      </c>
      <c r="D349" t="s">
        <v>3178</v>
      </c>
      <c r="E349" t="s">
        <v>2329</v>
      </c>
      <c r="F349" s="61"/>
      <c r="H349" t="str">
        <f>ToJsonArray(supplementary_offering_legacyid__4[[#Headers],[offeringid]:[json]],supplementary_offering_legacyid__4[[#This Row],[offeringid]:[ignore]])</f>
        <v>{"offeringid":"930030230","name":"Sms-TD-Ilimitado_930030230","mode":"N"}</v>
      </c>
      <c r="I349" t="str">
        <f>ToJsonArray(supplementary_offering_legacyid__4[[#This Row],[semilla04]],supplementary_offering_legacyid__4[[#This Row],[json]])</f>
        <v>{"300302-30":{"offeringid":"930030230","name":"Sms-TD-Ilimitado_930030230","mode":"N"}}</v>
      </c>
    </row>
    <row r="350" spans="1:9" x14ac:dyDescent="0.25">
      <c r="A350" s="60" t="s">
        <v>3179</v>
      </c>
      <c r="B350" s="60" t="str">
        <f>findKey(supplementary_offering_legacyid__4[[#This Row],[PRODUCCION]])</f>
        <v>300302-32</v>
      </c>
      <c r="C350" s="61" t="s">
        <v>3180</v>
      </c>
      <c r="D350" t="s">
        <v>3181</v>
      </c>
      <c r="E350" t="s">
        <v>2329</v>
      </c>
      <c r="F350" s="61"/>
      <c r="H350" t="str">
        <f>ToJsonArray(supplementary_offering_legacyid__4[[#Headers],[offeringid]:[json]],supplementary_offering_legacyid__4[[#This Row],[offeringid]:[ignore]])</f>
        <v>{"offeringid":"930030232","name":"Sms-TD-100_930030232","mode":"N"}</v>
      </c>
      <c r="I350" t="str">
        <f>ToJsonArray(supplementary_offering_legacyid__4[[#This Row],[semilla04]],supplementary_offering_legacyid__4[[#This Row],[json]])</f>
        <v>{"300302-32":{"offeringid":"930030232","name":"Sms-TD-100_930030232","mode":"N"}}</v>
      </c>
    </row>
    <row r="351" spans="1:9" x14ac:dyDescent="0.25">
      <c r="A351" s="60" t="s">
        <v>3182</v>
      </c>
      <c r="B351" s="60" t="str">
        <f>findKey(supplementary_offering_legacyid__4[[#This Row],[PRODUCCION]])</f>
        <v>300302-33</v>
      </c>
      <c r="C351" s="61" t="s">
        <v>3183</v>
      </c>
      <c r="D351" t="s">
        <v>3184</v>
      </c>
      <c r="E351" t="s">
        <v>2329</v>
      </c>
      <c r="F351" s="61"/>
      <c r="H351" t="str">
        <f>ToJsonArray(supplementary_offering_legacyid__4[[#Headers],[offeringid]:[json]],supplementary_offering_legacyid__4[[#This Row],[offeringid]:[ignore]])</f>
        <v>{"offeringid":"930030233","name":"Sms-TD-200_930030233","mode":"N"}</v>
      </c>
      <c r="I351" t="str">
        <f>ToJsonArray(supplementary_offering_legacyid__4[[#This Row],[semilla04]],supplementary_offering_legacyid__4[[#This Row],[json]])</f>
        <v>{"300302-33":{"offeringid":"930030233","name":"Sms-TD-200_930030233","mode":"N"}}</v>
      </c>
    </row>
    <row r="352" spans="1:9" x14ac:dyDescent="0.25">
      <c r="A352" s="60" t="s">
        <v>3185</v>
      </c>
      <c r="B352" s="60" t="str">
        <f>findKey(supplementary_offering_legacyid__4[[#This Row],[PRODUCCION]])</f>
        <v>300302-34</v>
      </c>
      <c r="C352" s="61" t="s">
        <v>3186</v>
      </c>
      <c r="D352" t="s">
        <v>3187</v>
      </c>
      <c r="E352" t="s">
        <v>2329</v>
      </c>
      <c r="F352" s="61"/>
      <c r="H352" t="str">
        <f>ToJsonArray(supplementary_offering_legacyid__4[[#Headers],[offeringid]:[json]],supplementary_offering_legacyid__4[[#This Row],[offeringid]:[ignore]])</f>
        <v>{"offeringid":"930030234","name":"Sms-TD-Ilimitado_930030234","mode":"N"}</v>
      </c>
      <c r="I352" t="str">
        <f>ToJsonArray(supplementary_offering_legacyid__4[[#This Row],[semilla04]],supplementary_offering_legacyid__4[[#This Row],[json]])</f>
        <v>{"300302-34":{"offeringid":"930030234","name":"Sms-TD-Ilimitado_930030234","mode":"N"}}</v>
      </c>
    </row>
    <row r="353" spans="1:9" x14ac:dyDescent="0.25">
      <c r="A353" s="60" t="s">
        <v>3188</v>
      </c>
      <c r="B353" s="60" t="str">
        <f>findKey(supplementary_offering_legacyid__4[[#This Row],[PRODUCCION]])</f>
        <v>300302-35</v>
      </c>
      <c r="C353" s="61" t="s">
        <v>3189</v>
      </c>
      <c r="D353" t="s">
        <v>3190</v>
      </c>
      <c r="E353" t="s">
        <v>2329</v>
      </c>
      <c r="F353" s="61"/>
      <c r="H353" t="str">
        <f>ToJsonArray(supplementary_offering_legacyid__4[[#Headers],[offeringid]:[json]],supplementary_offering_legacyid__4[[#This Row],[offeringid]:[ignore]])</f>
        <v>{"offeringid":"930030235","name":"Sms-TD-Ilimitado_930030235","mode":"N"}</v>
      </c>
      <c r="I353" t="str">
        <f>ToJsonArray(supplementary_offering_legacyid__4[[#This Row],[semilla04]],supplementary_offering_legacyid__4[[#This Row],[json]])</f>
        <v>{"300302-35":{"offeringid":"930030235","name":"Sms-TD-Ilimitado_930030235","mode":"N"}}</v>
      </c>
    </row>
    <row r="354" spans="1:9" x14ac:dyDescent="0.25">
      <c r="A354" s="60" t="s">
        <v>3191</v>
      </c>
      <c r="B354" s="60" t="str">
        <f>findKey(supplementary_offering_legacyid__4[[#This Row],[PRODUCCION]])</f>
        <v>300302-36</v>
      </c>
      <c r="C354" s="61" t="s">
        <v>3192</v>
      </c>
      <c r="D354" t="s">
        <v>3193</v>
      </c>
      <c r="E354" t="s">
        <v>2329</v>
      </c>
      <c r="F354" s="61"/>
      <c r="H354" t="str">
        <f>ToJsonArray(supplementary_offering_legacyid__4[[#Headers],[offeringid]:[json]],supplementary_offering_legacyid__4[[#This Row],[offeringid]:[ignore]])</f>
        <v>{"offeringid":"930030236","name":"Sms-TD-Ilimitado_930030236","mode":"N"}</v>
      </c>
      <c r="I354" t="str">
        <f>ToJsonArray(supplementary_offering_legacyid__4[[#This Row],[semilla04]],supplementary_offering_legacyid__4[[#This Row],[json]])</f>
        <v>{"300302-36":{"offeringid":"930030236","name":"Sms-TD-Ilimitado_930030236","mode":"N"}}</v>
      </c>
    </row>
    <row r="355" spans="1:9" x14ac:dyDescent="0.25">
      <c r="A355" s="60" t="s">
        <v>3194</v>
      </c>
      <c r="B355" s="60" t="str">
        <f>findKey(supplementary_offering_legacyid__4[[#This Row],[PRODUCCION]])</f>
        <v>300302-37</v>
      </c>
      <c r="C355" s="61" t="s">
        <v>3195</v>
      </c>
      <c r="D355" t="s">
        <v>3196</v>
      </c>
      <c r="E355" t="s">
        <v>2329</v>
      </c>
      <c r="F355" s="61"/>
      <c r="H355" t="str">
        <f>ToJsonArray(supplementary_offering_legacyid__4[[#Headers],[offeringid]:[json]],supplementary_offering_legacyid__4[[#This Row],[offeringid]:[ignore]])</f>
        <v>{"offeringid":"930030237","name":"Sms-TD-Ilimitado_930030237","mode":"N"}</v>
      </c>
      <c r="I355" t="str">
        <f>ToJsonArray(supplementary_offering_legacyid__4[[#This Row],[semilla04]],supplementary_offering_legacyid__4[[#This Row],[json]])</f>
        <v>{"300302-37":{"offeringid":"930030237","name":"Sms-TD-Ilimitado_930030237","mode":"N"}}</v>
      </c>
    </row>
    <row r="356" spans="1:9" x14ac:dyDescent="0.25">
      <c r="A356" s="60" t="s">
        <v>3197</v>
      </c>
      <c r="B356" s="60" t="str">
        <f>findKey(supplementary_offering_legacyid__4[[#This Row],[PRODUCCION]])</f>
        <v>300302-40</v>
      </c>
      <c r="C356" s="61" t="s">
        <v>3198</v>
      </c>
      <c r="D356" t="s">
        <v>3199</v>
      </c>
      <c r="E356" t="s">
        <v>2329</v>
      </c>
      <c r="F356" s="61"/>
      <c r="H356" t="str">
        <f>ToJsonArray(supplementary_offering_legacyid__4[[#Headers],[offeringid]:[json]],supplementary_offering_legacyid__4[[#This Row],[offeringid]:[ignore]])</f>
        <v>{"offeringid":"930030240","name":"Sms-TD-200_930030240","mode":"N"}</v>
      </c>
      <c r="I356" t="str">
        <f>ToJsonArray(supplementary_offering_legacyid__4[[#This Row],[semilla04]],supplementary_offering_legacyid__4[[#This Row],[json]])</f>
        <v>{"300302-40":{"offeringid":"930030240","name":"Sms-TD-200_930030240","mode":"N"}}</v>
      </c>
    </row>
    <row r="357" spans="1:9" x14ac:dyDescent="0.25">
      <c r="A357" s="60" t="s">
        <v>3200</v>
      </c>
      <c r="B357" s="60" t="str">
        <f>findKey(supplementary_offering_legacyid__4[[#This Row],[PRODUCCION]])</f>
        <v>300302-41</v>
      </c>
      <c r="C357" s="61" t="s">
        <v>3201</v>
      </c>
      <c r="D357" t="s">
        <v>3202</v>
      </c>
      <c r="E357" t="s">
        <v>2329</v>
      </c>
      <c r="F357" s="61"/>
      <c r="H357" t="str">
        <f>ToJsonArray(supplementary_offering_legacyid__4[[#Headers],[offeringid]:[json]],supplementary_offering_legacyid__4[[#This Row],[offeringid]:[ignore]])</f>
        <v>{"offeringid":"930030241","name":"Sms-TD-Ilimitado_930030241","mode":"N"}</v>
      </c>
      <c r="I357" t="str">
        <f>ToJsonArray(supplementary_offering_legacyid__4[[#This Row],[semilla04]],supplementary_offering_legacyid__4[[#This Row],[json]])</f>
        <v>{"300302-41":{"offeringid":"930030241","name":"Sms-TD-Ilimitado_930030241","mode":"N"}}</v>
      </c>
    </row>
    <row r="358" spans="1:9" x14ac:dyDescent="0.25">
      <c r="A358" s="60" t="s">
        <v>3203</v>
      </c>
      <c r="B358" s="60" t="str">
        <f>findKey(supplementary_offering_legacyid__4[[#This Row],[PRODUCCION]])</f>
        <v>300302-42</v>
      </c>
      <c r="C358" s="61" t="s">
        <v>3204</v>
      </c>
      <c r="D358" t="s">
        <v>3205</v>
      </c>
      <c r="E358" t="s">
        <v>2329</v>
      </c>
      <c r="F358" s="61"/>
      <c r="H358" t="str">
        <f>ToJsonArray(supplementary_offering_legacyid__4[[#Headers],[offeringid]:[json]],supplementary_offering_legacyid__4[[#This Row],[offeringid]:[ignore]])</f>
        <v>{"offeringid":"930030242","name":"Sms-TD-200_930030242","mode":"N"}</v>
      </c>
      <c r="I358" t="str">
        <f>ToJsonArray(supplementary_offering_legacyid__4[[#This Row],[semilla04]],supplementary_offering_legacyid__4[[#This Row],[json]])</f>
        <v>{"300302-42":{"offeringid":"930030242","name":"Sms-TD-200_930030242","mode":"N"}}</v>
      </c>
    </row>
    <row r="359" spans="1:9" x14ac:dyDescent="0.25">
      <c r="A359" s="60" t="s">
        <v>3206</v>
      </c>
      <c r="B359" s="60" t="str">
        <f>findKey(supplementary_offering_legacyid__4[[#This Row],[PRODUCCION]])</f>
        <v>300302-43</v>
      </c>
      <c r="C359" s="61" t="s">
        <v>3207</v>
      </c>
      <c r="D359" t="s">
        <v>3208</v>
      </c>
      <c r="E359" t="s">
        <v>2329</v>
      </c>
      <c r="F359" s="61"/>
      <c r="H359" t="str">
        <f>ToJsonArray(supplementary_offering_legacyid__4[[#Headers],[offeringid]:[json]],supplementary_offering_legacyid__4[[#This Row],[offeringid]:[ignore]])</f>
        <v>{"offeringid":"930030243","name":"Sms-TD-Ilimitado_930030243","mode":"N"}</v>
      </c>
      <c r="I359" t="str">
        <f>ToJsonArray(supplementary_offering_legacyid__4[[#This Row],[semilla04]],supplementary_offering_legacyid__4[[#This Row],[json]])</f>
        <v>{"300302-43":{"offeringid":"930030243","name":"Sms-TD-Ilimitado_930030243","mode":"N"}}</v>
      </c>
    </row>
    <row r="360" spans="1:9" x14ac:dyDescent="0.25">
      <c r="A360" s="60" t="s">
        <v>3209</v>
      </c>
      <c r="B360" s="60" t="str">
        <f>findKey(supplementary_offering_legacyid__4[[#This Row],[PRODUCCION]])</f>
        <v>300302-44</v>
      </c>
      <c r="C360" s="61" t="s">
        <v>3210</v>
      </c>
      <c r="D360" t="s">
        <v>3211</v>
      </c>
      <c r="E360" t="s">
        <v>2329</v>
      </c>
      <c r="F360" s="61"/>
      <c r="H360" t="str">
        <f>ToJsonArray(supplementary_offering_legacyid__4[[#Headers],[offeringid]:[json]],supplementary_offering_legacyid__4[[#This Row],[offeringid]:[ignore]])</f>
        <v>{"offeringid":"930030244","name":"Sms-TD-Ilimitado_930030244","mode":"N"}</v>
      </c>
      <c r="I360" t="str">
        <f>ToJsonArray(supplementary_offering_legacyid__4[[#This Row],[semilla04]],supplementary_offering_legacyid__4[[#This Row],[json]])</f>
        <v>{"300302-44":{"offeringid":"930030244","name":"Sms-TD-Ilimitado_930030244","mode":"N"}}</v>
      </c>
    </row>
    <row r="361" spans="1:9" x14ac:dyDescent="0.25">
      <c r="A361" s="60" t="s">
        <v>3212</v>
      </c>
      <c r="B361" s="60" t="str">
        <f>findKey(supplementary_offering_legacyid__4[[#This Row],[PRODUCCION]])</f>
        <v>300302-45</v>
      </c>
      <c r="C361" s="61" t="s">
        <v>3213</v>
      </c>
      <c r="D361" t="s">
        <v>3214</v>
      </c>
      <c r="E361" t="s">
        <v>2329</v>
      </c>
      <c r="F361" s="61"/>
      <c r="H361" t="str">
        <f>ToJsonArray(supplementary_offering_legacyid__4[[#Headers],[offeringid]:[json]],supplementary_offering_legacyid__4[[#This Row],[offeringid]:[ignore]])</f>
        <v>{"offeringid":"930030245","name":"Sms-TD-Ilimitado_930030245","mode":"N"}</v>
      </c>
      <c r="I361" t="str">
        <f>ToJsonArray(supplementary_offering_legacyid__4[[#This Row],[semilla04]],supplementary_offering_legacyid__4[[#This Row],[json]])</f>
        <v>{"300302-45":{"offeringid":"930030245","name":"Sms-TD-Ilimitado_930030245","mode":"N"}}</v>
      </c>
    </row>
    <row r="362" spans="1:9" x14ac:dyDescent="0.25">
      <c r="A362" s="60" t="s">
        <v>3215</v>
      </c>
      <c r="B362" s="60" t="str">
        <f>findKey(supplementary_offering_legacyid__4[[#This Row],[PRODUCCION]])</f>
        <v>300302-46</v>
      </c>
      <c r="C362" s="61" t="s">
        <v>3216</v>
      </c>
      <c r="D362" t="s">
        <v>3217</v>
      </c>
      <c r="E362" t="s">
        <v>2329</v>
      </c>
      <c r="F362" s="61"/>
      <c r="H362" t="str">
        <f>ToJsonArray(supplementary_offering_legacyid__4[[#Headers],[offeringid]:[json]],supplementary_offering_legacyid__4[[#This Row],[offeringid]:[ignore]])</f>
        <v>{"offeringid":"930030246","name":"Sms-TD-Ilimitado_930030246","mode":"N"}</v>
      </c>
      <c r="I362" t="str">
        <f>ToJsonArray(supplementary_offering_legacyid__4[[#This Row],[semilla04]],supplementary_offering_legacyid__4[[#This Row],[json]])</f>
        <v>{"300302-46":{"offeringid":"930030246","name":"Sms-TD-Ilimitado_930030246","mode":"N"}}</v>
      </c>
    </row>
    <row r="363" spans="1:9" x14ac:dyDescent="0.25">
      <c r="A363" s="60" t="s">
        <v>3218</v>
      </c>
      <c r="B363" s="60" t="str">
        <f>findKey(supplementary_offering_legacyid__4[[#This Row],[PRODUCCION]])</f>
        <v>300302-47</v>
      </c>
      <c r="C363" s="61" t="s">
        <v>3219</v>
      </c>
      <c r="D363" t="s">
        <v>3220</v>
      </c>
      <c r="E363" t="s">
        <v>2329</v>
      </c>
      <c r="F363" s="61"/>
      <c r="H363" t="str">
        <f>ToJsonArray(supplementary_offering_legacyid__4[[#Headers],[offeringid]:[json]],supplementary_offering_legacyid__4[[#This Row],[offeringid]:[ignore]])</f>
        <v>{"offeringid":"930030247","name":"Sms-TD-Ilimitado_930030247","mode":"N"}</v>
      </c>
      <c r="I363" t="str">
        <f>ToJsonArray(supplementary_offering_legacyid__4[[#This Row],[semilla04]],supplementary_offering_legacyid__4[[#This Row],[json]])</f>
        <v>{"300302-47":{"offeringid":"930030247","name":"Sms-TD-Ilimitado_930030247","mode":"N"}}</v>
      </c>
    </row>
    <row r="364" spans="1:9" x14ac:dyDescent="0.25">
      <c r="A364" s="60" t="s">
        <v>3221</v>
      </c>
      <c r="B364" s="60" t="str">
        <f>findKey(supplementary_offering_legacyid__4[[#This Row],[PRODUCCION]])</f>
        <v>300302-48</v>
      </c>
      <c r="C364" s="61" t="s">
        <v>3222</v>
      </c>
      <c r="D364" t="s">
        <v>3223</v>
      </c>
      <c r="E364" t="s">
        <v>2329</v>
      </c>
      <c r="F364" s="61"/>
      <c r="H364" t="str">
        <f>ToJsonArray(supplementary_offering_legacyid__4[[#Headers],[offeringid]:[json]],supplementary_offering_legacyid__4[[#This Row],[offeringid]:[ignore]])</f>
        <v>{"offeringid":"930030248","name":"Sms-TD-Ilimitado_930030248","mode":"N"}</v>
      </c>
      <c r="I364" t="str">
        <f>ToJsonArray(supplementary_offering_legacyid__4[[#This Row],[semilla04]],supplementary_offering_legacyid__4[[#This Row],[json]])</f>
        <v>{"300302-48":{"offeringid":"930030248","name":"Sms-TD-Ilimitado_930030248","mode":"N"}}</v>
      </c>
    </row>
    <row r="365" spans="1:9" x14ac:dyDescent="0.25">
      <c r="A365" s="60" t="s">
        <v>3224</v>
      </c>
      <c r="B365" s="60" t="str">
        <f>findKey(supplementary_offering_legacyid__4[[#This Row],[PRODUCCION]])</f>
        <v>300302-49</v>
      </c>
      <c r="C365" s="61" t="s">
        <v>3225</v>
      </c>
      <c r="D365" t="s">
        <v>3226</v>
      </c>
      <c r="E365" t="s">
        <v>2329</v>
      </c>
      <c r="F365" s="61"/>
      <c r="H365" t="str">
        <f>ToJsonArray(supplementary_offering_legacyid__4[[#Headers],[offeringid]:[json]],supplementary_offering_legacyid__4[[#This Row],[offeringid]:[ignore]])</f>
        <v>{"offeringid":"930030249","name":"Sms-TD-Ilimitado_930030249","mode":"N"}</v>
      </c>
      <c r="I365" t="str">
        <f>ToJsonArray(supplementary_offering_legacyid__4[[#This Row],[semilla04]],supplementary_offering_legacyid__4[[#This Row],[json]])</f>
        <v>{"300302-49":{"offeringid":"930030249","name":"Sms-TD-Ilimitado_930030249","mode":"N"}}</v>
      </c>
    </row>
    <row r="366" spans="1:9" x14ac:dyDescent="0.25">
      <c r="A366" s="60" t="s">
        <v>3227</v>
      </c>
      <c r="B366" s="60" t="str">
        <f>findKey(supplementary_offering_legacyid__4[[#This Row],[PRODUCCION]])</f>
        <v>300302-50</v>
      </c>
      <c r="C366" s="61" t="s">
        <v>3228</v>
      </c>
      <c r="D366" t="s">
        <v>3229</v>
      </c>
      <c r="E366" t="s">
        <v>2329</v>
      </c>
      <c r="F366" s="61"/>
      <c r="H366" t="str">
        <f>ToJsonArray(supplementary_offering_legacyid__4[[#Headers],[offeringid]:[json]],supplementary_offering_legacyid__4[[#This Row],[offeringid]:[ignore]])</f>
        <v>{"offeringid":"930030250","name":"Sms-TD-Ilimitado_930030250","mode":"N"}</v>
      </c>
      <c r="I366" t="str">
        <f>ToJsonArray(supplementary_offering_legacyid__4[[#This Row],[semilla04]],supplementary_offering_legacyid__4[[#This Row],[json]])</f>
        <v>{"300302-50":{"offeringid":"930030250","name":"Sms-TD-Ilimitado_930030250","mode":"N"}}</v>
      </c>
    </row>
    <row r="367" spans="1:9" x14ac:dyDescent="0.25">
      <c r="A367" s="60" t="s">
        <v>3230</v>
      </c>
      <c r="B367" s="60" t="str">
        <f>findKey(supplementary_offering_legacyid__4[[#This Row],[PRODUCCION]])</f>
        <v>300302-51</v>
      </c>
      <c r="C367" s="61" t="s">
        <v>3231</v>
      </c>
      <c r="D367" t="s">
        <v>3232</v>
      </c>
      <c r="E367" t="s">
        <v>2329</v>
      </c>
      <c r="F367" s="61"/>
      <c r="H367" t="str">
        <f>ToJsonArray(supplementary_offering_legacyid__4[[#Headers],[offeringid]:[json]],supplementary_offering_legacyid__4[[#This Row],[offeringid]:[ignore]])</f>
        <v>{"offeringid":"930030251","name":"Sms-TD-Ilimitado_930030251","mode":"N"}</v>
      </c>
      <c r="I367" t="str">
        <f>ToJsonArray(supplementary_offering_legacyid__4[[#This Row],[semilla04]],supplementary_offering_legacyid__4[[#This Row],[json]])</f>
        <v>{"300302-51":{"offeringid":"930030251","name":"Sms-TD-Ilimitado_930030251","mode":"N"}}</v>
      </c>
    </row>
    <row r="368" spans="1:9" x14ac:dyDescent="0.25">
      <c r="A368" s="60" t="s">
        <v>3233</v>
      </c>
      <c r="B368" s="60" t="str">
        <f>findKey(supplementary_offering_legacyid__4[[#This Row],[PRODUCCION]])</f>
        <v>300302-52</v>
      </c>
      <c r="C368" s="61" t="s">
        <v>3234</v>
      </c>
      <c r="D368" t="s">
        <v>3235</v>
      </c>
      <c r="E368" t="s">
        <v>2329</v>
      </c>
      <c r="F368" s="61"/>
      <c r="H368" t="str">
        <f>ToJsonArray(supplementary_offering_legacyid__4[[#Headers],[offeringid]:[json]],supplementary_offering_legacyid__4[[#This Row],[offeringid]:[ignore]])</f>
        <v>{"offeringid":"930030252","name":"Sms-TD-Ilimitado_930030252","mode":"N"}</v>
      </c>
      <c r="I368" t="str">
        <f>ToJsonArray(supplementary_offering_legacyid__4[[#This Row],[semilla04]],supplementary_offering_legacyid__4[[#This Row],[json]])</f>
        <v>{"300302-52":{"offeringid":"930030252","name":"Sms-TD-Ilimitado_930030252","mode":"N"}}</v>
      </c>
    </row>
    <row r="369" spans="1:9" x14ac:dyDescent="0.25">
      <c r="A369" s="60" t="s">
        <v>3236</v>
      </c>
      <c r="B369" s="60" t="str">
        <f>findKey(supplementary_offering_legacyid__4[[#This Row],[PRODUCCION]])</f>
        <v>300302-53</v>
      </c>
      <c r="C369" s="61" t="s">
        <v>3237</v>
      </c>
      <c r="D369" t="s">
        <v>3238</v>
      </c>
      <c r="E369" t="s">
        <v>2329</v>
      </c>
      <c r="F369" s="61"/>
      <c r="H369" t="str">
        <f>ToJsonArray(supplementary_offering_legacyid__4[[#Headers],[offeringid]:[json]],supplementary_offering_legacyid__4[[#This Row],[offeringid]:[ignore]])</f>
        <v>{"offeringid":"930030253","name":"Sms-TD-Ilimitado_930030253","mode":"N"}</v>
      </c>
      <c r="I369" t="str">
        <f>ToJsonArray(supplementary_offering_legacyid__4[[#This Row],[semilla04]],supplementary_offering_legacyid__4[[#This Row],[json]])</f>
        <v>{"300302-53":{"offeringid":"930030253","name":"Sms-TD-Ilimitado_930030253","mode":"N"}}</v>
      </c>
    </row>
    <row r="370" spans="1:9" x14ac:dyDescent="0.25">
      <c r="A370" s="60" t="s">
        <v>3239</v>
      </c>
      <c r="B370" s="60" t="str">
        <f>findKey(supplementary_offering_legacyid__4[[#This Row],[PRODUCCION]])</f>
        <v>300302-54</v>
      </c>
      <c r="C370" s="61" t="s">
        <v>3240</v>
      </c>
      <c r="D370" t="s">
        <v>3241</v>
      </c>
      <c r="E370" t="s">
        <v>2329</v>
      </c>
      <c r="F370" s="61"/>
      <c r="H370" t="str">
        <f>ToJsonArray(supplementary_offering_legacyid__4[[#Headers],[offeringid]:[json]],supplementary_offering_legacyid__4[[#This Row],[offeringid]:[ignore]])</f>
        <v>{"offeringid":"930030254","name":"Sms-TD-Ilimitado_930030254","mode":"N"}</v>
      </c>
      <c r="I370" t="str">
        <f>ToJsonArray(supplementary_offering_legacyid__4[[#This Row],[semilla04]],supplementary_offering_legacyid__4[[#This Row],[json]])</f>
        <v>{"300302-54":{"offeringid":"930030254","name":"Sms-TD-Ilimitado_930030254","mode":"N"}}</v>
      </c>
    </row>
    <row r="371" spans="1:9" x14ac:dyDescent="0.25">
      <c r="A371" s="60" t="s">
        <v>3242</v>
      </c>
      <c r="B371" s="60" t="str">
        <f>findKey(supplementary_offering_legacyid__4[[#This Row],[PRODUCCION]])</f>
        <v>300302-55</v>
      </c>
      <c r="C371" s="61" t="s">
        <v>3243</v>
      </c>
      <c r="D371" t="s">
        <v>3244</v>
      </c>
      <c r="E371" t="s">
        <v>2329</v>
      </c>
      <c r="F371" s="61"/>
      <c r="H371" t="str">
        <f>ToJsonArray(supplementary_offering_legacyid__4[[#Headers],[offeringid]:[json]],supplementary_offering_legacyid__4[[#This Row],[offeringid]:[ignore]])</f>
        <v>{"offeringid":"930030255","name":"Sms-TD-Ilimitado_930030255","mode":"N"}</v>
      </c>
      <c r="I371" t="str">
        <f>ToJsonArray(supplementary_offering_legacyid__4[[#This Row],[semilla04]],supplementary_offering_legacyid__4[[#This Row],[json]])</f>
        <v>{"300302-55":{"offeringid":"930030255","name":"Sms-TD-Ilimitado_930030255","mode":"N"}}</v>
      </c>
    </row>
    <row r="372" spans="1:9" x14ac:dyDescent="0.25">
      <c r="A372" s="60" t="s">
        <v>3245</v>
      </c>
      <c r="B372" s="60" t="str">
        <f>findKey(supplementary_offering_legacyid__4[[#This Row],[PRODUCCION]])</f>
        <v>300302-56</v>
      </c>
      <c r="C372" s="61" t="s">
        <v>3246</v>
      </c>
      <c r="D372" t="s">
        <v>3247</v>
      </c>
      <c r="E372" t="s">
        <v>2329</v>
      </c>
      <c r="F372" s="61"/>
      <c r="H372" t="str">
        <f>ToJsonArray(supplementary_offering_legacyid__4[[#Headers],[offeringid]:[json]],supplementary_offering_legacyid__4[[#This Row],[offeringid]:[ignore]])</f>
        <v>{"offeringid":"930030256","name":"Sms-TD-Ilimitado_930030256","mode":"N"}</v>
      </c>
      <c r="I372" t="str">
        <f>ToJsonArray(supplementary_offering_legacyid__4[[#This Row],[semilla04]],supplementary_offering_legacyid__4[[#This Row],[json]])</f>
        <v>{"300302-56":{"offeringid":"930030256","name":"Sms-TD-Ilimitado_930030256","mode":"N"}}</v>
      </c>
    </row>
    <row r="373" spans="1:9" x14ac:dyDescent="0.25">
      <c r="A373" s="60" t="s">
        <v>3248</v>
      </c>
      <c r="B373" s="60" t="str">
        <f>findKey(supplementary_offering_legacyid__4[[#This Row],[PRODUCCION]])</f>
        <v>300302-57</v>
      </c>
      <c r="C373" s="61" t="s">
        <v>3249</v>
      </c>
      <c r="D373" t="s">
        <v>3250</v>
      </c>
      <c r="E373" t="s">
        <v>2329</v>
      </c>
      <c r="F373" s="61"/>
      <c r="H373" t="str">
        <f>ToJsonArray(supplementary_offering_legacyid__4[[#Headers],[offeringid]:[json]],supplementary_offering_legacyid__4[[#This Row],[offeringid]:[ignore]])</f>
        <v>{"offeringid":"930030257","name":"Sms-TD-Ilimitado_930030257","mode":"N"}</v>
      </c>
      <c r="I373" t="str">
        <f>ToJsonArray(supplementary_offering_legacyid__4[[#This Row],[semilla04]],supplementary_offering_legacyid__4[[#This Row],[json]])</f>
        <v>{"300302-57":{"offeringid":"930030257","name":"Sms-TD-Ilimitado_930030257","mode":"N"}}</v>
      </c>
    </row>
    <row r="374" spans="1:9" x14ac:dyDescent="0.25">
      <c r="A374" s="60" t="s">
        <v>3251</v>
      </c>
      <c r="B374" s="60" t="str">
        <f>findKey(supplementary_offering_legacyid__4[[#This Row],[PRODUCCION]])</f>
        <v>300302-58</v>
      </c>
      <c r="C374" s="61" t="s">
        <v>3252</v>
      </c>
      <c r="D374" t="s">
        <v>3253</v>
      </c>
      <c r="E374" t="s">
        <v>2329</v>
      </c>
      <c r="F374" s="61"/>
      <c r="H374" t="str">
        <f>ToJsonArray(supplementary_offering_legacyid__4[[#Headers],[offeringid]:[json]],supplementary_offering_legacyid__4[[#This Row],[offeringid]:[ignore]])</f>
        <v>{"offeringid":"930030258","name":"Sms-TD-Ilimitado_930030258","mode":"N"}</v>
      </c>
      <c r="I374" t="str">
        <f>ToJsonArray(supplementary_offering_legacyid__4[[#This Row],[semilla04]],supplementary_offering_legacyid__4[[#This Row],[json]])</f>
        <v>{"300302-58":{"offeringid":"930030258","name":"Sms-TD-Ilimitado_930030258","mode":"N"}}</v>
      </c>
    </row>
    <row r="375" spans="1:9" x14ac:dyDescent="0.25">
      <c r="A375" s="60" t="s">
        <v>3254</v>
      </c>
      <c r="B375" s="60" t="str">
        <f>findKey(supplementary_offering_legacyid__4[[#This Row],[PRODUCCION]])</f>
        <v>300302-59</v>
      </c>
      <c r="C375" s="61" t="s">
        <v>3255</v>
      </c>
      <c r="D375" t="s">
        <v>3256</v>
      </c>
      <c r="E375" t="s">
        <v>2329</v>
      </c>
      <c r="F375" s="61"/>
      <c r="H375" t="str">
        <f>ToJsonArray(supplementary_offering_legacyid__4[[#Headers],[offeringid]:[json]],supplementary_offering_legacyid__4[[#This Row],[offeringid]:[ignore]])</f>
        <v>{"offeringid":"930030259","name":"Sms-TD-200_930030259","mode":"N"}</v>
      </c>
      <c r="I375" t="str">
        <f>ToJsonArray(supplementary_offering_legacyid__4[[#This Row],[semilla04]],supplementary_offering_legacyid__4[[#This Row],[json]])</f>
        <v>{"300302-59":{"offeringid":"930030259","name":"Sms-TD-200_930030259","mode":"N"}}</v>
      </c>
    </row>
    <row r="376" spans="1:9" x14ac:dyDescent="0.25">
      <c r="A376" s="60" t="s">
        <v>3257</v>
      </c>
      <c r="B376" s="60" t="str">
        <f>findKey(supplementary_offering_legacyid__4[[#This Row],[PRODUCCION]])</f>
        <v>500000-23</v>
      </c>
      <c r="C376" s="61" t="s">
        <v>3258</v>
      </c>
      <c r="D376" t="s">
        <v>3259</v>
      </c>
      <c r="E376" t="s">
        <v>2329</v>
      </c>
      <c r="F376" s="61"/>
      <c r="H376" t="str">
        <f>ToJsonArray(supplementary_offering_legacyid__4[[#Headers],[offeringid]:[json]],supplementary_offering_legacyid__4[[#This Row],[offeringid]:[ignore]])</f>
        <v>{"offeringid":"950000023","name":"Favorito 3b_950000023","mode":"N"}</v>
      </c>
      <c r="I376" t="str">
        <f>ToJsonArray(supplementary_offering_legacyid__4[[#This Row],[semilla04]],supplementary_offering_legacyid__4[[#This Row],[json]])</f>
        <v>{"500000-23":{"offeringid":"950000023","name":"Favorito 3b_950000023","mode":"N"}}</v>
      </c>
    </row>
    <row r="377" spans="1:9" x14ac:dyDescent="0.25">
      <c r="A377" s="60" t="s">
        <v>3260</v>
      </c>
      <c r="B377" s="60" t="str">
        <f>findKey(supplementary_offering_legacyid__4[[#This Row],[PRODUCCION]])</f>
        <v>500000-33</v>
      </c>
      <c r="C377" s="61" t="s">
        <v>3261</v>
      </c>
      <c r="D377" t="s">
        <v>3262</v>
      </c>
      <c r="E377" t="s">
        <v>2329</v>
      </c>
      <c r="F377" s="61"/>
      <c r="H377" t="str">
        <f>ToJsonArray(supplementary_offering_legacyid__4[[#Headers],[offeringid]:[json]],supplementary_offering_legacyid__4[[#This Row],[offeringid]:[ignore]])</f>
        <v>{"offeringid":"950000033","name":"Favorito 33_950000033","mode":"N"}</v>
      </c>
      <c r="I377" t="str">
        <f>ToJsonArray(supplementary_offering_legacyid__4[[#This Row],[semilla04]],supplementary_offering_legacyid__4[[#This Row],[json]])</f>
        <v>{"500000-33":{"offeringid":"950000033","name":"Favorito 33_950000033","mode":"N"}}</v>
      </c>
    </row>
    <row r="378" spans="1:9" x14ac:dyDescent="0.25">
      <c r="A378" s="60" t="s">
        <v>3263</v>
      </c>
      <c r="B378" s="60" t="str">
        <f>findKey(supplementary_offering_legacyid__4[[#This Row],[PRODUCCION]])</f>
        <v>500000-34</v>
      </c>
      <c r="C378" s="61" t="s">
        <v>3264</v>
      </c>
      <c r="D378" t="s">
        <v>3265</v>
      </c>
      <c r="E378" t="s">
        <v>2329</v>
      </c>
      <c r="F378" s="61"/>
      <c r="H378" t="str">
        <f>ToJsonArray(supplementary_offering_legacyid__4[[#Headers],[offeringid]:[json]],supplementary_offering_legacyid__4[[#This Row],[offeringid]:[ignore]])</f>
        <v>{"offeringid":"950000034","name":"Favorito 34_950000034","mode":"N"}</v>
      </c>
      <c r="I378" t="str">
        <f>ToJsonArray(supplementary_offering_legacyid__4[[#This Row],[semilla04]],supplementary_offering_legacyid__4[[#This Row],[json]])</f>
        <v>{"500000-34":{"offeringid":"950000034","name":"Favorito 34_950000034","mode":"N"}}</v>
      </c>
    </row>
    <row r="379" spans="1:9" x14ac:dyDescent="0.25">
      <c r="A379" s="60" t="s">
        <v>3266</v>
      </c>
      <c r="B379" s="60" t="str">
        <f>findKey(supplementary_offering_legacyid__4[[#This Row],[PRODUCCION]])</f>
        <v>500000-36</v>
      </c>
      <c r="C379" s="61" t="s">
        <v>3267</v>
      </c>
      <c r="D379" t="s">
        <v>3268</v>
      </c>
      <c r="E379" t="s">
        <v>2329</v>
      </c>
      <c r="F379" s="61"/>
      <c r="H379" t="str">
        <f>ToJsonArray(supplementary_offering_legacyid__4[[#Headers],[offeringid]:[json]],supplementary_offering_legacyid__4[[#This Row],[offeringid]:[ignore]])</f>
        <v>{"offeringid":"950000036","name":"Favorito 36_950000036","mode":"N"}</v>
      </c>
      <c r="I379" t="str">
        <f>ToJsonArray(supplementary_offering_legacyid__4[[#This Row],[semilla04]],supplementary_offering_legacyid__4[[#This Row],[json]])</f>
        <v>{"500000-36":{"offeringid":"950000036","name":"Favorito 36_950000036","mode":"N"}}</v>
      </c>
    </row>
    <row r="380" spans="1:9" x14ac:dyDescent="0.25">
      <c r="A380" s="60" t="s">
        <v>3269</v>
      </c>
      <c r="B380" s="60" t="str">
        <f>findKey(supplementary_offering_legacyid__4[[#This Row],[PRODUCCION]])</f>
        <v>500000-57</v>
      </c>
      <c r="C380" s="61" t="s">
        <v>3270</v>
      </c>
      <c r="D380" t="s">
        <v>3271</v>
      </c>
      <c r="E380" t="s">
        <v>2329</v>
      </c>
      <c r="F380" s="61"/>
      <c r="H380" t="str">
        <f>ToJsonArray(supplementary_offering_legacyid__4[[#Headers],[offeringid]:[json]],supplementary_offering_legacyid__4[[#This Row],[offeringid]:[ignore]])</f>
        <v>{"offeringid":"950000057","name":"Favorito 57_950000057","mode":"N"}</v>
      </c>
      <c r="I380" t="str">
        <f>ToJsonArray(supplementary_offering_legacyid__4[[#This Row],[semilla04]],supplementary_offering_legacyid__4[[#This Row],[json]])</f>
        <v>{"500000-57":{"offeringid":"950000057","name":"Favorito 57_950000057","mode":"N"}}</v>
      </c>
    </row>
    <row r="381" spans="1:9" x14ac:dyDescent="0.25">
      <c r="A381" s="60" t="s">
        <v>3272</v>
      </c>
      <c r="B381" s="60" t="str">
        <f>findKey(supplementary_offering_legacyid__4[[#This Row],[PRODUCCION]])</f>
        <v>500000-58</v>
      </c>
      <c r="C381" s="61" t="s">
        <v>3273</v>
      </c>
      <c r="D381" t="s">
        <v>3274</v>
      </c>
      <c r="E381" t="s">
        <v>2329</v>
      </c>
      <c r="F381" s="61"/>
      <c r="H381" t="str">
        <f>ToJsonArray(supplementary_offering_legacyid__4[[#Headers],[offeringid]:[json]],supplementary_offering_legacyid__4[[#This Row],[offeringid]:[ignore]])</f>
        <v>{"offeringid":"950000058","name":"Favorito 58_950000058","mode":"N"}</v>
      </c>
      <c r="I381" t="str">
        <f>ToJsonArray(supplementary_offering_legacyid__4[[#This Row],[semilla04]],supplementary_offering_legacyid__4[[#This Row],[json]])</f>
        <v>{"500000-58":{"offeringid":"950000058","name":"Favorito 58_950000058","mode":"N"}}</v>
      </c>
    </row>
    <row r="382" spans="1:9" x14ac:dyDescent="0.25">
      <c r="A382" s="60" t="s">
        <v>3275</v>
      </c>
      <c r="B382" s="60" t="str">
        <f>findKey(supplementary_offering_legacyid__4[[#This Row],[PRODUCCION]])</f>
        <v>500000-59</v>
      </c>
      <c r="C382" s="61" t="s">
        <v>3276</v>
      </c>
      <c r="D382" t="s">
        <v>3277</v>
      </c>
      <c r="E382" t="s">
        <v>2329</v>
      </c>
      <c r="F382" s="61"/>
      <c r="H382" t="str">
        <f>ToJsonArray(supplementary_offering_legacyid__4[[#Headers],[offeringid]:[json]],supplementary_offering_legacyid__4[[#This Row],[offeringid]:[ignore]])</f>
        <v>{"offeringid":"950000059","name":"Favorito 59_950000059","mode":"N"}</v>
      </c>
      <c r="I382" t="str">
        <f>ToJsonArray(supplementary_offering_legacyid__4[[#This Row],[semilla04]],supplementary_offering_legacyid__4[[#This Row],[json]])</f>
        <v>{"500000-59":{"offeringid":"950000059","name":"Favorito 59_950000059","mode":"N"}}</v>
      </c>
    </row>
    <row r="383" spans="1:9" x14ac:dyDescent="0.25">
      <c r="A383" s="60" t="s">
        <v>3278</v>
      </c>
      <c r="B383" s="60" t="str">
        <f>findKey(supplementary_offering_legacyid__4[[#This Row],[PRODUCCION]])</f>
        <v>500000-60</v>
      </c>
      <c r="C383" s="61" t="s">
        <v>3279</v>
      </c>
      <c r="D383" t="s">
        <v>3280</v>
      </c>
      <c r="E383" t="s">
        <v>2329</v>
      </c>
      <c r="F383" s="61"/>
      <c r="H383" t="str">
        <f>ToJsonArray(supplementary_offering_legacyid__4[[#Headers],[offeringid]:[json]],supplementary_offering_legacyid__4[[#This Row],[offeringid]:[ignore]])</f>
        <v>{"offeringid":"950000060","name":"Favorito 60_950000060","mode":"N"}</v>
      </c>
      <c r="I383" t="str">
        <f>ToJsonArray(supplementary_offering_legacyid__4[[#This Row],[semilla04]],supplementary_offering_legacyid__4[[#This Row],[json]])</f>
        <v>{"500000-60":{"offeringid":"950000060","name":"Favorito 60_950000060","mode":"N"}}</v>
      </c>
    </row>
    <row r="384" spans="1:9" x14ac:dyDescent="0.25">
      <c r="A384" s="60" t="s">
        <v>3281</v>
      </c>
      <c r="B384" s="60" t="str">
        <f>findKey(supplementary_offering_legacyid__4[[#This Row],[PRODUCCION]])</f>
        <v>500000-61</v>
      </c>
      <c r="C384" s="61" t="s">
        <v>3282</v>
      </c>
      <c r="D384" t="s">
        <v>3283</v>
      </c>
      <c r="E384" t="s">
        <v>2329</v>
      </c>
      <c r="F384" s="61"/>
      <c r="H384" t="str">
        <f>ToJsonArray(supplementary_offering_legacyid__4[[#Headers],[offeringid]:[json]],supplementary_offering_legacyid__4[[#This Row],[offeringid]:[ignore]])</f>
        <v>{"offeringid":"950000061","name":"Favorito 61_950000061","mode":"N"}</v>
      </c>
      <c r="I384" t="str">
        <f>ToJsonArray(supplementary_offering_legacyid__4[[#This Row],[semilla04]],supplementary_offering_legacyid__4[[#This Row],[json]])</f>
        <v>{"500000-61":{"offeringid":"950000061","name":"Favorito 61_950000061","mode":"N"}}</v>
      </c>
    </row>
    <row r="385" spans="1:9" x14ac:dyDescent="0.25">
      <c r="A385" s="60" t="s">
        <v>3284</v>
      </c>
      <c r="B385" s="60" t="str">
        <f>findKey(supplementary_offering_legacyid__4[[#This Row],[PRODUCCION]])</f>
        <v>500000-62</v>
      </c>
      <c r="C385" s="61" t="s">
        <v>3285</v>
      </c>
      <c r="D385" t="s">
        <v>3286</v>
      </c>
      <c r="E385" t="s">
        <v>2329</v>
      </c>
      <c r="F385" s="61"/>
      <c r="H385" t="str">
        <f>ToJsonArray(supplementary_offering_legacyid__4[[#Headers],[offeringid]:[json]],supplementary_offering_legacyid__4[[#This Row],[offeringid]:[ignore]])</f>
        <v>{"offeringid":"950000062","name":"Favorito 62_950000062","mode":"N"}</v>
      </c>
      <c r="I385" t="str">
        <f>ToJsonArray(supplementary_offering_legacyid__4[[#This Row],[semilla04]],supplementary_offering_legacyid__4[[#This Row],[json]])</f>
        <v>{"500000-62":{"offeringid":"950000062","name":"Favorito 62_950000062","mode":"N"}}</v>
      </c>
    </row>
    <row r="386" spans="1:9" x14ac:dyDescent="0.25">
      <c r="A386" s="60" t="s">
        <v>3287</v>
      </c>
      <c r="B386" s="60" t="str">
        <f>findKey(supplementary_offering_legacyid__4[[#This Row],[PRODUCCION]])</f>
        <v>500000-63</v>
      </c>
      <c r="C386" s="61" t="s">
        <v>3288</v>
      </c>
      <c r="D386" t="s">
        <v>3289</v>
      </c>
      <c r="E386" t="s">
        <v>2329</v>
      </c>
      <c r="F386" s="61"/>
      <c r="H386" t="str">
        <f>ToJsonArray(supplementary_offering_legacyid__4[[#Headers],[offeringid]:[json]],supplementary_offering_legacyid__4[[#This Row],[offeringid]:[ignore]])</f>
        <v>{"offeringid":"950000063","name":"Favorito 63_950000063","mode":"N"}</v>
      </c>
      <c r="I386" t="str">
        <f>ToJsonArray(supplementary_offering_legacyid__4[[#This Row],[semilla04]],supplementary_offering_legacyid__4[[#This Row],[json]])</f>
        <v>{"500000-63":{"offeringid":"950000063","name":"Favorito 63_950000063","mode":"N"}}</v>
      </c>
    </row>
    <row r="387" spans="1:9" x14ac:dyDescent="0.25">
      <c r="A387" s="60" t="s">
        <v>3290</v>
      </c>
      <c r="B387" s="60" t="str">
        <f>findKey(supplementary_offering_legacyid__4[[#This Row],[PRODUCCION]])</f>
        <v>500000-64</v>
      </c>
      <c r="C387" s="61" t="s">
        <v>3291</v>
      </c>
      <c r="D387" t="s">
        <v>3292</v>
      </c>
      <c r="E387" t="s">
        <v>2329</v>
      </c>
      <c r="F387" s="61"/>
      <c r="H387" t="str">
        <f>ToJsonArray(supplementary_offering_legacyid__4[[#Headers],[offeringid]:[json]],supplementary_offering_legacyid__4[[#This Row],[offeringid]:[ignore]])</f>
        <v>{"offeringid":"950000064","name":"Favorito 64_950000064","mode":"N"}</v>
      </c>
      <c r="I387" t="str">
        <f>ToJsonArray(supplementary_offering_legacyid__4[[#This Row],[semilla04]],supplementary_offering_legacyid__4[[#This Row],[json]])</f>
        <v>{"500000-64":{"offeringid":"950000064","name":"Favorito 64_950000064","mode":"N"}}</v>
      </c>
    </row>
    <row r="388" spans="1:9" x14ac:dyDescent="0.25">
      <c r="A388" s="60" t="s">
        <v>3293</v>
      </c>
      <c r="B388" s="60" t="str">
        <f>findKey(supplementary_offering_legacyid__4[[#This Row],[PRODUCCION]])</f>
        <v>500000-65</v>
      </c>
      <c r="C388" s="61" t="s">
        <v>3294</v>
      </c>
      <c r="D388" t="s">
        <v>3295</v>
      </c>
      <c r="E388" t="s">
        <v>2329</v>
      </c>
      <c r="F388" s="61"/>
      <c r="H388" t="str">
        <f>ToJsonArray(supplementary_offering_legacyid__4[[#Headers],[offeringid]:[json]],supplementary_offering_legacyid__4[[#This Row],[offeringid]:[ignore]])</f>
        <v>{"offeringid":"950000065","name":"Favorito 65_950000065","mode":"N"}</v>
      </c>
      <c r="I388" t="str">
        <f>ToJsonArray(supplementary_offering_legacyid__4[[#This Row],[semilla04]],supplementary_offering_legacyid__4[[#This Row],[json]])</f>
        <v>{"500000-65":{"offeringid":"950000065","name":"Favorito 65_950000065","mode":"N"}}</v>
      </c>
    </row>
    <row r="389" spans="1:9" x14ac:dyDescent="0.25">
      <c r="A389" s="60" t="s">
        <v>3296</v>
      </c>
      <c r="B389" s="60" t="str">
        <f>findKey(supplementary_offering_legacyid__4[[#This Row],[PRODUCCION]])</f>
        <v>500000-67</v>
      </c>
      <c r="C389" s="61" t="s">
        <v>3297</v>
      </c>
      <c r="D389" t="s">
        <v>3298</v>
      </c>
      <c r="E389" t="s">
        <v>2329</v>
      </c>
      <c r="F389" s="61"/>
      <c r="H389" t="str">
        <f>ToJsonArray(supplementary_offering_legacyid__4[[#Headers],[offeringid]:[json]],supplementary_offering_legacyid__4[[#This Row],[offeringid]:[ignore]])</f>
        <v>{"offeringid":"950000067","name":"Favorito 67_950000067","mode":"N"}</v>
      </c>
      <c r="I389" t="str">
        <f>ToJsonArray(supplementary_offering_legacyid__4[[#This Row],[semilla04]],supplementary_offering_legacyid__4[[#This Row],[json]])</f>
        <v>{"500000-67":{"offeringid":"950000067","name":"Favorito 67_950000067","mode":"N"}}</v>
      </c>
    </row>
    <row r="390" spans="1:9" x14ac:dyDescent="0.25">
      <c r="A390" s="60" t="s">
        <v>3299</v>
      </c>
      <c r="B390" s="60" t="str">
        <f>findKey(supplementary_offering_legacyid__4[[#This Row],[PRODUCCION]])</f>
        <v>500000-68</v>
      </c>
      <c r="C390" s="61" t="s">
        <v>3300</v>
      </c>
      <c r="D390" t="s">
        <v>3301</v>
      </c>
      <c r="E390" t="s">
        <v>2329</v>
      </c>
      <c r="F390" s="61"/>
      <c r="H390" t="str">
        <f>ToJsonArray(supplementary_offering_legacyid__4[[#Headers],[offeringid]:[json]],supplementary_offering_legacyid__4[[#This Row],[offeringid]:[ignore]])</f>
        <v>{"offeringid":"950000068","name":"Favorito 68_950000068","mode":"N"}</v>
      </c>
      <c r="I390" t="str">
        <f>ToJsonArray(supplementary_offering_legacyid__4[[#This Row],[semilla04]],supplementary_offering_legacyid__4[[#This Row],[json]])</f>
        <v>{"500000-68":{"offeringid":"950000068","name":"Favorito 68_950000068","mode":"N"}}</v>
      </c>
    </row>
    <row r="391" spans="1:9" x14ac:dyDescent="0.25">
      <c r="A391" s="60" t="s">
        <v>3302</v>
      </c>
      <c r="B391" s="60" t="str">
        <f>findKey(supplementary_offering_legacyid__4[[#This Row],[PRODUCCION]])</f>
        <v>500000-69</v>
      </c>
      <c r="C391" s="61" t="s">
        <v>3303</v>
      </c>
      <c r="D391" t="s">
        <v>3304</v>
      </c>
      <c r="E391" t="s">
        <v>2329</v>
      </c>
      <c r="F391" s="61"/>
      <c r="H391" t="str">
        <f>ToJsonArray(supplementary_offering_legacyid__4[[#Headers],[offeringid]:[json]],supplementary_offering_legacyid__4[[#This Row],[offeringid]:[ignore]])</f>
        <v>{"offeringid":"950000069","name":"Favorito 69_950000069","mode":"N"}</v>
      </c>
      <c r="I391" t="str">
        <f>ToJsonArray(supplementary_offering_legacyid__4[[#This Row],[semilla04]],supplementary_offering_legacyid__4[[#This Row],[json]])</f>
        <v>{"500000-69":{"offeringid":"950000069","name":"Favorito 69_950000069","mode":"N"}}</v>
      </c>
    </row>
    <row r="392" spans="1:9" x14ac:dyDescent="0.25">
      <c r="A392" s="60" t="s">
        <v>3305</v>
      </c>
      <c r="B392" s="60" t="str">
        <f>findKey(supplementary_offering_legacyid__4[[#This Row],[PRODUCCION]])</f>
        <v>500000-70</v>
      </c>
      <c r="C392" s="61" t="s">
        <v>3306</v>
      </c>
      <c r="D392" t="s">
        <v>3307</v>
      </c>
      <c r="E392" t="s">
        <v>2329</v>
      </c>
      <c r="F392" s="61"/>
      <c r="H392" t="str">
        <f>ToJsonArray(supplementary_offering_legacyid__4[[#Headers],[offeringid]:[json]],supplementary_offering_legacyid__4[[#This Row],[offeringid]:[ignore]])</f>
        <v>{"offeringid":"950000070","name":"Favorito 70_950000070","mode":"N"}</v>
      </c>
      <c r="I392" t="str">
        <f>ToJsonArray(supplementary_offering_legacyid__4[[#This Row],[semilla04]],supplementary_offering_legacyid__4[[#This Row],[json]])</f>
        <v>{"500000-70":{"offeringid":"950000070","name":"Favorito 70_950000070","mode":"N"}}</v>
      </c>
    </row>
    <row r="393" spans="1:9" x14ac:dyDescent="0.25">
      <c r="A393" s="60" t="s">
        <v>3308</v>
      </c>
      <c r="B393" s="60" t="str">
        <f>findKey(supplementary_offering_legacyid__4[[#This Row],[PRODUCCION]])</f>
        <v>500000-71</v>
      </c>
      <c r="C393" s="61" t="s">
        <v>3309</v>
      </c>
      <c r="D393" t="s">
        <v>3310</v>
      </c>
      <c r="E393" t="s">
        <v>2329</v>
      </c>
      <c r="F393" s="61"/>
      <c r="H393" t="str">
        <f>ToJsonArray(supplementary_offering_legacyid__4[[#Headers],[offeringid]:[json]],supplementary_offering_legacyid__4[[#This Row],[offeringid]:[ignore]])</f>
        <v>{"offeringid":"950000071","name":"Favorito 71_950000071","mode":"N"}</v>
      </c>
      <c r="I393" t="str">
        <f>ToJsonArray(supplementary_offering_legacyid__4[[#This Row],[semilla04]],supplementary_offering_legacyid__4[[#This Row],[json]])</f>
        <v>{"500000-71":{"offeringid":"950000071","name":"Favorito 71_950000071","mode":"N"}}</v>
      </c>
    </row>
    <row r="394" spans="1:9" x14ac:dyDescent="0.25">
      <c r="A394" s="60" t="s">
        <v>3311</v>
      </c>
      <c r="B394" s="60" t="str">
        <f>findKey(supplementary_offering_legacyid__4[[#This Row],[PRODUCCION]])</f>
        <v>500000-72</v>
      </c>
      <c r="C394" s="61" t="s">
        <v>3312</v>
      </c>
      <c r="D394" t="s">
        <v>3313</v>
      </c>
      <c r="E394" t="s">
        <v>2329</v>
      </c>
      <c r="F394" s="61"/>
      <c r="H394" t="str">
        <f>ToJsonArray(supplementary_offering_legacyid__4[[#Headers],[offeringid]:[json]],supplementary_offering_legacyid__4[[#This Row],[offeringid]:[ignore]])</f>
        <v>{"offeringid":"950000072","name":"Favorito 72_950000072","mode":"N"}</v>
      </c>
      <c r="I394" t="str">
        <f>ToJsonArray(supplementary_offering_legacyid__4[[#This Row],[semilla04]],supplementary_offering_legacyid__4[[#This Row],[json]])</f>
        <v>{"500000-72":{"offeringid":"950000072","name":"Favorito 72_950000072","mode":"N"}}</v>
      </c>
    </row>
    <row r="395" spans="1:9" x14ac:dyDescent="0.25">
      <c r="A395" s="60" t="s">
        <v>3314</v>
      </c>
      <c r="B395" s="60" t="str">
        <f>findKey(supplementary_offering_legacyid__4[[#This Row],[PRODUCCION]])</f>
        <v>500000-73</v>
      </c>
      <c r="C395" s="61" t="s">
        <v>3315</v>
      </c>
      <c r="D395" t="s">
        <v>3316</v>
      </c>
      <c r="E395" t="s">
        <v>2329</v>
      </c>
      <c r="F395" s="61"/>
      <c r="H395" t="str">
        <f>ToJsonArray(supplementary_offering_legacyid__4[[#Headers],[offeringid]:[json]],supplementary_offering_legacyid__4[[#This Row],[offeringid]:[ignore]])</f>
        <v>{"offeringid":"950000073","name":"Favorito 73_950000073","mode":"N"}</v>
      </c>
      <c r="I395" t="str">
        <f>ToJsonArray(supplementary_offering_legacyid__4[[#This Row],[semilla04]],supplementary_offering_legacyid__4[[#This Row],[json]])</f>
        <v>{"500000-73":{"offeringid":"950000073","name":"Favorito 73_950000073","mode":"N"}}</v>
      </c>
    </row>
    <row r="396" spans="1:9" x14ac:dyDescent="0.25">
      <c r="A396" s="60" t="s">
        <v>3317</v>
      </c>
      <c r="B396" s="60" t="str">
        <f>findKey(supplementary_offering_legacyid__4[[#This Row],[PRODUCCION]])</f>
        <v>500000-75</v>
      </c>
      <c r="C396" s="61" t="s">
        <v>3318</v>
      </c>
      <c r="D396" t="s">
        <v>3319</v>
      </c>
      <c r="E396" t="s">
        <v>2329</v>
      </c>
      <c r="F396" s="61"/>
      <c r="H396" t="str">
        <f>ToJsonArray(supplementary_offering_legacyid__4[[#Headers],[offeringid]:[json]],supplementary_offering_legacyid__4[[#This Row],[offeringid]:[ignore]])</f>
        <v>{"offeringid":"950000075","name":"Favorito 75_950000075","mode":"N"}</v>
      </c>
      <c r="I396" t="str">
        <f>ToJsonArray(supplementary_offering_legacyid__4[[#This Row],[semilla04]],supplementary_offering_legacyid__4[[#This Row],[json]])</f>
        <v>{"500000-75":{"offeringid":"950000075","name":"Favorito 75_950000075","mode":"N"}}</v>
      </c>
    </row>
    <row r="397" spans="1:9" x14ac:dyDescent="0.25">
      <c r="A397" s="60" t="s">
        <v>3320</v>
      </c>
      <c r="B397" s="60" t="str">
        <f>findKey(supplementary_offering_legacyid__4[[#This Row],[PRODUCCION]])</f>
        <v>500000-77</v>
      </c>
      <c r="C397" s="61" t="s">
        <v>3321</v>
      </c>
      <c r="D397" t="s">
        <v>3322</v>
      </c>
      <c r="E397" t="s">
        <v>2329</v>
      </c>
      <c r="F397" s="61"/>
      <c r="H397" t="str">
        <f>ToJsonArray(supplementary_offering_legacyid__4[[#Headers],[offeringid]:[json]],supplementary_offering_legacyid__4[[#This Row],[offeringid]:[ignore]])</f>
        <v>{"offeringid":"950000077","name":"Favorito 77_950000077","mode":"N"}</v>
      </c>
      <c r="I397" t="str">
        <f>ToJsonArray(supplementary_offering_legacyid__4[[#This Row],[semilla04]],supplementary_offering_legacyid__4[[#This Row],[json]])</f>
        <v>{"500000-77":{"offeringid":"950000077","name":"Favorito 77_950000077","mode":"N"}}</v>
      </c>
    </row>
    <row r="398" spans="1:9" x14ac:dyDescent="0.25">
      <c r="A398" s="60" t="s">
        <v>3323</v>
      </c>
      <c r="B398" s="60" t="str">
        <f>findKey(supplementary_offering_legacyid__4[[#This Row],[PRODUCCION]])</f>
        <v>500000-81</v>
      </c>
      <c r="C398" s="61" t="s">
        <v>3324</v>
      </c>
      <c r="D398" t="s">
        <v>3325</v>
      </c>
      <c r="E398" t="s">
        <v>2329</v>
      </c>
      <c r="F398" s="61"/>
      <c r="H398" t="str">
        <f>ToJsonArray(supplementary_offering_legacyid__4[[#Headers],[offeringid]:[json]],supplementary_offering_legacyid__4[[#This Row],[offeringid]:[ignore]])</f>
        <v>{"offeringid":"950000081","name":"Favorito 81_950000081","mode":"N"}</v>
      </c>
      <c r="I398" t="str">
        <f>ToJsonArray(supplementary_offering_legacyid__4[[#This Row],[semilla04]],supplementary_offering_legacyid__4[[#This Row],[json]])</f>
        <v>{"500000-81":{"offeringid":"950000081","name":"Favorito 81_950000081","mode":"N"}}</v>
      </c>
    </row>
    <row r="399" spans="1:9" x14ac:dyDescent="0.25">
      <c r="A399" s="60" t="s">
        <v>3326</v>
      </c>
      <c r="B399" s="60" t="str">
        <f>findKey(supplementary_offering_legacyid__4[[#This Row],[PRODUCCION]])</f>
        <v>500000-82</v>
      </c>
      <c r="C399" s="61" t="s">
        <v>3327</v>
      </c>
      <c r="D399" t="s">
        <v>3328</v>
      </c>
      <c r="E399" t="s">
        <v>2329</v>
      </c>
      <c r="F399" s="61"/>
      <c r="H399" t="str">
        <f>ToJsonArray(supplementary_offering_legacyid__4[[#Headers],[offeringid]:[json]],supplementary_offering_legacyid__4[[#This Row],[offeringid]:[ignore]])</f>
        <v>{"offeringid":"950000082","name":"Favorito 82_950000082","mode":"N"}</v>
      </c>
      <c r="I399" t="str">
        <f>ToJsonArray(supplementary_offering_legacyid__4[[#This Row],[semilla04]],supplementary_offering_legacyid__4[[#This Row],[json]])</f>
        <v>{"500000-82":{"offeringid":"950000082","name":"Favorito 82_950000082","mode":"N"}}</v>
      </c>
    </row>
    <row r="400" spans="1:9" x14ac:dyDescent="0.25">
      <c r="A400" s="60" t="s">
        <v>3329</v>
      </c>
      <c r="B400" s="60" t="str">
        <f>findKey(supplementary_offering_legacyid__4[[#This Row],[PRODUCCION]])</f>
        <v>500000-85</v>
      </c>
      <c r="C400" s="61" t="s">
        <v>3330</v>
      </c>
      <c r="D400" t="s">
        <v>3331</v>
      </c>
      <c r="E400" t="s">
        <v>2329</v>
      </c>
      <c r="F400" s="61"/>
      <c r="H400" t="str">
        <f>ToJsonArray(supplementary_offering_legacyid__4[[#Headers],[offeringid]:[json]],supplementary_offering_legacyid__4[[#This Row],[offeringid]:[ignore]])</f>
        <v>{"offeringid":"950000085","name":"Favorito 85_950000085","mode":"N"}</v>
      </c>
      <c r="I400" t="str">
        <f>ToJsonArray(supplementary_offering_legacyid__4[[#This Row],[semilla04]],supplementary_offering_legacyid__4[[#This Row],[json]])</f>
        <v>{"500000-85":{"offeringid":"950000085","name":"Favorito 85_950000085","mode":"N"}}</v>
      </c>
    </row>
    <row r="401" spans="1:9" x14ac:dyDescent="0.25">
      <c r="A401" s="60" t="s">
        <v>3332</v>
      </c>
      <c r="B401" s="60" t="str">
        <f>findKey(supplementary_offering_legacyid__4[[#This Row],[PRODUCCION]])</f>
        <v>500000-86</v>
      </c>
      <c r="C401" s="61" t="s">
        <v>3333</v>
      </c>
      <c r="D401" t="s">
        <v>3334</v>
      </c>
      <c r="E401" t="s">
        <v>2329</v>
      </c>
      <c r="F401" s="61"/>
      <c r="H401" t="str">
        <f>ToJsonArray(supplementary_offering_legacyid__4[[#Headers],[offeringid]:[json]],supplementary_offering_legacyid__4[[#This Row],[offeringid]:[ignore]])</f>
        <v>{"offeringid":"950000086","name":"Favorito 86_950000086","mode":"N"}</v>
      </c>
      <c r="I401" t="str">
        <f>ToJsonArray(supplementary_offering_legacyid__4[[#This Row],[semilla04]],supplementary_offering_legacyid__4[[#This Row],[json]])</f>
        <v>{"500000-86":{"offeringid":"950000086","name":"Favorito 86_950000086","mode":"N"}}</v>
      </c>
    </row>
    <row r="402" spans="1:9" x14ac:dyDescent="0.25">
      <c r="A402" s="60" t="s">
        <v>3335</v>
      </c>
      <c r="B402" s="60" t="str">
        <f>findKey(supplementary_offering_legacyid__4[[#This Row],[PRODUCCION]])</f>
        <v>500000-87</v>
      </c>
      <c r="C402" s="61" t="s">
        <v>3336</v>
      </c>
      <c r="D402" t="s">
        <v>3337</v>
      </c>
      <c r="E402" t="s">
        <v>2329</v>
      </c>
      <c r="F402" s="61"/>
      <c r="H402" t="str">
        <f>ToJsonArray(supplementary_offering_legacyid__4[[#Headers],[offeringid]:[json]],supplementary_offering_legacyid__4[[#This Row],[offeringid]:[ignore]])</f>
        <v>{"offeringid":"950000087","name":"Favorito 87_950000087","mode":"N"}</v>
      </c>
      <c r="I402" t="str">
        <f>ToJsonArray(supplementary_offering_legacyid__4[[#This Row],[semilla04]],supplementary_offering_legacyid__4[[#This Row],[json]])</f>
        <v>{"500000-87":{"offeringid":"950000087","name":"Favorito 87_950000087","mode":"N"}}</v>
      </c>
    </row>
    <row r="403" spans="1:9" x14ac:dyDescent="0.25">
      <c r="A403" s="60" t="s">
        <v>3338</v>
      </c>
      <c r="B403" s="60" t="str">
        <f>findKey(supplementary_offering_legacyid__4[[#This Row],[PRODUCCION]])</f>
        <v>500000-89</v>
      </c>
      <c r="C403" s="61" t="s">
        <v>3339</v>
      </c>
      <c r="D403" t="s">
        <v>3340</v>
      </c>
      <c r="E403" t="s">
        <v>2329</v>
      </c>
      <c r="F403" s="61"/>
      <c r="H403" t="str">
        <f>ToJsonArray(supplementary_offering_legacyid__4[[#Headers],[offeringid]:[json]],supplementary_offering_legacyid__4[[#This Row],[offeringid]:[ignore]])</f>
        <v>{"offeringid":"950000089","name":"Favorito 89_950000089","mode":"N"}</v>
      </c>
      <c r="I403" t="str">
        <f>ToJsonArray(supplementary_offering_legacyid__4[[#This Row],[semilla04]],supplementary_offering_legacyid__4[[#This Row],[json]])</f>
        <v>{"500000-89":{"offeringid":"950000089","name":"Favorito 89_950000089","mode":"N"}}</v>
      </c>
    </row>
    <row r="404" spans="1:9" x14ac:dyDescent="0.25">
      <c r="A404" s="60" t="s">
        <v>3341</v>
      </c>
      <c r="B404" s="60" t="str">
        <f>findKey(supplementary_offering_legacyid__4[[#This Row],[PRODUCCION]])</f>
        <v>500000-90</v>
      </c>
      <c r="C404" s="61" t="s">
        <v>3342</v>
      </c>
      <c r="D404" t="s">
        <v>3343</v>
      </c>
      <c r="E404" t="s">
        <v>2329</v>
      </c>
      <c r="F404" s="61"/>
      <c r="H404" t="str">
        <f>ToJsonArray(supplementary_offering_legacyid__4[[#Headers],[offeringid]:[json]],supplementary_offering_legacyid__4[[#This Row],[offeringid]:[ignore]])</f>
        <v>{"offeringid":"950000090","name":"Favorito 90_950000090","mode":"N"}</v>
      </c>
      <c r="I404" t="str">
        <f>ToJsonArray(supplementary_offering_legacyid__4[[#This Row],[semilla04]],supplementary_offering_legacyid__4[[#This Row],[json]])</f>
        <v>{"500000-90":{"offeringid":"950000090","name":"Favorito 90_950000090","mode":"N"}}</v>
      </c>
    </row>
    <row r="405" spans="1:9" x14ac:dyDescent="0.25">
      <c r="A405" s="60" t="s">
        <v>3344</v>
      </c>
      <c r="B405" s="60" t="str">
        <f>findKey(supplementary_offering_legacyid__4[[#This Row],[PRODUCCION]])</f>
        <v>500000-91</v>
      </c>
      <c r="C405" s="61" t="s">
        <v>3345</v>
      </c>
      <c r="D405" t="s">
        <v>3346</v>
      </c>
      <c r="E405" t="s">
        <v>2329</v>
      </c>
      <c r="F405" s="61"/>
      <c r="H405" t="str">
        <f>ToJsonArray(supplementary_offering_legacyid__4[[#Headers],[offeringid]:[json]],supplementary_offering_legacyid__4[[#This Row],[offeringid]:[ignore]])</f>
        <v>{"offeringid":"950000091","name":"Favorito 91_950000091","mode":"N"}</v>
      </c>
      <c r="I405" t="str">
        <f>ToJsonArray(supplementary_offering_legacyid__4[[#This Row],[semilla04]],supplementary_offering_legacyid__4[[#This Row],[json]])</f>
        <v>{"500000-91":{"offeringid":"950000091","name":"Favorito 91_950000091","mode":"N"}}</v>
      </c>
    </row>
    <row r="406" spans="1:9" x14ac:dyDescent="0.25">
      <c r="A406" s="60" t="s">
        <v>3347</v>
      </c>
      <c r="B406" s="60" t="str">
        <f>findKey(supplementary_offering_legacyid__4[[#This Row],[PRODUCCION]])</f>
        <v>500000-92</v>
      </c>
      <c r="C406" s="61" t="s">
        <v>3348</v>
      </c>
      <c r="D406" t="s">
        <v>3349</v>
      </c>
      <c r="E406" t="s">
        <v>2329</v>
      </c>
      <c r="F406" s="61"/>
      <c r="H406" t="str">
        <f>ToJsonArray(supplementary_offering_legacyid__4[[#Headers],[offeringid]:[json]],supplementary_offering_legacyid__4[[#This Row],[offeringid]:[ignore]])</f>
        <v>{"offeringid":"950000092","name":"Favorito 92_950000092","mode":"N"}</v>
      </c>
      <c r="I406" t="str">
        <f>ToJsonArray(supplementary_offering_legacyid__4[[#This Row],[semilla04]],supplementary_offering_legacyid__4[[#This Row],[json]])</f>
        <v>{"500000-92":{"offeringid":"950000092","name":"Favorito 92_950000092","mode":"N"}}</v>
      </c>
    </row>
    <row r="407" spans="1:9" x14ac:dyDescent="0.25">
      <c r="A407" s="60" t="s">
        <v>3350</v>
      </c>
      <c r="B407" s="60" t="str">
        <f>findKey(supplementary_offering_legacyid__4[[#This Row],[PRODUCCION]])</f>
        <v>500001-01</v>
      </c>
      <c r="C407" s="61" t="s">
        <v>3351</v>
      </c>
      <c r="D407" t="s">
        <v>3352</v>
      </c>
      <c r="E407" t="s">
        <v>2329</v>
      </c>
      <c r="F407" s="61"/>
      <c r="H407" t="str">
        <f>ToJsonArray(supplementary_offering_legacyid__4[[#Headers],[offeringid]:[json]],supplementary_offering_legacyid__4[[#This Row],[offeringid]:[ignore]])</f>
        <v>{"offeringid":"950000101","name":"Favorito Ilimitado 1_950000101","mode":"N"}</v>
      </c>
      <c r="I407" t="str">
        <f>ToJsonArray(supplementary_offering_legacyid__4[[#This Row],[semilla04]],supplementary_offering_legacyid__4[[#This Row],[json]])</f>
        <v>{"500001-01":{"offeringid":"950000101","name":"Favorito Ilimitado 1_950000101","mode":"N"}}</v>
      </c>
    </row>
    <row r="408" spans="1:9" x14ac:dyDescent="0.25">
      <c r="A408" s="60" t="s">
        <v>3353</v>
      </c>
      <c r="B408" s="60" t="str">
        <f>findKey(supplementary_offering_legacyid__4[[#This Row],[PRODUCCION]])</f>
        <v>500001-62</v>
      </c>
      <c r="C408" s="61" t="s">
        <v>3354</v>
      </c>
      <c r="D408" t="s">
        <v>3355</v>
      </c>
      <c r="E408" t="s">
        <v>2329</v>
      </c>
      <c r="F408" s="61"/>
      <c r="H408" t="str">
        <f>ToJsonArray(supplementary_offering_legacyid__4[[#Headers],[offeringid]:[json]],supplementary_offering_legacyid__4[[#This Row],[offeringid]:[ignore]])</f>
        <v>{"offeringid":"950000162","name":"Favorito TD 2678400s_950000162","mode":"N"}</v>
      </c>
      <c r="I408" t="str">
        <f>ToJsonArray(supplementary_offering_legacyid__4[[#This Row],[semilla04]],supplementary_offering_legacyid__4[[#This Row],[json]])</f>
        <v>{"500001-62":{"offeringid":"950000162","name":"Favorito TD 2678400s_950000162","mode":"N"}}</v>
      </c>
    </row>
    <row r="409" spans="1:9" x14ac:dyDescent="0.25">
      <c r="A409" s="60" t="s">
        <v>3356</v>
      </c>
      <c r="B409" s="60" t="str">
        <f>findKey(supplementary_offering_legacyid__4[[#This Row],[PRODUCCION]])</f>
        <v>500001-63</v>
      </c>
      <c r="C409" s="61" t="s">
        <v>3357</v>
      </c>
      <c r="D409" t="s">
        <v>3358</v>
      </c>
      <c r="E409" t="s">
        <v>2329</v>
      </c>
      <c r="F409" s="61"/>
      <c r="H409" t="str">
        <f>ToJsonArray(supplementary_offering_legacyid__4[[#Headers],[offeringid]:[json]],supplementary_offering_legacyid__4[[#This Row],[offeringid]:[ignore]])</f>
        <v>{"offeringid":"950000163","name":"Favorito TD 2678400s_950000163","mode":"N"}</v>
      </c>
      <c r="I409" t="str">
        <f>ToJsonArray(supplementary_offering_legacyid__4[[#This Row],[semilla04]],supplementary_offering_legacyid__4[[#This Row],[json]])</f>
        <v>{"500001-63":{"offeringid":"950000163","name":"Favorito TD 2678400s_950000163","mode":"N"}}</v>
      </c>
    </row>
    <row r="410" spans="1:9" x14ac:dyDescent="0.25">
      <c r="A410" s="60" t="s">
        <v>3359</v>
      </c>
      <c r="B410" s="60" t="str">
        <f>findKey(supplementary_offering_legacyid__4[[#This Row],[PRODUCCION]])</f>
        <v>500001-65</v>
      </c>
      <c r="C410" s="61" t="s">
        <v>3360</v>
      </c>
      <c r="D410" t="s">
        <v>3361</v>
      </c>
      <c r="E410" t="s">
        <v>2329</v>
      </c>
      <c r="F410" s="61"/>
      <c r="H410" t="str">
        <f>ToJsonArray(supplementary_offering_legacyid__4[[#Headers],[offeringid]:[json]],supplementary_offering_legacyid__4[[#This Row],[offeringid]:[ignore]])</f>
        <v>{"offeringid":"950000165","name":"Voz-TD-9000s_950000165","mode":"N"}</v>
      </c>
      <c r="I410" t="str">
        <f>ToJsonArray(supplementary_offering_legacyid__4[[#This Row],[semilla04]],supplementary_offering_legacyid__4[[#This Row],[json]])</f>
        <v>{"500001-65":{"offeringid":"950000165","name":"Voz-TD-9000s_950000165","mode":"N"}}</v>
      </c>
    </row>
    <row r="411" spans="1:9" x14ac:dyDescent="0.25">
      <c r="A411" s="60" t="s">
        <v>3362</v>
      </c>
      <c r="B411" s="60" t="str">
        <f>findKey(supplementary_offering_legacyid__4[[#This Row],[PRODUCCION]])</f>
        <v>500001-66</v>
      </c>
      <c r="C411" s="61" t="s">
        <v>3363</v>
      </c>
      <c r="D411" t="s">
        <v>3364</v>
      </c>
      <c r="E411" t="s">
        <v>2329</v>
      </c>
      <c r="F411" s="61"/>
      <c r="H411" t="str">
        <f>ToJsonArray(supplementary_offering_legacyid__4[[#Headers],[offeringid]:[json]],supplementary_offering_legacyid__4[[#This Row],[offeringid]:[ignore]])</f>
        <v>{"offeringid":"950000166","name":"Voz-TD-36000s_950000166","mode":"N"}</v>
      </c>
      <c r="I411" t="str">
        <f>ToJsonArray(supplementary_offering_legacyid__4[[#This Row],[semilla04]],supplementary_offering_legacyid__4[[#This Row],[json]])</f>
        <v>{"500001-66":{"offeringid":"950000166","name":"Voz-TD-36000s_950000166","mode":"N"}}</v>
      </c>
    </row>
    <row r="412" spans="1:9" x14ac:dyDescent="0.25">
      <c r="A412" s="60" t="s">
        <v>3365</v>
      </c>
      <c r="B412" s="60" t="str">
        <f>findKey(supplementary_offering_legacyid__4[[#This Row],[PRODUCCION]])</f>
        <v>500001-68</v>
      </c>
      <c r="C412" s="61" t="s">
        <v>3366</v>
      </c>
      <c r="D412" t="s">
        <v>3367</v>
      </c>
      <c r="E412" t="s">
        <v>2329</v>
      </c>
      <c r="F412" s="61"/>
      <c r="H412" t="str">
        <f>ToJsonArray(supplementary_offering_legacyid__4[[#Headers],[offeringid]:[json]],supplementary_offering_legacyid__4[[#This Row],[offeringid]:[ignore]])</f>
        <v>{"offeringid":"950000168","name":"Voz-TD-6000s_950000168","mode":"N"}</v>
      </c>
      <c r="I412" t="str">
        <f>ToJsonArray(supplementary_offering_legacyid__4[[#This Row],[semilla04]],supplementary_offering_legacyid__4[[#This Row],[json]])</f>
        <v>{"500001-68":{"offeringid":"950000168","name":"Voz-TD-6000s_950000168","mode":"N"}}</v>
      </c>
    </row>
    <row r="413" spans="1:9" x14ac:dyDescent="0.25">
      <c r="A413" s="60" t="s">
        <v>3368</v>
      </c>
      <c r="B413" s="60" t="str">
        <f>findKey(supplementary_offering_legacyid__4[[#This Row],[PRODUCCION]])</f>
        <v>500001-70</v>
      </c>
      <c r="C413" s="61" t="s">
        <v>3369</v>
      </c>
      <c r="D413" t="s">
        <v>3370</v>
      </c>
      <c r="E413" t="s">
        <v>2329</v>
      </c>
      <c r="F413" s="61"/>
      <c r="H413" t="str">
        <f>ToJsonArray(supplementary_offering_legacyid__4[[#Headers],[offeringid]:[json]],supplementary_offering_legacyid__4[[#This Row],[offeringid]:[ignore]])</f>
        <v>{"offeringid":"950000170","name":"Favorito Ilimitado 4_950000170","mode":"N"}</v>
      </c>
      <c r="I413" t="str">
        <f>ToJsonArray(supplementary_offering_legacyid__4[[#This Row],[semilla04]],supplementary_offering_legacyid__4[[#This Row],[json]])</f>
        <v>{"500001-70":{"offeringid":"950000170","name":"Favorito Ilimitado 4_950000170","mode":"N"}}</v>
      </c>
    </row>
    <row r="414" spans="1:9" x14ac:dyDescent="0.25">
      <c r="A414" s="60" t="s">
        <v>3371</v>
      </c>
      <c r="B414" s="60" t="str">
        <f>findKey(supplementary_offering_legacyid__4[[#This Row],[PRODUCCION]])</f>
        <v>500001-71</v>
      </c>
      <c r="C414" s="61" t="s">
        <v>3372</v>
      </c>
      <c r="D414" t="s">
        <v>3373</v>
      </c>
      <c r="E414" t="s">
        <v>2329</v>
      </c>
      <c r="F414" s="61"/>
      <c r="H414" t="str">
        <f>ToJsonArray(supplementary_offering_legacyid__4[[#Headers],[offeringid]:[json]],supplementary_offering_legacyid__4[[#This Row],[offeringid]:[ignore]])</f>
        <v>{"offeringid":"950000171","name":"Favorito Ilimitado 4_950000171","mode":"N"}</v>
      </c>
      <c r="I414" t="str">
        <f>ToJsonArray(supplementary_offering_legacyid__4[[#This Row],[semilla04]],supplementary_offering_legacyid__4[[#This Row],[json]])</f>
        <v>{"500001-71":{"offeringid":"950000171","name":"Favorito Ilimitado 4_950000171","mode":"N"}}</v>
      </c>
    </row>
    <row r="415" spans="1:9" x14ac:dyDescent="0.25">
      <c r="A415" s="60" t="s">
        <v>3374</v>
      </c>
      <c r="B415" s="60" t="str">
        <f>findKey(supplementary_offering_legacyid__4[[#This Row],[PRODUCCION]])</f>
        <v>500001-72</v>
      </c>
      <c r="C415" s="61" t="s">
        <v>3375</v>
      </c>
      <c r="D415" t="s">
        <v>3376</v>
      </c>
      <c r="E415" t="s">
        <v>2329</v>
      </c>
      <c r="F415" s="61"/>
      <c r="H415" t="str">
        <f>ToJsonArray(supplementary_offering_legacyid__4[[#Headers],[offeringid]:[json]],supplementary_offering_legacyid__4[[#This Row],[offeringid]:[ignore]])</f>
        <v>{"offeringid":"950000172","name":"Favorito Ilimitado 5_950000172","mode":"N"}</v>
      </c>
      <c r="I415" t="str">
        <f>ToJsonArray(supplementary_offering_legacyid__4[[#This Row],[semilla04]],supplementary_offering_legacyid__4[[#This Row],[json]])</f>
        <v>{"500001-72":{"offeringid":"950000172","name":"Favorito Ilimitado 5_950000172","mode":"N"}}</v>
      </c>
    </row>
    <row r="416" spans="1:9" x14ac:dyDescent="0.25">
      <c r="A416" s="60" t="s">
        <v>3377</v>
      </c>
      <c r="B416" s="60" t="str">
        <f>findKey(supplementary_offering_legacyid__4[[#This Row],[PRODUCCION]])</f>
        <v>500001-73</v>
      </c>
      <c r="C416" s="61" t="s">
        <v>3378</v>
      </c>
      <c r="D416" t="s">
        <v>3379</v>
      </c>
      <c r="E416" t="s">
        <v>2329</v>
      </c>
      <c r="F416" s="61"/>
      <c r="H416" t="str">
        <f>ToJsonArray(supplementary_offering_legacyid__4[[#Headers],[offeringid]:[json]],supplementary_offering_legacyid__4[[#This Row],[offeringid]:[ignore]])</f>
        <v>{"offeringid":"950000173","name":"Favorito Ilimitado 5_950000173","mode":"N"}</v>
      </c>
      <c r="I416" t="str">
        <f>ToJsonArray(supplementary_offering_legacyid__4[[#This Row],[semilla04]],supplementary_offering_legacyid__4[[#This Row],[json]])</f>
        <v>{"500001-73":{"offeringid":"950000173","name":"Favorito Ilimitado 5_950000173","mode":"N"}}</v>
      </c>
    </row>
    <row r="417" spans="1:9" x14ac:dyDescent="0.25">
      <c r="A417" s="60" t="s">
        <v>3380</v>
      </c>
      <c r="B417" s="60" t="str">
        <f>findKey(supplementary_offering_legacyid__4[[#This Row],[PRODUCCION]])</f>
        <v>500003-01</v>
      </c>
      <c r="C417" s="61" t="s">
        <v>3381</v>
      </c>
      <c r="D417" t="s">
        <v>3382</v>
      </c>
      <c r="E417" t="s">
        <v>2329</v>
      </c>
      <c r="F417" s="61"/>
      <c r="H417" t="str">
        <f>ToJsonArray(supplementary_offering_legacyid__4[[#Headers],[offeringid]:[json]],supplementary_offering_legacyid__4[[#This Row],[offeringid]:[ignore]])</f>
        <v>{"offeringid":"950000301","name":"Favorito Tigo 01_950000301","mode":"N"}</v>
      </c>
      <c r="I417" t="str">
        <f>ToJsonArray(supplementary_offering_legacyid__4[[#This Row],[semilla04]],supplementary_offering_legacyid__4[[#This Row],[json]])</f>
        <v>{"500003-01":{"offeringid":"950000301","name":"Favorito Tigo 01_950000301","mode":"N"}}</v>
      </c>
    </row>
    <row r="418" spans="1:9" x14ac:dyDescent="0.25">
      <c r="A418" s="60" t="s">
        <v>3383</v>
      </c>
      <c r="B418" s="60" t="str">
        <f>findKey(supplementary_offering_legacyid__4[[#This Row],[PRODUCCION]])</f>
        <v>500003-02</v>
      </c>
      <c r="C418" s="61" t="s">
        <v>3384</v>
      </c>
      <c r="D418" t="s">
        <v>3385</v>
      </c>
      <c r="E418" t="s">
        <v>2329</v>
      </c>
      <c r="F418" s="61"/>
      <c r="H418" t="str">
        <f>ToJsonArray(supplementary_offering_legacyid__4[[#Headers],[offeringid]:[json]],supplementary_offering_legacyid__4[[#This Row],[offeringid]:[ignore]])</f>
        <v>{"offeringid":"950000302","name":"Favorito Tigo 02_950000302","mode":"N"}</v>
      </c>
      <c r="I418" t="str">
        <f>ToJsonArray(supplementary_offering_legacyid__4[[#This Row],[semilla04]],supplementary_offering_legacyid__4[[#This Row],[json]])</f>
        <v>{"500003-02":{"offeringid":"950000302","name":"Favorito Tigo 02_950000302","mode":"N"}}</v>
      </c>
    </row>
    <row r="419" spans="1:9" x14ac:dyDescent="0.25">
      <c r="A419" s="60" t="s">
        <v>3386</v>
      </c>
      <c r="B419" s="60" t="str">
        <f>findKey(supplementary_offering_legacyid__4[[#This Row],[PRODUCCION]])</f>
        <v>500003-03</v>
      </c>
      <c r="C419" s="61" t="s">
        <v>3387</v>
      </c>
      <c r="D419" t="s">
        <v>3388</v>
      </c>
      <c r="E419" t="s">
        <v>2329</v>
      </c>
      <c r="F419" s="61"/>
      <c r="H419" t="str">
        <f>ToJsonArray(supplementary_offering_legacyid__4[[#Headers],[offeringid]:[json]],supplementary_offering_legacyid__4[[#This Row],[offeringid]:[ignore]])</f>
        <v>{"offeringid":"950000303","name":"Favorito Tigo 03_950000303","mode":"N"}</v>
      </c>
      <c r="I419" t="str">
        <f>ToJsonArray(supplementary_offering_legacyid__4[[#This Row],[semilla04]],supplementary_offering_legacyid__4[[#This Row],[json]])</f>
        <v>{"500003-03":{"offeringid":"950000303","name":"Favorito Tigo 03_950000303","mode":"N"}}</v>
      </c>
    </row>
    <row r="420" spans="1:9" x14ac:dyDescent="0.25">
      <c r="A420" s="60" t="s">
        <v>3389</v>
      </c>
      <c r="B420" s="60" t="str">
        <f>findKey(supplementary_offering_legacyid__4[[#This Row],[PRODUCCION]])</f>
        <v>500003-04</v>
      </c>
      <c r="C420" s="61" t="s">
        <v>3390</v>
      </c>
      <c r="D420" t="s">
        <v>3391</v>
      </c>
      <c r="E420" t="s">
        <v>2329</v>
      </c>
      <c r="F420" s="61"/>
      <c r="H420" t="str">
        <f>ToJsonArray(supplementary_offering_legacyid__4[[#Headers],[offeringid]:[json]],supplementary_offering_legacyid__4[[#This Row],[offeringid]:[ignore]])</f>
        <v>{"offeringid":"950000304","name":"Favorito Tigo 04_950000304","mode":"N"}</v>
      </c>
      <c r="I420" t="str">
        <f>ToJsonArray(supplementary_offering_legacyid__4[[#This Row],[semilla04]],supplementary_offering_legacyid__4[[#This Row],[json]])</f>
        <v>{"500003-04":{"offeringid":"950000304","name":"Favorito Tigo 04_950000304","mode":"N"}}</v>
      </c>
    </row>
    <row r="421" spans="1:9" x14ac:dyDescent="0.25">
      <c r="A421" s="60" t="s">
        <v>3392</v>
      </c>
      <c r="B421" s="60" t="str">
        <f>findKey(supplementary_offering_legacyid__4[[#This Row],[PRODUCCION]])</f>
        <v>500003-05</v>
      </c>
      <c r="C421" s="61" t="s">
        <v>3393</v>
      </c>
      <c r="D421" t="s">
        <v>3394</v>
      </c>
      <c r="E421" t="s">
        <v>2329</v>
      </c>
      <c r="F421" s="61"/>
      <c r="H421" t="str">
        <f>ToJsonArray(supplementary_offering_legacyid__4[[#Headers],[offeringid]:[json]],supplementary_offering_legacyid__4[[#This Row],[offeringid]:[ignore]])</f>
        <v>{"offeringid":"950000305","name":"Favorito Tigo 05_950000305","mode":"N"}</v>
      </c>
      <c r="I421" t="str">
        <f>ToJsonArray(supplementary_offering_legacyid__4[[#This Row],[semilla04]],supplementary_offering_legacyid__4[[#This Row],[json]])</f>
        <v>{"500003-05":{"offeringid":"950000305","name":"Favorito Tigo 05_950000305","mode":"N"}}</v>
      </c>
    </row>
    <row r="422" spans="1:9" x14ac:dyDescent="0.25">
      <c r="A422" s="60" t="s">
        <v>3395</v>
      </c>
      <c r="B422" s="60" t="str">
        <f>findKey(supplementary_offering_legacyid__4[[#This Row],[PRODUCCION]])</f>
        <v>500003-06</v>
      </c>
      <c r="C422" s="61" t="s">
        <v>3396</v>
      </c>
      <c r="D422" t="s">
        <v>3397</v>
      </c>
      <c r="E422" t="s">
        <v>2329</v>
      </c>
      <c r="F422" s="61"/>
      <c r="H422" t="str">
        <f>ToJsonArray(supplementary_offering_legacyid__4[[#Headers],[offeringid]:[json]],supplementary_offering_legacyid__4[[#This Row],[offeringid]:[ignore]])</f>
        <v>{"offeringid":"950000306","name":"Favorito Tigo 06_950000306","mode":"N"}</v>
      </c>
      <c r="I422" t="str">
        <f>ToJsonArray(supplementary_offering_legacyid__4[[#This Row],[semilla04]],supplementary_offering_legacyid__4[[#This Row],[json]])</f>
        <v>{"500003-06":{"offeringid":"950000306","name":"Favorito Tigo 06_950000306","mode":"N"}}</v>
      </c>
    </row>
    <row r="423" spans="1:9" x14ac:dyDescent="0.25">
      <c r="A423" s="60" t="s">
        <v>3398</v>
      </c>
      <c r="B423" s="60" t="str">
        <f>findKey(supplementary_offering_legacyid__4[[#This Row],[PRODUCCION]])</f>
        <v>500003-08</v>
      </c>
      <c r="C423" s="61" t="s">
        <v>3399</v>
      </c>
      <c r="D423" t="s">
        <v>3400</v>
      </c>
      <c r="E423" t="s">
        <v>2329</v>
      </c>
      <c r="F423" s="61"/>
      <c r="H423" t="str">
        <f>ToJsonArray(supplementary_offering_legacyid__4[[#Headers],[offeringid]:[json]],supplementary_offering_legacyid__4[[#This Row],[offeringid]:[ignore]])</f>
        <v>{"offeringid":"950000308","name":"Favorito Tigo 08_950000308","mode":"N"}</v>
      </c>
      <c r="I423" t="str">
        <f>ToJsonArray(supplementary_offering_legacyid__4[[#This Row],[semilla04]],supplementary_offering_legacyid__4[[#This Row],[json]])</f>
        <v>{"500003-08":{"offeringid":"950000308","name":"Favorito Tigo 08_950000308","mode":"N"}}</v>
      </c>
    </row>
    <row r="424" spans="1:9" x14ac:dyDescent="0.25">
      <c r="A424" s="60" t="s">
        <v>3401</v>
      </c>
      <c r="B424" s="60" t="str">
        <f>findKey(supplementary_offering_legacyid__4[[#This Row],[PRODUCCION]])</f>
        <v>610000-01</v>
      </c>
      <c r="C424" s="61" t="s">
        <v>3402</v>
      </c>
      <c r="D424" t="s">
        <v>3403</v>
      </c>
      <c r="E424" t="s">
        <v>2329</v>
      </c>
      <c r="F424" s="61"/>
      <c r="H424" t="str">
        <f>ToJsonArray(supplementary_offering_legacyid__4[[#Headers],[offeringid]:[json]],supplementary_offering_legacyid__4[[#This Row],[offeringid]:[ignore]])</f>
        <v>{"offeringid":"961000001","name":"Extra-Charge-4000_961000001","mode":"N"}</v>
      </c>
      <c r="I424" t="str">
        <f>ToJsonArray(supplementary_offering_legacyid__4[[#This Row],[semilla04]],supplementary_offering_legacyid__4[[#This Row],[json]])</f>
        <v>{"610000-01":{"offeringid":"961000001","name":"Extra-Charge-4000_961000001","mode":"N"}}</v>
      </c>
    </row>
    <row r="425" spans="1:9" x14ac:dyDescent="0.25">
      <c r="A425" s="60" t="s">
        <v>3404</v>
      </c>
      <c r="B425" s="60" t="str">
        <f>findKey(supplementary_offering_legacyid__4[[#This Row],[PRODUCCION]])</f>
        <v>610000-02</v>
      </c>
      <c r="C425" s="61" t="s">
        <v>3405</v>
      </c>
      <c r="D425" t="s">
        <v>3406</v>
      </c>
      <c r="E425" t="s">
        <v>2329</v>
      </c>
      <c r="F425" s="61"/>
      <c r="H425" t="str">
        <f>ToJsonArray(supplementary_offering_legacyid__4[[#Headers],[offeringid]:[json]],supplementary_offering_legacyid__4[[#This Row],[offeringid]:[ignore]])</f>
        <v>{"offeringid":"961000002","name":"Extra-Charge-6000_961000002","mode":"N"}</v>
      </c>
      <c r="I425" t="str">
        <f>ToJsonArray(supplementary_offering_legacyid__4[[#This Row],[semilla04]],supplementary_offering_legacyid__4[[#This Row],[json]])</f>
        <v>{"610000-02":{"offeringid":"961000002","name":"Extra-Charge-6000_961000002","mode":"N"}}</v>
      </c>
    </row>
    <row r="426" spans="1:9" x14ac:dyDescent="0.25">
      <c r="A426" s="60" t="s">
        <v>3407</v>
      </c>
      <c r="B426" s="60" t="str">
        <f>findKey(supplementary_offering_legacyid__4[[#This Row],[PRODUCCION]])</f>
        <v>610000-03</v>
      </c>
      <c r="C426" s="61" t="s">
        <v>3408</v>
      </c>
      <c r="D426" t="s">
        <v>3409</v>
      </c>
      <c r="E426" t="s">
        <v>2329</v>
      </c>
      <c r="F426" s="61"/>
      <c r="H426" t="str">
        <f>ToJsonArray(supplementary_offering_legacyid__4[[#Headers],[offeringid]:[json]],supplementary_offering_legacyid__4[[#This Row],[offeringid]:[ignore]])</f>
        <v>{"offeringid":"961000003","name":"Extra-Charge-9000_961000003","mode":"N"}</v>
      </c>
      <c r="I426" t="str">
        <f>ToJsonArray(supplementary_offering_legacyid__4[[#This Row],[semilla04]],supplementary_offering_legacyid__4[[#This Row],[json]])</f>
        <v>{"610000-03":{"offeringid":"961000003","name":"Extra-Charge-9000_961000003","mode":"N"}}</v>
      </c>
    </row>
    <row r="427" spans="1:9" x14ac:dyDescent="0.25">
      <c r="A427" s="60" t="s">
        <v>3410</v>
      </c>
      <c r="B427" s="60" t="str">
        <f>findKey(supplementary_offering_legacyid__4[[#This Row],[PRODUCCION]])</f>
        <v>610000-04</v>
      </c>
      <c r="C427" s="61" t="s">
        <v>3411</v>
      </c>
      <c r="D427" t="s">
        <v>3412</v>
      </c>
      <c r="E427" t="s">
        <v>2329</v>
      </c>
      <c r="F427" s="61"/>
      <c r="H427" t="str">
        <f>ToJsonArray(supplementary_offering_legacyid__4[[#Headers],[offeringid]:[json]],supplementary_offering_legacyid__4[[#This Row],[offeringid]:[ignore]])</f>
        <v>{"offeringid":"961000004","name":"Extra-Charge-7000_961000004","mode":"N"}</v>
      </c>
      <c r="I427" t="str">
        <f>ToJsonArray(supplementary_offering_legacyid__4[[#This Row],[semilla04]],supplementary_offering_legacyid__4[[#This Row],[json]])</f>
        <v>{"610000-04":{"offeringid":"961000004","name":"Extra-Charge-7000_961000004","mode":"N"}}</v>
      </c>
    </row>
    <row r="428" spans="1:9" x14ac:dyDescent="0.25">
      <c r="A428" s="60" t="s">
        <v>3413</v>
      </c>
      <c r="B428" s="60" t="str">
        <f>findKey(supplementary_offering_legacyid__4[[#This Row],[PRODUCCION]])</f>
        <v>610000-05</v>
      </c>
      <c r="C428" s="61" t="s">
        <v>3414</v>
      </c>
      <c r="D428" t="s">
        <v>3415</v>
      </c>
      <c r="E428" t="s">
        <v>2329</v>
      </c>
      <c r="F428" s="61"/>
      <c r="H428" t="str">
        <f>ToJsonArray(supplementary_offering_legacyid__4[[#Headers],[offeringid]:[json]],supplementary_offering_legacyid__4[[#This Row],[offeringid]:[ignore]])</f>
        <v>{"offeringid":"961000005","name":"Extra-Charge-13000_961000005","mode":"N"}</v>
      </c>
      <c r="I428" t="str">
        <f>ToJsonArray(supplementary_offering_legacyid__4[[#This Row],[semilla04]],supplementary_offering_legacyid__4[[#This Row],[json]])</f>
        <v>{"610000-05":{"offeringid":"961000005","name":"Extra-Charge-13000_961000005","mode":"N"}}</v>
      </c>
    </row>
    <row r="429" spans="1:9" x14ac:dyDescent="0.25">
      <c r="A429" s="60" t="s">
        <v>3416</v>
      </c>
      <c r="B429" s="60" t="str">
        <f>findKey(supplementary_offering_legacyid__4[[#This Row],[PRODUCCION]])</f>
        <v>610000-06</v>
      </c>
      <c r="C429" s="61" t="s">
        <v>3417</v>
      </c>
      <c r="D429" t="s">
        <v>3418</v>
      </c>
      <c r="E429" t="s">
        <v>2329</v>
      </c>
      <c r="F429" s="61"/>
      <c r="H429" t="str">
        <f>ToJsonArray(supplementary_offering_legacyid__4[[#Headers],[offeringid]:[json]],supplementary_offering_legacyid__4[[#This Row],[offeringid]:[ignore]])</f>
        <v>{"offeringid":"961000006","name":"Extra-Charge-10000_961000006","mode":"N"}</v>
      </c>
      <c r="I429" t="str">
        <f>ToJsonArray(supplementary_offering_legacyid__4[[#This Row],[semilla04]],supplementary_offering_legacyid__4[[#This Row],[json]])</f>
        <v>{"610000-06":{"offeringid":"961000006","name":"Extra-Charge-10000_961000006","mode":"N"}}</v>
      </c>
    </row>
    <row r="430" spans="1:9" x14ac:dyDescent="0.25">
      <c r="A430" s="60" t="s">
        <v>3419</v>
      </c>
      <c r="B430" s="60" t="str">
        <f>findKey(supplementary_offering_legacyid__4[[#This Row],[PRODUCCION]])</f>
        <v>610000-07</v>
      </c>
      <c r="C430" s="61" t="s">
        <v>3420</v>
      </c>
      <c r="D430" t="s">
        <v>3421</v>
      </c>
      <c r="E430" t="s">
        <v>2329</v>
      </c>
      <c r="F430" s="61"/>
      <c r="H430" t="str">
        <f>ToJsonArray(supplementary_offering_legacyid__4[[#Headers],[offeringid]:[json]],supplementary_offering_legacyid__4[[#This Row],[offeringid]:[ignore]])</f>
        <v>{"offeringid":"961000007","name":"Extra-Charge-2000_961000007","mode":"N"}</v>
      </c>
      <c r="I430" t="str">
        <f>ToJsonArray(supplementary_offering_legacyid__4[[#This Row],[semilla04]],supplementary_offering_legacyid__4[[#This Row],[json]])</f>
        <v>{"610000-07":{"offeringid":"961000007","name":"Extra-Charge-2000_961000007","mode":"N"}}</v>
      </c>
    </row>
    <row r="431" spans="1:9" x14ac:dyDescent="0.25">
      <c r="A431" s="60" t="s">
        <v>3422</v>
      </c>
      <c r="B431" s="60" t="str">
        <f>findKey(supplementary_offering_legacyid__4[[#This Row],[PRODUCCION]])</f>
        <v>610000-08</v>
      </c>
      <c r="C431" s="61" t="s">
        <v>3423</v>
      </c>
      <c r="D431" t="s">
        <v>3424</v>
      </c>
      <c r="E431" t="s">
        <v>2329</v>
      </c>
      <c r="F431" s="61"/>
      <c r="H431" t="str">
        <f>ToJsonArray(supplementary_offering_legacyid__4[[#Headers],[offeringid]:[json]],supplementary_offering_legacyid__4[[#This Row],[offeringid]:[ignore]])</f>
        <v>{"offeringid":"961000008","name":"Extra-Charge-3000_961000008","mode":"N"}</v>
      </c>
      <c r="I431" t="str">
        <f>ToJsonArray(supplementary_offering_legacyid__4[[#This Row],[semilla04]],supplementary_offering_legacyid__4[[#This Row],[json]])</f>
        <v>{"610000-08":{"offeringid":"961000008","name":"Extra-Charge-3000_961000008","mode":"N"}}</v>
      </c>
    </row>
    <row r="432" spans="1:9" x14ac:dyDescent="0.25">
      <c r="A432" s="60" t="s">
        <v>3425</v>
      </c>
      <c r="B432" s="60" t="str">
        <f>findKey(supplementary_offering_legacyid__4[[#This Row],[PRODUCCION]])</f>
        <v>610000-09</v>
      </c>
      <c r="C432" s="61" t="s">
        <v>3426</v>
      </c>
      <c r="D432" t="s">
        <v>3427</v>
      </c>
      <c r="E432" t="s">
        <v>2329</v>
      </c>
      <c r="F432" s="61"/>
      <c r="H432" t="str">
        <f>ToJsonArray(supplementary_offering_legacyid__4[[#Headers],[offeringid]:[json]],supplementary_offering_legacyid__4[[#This Row],[offeringid]:[ignore]])</f>
        <v>{"offeringid":"961000009","name":"Extra-Charge-8000_961000009","mode":"N"}</v>
      </c>
      <c r="I432" t="str">
        <f>ToJsonArray(supplementary_offering_legacyid__4[[#This Row],[semilla04]],supplementary_offering_legacyid__4[[#This Row],[json]])</f>
        <v>{"610000-09":{"offeringid":"961000009","name":"Extra-Charge-8000_961000009","mode":"N"}}</v>
      </c>
    </row>
    <row r="433" spans="1:9" x14ac:dyDescent="0.25">
      <c r="A433" s="60" t="s">
        <v>3428</v>
      </c>
      <c r="B433" s="60" t="str">
        <f>findKey(supplementary_offering_legacyid__4[[#This Row],[PRODUCCION]])</f>
        <v>610000-10</v>
      </c>
      <c r="C433" s="61" t="s">
        <v>3429</v>
      </c>
      <c r="D433" t="s">
        <v>3430</v>
      </c>
      <c r="E433" t="s">
        <v>2329</v>
      </c>
      <c r="F433" s="61"/>
      <c r="H433" t="str">
        <f>ToJsonArray(supplementary_offering_legacyid__4[[#Headers],[offeringid]:[json]],supplementary_offering_legacyid__4[[#This Row],[offeringid]:[ignore]])</f>
        <v>{"offeringid":"961000010","name":"Extra-Charge-12000_961000010","mode":"N"}</v>
      </c>
      <c r="I433" t="str">
        <f>ToJsonArray(supplementary_offering_legacyid__4[[#This Row],[semilla04]],supplementary_offering_legacyid__4[[#This Row],[json]])</f>
        <v>{"610000-10":{"offeringid":"961000010","name":"Extra-Charge-12000_961000010","mode":"N"}}</v>
      </c>
    </row>
    <row r="434" spans="1:9" x14ac:dyDescent="0.25">
      <c r="A434" s="60" t="s">
        <v>3431</v>
      </c>
      <c r="B434" s="60" t="str">
        <f>findKey(supplementary_offering_legacyid__4[[#This Row],[PRODUCCION]])</f>
        <v>610000-11</v>
      </c>
      <c r="C434" s="61" t="s">
        <v>3432</v>
      </c>
      <c r="D434" t="s">
        <v>3433</v>
      </c>
      <c r="E434" t="s">
        <v>2329</v>
      </c>
      <c r="F434" s="61"/>
      <c r="H434" t="str">
        <f>ToJsonArray(supplementary_offering_legacyid__4[[#Headers],[offeringid]:[json]],supplementary_offering_legacyid__4[[#This Row],[offeringid]:[ignore]])</f>
        <v>{"offeringid":"961000011","name":"Extra-Charge-17000_961000011","mode":"N"}</v>
      </c>
      <c r="I434" t="str">
        <f>ToJsonArray(supplementary_offering_legacyid__4[[#This Row],[semilla04]],supplementary_offering_legacyid__4[[#This Row],[json]])</f>
        <v>{"610000-11":{"offeringid":"961000011","name":"Extra-Charge-17000_961000011","mode":"N"}}</v>
      </c>
    </row>
    <row r="435" spans="1:9" x14ac:dyDescent="0.25">
      <c r="A435" s="60" t="s">
        <v>3434</v>
      </c>
      <c r="B435" s="60" t="str">
        <f>findKey(supplementary_offering_legacyid__4[[#This Row],[PRODUCCION]])</f>
        <v>700000-08</v>
      </c>
      <c r="C435" s="61" t="s">
        <v>3435</v>
      </c>
      <c r="D435" t="s">
        <v>3436</v>
      </c>
      <c r="E435" t="s">
        <v>2329</v>
      </c>
      <c r="F435" s="61"/>
      <c r="H435" t="str">
        <f>ToJsonArray(supplementary_offering_legacyid__4[[#Headers],[offeringid]:[json]],supplementary_offering_legacyid__4[[#This Row],[offeringid]:[ignore]])</f>
        <v>{"offeringid":"970000008","name":"Deezer 8.600_970000008","mode":"N"}</v>
      </c>
      <c r="I435" t="str">
        <f>ToJsonArray(supplementary_offering_legacyid__4[[#This Row],[semilla04]],supplementary_offering_legacyid__4[[#This Row],[json]])</f>
        <v>{"700000-08":{"offeringid":"970000008","name":"Deezer 8.600_970000008","mode":"N"}}</v>
      </c>
    </row>
    <row r="436" spans="1:9" x14ac:dyDescent="0.25">
      <c r="A436" s="60" t="s">
        <v>3437</v>
      </c>
      <c r="B436" s="60" t="str">
        <f>findKey(supplementary_offering_legacyid__4[[#This Row],[PRODUCCION]])</f>
        <v>700000-25</v>
      </c>
      <c r="C436" s="61" t="s">
        <v>3438</v>
      </c>
      <c r="D436" t="s">
        <v>3439</v>
      </c>
      <c r="E436" t="s">
        <v>2329</v>
      </c>
      <c r="F436" s="61"/>
      <c r="H436" t="str">
        <f>ToJsonArray(supplementary_offering_legacyid__4[[#Headers],[offeringid]:[json]],supplementary_offering_legacyid__4[[#This Row],[offeringid]:[ignore]])</f>
        <v>{"offeringid":"970000025","name":"Deezer2 15.900_970000025","mode":"N"}</v>
      </c>
      <c r="I436" t="str">
        <f>ToJsonArray(supplementary_offering_legacyid__4[[#This Row],[semilla04]],supplementary_offering_legacyid__4[[#This Row],[json]])</f>
        <v>{"700000-25":{"offeringid":"970000025","name":"Deezer2 15.900_970000025","mode":"N"}}</v>
      </c>
    </row>
    <row r="437" spans="1:9" x14ac:dyDescent="0.25">
      <c r="A437" s="60" t="s">
        <v>3440</v>
      </c>
      <c r="B437" s="60" t="str">
        <f>findKey(supplementary_offering_legacyid__4[[#This Row],[PRODUCCION]])</f>
        <v>700000-27</v>
      </c>
      <c r="C437" s="61" t="s">
        <v>3441</v>
      </c>
      <c r="D437" t="s">
        <v>3442</v>
      </c>
      <c r="E437" t="s">
        <v>2329</v>
      </c>
      <c r="F437" s="61"/>
      <c r="H437" t="str">
        <f>ToJsonArray(supplementary_offering_legacyid__4[[#Headers],[offeringid]:[json]],supplementary_offering_legacyid__4[[#This Row],[offeringid]:[ignore]])</f>
        <v>{"offeringid":"970000027","name":"Deezer2 11650_970000027","mode":"N"}</v>
      </c>
      <c r="I437" t="str">
        <f>ToJsonArray(supplementary_offering_legacyid__4[[#This Row],[semilla04]],supplementary_offering_legacyid__4[[#This Row],[json]])</f>
        <v>{"700000-27":{"offeringid":"970000027","name":"Deezer2 11650_970000027","mode":"N"}}</v>
      </c>
    </row>
    <row r="438" spans="1:9" x14ac:dyDescent="0.25">
      <c r="A438" s="60" t="s">
        <v>3443</v>
      </c>
      <c r="B438" s="60" t="str">
        <f>findKey(supplementary_offering_legacyid__4[[#This Row],[PRODUCCION]])</f>
        <v>700000-28</v>
      </c>
      <c r="C438" s="61" t="s">
        <v>3444</v>
      </c>
      <c r="D438" t="s">
        <v>3445</v>
      </c>
      <c r="E438" t="s">
        <v>2329</v>
      </c>
      <c r="F438" s="61"/>
      <c r="H438" t="str">
        <f>ToJsonArray(supplementary_offering_legacyid__4[[#Headers],[offeringid]:[json]],supplementary_offering_legacyid__4[[#This Row],[offeringid]:[ignore]])</f>
        <v>{"offeringid":"970000028","name":"Deezer2 11650_970000028","mode":"N"}</v>
      </c>
      <c r="I438" t="str">
        <f>ToJsonArray(supplementary_offering_legacyid__4[[#This Row],[semilla04]],supplementary_offering_legacyid__4[[#This Row],[json]])</f>
        <v>{"700000-28":{"offeringid":"970000028","name":"Deezer2 11650_970000028","mode":"N"}}</v>
      </c>
    </row>
    <row r="439" spans="1:9" x14ac:dyDescent="0.25">
      <c r="A439" s="60" t="s">
        <v>3446</v>
      </c>
      <c r="B439" s="60" t="str">
        <f>findKey(supplementary_offering_legacyid__4[[#This Row],[PRODUCCION]])</f>
        <v>700000-33</v>
      </c>
      <c r="C439" s="61" t="s">
        <v>3447</v>
      </c>
      <c r="D439" t="s">
        <v>3448</v>
      </c>
      <c r="E439" t="s">
        <v>2329</v>
      </c>
      <c r="F439" s="61"/>
      <c r="H439" t="str">
        <f>ToJsonArray(supplementary_offering_legacyid__4[[#Headers],[offeringid]:[json]],supplementary_offering_legacyid__4[[#This Row],[offeringid]:[ignore]])</f>
        <v>{"offeringid":"970000033","name":"Deezer2 11949_970000033","mode":"N"}</v>
      </c>
      <c r="I439" t="str">
        <f>ToJsonArray(supplementary_offering_legacyid__4[[#This Row],[semilla04]],supplementary_offering_legacyid__4[[#This Row],[json]])</f>
        <v>{"700000-33":{"offeringid":"970000033","name":"Deezer2 11949_970000033","mode":"N"}}</v>
      </c>
    </row>
    <row r="440" spans="1:9" x14ac:dyDescent="0.25">
      <c r="A440" s="60" t="s">
        <v>3449</v>
      </c>
      <c r="B440" s="60" t="str">
        <f>findKey(supplementary_offering_legacyid__4[[#This Row],[PRODUCCION]])</f>
        <v>700000-34</v>
      </c>
      <c r="C440" s="61" t="s">
        <v>3450</v>
      </c>
      <c r="D440" t="s">
        <v>3451</v>
      </c>
      <c r="E440" t="s">
        <v>2329</v>
      </c>
      <c r="F440" s="61"/>
      <c r="H440" t="str">
        <f>ToJsonArray(supplementary_offering_legacyid__4[[#Headers],[offeringid]:[json]],supplementary_offering_legacyid__4[[#This Row],[offeringid]:[ignore]])</f>
        <v>{"offeringid":"970000034","name":"Deezer2 11780_970000034","mode":"N"}</v>
      </c>
      <c r="I440" t="str">
        <f>ToJsonArray(supplementary_offering_legacyid__4[[#This Row],[semilla04]],supplementary_offering_legacyid__4[[#This Row],[json]])</f>
        <v>{"700000-34":{"offeringid":"970000034","name":"Deezer2 11780_970000034","mode":"N"}}</v>
      </c>
    </row>
    <row r="441" spans="1:9" x14ac:dyDescent="0.25">
      <c r="A441" s="60" t="s">
        <v>3452</v>
      </c>
      <c r="B441" s="60" t="str">
        <f>findKey(supplementary_offering_legacyid__4[[#This Row],[PRODUCCION]])</f>
        <v>800000-31</v>
      </c>
      <c r="C441" s="61" t="s">
        <v>3453</v>
      </c>
      <c r="D441" t="s">
        <v>3454</v>
      </c>
      <c r="E441" t="s">
        <v>2329</v>
      </c>
      <c r="F441" s="61"/>
      <c r="H441" t="str">
        <f>ToJsonArray(supplementary_offering_legacyid__4[[#Headers],[offeringid]:[json]],supplementary_offering_legacyid__4[[#This Row],[offeringid]:[ignore]])</f>
        <v>{"offeringid":"980000031","name":"SDP 11GB-2D_980000031","mode":"N"}</v>
      </c>
      <c r="I441" t="str">
        <f>ToJsonArray(supplementary_offering_legacyid__4[[#This Row],[semilla04]],supplementary_offering_legacyid__4[[#This Row],[json]])</f>
        <v>{"800000-31":{"offeringid":"980000031","name":"SDP 11GB-2D_980000031","mode":"N"}}</v>
      </c>
    </row>
    <row r="442" spans="1:9" x14ac:dyDescent="0.25">
      <c r="A442" s="60" t="s">
        <v>3455</v>
      </c>
      <c r="B442" s="60" t="str">
        <f>findKey(supplementary_offering_legacyid__4[[#This Row],[PRODUCCION]])</f>
        <v>800000-32</v>
      </c>
      <c r="C442" s="61" t="s">
        <v>3456</v>
      </c>
      <c r="D442" t="s">
        <v>3457</v>
      </c>
      <c r="E442" t="s">
        <v>2329</v>
      </c>
      <c r="F442" s="61"/>
      <c r="H442" t="str">
        <f>ToJsonArray(supplementary_offering_legacyid__4[[#Headers],[offeringid]:[json]],supplementary_offering_legacyid__4[[#This Row],[offeringid]:[ignore]])</f>
        <v>{"offeringid":"980000032","name":"SDP 11GB-2D_980000032","mode":"N"}</v>
      </c>
      <c r="I442" t="str">
        <f>ToJsonArray(supplementary_offering_legacyid__4[[#This Row],[semilla04]],supplementary_offering_legacyid__4[[#This Row],[json]])</f>
        <v>{"800000-32":{"offeringid":"980000032","name":"SDP 11GB-2D_980000032","mode":"N"}}</v>
      </c>
    </row>
    <row r="443" spans="1:9" x14ac:dyDescent="0.25">
      <c r="A443" s="60" t="s">
        <v>3458</v>
      </c>
      <c r="B443" s="60" t="str">
        <f>findKey(supplementary_offering_legacyid__4[[#This Row],[PRODUCCION]])</f>
        <v>800000-33</v>
      </c>
      <c r="C443" s="61" t="s">
        <v>3459</v>
      </c>
      <c r="D443" t="s">
        <v>3460</v>
      </c>
      <c r="E443" t="s">
        <v>2329</v>
      </c>
      <c r="F443" s="61"/>
      <c r="H443" t="str">
        <f>ToJsonArray(supplementary_offering_legacyid__4[[#Headers],[offeringid]:[json]],supplementary_offering_legacyid__4[[#This Row],[offeringid]:[ignore]])</f>
        <v>{"offeringid":"980000033","name":"SDP 11GB-2D_980000033","mode":"N"}</v>
      </c>
      <c r="I443" t="str">
        <f>ToJsonArray(supplementary_offering_legacyid__4[[#This Row],[semilla04]],supplementary_offering_legacyid__4[[#This Row],[json]])</f>
        <v>{"800000-33":{"offeringid":"980000033","name":"SDP 11GB-2D_980000033","mode":"N"}}</v>
      </c>
    </row>
    <row r="444" spans="1:9" x14ac:dyDescent="0.25">
      <c r="A444" s="60" t="s">
        <v>3461</v>
      </c>
      <c r="B444" s="60" t="str">
        <f>findKey(supplementary_offering_legacyid__4[[#This Row],[PRODUCCION]])</f>
        <v>800000-34</v>
      </c>
      <c r="C444" s="61" t="s">
        <v>3462</v>
      </c>
      <c r="D444" t="s">
        <v>3463</v>
      </c>
      <c r="E444" t="s">
        <v>2329</v>
      </c>
      <c r="F444" s="61"/>
      <c r="H444" t="str">
        <f>ToJsonArray(supplementary_offering_legacyid__4[[#Headers],[offeringid]:[json]],supplementary_offering_legacyid__4[[#This Row],[offeringid]:[ignore]])</f>
        <v>{"offeringid":"980000034","name":"SDP 11GB-2D_980000034","mode":"N"}</v>
      </c>
      <c r="I444" t="str">
        <f>ToJsonArray(supplementary_offering_legacyid__4[[#This Row],[semilla04]],supplementary_offering_legacyid__4[[#This Row],[json]])</f>
        <v>{"800000-34":{"offeringid":"980000034","name":"SDP 11GB-2D_980000034","mode":"N"}}</v>
      </c>
    </row>
    <row r="445" spans="1:9" x14ac:dyDescent="0.25">
      <c r="A445" s="60" t="s">
        <v>3464</v>
      </c>
      <c r="B445" s="60" t="str">
        <f>findKey(supplementary_offering_legacyid__4[[#This Row],[PRODUCCION]])</f>
        <v>800000-35</v>
      </c>
      <c r="C445" s="61" t="s">
        <v>3465</v>
      </c>
      <c r="D445" t="s">
        <v>3466</v>
      </c>
      <c r="E445" t="s">
        <v>2329</v>
      </c>
      <c r="F445" s="61"/>
      <c r="H445" t="str">
        <f>ToJsonArray(supplementary_offering_legacyid__4[[#Headers],[offeringid]:[json]],supplementary_offering_legacyid__4[[#This Row],[offeringid]:[ignore]])</f>
        <v>{"offeringid":"980000035","name":"SDP 11GB-2D_980000035","mode":"N"}</v>
      </c>
      <c r="I445" t="str">
        <f>ToJsonArray(supplementary_offering_legacyid__4[[#This Row],[semilla04]],supplementary_offering_legacyid__4[[#This Row],[json]])</f>
        <v>{"800000-35":{"offeringid":"980000035","name":"SDP 11GB-2D_980000035","mode":"N"}}</v>
      </c>
    </row>
    <row r="446" spans="1:9" x14ac:dyDescent="0.25">
      <c r="A446" s="60" t="s">
        <v>3467</v>
      </c>
      <c r="B446" s="60" t="str">
        <f>findKey(supplementary_offering_legacyid__4[[#This Row],[PRODUCCION]])</f>
        <v>800000-36</v>
      </c>
      <c r="C446" s="61" t="s">
        <v>3468</v>
      </c>
      <c r="D446" t="s">
        <v>3469</v>
      </c>
      <c r="E446" t="s">
        <v>2329</v>
      </c>
      <c r="F446" s="61"/>
      <c r="H446" t="str">
        <f>ToJsonArray(supplementary_offering_legacyid__4[[#Headers],[offeringid]:[json]],supplementary_offering_legacyid__4[[#This Row],[offeringid]:[ignore]])</f>
        <v>{"offeringid":"980000036","name":"SDP 11GB-2D_980000036","mode":"N"}</v>
      </c>
      <c r="I446" t="str">
        <f>ToJsonArray(supplementary_offering_legacyid__4[[#This Row],[semilla04]],supplementary_offering_legacyid__4[[#This Row],[json]])</f>
        <v>{"800000-36":{"offeringid":"980000036","name":"SDP 11GB-2D_980000036","mode":"N"}}</v>
      </c>
    </row>
    <row r="447" spans="1:9" x14ac:dyDescent="0.25">
      <c r="A447" s="60" t="s">
        <v>3470</v>
      </c>
      <c r="B447" s="60" t="str">
        <f>findKey(supplementary_offering_legacyid__4[[#This Row],[PRODUCCION]])</f>
        <v>800000-37</v>
      </c>
      <c r="C447" s="61" t="s">
        <v>3471</v>
      </c>
      <c r="D447" t="s">
        <v>3472</v>
      </c>
      <c r="E447" t="s">
        <v>2329</v>
      </c>
      <c r="F447" s="61"/>
      <c r="H447" t="str">
        <f>ToJsonArray(supplementary_offering_legacyid__4[[#Headers],[offeringid]:[json]],supplementary_offering_legacyid__4[[#This Row],[offeringid]:[ignore]])</f>
        <v>{"offeringid":"980000037","name":"SDP 11GB-3D_980000037","mode":"N"}</v>
      </c>
      <c r="I447" t="str">
        <f>ToJsonArray(supplementary_offering_legacyid__4[[#This Row],[semilla04]],supplementary_offering_legacyid__4[[#This Row],[json]])</f>
        <v>{"800000-37":{"offeringid":"980000037","name":"SDP 11GB-3D_980000037","mode":"N"}}</v>
      </c>
    </row>
    <row r="448" spans="1:9" x14ac:dyDescent="0.25">
      <c r="A448" s="60" t="s">
        <v>3473</v>
      </c>
      <c r="B448" s="60" t="str">
        <f>findKey(supplementary_offering_legacyid__4[[#This Row],[PRODUCCION]])</f>
        <v>800000-38</v>
      </c>
      <c r="C448" s="61" t="s">
        <v>3474</v>
      </c>
      <c r="D448" t="s">
        <v>3475</v>
      </c>
      <c r="E448" t="s">
        <v>2329</v>
      </c>
      <c r="F448" s="61"/>
      <c r="H448" t="str">
        <f>ToJsonArray(supplementary_offering_legacyid__4[[#Headers],[offeringid]:[json]],supplementary_offering_legacyid__4[[#This Row],[offeringid]:[ignore]])</f>
        <v>{"offeringid":"980000038","name":"SDP 11GB-2D_980000038","mode":"N"}</v>
      </c>
      <c r="I448" t="str">
        <f>ToJsonArray(supplementary_offering_legacyid__4[[#This Row],[semilla04]],supplementary_offering_legacyid__4[[#This Row],[json]])</f>
        <v>{"800000-38":{"offeringid":"980000038","name":"SDP 11GB-2D_980000038","mode":"N"}}</v>
      </c>
    </row>
    <row r="449" spans="1:9" x14ac:dyDescent="0.25">
      <c r="A449" s="60" t="s">
        <v>3476</v>
      </c>
      <c r="B449" s="60" t="str">
        <f>findKey(supplementary_offering_legacyid__4[[#This Row],[PRODUCCION]])</f>
        <v>800000-39</v>
      </c>
      <c r="C449" s="61" t="s">
        <v>3477</v>
      </c>
      <c r="D449" t="s">
        <v>3478</v>
      </c>
      <c r="E449" t="s">
        <v>2329</v>
      </c>
      <c r="F449" s="61"/>
      <c r="H449" t="str">
        <f>ToJsonArray(supplementary_offering_legacyid__4[[#Headers],[offeringid]:[json]],supplementary_offering_legacyid__4[[#This Row],[offeringid]:[ignore]])</f>
        <v>{"offeringid":"980000039","name":"SDP 11GB-3D_980000039","mode":"N"}</v>
      </c>
      <c r="I449" t="str">
        <f>ToJsonArray(supplementary_offering_legacyid__4[[#This Row],[semilla04]],supplementary_offering_legacyid__4[[#This Row],[json]])</f>
        <v>{"800000-39":{"offeringid":"980000039","name":"SDP 11GB-3D_980000039","mode":"N"}}</v>
      </c>
    </row>
    <row r="450" spans="1:9" x14ac:dyDescent="0.25">
      <c r="A450" s="60" t="s">
        <v>3479</v>
      </c>
      <c r="B450" s="60" t="str">
        <f>findKey(supplementary_offering_legacyid__4[[#This Row],[PRODUCCION]])</f>
        <v>800000-40</v>
      </c>
      <c r="C450" s="61" t="s">
        <v>3480</v>
      </c>
      <c r="D450" t="s">
        <v>3481</v>
      </c>
      <c r="E450" t="s">
        <v>2329</v>
      </c>
      <c r="F450" s="61"/>
      <c r="H450" t="str">
        <f>ToJsonArray(supplementary_offering_legacyid__4[[#Headers],[offeringid]:[json]],supplementary_offering_legacyid__4[[#This Row],[offeringid]:[ignore]])</f>
        <v>{"offeringid":"980000040","name":"SDP 11GB-2D_980000040","mode":"N"}</v>
      </c>
      <c r="I450" t="str">
        <f>ToJsonArray(supplementary_offering_legacyid__4[[#This Row],[semilla04]],supplementary_offering_legacyid__4[[#This Row],[json]])</f>
        <v>{"800000-40":{"offeringid":"980000040","name":"SDP 11GB-2D_980000040","mode":"N"}}</v>
      </c>
    </row>
    <row r="451" spans="1:9" x14ac:dyDescent="0.25">
      <c r="A451" s="60" t="s">
        <v>3482</v>
      </c>
      <c r="B451" s="60" t="str">
        <f>findKey(supplementary_offering_legacyid__4[[#This Row],[PRODUCCION]])</f>
        <v>800000-41</v>
      </c>
      <c r="C451" s="61" t="s">
        <v>3483</v>
      </c>
      <c r="D451" t="s">
        <v>3484</v>
      </c>
      <c r="E451" t="s">
        <v>2329</v>
      </c>
      <c r="F451" s="61"/>
      <c r="H451" t="str">
        <f>ToJsonArray(supplementary_offering_legacyid__4[[#Headers],[offeringid]:[json]],supplementary_offering_legacyid__4[[#This Row],[offeringid]:[ignore]])</f>
        <v>{"offeringid":"980000041","name":"SDP 11GB-4D_980000041","mode":"N"}</v>
      </c>
      <c r="I451" t="str">
        <f>ToJsonArray(supplementary_offering_legacyid__4[[#This Row],[semilla04]],supplementary_offering_legacyid__4[[#This Row],[json]])</f>
        <v>{"800000-41":{"offeringid":"980000041","name":"SDP 11GB-4D_980000041","mode":"N"}}</v>
      </c>
    </row>
    <row r="452" spans="1:9" x14ac:dyDescent="0.25">
      <c r="A452" s="60" t="s">
        <v>3485</v>
      </c>
      <c r="B452" s="60" t="str">
        <f>findKey(supplementary_offering_legacyid__4[[#This Row],[PRODUCCION]])</f>
        <v>800000-44</v>
      </c>
      <c r="C452" s="61" t="s">
        <v>3486</v>
      </c>
      <c r="D452" t="s">
        <v>3487</v>
      </c>
      <c r="E452" t="s">
        <v>2329</v>
      </c>
      <c r="F452" s="61"/>
      <c r="H452" t="str">
        <f>ToJsonArray(supplementary_offering_legacyid__4[[#Headers],[offeringid]:[json]],supplementary_offering_legacyid__4[[#This Row],[offeringid]:[ignore]])</f>
        <v>{"offeringid":"980000044","name":"SDP 6GB-2D_980000044","mode":"N"}</v>
      </c>
      <c r="I452" t="str">
        <f>ToJsonArray(supplementary_offering_legacyid__4[[#This Row],[semilla04]],supplementary_offering_legacyid__4[[#This Row],[json]])</f>
        <v>{"800000-44":{"offeringid":"980000044","name":"SDP 6GB-2D_980000044","mode":"N"}}</v>
      </c>
    </row>
    <row r="453" spans="1:9" x14ac:dyDescent="0.25">
      <c r="A453" s="60" t="s">
        <v>3488</v>
      </c>
      <c r="B453" s="60" t="str">
        <f>findKey(supplementary_offering_legacyid__4[[#This Row],[PRODUCCION]])</f>
        <v>800000-45</v>
      </c>
      <c r="C453" s="61" t="s">
        <v>3489</v>
      </c>
      <c r="D453" t="s">
        <v>3490</v>
      </c>
      <c r="E453" t="s">
        <v>2329</v>
      </c>
      <c r="F453" s="61"/>
      <c r="H453" t="str">
        <f>ToJsonArray(supplementary_offering_legacyid__4[[#Headers],[offeringid]:[json]],supplementary_offering_legacyid__4[[#This Row],[offeringid]:[ignore]])</f>
        <v>{"offeringid":"980000045","name":"SDP 6.5GB-2D_980000045","mode":"N"}</v>
      </c>
      <c r="I453" t="str">
        <f>ToJsonArray(supplementary_offering_legacyid__4[[#This Row],[semilla04]],supplementary_offering_legacyid__4[[#This Row],[json]])</f>
        <v>{"800000-45":{"offeringid":"980000045","name":"SDP 6.5GB-2D_980000045","mode":"N"}}</v>
      </c>
    </row>
    <row r="454" spans="1:9" x14ac:dyDescent="0.25">
      <c r="A454" s="60" t="s">
        <v>3491</v>
      </c>
      <c r="B454" s="60" t="str">
        <f>findKey(supplementary_offering_legacyid__4[[#This Row],[PRODUCCION]])</f>
        <v>800000-46</v>
      </c>
      <c r="C454" s="61" t="s">
        <v>3492</v>
      </c>
      <c r="D454" t="s">
        <v>3493</v>
      </c>
      <c r="E454" t="s">
        <v>2329</v>
      </c>
      <c r="F454" s="61"/>
      <c r="H454" t="str">
        <f>ToJsonArray(supplementary_offering_legacyid__4[[#Headers],[offeringid]:[json]],supplementary_offering_legacyid__4[[#This Row],[offeringid]:[ignore]])</f>
        <v>{"offeringid":"980000046","name":"SDP 10GB-3D_980000046","mode":"N"}</v>
      </c>
      <c r="I454" t="str">
        <f>ToJsonArray(supplementary_offering_legacyid__4[[#This Row],[semilla04]],supplementary_offering_legacyid__4[[#This Row],[json]])</f>
        <v>{"800000-46":{"offeringid":"980000046","name":"SDP 10GB-3D_980000046","mode":"N"}}</v>
      </c>
    </row>
    <row r="455" spans="1:9" x14ac:dyDescent="0.25">
      <c r="A455" s="60" t="s">
        <v>3494</v>
      </c>
      <c r="B455" s="60" t="str">
        <f>findKey(supplementary_offering_legacyid__4[[#This Row],[PRODUCCION]])</f>
        <v>800000-47</v>
      </c>
      <c r="C455" s="61" t="s">
        <v>3495</v>
      </c>
      <c r="D455" t="s">
        <v>3496</v>
      </c>
      <c r="E455" t="s">
        <v>2329</v>
      </c>
      <c r="F455" s="61"/>
      <c r="H455" t="str">
        <f>ToJsonArray(supplementary_offering_legacyid__4[[#Headers],[offeringid]:[json]],supplementary_offering_legacyid__4[[#This Row],[offeringid]:[ignore]])</f>
        <v>{"offeringid":"980000047","name":"SDP 13GB-4D_980000047","mode":"N"}</v>
      </c>
      <c r="I455" t="str">
        <f>ToJsonArray(supplementary_offering_legacyid__4[[#This Row],[semilla04]],supplementary_offering_legacyid__4[[#This Row],[json]])</f>
        <v>{"800000-47":{"offeringid":"980000047","name":"SDP 13GB-4D_980000047","mode":"N"}}</v>
      </c>
    </row>
    <row r="456" spans="1:9" x14ac:dyDescent="0.25">
      <c r="A456" s="60" t="s">
        <v>3497</v>
      </c>
      <c r="B456" s="60" t="str">
        <f>findKey(supplementary_offering_legacyid__4[[#This Row],[PRODUCCION]])</f>
        <v>800000-48</v>
      </c>
      <c r="C456" s="61" t="s">
        <v>3498</v>
      </c>
      <c r="D456" t="s">
        <v>3499</v>
      </c>
      <c r="E456" t="s">
        <v>2329</v>
      </c>
      <c r="F456" s="61"/>
      <c r="H456" t="str">
        <f>ToJsonArray(supplementary_offering_legacyid__4[[#Headers],[offeringid]:[json]],supplementary_offering_legacyid__4[[#This Row],[offeringid]:[ignore]])</f>
        <v>{"offeringid":"980000048","name":"SDP 14GB-4D_980000048","mode":"N"}</v>
      </c>
      <c r="I456" t="str">
        <f>ToJsonArray(supplementary_offering_legacyid__4[[#This Row],[semilla04]],supplementary_offering_legacyid__4[[#This Row],[json]])</f>
        <v>{"800000-48":{"offeringid":"980000048","name":"SDP 14GB-4D_980000048","mode":"N"}}</v>
      </c>
    </row>
    <row r="457" spans="1:9" x14ac:dyDescent="0.25">
      <c r="A457" s="60" t="s">
        <v>3500</v>
      </c>
      <c r="B457" s="60" t="str">
        <f>findKey(supplementary_offering_legacyid__4[[#This Row],[PRODUCCION]])</f>
        <v>800000-49</v>
      </c>
      <c r="C457" s="61" t="s">
        <v>3501</v>
      </c>
      <c r="D457" t="s">
        <v>3502</v>
      </c>
      <c r="E457" t="s">
        <v>2329</v>
      </c>
      <c r="F457" s="61"/>
      <c r="H457" t="str">
        <f>ToJsonArray(supplementary_offering_legacyid__4[[#Headers],[offeringid]:[json]],supplementary_offering_legacyid__4[[#This Row],[offeringid]:[ignore]])</f>
        <v>{"offeringid":"980000049","name":"SDP 15GB-5D_980000049","mode":"N"}</v>
      </c>
      <c r="I457" t="str">
        <f>ToJsonArray(supplementary_offering_legacyid__4[[#This Row],[semilla04]],supplementary_offering_legacyid__4[[#This Row],[json]])</f>
        <v>{"800000-49":{"offeringid":"980000049","name":"SDP 15GB-5D_980000049","mode":"N"}}</v>
      </c>
    </row>
    <row r="458" spans="1:9" x14ac:dyDescent="0.25">
      <c r="A458" s="60" t="s">
        <v>3503</v>
      </c>
      <c r="B458" s="60" t="str">
        <f>findKey(supplementary_offering_legacyid__4[[#This Row],[PRODUCCION]])</f>
        <v>800000-50</v>
      </c>
      <c r="C458" s="61" t="s">
        <v>3504</v>
      </c>
      <c r="D458" t="s">
        <v>3505</v>
      </c>
      <c r="E458" t="s">
        <v>2329</v>
      </c>
      <c r="F458" s="61"/>
      <c r="H458" t="str">
        <f>ToJsonArray(supplementary_offering_legacyid__4[[#Headers],[offeringid]:[json]],supplementary_offering_legacyid__4[[#This Row],[offeringid]:[ignore]])</f>
        <v>{"offeringid":"980000050","name":"SDP 8GB-2D_980000050","mode":"N"}</v>
      </c>
      <c r="I458" t="str">
        <f>ToJsonArray(supplementary_offering_legacyid__4[[#This Row],[semilla04]],supplementary_offering_legacyid__4[[#This Row],[json]])</f>
        <v>{"800000-50":{"offeringid":"980000050","name":"SDP 8GB-2D_980000050","mode":"N"}}</v>
      </c>
    </row>
    <row r="459" spans="1:9" x14ac:dyDescent="0.25">
      <c r="A459" s="60" t="s">
        <v>3506</v>
      </c>
      <c r="B459" s="60" t="str">
        <f>findKey(supplementary_offering_legacyid__4[[#This Row],[PRODUCCION]])</f>
        <v>800000-51</v>
      </c>
      <c r="C459" s="61" t="s">
        <v>3507</v>
      </c>
      <c r="D459" t="s">
        <v>3508</v>
      </c>
      <c r="E459" t="s">
        <v>2329</v>
      </c>
      <c r="F459" s="61"/>
      <c r="H459" t="str">
        <f>ToJsonArray(supplementary_offering_legacyid__4[[#Headers],[offeringid]:[json]],supplementary_offering_legacyid__4[[#This Row],[offeringid]:[ignore]])</f>
        <v>{"offeringid":"980000051","name":"SDP 10GB-2D_980000051","mode":"N"}</v>
      </c>
      <c r="I459" t="str">
        <f>ToJsonArray(supplementary_offering_legacyid__4[[#This Row],[semilla04]],supplementary_offering_legacyid__4[[#This Row],[json]])</f>
        <v>{"800000-51":{"offeringid":"980000051","name":"SDP 10GB-2D_980000051","mode":"N"}}</v>
      </c>
    </row>
    <row r="460" spans="1:9" x14ac:dyDescent="0.25">
      <c r="A460" s="60" t="s">
        <v>3509</v>
      </c>
      <c r="B460" s="60" t="str">
        <f>findKey(supplementary_offering_legacyid__4[[#This Row],[PRODUCCION]])</f>
        <v>800000-52</v>
      </c>
      <c r="C460" s="61" t="s">
        <v>3510</v>
      </c>
      <c r="D460" t="s">
        <v>3511</v>
      </c>
      <c r="E460" t="s">
        <v>2329</v>
      </c>
      <c r="F460" s="61"/>
      <c r="H460" t="str">
        <f>ToJsonArray(supplementary_offering_legacyid__4[[#Headers],[offeringid]:[json]],supplementary_offering_legacyid__4[[#This Row],[offeringid]:[ignore]])</f>
        <v>{"offeringid":"980000052","name":"SDP 7GB-2D_980000052","mode":"N"}</v>
      </c>
      <c r="I460" t="str">
        <f>ToJsonArray(supplementary_offering_legacyid__4[[#This Row],[semilla04]],supplementary_offering_legacyid__4[[#This Row],[json]])</f>
        <v>{"800000-52":{"offeringid":"980000052","name":"SDP 7GB-2D_980000052","mode":"N"}}</v>
      </c>
    </row>
    <row r="461" spans="1:9" x14ac:dyDescent="0.25">
      <c r="A461" s="60" t="s">
        <v>3512</v>
      </c>
      <c r="B461" s="60" t="str">
        <f>findKey(supplementary_offering_legacyid__4[[#This Row],[PRODUCCION]])</f>
        <v>800000-53</v>
      </c>
      <c r="C461" s="61" t="s">
        <v>3513</v>
      </c>
      <c r="D461" t="s">
        <v>3514</v>
      </c>
      <c r="E461" t="s">
        <v>2329</v>
      </c>
      <c r="F461" s="61"/>
      <c r="H461" t="str">
        <f>ToJsonArray(supplementary_offering_legacyid__4[[#Headers],[offeringid]:[json]],supplementary_offering_legacyid__4[[#This Row],[offeringid]:[ignore]])</f>
        <v>{"offeringid":"980000053","name":"SDP 8GB-2D_980000053","mode":"N"}</v>
      </c>
      <c r="I461" t="str">
        <f>ToJsonArray(supplementary_offering_legacyid__4[[#This Row],[semilla04]],supplementary_offering_legacyid__4[[#This Row],[json]])</f>
        <v>{"800000-53":{"offeringid":"980000053","name":"SDP 8GB-2D_980000053","mode":"N"}}</v>
      </c>
    </row>
    <row r="462" spans="1:9" x14ac:dyDescent="0.25">
      <c r="A462" s="60" t="s">
        <v>3515</v>
      </c>
      <c r="B462" s="60" t="str">
        <f>findKey(supplementary_offering_legacyid__4[[#This Row],[PRODUCCION]])</f>
        <v>800000-71</v>
      </c>
      <c r="C462" s="61" t="s">
        <v>3516</v>
      </c>
      <c r="D462" t="s">
        <v>3517</v>
      </c>
      <c r="E462" t="s">
        <v>2329</v>
      </c>
      <c r="F462" s="61"/>
      <c r="H462" t="str">
        <f>ToJsonArray(supplementary_offering_legacyid__4[[#Headers],[offeringid]:[json]],supplementary_offering_legacyid__4[[#This Row],[offeringid]:[ignore]])</f>
        <v>{"offeringid":"980000071","name":"SDP 15GB-3D_980000071","mode":"N"}</v>
      </c>
      <c r="I462" t="str">
        <f>ToJsonArray(supplementary_offering_legacyid__4[[#This Row],[semilla04]],supplementary_offering_legacyid__4[[#This Row],[json]])</f>
        <v>{"800000-71":{"offeringid":"980000071","name":"SDP 15GB-3D_980000071","mode":"N"}}</v>
      </c>
    </row>
    <row r="463" spans="1:9" x14ac:dyDescent="0.25">
      <c r="A463" s="60" t="s">
        <v>3518</v>
      </c>
      <c r="B463" s="60" t="str">
        <f>findKey(supplementary_offering_legacyid__4[[#This Row],[PRODUCCION]])</f>
        <v>800000-88</v>
      </c>
      <c r="C463" s="61" t="s">
        <v>3519</v>
      </c>
      <c r="D463" t="s">
        <v>3520</v>
      </c>
      <c r="E463" t="s">
        <v>2329</v>
      </c>
      <c r="F463" s="61"/>
      <c r="H463" t="str">
        <f>ToJsonArray(supplementary_offering_legacyid__4[[#Headers],[offeringid]:[json]],supplementary_offering_legacyid__4[[#This Row],[offeringid]:[ignore]])</f>
        <v>{"offeringid":"980000088","name":"SDP 6GB-2D_980000088","mode":"N"}</v>
      </c>
      <c r="I463" t="str">
        <f>ToJsonArray(supplementary_offering_legacyid__4[[#This Row],[semilla04]],supplementary_offering_legacyid__4[[#This Row],[json]])</f>
        <v>{"800000-88":{"offeringid":"980000088","name":"SDP 6GB-2D_980000088","mode":"N"}}</v>
      </c>
    </row>
    <row r="464" spans="1:9" x14ac:dyDescent="0.25">
      <c r="A464" s="60" t="s">
        <v>3521</v>
      </c>
      <c r="B464" s="60" t="str">
        <f>findKey(supplementary_offering_legacyid__4[[#This Row],[PRODUCCION]])</f>
        <v>800000-89</v>
      </c>
      <c r="C464" s="61" t="s">
        <v>3522</v>
      </c>
      <c r="D464" t="s">
        <v>3523</v>
      </c>
      <c r="E464" t="s">
        <v>2329</v>
      </c>
      <c r="F464" s="61"/>
      <c r="H464" t="str">
        <f>ToJsonArray(supplementary_offering_legacyid__4[[#Headers],[offeringid]:[json]],supplementary_offering_legacyid__4[[#This Row],[offeringid]:[ignore]])</f>
        <v>{"offeringid":"980000089","name":"SDP 8GB-2D_980000089","mode":"N"}</v>
      </c>
      <c r="I464" t="str">
        <f>ToJsonArray(supplementary_offering_legacyid__4[[#This Row],[semilla04]],supplementary_offering_legacyid__4[[#This Row],[json]])</f>
        <v>{"800000-89":{"offeringid":"980000089","name":"SDP 8GB-2D_980000089","mode":"N"}}</v>
      </c>
    </row>
    <row r="465" spans="1:9" x14ac:dyDescent="0.25">
      <c r="A465" s="60" t="s">
        <v>3524</v>
      </c>
      <c r="B465" s="60" t="str">
        <f>findKey(supplementary_offering_legacyid__4[[#This Row],[PRODUCCION]])</f>
        <v>800000-90</v>
      </c>
      <c r="C465" s="61" t="s">
        <v>3525</v>
      </c>
      <c r="D465" t="s">
        <v>3526</v>
      </c>
      <c r="E465" t="s">
        <v>2329</v>
      </c>
      <c r="F465" s="61"/>
      <c r="H465" t="str">
        <f>ToJsonArray(supplementary_offering_legacyid__4[[#Headers],[offeringid]:[json]],supplementary_offering_legacyid__4[[#This Row],[offeringid]:[ignore]])</f>
        <v>{"offeringid":"980000090","name":"SDP 8GB-3D_980000090","mode":"N"}</v>
      </c>
      <c r="I465" t="str">
        <f>ToJsonArray(supplementary_offering_legacyid__4[[#This Row],[semilla04]],supplementary_offering_legacyid__4[[#This Row],[json]])</f>
        <v>{"800000-90":{"offeringid":"980000090","name":"SDP 8GB-3D_980000090","mode":"N"}}</v>
      </c>
    </row>
    <row r="466" spans="1:9" x14ac:dyDescent="0.25">
      <c r="A466" s="60" t="s">
        <v>3527</v>
      </c>
      <c r="B466" s="60" t="str">
        <f>findKey(supplementary_offering_legacyid__4[[#This Row],[PRODUCCION]])</f>
        <v>800000-91</v>
      </c>
      <c r="C466" s="61" t="s">
        <v>3528</v>
      </c>
      <c r="D466" t="s">
        <v>3529</v>
      </c>
      <c r="E466" t="s">
        <v>2329</v>
      </c>
      <c r="F466" s="61"/>
      <c r="H466" t="str">
        <f>ToJsonArray(supplementary_offering_legacyid__4[[#Headers],[offeringid]:[json]],supplementary_offering_legacyid__4[[#This Row],[offeringid]:[ignore]])</f>
        <v>{"offeringid":"980000091","name":"SDP 10GB-3D_980000091","mode":"N"}</v>
      </c>
      <c r="I466" t="str">
        <f>ToJsonArray(supplementary_offering_legacyid__4[[#This Row],[semilla04]],supplementary_offering_legacyid__4[[#This Row],[json]])</f>
        <v>{"800000-91":{"offeringid":"980000091","name":"SDP 10GB-3D_980000091","mode":"N"}}</v>
      </c>
    </row>
    <row r="467" spans="1:9" x14ac:dyDescent="0.25">
      <c r="A467" s="60" t="s">
        <v>3530</v>
      </c>
      <c r="B467" s="60" t="str">
        <f>findKey(supplementary_offering_legacyid__4[[#This Row],[PRODUCCION]])</f>
        <v>800000-92</v>
      </c>
      <c r="C467" s="61" t="s">
        <v>3531</v>
      </c>
      <c r="D467" t="s">
        <v>3532</v>
      </c>
      <c r="E467" t="s">
        <v>2329</v>
      </c>
      <c r="F467" s="61"/>
      <c r="H467" t="str">
        <f>ToJsonArray(supplementary_offering_legacyid__4[[#Headers],[offeringid]:[json]],supplementary_offering_legacyid__4[[#This Row],[offeringid]:[ignore]])</f>
        <v>{"offeringid":"980000092","name":"SDP 12GB-3D_980000092","mode":"N"}</v>
      </c>
      <c r="I467" t="str">
        <f>ToJsonArray(supplementary_offering_legacyid__4[[#This Row],[semilla04]],supplementary_offering_legacyid__4[[#This Row],[json]])</f>
        <v>{"800000-92":{"offeringid":"980000092","name":"SDP 12GB-3D_980000092","mode":"N"}}</v>
      </c>
    </row>
    <row r="468" spans="1:9" x14ac:dyDescent="0.25">
      <c r="A468" s="60" t="s">
        <v>3533</v>
      </c>
      <c r="B468" s="60" t="str">
        <f>findKey(supplementary_offering_legacyid__4[[#This Row],[PRODUCCION]])</f>
        <v>800000-93</v>
      </c>
      <c r="C468" s="61" t="s">
        <v>3534</v>
      </c>
      <c r="D468" t="s">
        <v>3535</v>
      </c>
      <c r="E468" t="s">
        <v>2329</v>
      </c>
      <c r="F468" s="61"/>
      <c r="H468" t="str">
        <f>ToJsonArray(supplementary_offering_legacyid__4[[#Headers],[offeringid]:[json]],supplementary_offering_legacyid__4[[#This Row],[offeringid]:[ignore]])</f>
        <v>{"offeringid":"980000093","name":"SDP 20GB-5D_980000093","mode":"N"}</v>
      </c>
      <c r="I468" t="str">
        <f>ToJsonArray(supplementary_offering_legacyid__4[[#This Row],[semilla04]],supplementary_offering_legacyid__4[[#This Row],[json]])</f>
        <v>{"800000-93":{"offeringid":"980000093","name":"SDP 20GB-5D_980000093","mode":"N"}}</v>
      </c>
    </row>
    <row r="469" spans="1:9" x14ac:dyDescent="0.25">
      <c r="A469" s="60" t="s">
        <v>3536</v>
      </c>
      <c r="B469" s="60" t="str">
        <f>findKey(supplementary_offering_legacyid__4[[#This Row],[PRODUCCION]])</f>
        <v>800000-94</v>
      </c>
      <c r="C469" s="61" t="s">
        <v>3537</v>
      </c>
      <c r="D469" t="s">
        <v>3538</v>
      </c>
      <c r="E469" t="s">
        <v>2329</v>
      </c>
      <c r="F469" s="61"/>
      <c r="H469" t="str">
        <f>ToJsonArray(supplementary_offering_legacyid__4[[#Headers],[offeringid]:[json]],supplementary_offering_legacyid__4[[#This Row],[offeringid]:[ignore]])</f>
        <v>{"offeringid":"980000094","name":"SDP 6GB-2D_980000094","mode":"N"}</v>
      </c>
      <c r="I469" t="str">
        <f>ToJsonArray(supplementary_offering_legacyid__4[[#This Row],[semilla04]],supplementary_offering_legacyid__4[[#This Row],[json]])</f>
        <v>{"800000-94":{"offeringid":"980000094","name":"SDP 6GB-2D_980000094","mode":"N"}}</v>
      </c>
    </row>
    <row r="470" spans="1:9" x14ac:dyDescent="0.25">
      <c r="A470" s="60" t="s">
        <v>3539</v>
      </c>
      <c r="B470" s="60" t="str">
        <f>findKey(supplementary_offering_legacyid__4[[#This Row],[PRODUCCION]])</f>
        <v>800000-95</v>
      </c>
      <c r="C470" s="61" t="s">
        <v>3540</v>
      </c>
      <c r="D470" t="s">
        <v>3541</v>
      </c>
      <c r="E470" t="s">
        <v>2329</v>
      </c>
      <c r="F470" s="61"/>
      <c r="H470" t="str">
        <f>ToJsonArray(supplementary_offering_legacyid__4[[#Headers],[offeringid]:[json]],supplementary_offering_legacyid__4[[#This Row],[offeringid]:[ignore]])</f>
        <v>{"offeringid":"980000095","name":"SDP 8GB-2D_980000095","mode":"N"}</v>
      </c>
      <c r="I470" t="str">
        <f>ToJsonArray(supplementary_offering_legacyid__4[[#This Row],[semilla04]],supplementary_offering_legacyid__4[[#This Row],[json]])</f>
        <v>{"800000-95":{"offeringid":"980000095","name":"SDP 8GB-2D_980000095","mode":"N"}}</v>
      </c>
    </row>
    <row r="471" spans="1:9" x14ac:dyDescent="0.25">
      <c r="A471" s="60" t="s">
        <v>3542</v>
      </c>
      <c r="B471" s="60" t="str">
        <f>findKey(supplementary_offering_legacyid__4[[#This Row],[PRODUCCION]])</f>
        <v>800000-96</v>
      </c>
      <c r="C471" s="61" t="s">
        <v>3543</v>
      </c>
      <c r="D471" t="s">
        <v>3544</v>
      </c>
      <c r="E471" t="s">
        <v>2329</v>
      </c>
      <c r="F471" s="61"/>
      <c r="H471" t="str">
        <f>ToJsonArray(supplementary_offering_legacyid__4[[#Headers],[offeringid]:[json]],supplementary_offering_legacyid__4[[#This Row],[offeringid]:[ignore]])</f>
        <v>{"offeringid":"980000096","name":"SDP 8GB-3D_980000096","mode":"N"}</v>
      </c>
      <c r="I471" t="str">
        <f>ToJsonArray(supplementary_offering_legacyid__4[[#This Row],[semilla04]],supplementary_offering_legacyid__4[[#This Row],[json]])</f>
        <v>{"800000-96":{"offeringid":"980000096","name":"SDP 8GB-3D_980000096","mode":"N"}}</v>
      </c>
    </row>
    <row r="472" spans="1:9" x14ac:dyDescent="0.25">
      <c r="A472" s="60" t="s">
        <v>3545</v>
      </c>
      <c r="B472" s="60" t="str">
        <f>findKey(supplementary_offering_legacyid__4[[#This Row],[PRODUCCION]])</f>
        <v>800000-97</v>
      </c>
      <c r="C472" s="61" t="s">
        <v>3546</v>
      </c>
      <c r="D472" t="s">
        <v>3547</v>
      </c>
      <c r="E472" t="s">
        <v>2329</v>
      </c>
      <c r="F472" s="61"/>
      <c r="H472" t="str">
        <f>ToJsonArray(supplementary_offering_legacyid__4[[#Headers],[offeringid]:[json]],supplementary_offering_legacyid__4[[#This Row],[offeringid]:[ignore]])</f>
        <v>{"offeringid":"980000097","name":"SDP 10GB-3D_980000097","mode":"N"}</v>
      </c>
      <c r="I472" t="str">
        <f>ToJsonArray(supplementary_offering_legacyid__4[[#This Row],[semilla04]],supplementary_offering_legacyid__4[[#This Row],[json]])</f>
        <v>{"800000-97":{"offeringid":"980000097","name":"SDP 10GB-3D_980000097","mode":"N"}}</v>
      </c>
    </row>
    <row r="473" spans="1:9" x14ac:dyDescent="0.25">
      <c r="A473" s="60" t="s">
        <v>3548</v>
      </c>
      <c r="B473" s="60" t="str">
        <f>findKey(supplementary_offering_legacyid__4[[#This Row],[PRODUCCION]])</f>
        <v>800000-98</v>
      </c>
      <c r="C473" s="61" t="s">
        <v>3549</v>
      </c>
      <c r="D473" t="s">
        <v>3550</v>
      </c>
      <c r="E473" t="s">
        <v>2329</v>
      </c>
      <c r="F473" s="61"/>
      <c r="H473" t="str">
        <f>ToJsonArray(supplementary_offering_legacyid__4[[#Headers],[offeringid]:[json]],supplementary_offering_legacyid__4[[#This Row],[offeringid]:[ignore]])</f>
        <v>{"offeringid":"980000098","name":"SDP 12GB-3D_980000098","mode":"N"}</v>
      </c>
      <c r="I473" t="str">
        <f>ToJsonArray(supplementary_offering_legacyid__4[[#This Row],[semilla04]],supplementary_offering_legacyid__4[[#This Row],[json]])</f>
        <v>{"800000-98":{"offeringid":"980000098","name":"SDP 12GB-3D_980000098","mode":"N"}}</v>
      </c>
    </row>
    <row r="474" spans="1:9" x14ac:dyDescent="0.25">
      <c r="A474" s="60" t="s">
        <v>3551</v>
      </c>
      <c r="B474" s="60" t="str">
        <f>findKey(supplementary_offering_legacyid__4[[#This Row],[PRODUCCION]])</f>
        <v>800000-99</v>
      </c>
      <c r="C474" s="61" t="s">
        <v>3552</v>
      </c>
      <c r="D474" t="s">
        <v>3553</v>
      </c>
      <c r="E474" t="s">
        <v>2329</v>
      </c>
      <c r="F474" s="61"/>
      <c r="H474" t="str">
        <f>ToJsonArray(supplementary_offering_legacyid__4[[#Headers],[offeringid]:[json]],supplementary_offering_legacyid__4[[#This Row],[offeringid]:[ignore]])</f>
        <v>{"offeringid":"980000099","name":"SDP 20GB-5D_980000099","mode":"N"}</v>
      </c>
      <c r="I474" t="str">
        <f>ToJsonArray(supplementary_offering_legacyid__4[[#This Row],[semilla04]],supplementary_offering_legacyid__4[[#This Row],[json]])</f>
        <v>{"800000-99":{"offeringid":"980000099","name":"SDP 20GB-5D_980000099","mode":"N"}}</v>
      </c>
    </row>
    <row r="475" spans="1:9" x14ac:dyDescent="0.25">
      <c r="A475" s="60" t="s">
        <v>3554</v>
      </c>
      <c r="B475" s="60" t="str">
        <f>findKey(supplementary_offering_legacyid__4[[#This Row],[PRODUCCION]])</f>
        <v>800010-00</v>
      </c>
      <c r="C475" s="61" t="s">
        <v>3555</v>
      </c>
      <c r="D475" t="s">
        <v>3556</v>
      </c>
      <c r="E475" t="s">
        <v>2329</v>
      </c>
      <c r="F475" s="61"/>
      <c r="H475" t="str">
        <f>ToJsonArray(supplementary_offering_legacyid__4[[#Headers],[offeringid]:[json]],supplementary_offering_legacyid__4[[#This Row],[offeringid]:[ignore]])</f>
        <v>{"offeringid":"980001000","name":"SDP 7.5GB-2D_980001000","mode":"N"}</v>
      </c>
      <c r="I475" t="str">
        <f>ToJsonArray(supplementary_offering_legacyid__4[[#This Row],[semilla04]],supplementary_offering_legacyid__4[[#This Row],[json]])</f>
        <v>{"800010-00":{"offeringid":"980001000","name":"SDP 7.5GB-2D_980001000","mode":"N"}}</v>
      </c>
    </row>
    <row r="476" spans="1:9" x14ac:dyDescent="0.25">
      <c r="A476" s="60" t="s">
        <v>3557</v>
      </c>
      <c r="B476" s="60" t="str">
        <f>findKey(supplementary_offering_legacyid__4[[#This Row],[PRODUCCION]])</f>
        <v>810001-05</v>
      </c>
      <c r="C476" s="61" t="s">
        <v>3558</v>
      </c>
      <c r="D476" t="s">
        <v>3559</v>
      </c>
      <c r="E476" t="s">
        <v>2329</v>
      </c>
      <c r="F476" s="61"/>
      <c r="H476" t="str">
        <f>ToJsonArray(supplementary_offering_legacyid__4[[#Headers],[offeringid]:[json]],supplementary_offering_legacyid__4[[#This Row],[offeringid]:[ignore]])</f>
        <v>{"offeringid":"981000105","name":"SDP 90000TD-2D_981000105","mode":"N"}</v>
      </c>
      <c r="I476" t="str">
        <f>ToJsonArray(supplementary_offering_legacyid__4[[#This Row],[semilla04]],supplementary_offering_legacyid__4[[#This Row],[json]])</f>
        <v>{"810001-05":{"offeringid":"981000105","name":"SDP 90000TD-2D_981000105","mode":"N"}}</v>
      </c>
    </row>
    <row r="477" spans="1:9" x14ac:dyDescent="0.25">
      <c r="A477" s="60" t="s">
        <v>3560</v>
      </c>
      <c r="B477" s="60" t="str">
        <f>findKey(supplementary_offering_legacyid__4[[#This Row],[PRODUCCION]])</f>
        <v>810001-06</v>
      </c>
      <c r="C477" s="61" t="s">
        <v>3561</v>
      </c>
      <c r="D477" t="s">
        <v>3562</v>
      </c>
      <c r="E477" t="s">
        <v>2329</v>
      </c>
      <c r="F477" s="61"/>
      <c r="H477" t="str">
        <f>ToJsonArray(supplementary_offering_legacyid__4[[#Headers],[offeringid]:[json]],supplementary_offering_legacyid__4[[#This Row],[offeringid]:[ignore]])</f>
        <v>{"offeringid":"981000106","name":"SDP 120000TD-2D_981000106","mode":"N"}</v>
      </c>
      <c r="I477" t="str">
        <f>ToJsonArray(supplementary_offering_legacyid__4[[#This Row],[semilla04]],supplementary_offering_legacyid__4[[#This Row],[json]])</f>
        <v>{"810001-06":{"offeringid":"981000106","name":"SDP 120000TD-2D_981000106","mode":"N"}}</v>
      </c>
    </row>
    <row r="478" spans="1:9" x14ac:dyDescent="0.25">
      <c r="A478" s="60" t="s">
        <v>3563</v>
      </c>
      <c r="B478" s="60" t="str">
        <f>findKey(supplementary_offering_legacyid__4[[#This Row],[PRODUCCION]])</f>
        <v>810001-07</v>
      </c>
      <c r="C478" s="61" t="s">
        <v>3564</v>
      </c>
      <c r="D478" t="s">
        <v>3565</v>
      </c>
      <c r="E478" t="s">
        <v>2329</v>
      </c>
      <c r="F478" s="61"/>
      <c r="H478" t="str">
        <f>ToJsonArray(supplementary_offering_legacyid__4[[#Headers],[offeringid]:[json]],supplementary_offering_legacyid__4[[#This Row],[offeringid]:[ignore]])</f>
        <v>{"offeringid":"981000107","name":"SDP 180000TD-3D_981000107","mode":"N"}</v>
      </c>
      <c r="I478" t="str">
        <f>ToJsonArray(supplementary_offering_legacyid__4[[#This Row],[semilla04]],supplementary_offering_legacyid__4[[#This Row],[json]])</f>
        <v>{"810001-07":{"offeringid":"981000107","name":"SDP 180000TD-3D_981000107","mode":"N"}}</v>
      </c>
    </row>
    <row r="479" spans="1:9" x14ac:dyDescent="0.25">
      <c r="A479" s="60" t="s">
        <v>3566</v>
      </c>
      <c r="B479" s="60" t="str">
        <f>findKey(supplementary_offering_legacyid__4[[#This Row],[PRODUCCION]])</f>
        <v>810001-08</v>
      </c>
      <c r="C479" s="61" t="s">
        <v>3567</v>
      </c>
      <c r="D479" t="s">
        <v>3568</v>
      </c>
      <c r="E479" t="s">
        <v>2329</v>
      </c>
      <c r="F479" s="61"/>
      <c r="H479" t="str">
        <f>ToJsonArray(supplementary_offering_legacyid__4[[#Headers],[offeringid]:[json]],supplementary_offering_legacyid__4[[#This Row],[offeringid]:[ignore]])</f>
        <v>{"offeringid":"981000108","name":"SDP 240000TD-3D_981000108","mode":"N"}</v>
      </c>
      <c r="I479" t="str">
        <f>ToJsonArray(supplementary_offering_legacyid__4[[#This Row],[semilla04]],supplementary_offering_legacyid__4[[#This Row],[json]])</f>
        <v>{"810001-08":{"offeringid":"981000108","name":"SDP 240000TD-3D_981000108","mode":"N"}}</v>
      </c>
    </row>
    <row r="480" spans="1:9" x14ac:dyDescent="0.25">
      <c r="A480" s="60" t="s">
        <v>3569</v>
      </c>
      <c r="B480" s="60" t="str">
        <f>findKey(supplementary_offering_legacyid__4[[#This Row],[PRODUCCION]])</f>
        <v>810001-09</v>
      </c>
      <c r="C480" s="61" t="s">
        <v>3570</v>
      </c>
      <c r="D480" t="s">
        <v>3571</v>
      </c>
      <c r="E480" t="s">
        <v>2329</v>
      </c>
      <c r="F480" s="61"/>
      <c r="H480" t="str">
        <f>ToJsonArray(supplementary_offering_legacyid__4[[#Headers],[offeringid]:[json]],supplementary_offering_legacyid__4[[#This Row],[offeringid]:[ignore]])</f>
        <v>{"offeringid":"981000109","name":"SDP 300000TD-3D_981000109","mode":"N"}</v>
      </c>
      <c r="I480" t="str">
        <f>ToJsonArray(supplementary_offering_legacyid__4[[#This Row],[semilla04]],supplementary_offering_legacyid__4[[#This Row],[json]])</f>
        <v>{"810001-09":{"offeringid":"981000109","name":"SDP 300000TD-3D_981000109","mode":"N"}}</v>
      </c>
    </row>
    <row r="481" spans="1:9" x14ac:dyDescent="0.25">
      <c r="A481" s="60" t="s">
        <v>3572</v>
      </c>
      <c r="B481" s="60" t="str">
        <f>findKey(supplementary_offering_legacyid__4[[#This Row],[PRODUCCION]])</f>
        <v>810001-10</v>
      </c>
      <c r="C481" s="61" t="s">
        <v>3573</v>
      </c>
      <c r="D481" t="s">
        <v>3574</v>
      </c>
      <c r="E481" t="s">
        <v>2329</v>
      </c>
      <c r="F481" s="61"/>
      <c r="H481" t="str">
        <f>ToJsonArray(supplementary_offering_legacyid__4[[#Headers],[offeringid]:[json]],supplementary_offering_legacyid__4[[#This Row],[offeringid]:[ignore]])</f>
        <v>{"offeringid":"981000110","name":"SDP 600000TD-5D_981000110","mode":"N"}</v>
      </c>
      <c r="I481" t="str">
        <f>ToJsonArray(supplementary_offering_legacyid__4[[#This Row],[semilla04]],supplementary_offering_legacyid__4[[#This Row],[json]])</f>
        <v>{"810001-10":{"offeringid":"981000110","name":"SDP 600000TD-5D_981000110","mode":"N"}}</v>
      </c>
    </row>
    <row r="482" spans="1:9" x14ac:dyDescent="0.25">
      <c r="A482" s="60" t="s">
        <v>3575</v>
      </c>
      <c r="B482" s="60" t="str">
        <f>findKey(supplementary_offering_legacyid__4[[#This Row],[PRODUCCION]])</f>
        <v>810001-11</v>
      </c>
      <c r="C482" s="61" t="s">
        <v>3576</v>
      </c>
      <c r="D482" t="s">
        <v>3577</v>
      </c>
      <c r="E482" t="s">
        <v>2329</v>
      </c>
      <c r="F482" s="61"/>
      <c r="H482" t="str">
        <f>ToJsonArray(supplementary_offering_legacyid__4[[#Headers],[offeringid]:[json]],supplementary_offering_legacyid__4[[#This Row],[offeringid]:[ignore]])</f>
        <v>{"offeringid":"981000111","name":"SDP 10000TD-5D_981000111","mode":"N"}</v>
      </c>
      <c r="I482" t="str">
        <f>ToJsonArray(supplementary_offering_legacyid__4[[#This Row],[semilla04]],supplementary_offering_legacyid__4[[#This Row],[json]])</f>
        <v>{"810001-11":{"offeringid":"981000111","name":"SDP 10000TD-5D_981000111","mode":"N"}}</v>
      </c>
    </row>
    <row r="483" spans="1:9" x14ac:dyDescent="0.25">
      <c r="A483" s="60" t="s">
        <v>3578</v>
      </c>
      <c r="B483" s="60" t="str">
        <f>findKey(supplementary_offering_legacyid__4[[#This Row],[PRODUCCION]])</f>
        <v>810001-12</v>
      </c>
      <c r="C483" s="61" t="s">
        <v>3579</v>
      </c>
      <c r="D483" t="s">
        <v>3580</v>
      </c>
      <c r="E483" t="s">
        <v>2329</v>
      </c>
      <c r="F483" s="61"/>
      <c r="H483" t="str">
        <f>ToJsonArray(supplementary_offering_legacyid__4[[#Headers],[offeringid]:[json]],supplementary_offering_legacyid__4[[#This Row],[offeringid]:[ignore]])</f>
        <v>{"offeringid":"981000112","name":"SDP 5000TD-3D_981000112","mode":"N"}</v>
      </c>
      <c r="I483" t="str">
        <f>ToJsonArray(supplementary_offering_legacyid__4[[#This Row],[semilla04]],supplementary_offering_legacyid__4[[#This Row],[json]])</f>
        <v>{"810001-12":{"offeringid":"981000112","name":"SDP 5000TD-3D_981000112","mode":"N"}}</v>
      </c>
    </row>
    <row r="484" spans="1:9" x14ac:dyDescent="0.25">
      <c r="A484" s="60" t="s">
        <v>3581</v>
      </c>
      <c r="B484" s="60" t="str">
        <f>findKey(supplementary_offering_legacyid__4[[#This Row],[PRODUCCION]])</f>
        <v>810001-13</v>
      </c>
      <c r="C484" s="61" t="s">
        <v>3582</v>
      </c>
      <c r="D484" t="s">
        <v>3583</v>
      </c>
      <c r="E484" t="s">
        <v>2329</v>
      </c>
      <c r="F484" s="61"/>
      <c r="H484" t="str">
        <f>ToJsonArray(supplementary_offering_legacyid__4[[#Headers],[offeringid]:[json]],supplementary_offering_legacyid__4[[#This Row],[offeringid]:[ignore]])</f>
        <v>{"offeringid":"981000113","name":"SDP 4000TD-3D_981000113","mode":"N"}</v>
      </c>
      <c r="I484" t="str">
        <f>ToJsonArray(supplementary_offering_legacyid__4[[#This Row],[semilla04]],supplementary_offering_legacyid__4[[#This Row],[json]])</f>
        <v>{"810001-13":{"offeringid":"981000113","name":"SDP 4000TD-3D_981000113","mode":"N"}}</v>
      </c>
    </row>
    <row r="485" spans="1:9" x14ac:dyDescent="0.25">
      <c r="A485" s="60" t="s">
        <v>3584</v>
      </c>
      <c r="B485" s="60" t="str">
        <f>findKey(supplementary_offering_legacyid__4[[#This Row],[PRODUCCION]])</f>
        <v>810001-14</v>
      </c>
      <c r="C485" s="61" t="s">
        <v>3585</v>
      </c>
      <c r="D485" t="s">
        <v>3586</v>
      </c>
      <c r="E485" t="s">
        <v>2329</v>
      </c>
      <c r="F485" s="61"/>
      <c r="H485" t="str">
        <f>ToJsonArray(supplementary_offering_legacyid__4[[#Headers],[offeringid]:[json]],supplementary_offering_legacyid__4[[#This Row],[offeringid]:[ignore]])</f>
        <v>{"offeringid":"981000114","name":"SDP 3000TD-3D_981000114","mode":"N"}</v>
      </c>
      <c r="I485" t="str">
        <f>ToJsonArray(supplementary_offering_legacyid__4[[#This Row],[semilla04]],supplementary_offering_legacyid__4[[#This Row],[json]])</f>
        <v>{"810001-14":{"offeringid":"981000114","name":"SDP 3000TD-3D_981000114","mode":"N"}}</v>
      </c>
    </row>
    <row r="486" spans="1:9" x14ac:dyDescent="0.25">
      <c r="A486" s="60" t="s">
        <v>3587</v>
      </c>
      <c r="B486" s="60" t="str">
        <f>findKey(supplementary_offering_legacyid__4[[#This Row],[PRODUCCION]])</f>
        <v>810001-15</v>
      </c>
      <c r="C486" s="61" t="s">
        <v>3588</v>
      </c>
      <c r="D486" t="s">
        <v>3589</v>
      </c>
      <c r="E486" t="s">
        <v>2329</v>
      </c>
      <c r="F486" s="61"/>
      <c r="H486" t="str">
        <f>ToJsonArray(supplementary_offering_legacyid__4[[#Headers],[offeringid]:[json]],supplementary_offering_legacyid__4[[#This Row],[offeringid]:[ignore]])</f>
        <v>{"offeringid":"981000115","name":"SDP 1500TD-2D_981000115","mode":"N"}</v>
      </c>
      <c r="I486" t="str">
        <f>ToJsonArray(supplementary_offering_legacyid__4[[#This Row],[semilla04]],supplementary_offering_legacyid__4[[#This Row],[json]])</f>
        <v>{"810001-15":{"offeringid":"981000115","name":"SDP 1500TD-2D_981000115","mode":"N"}}</v>
      </c>
    </row>
    <row r="487" spans="1:9" x14ac:dyDescent="0.25">
      <c r="A487" s="60" t="s">
        <v>3590</v>
      </c>
      <c r="B487" s="60" t="str">
        <f>findKey(supplementary_offering_legacyid__4[[#This Row],[PRODUCCION]])</f>
        <v>810001-16</v>
      </c>
      <c r="C487" s="61" t="s">
        <v>3591</v>
      </c>
      <c r="D487" t="s">
        <v>3592</v>
      </c>
      <c r="E487" t="s">
        <v>2329</v>
      </c>
      <c r="F487" s="61"/>
      <c r="H487" t="str">
        <f>ToJsonArray(supplementary_offering_legacyid__4[[#Headers],[offeringid]:[json]],supplementary_offering_legacyid__4[[#This Row],[offeringid]:[ignore]])</f>
        <v>{"offeringid":"981000116","name":"SDP 2000TD-2D_981000116","mode":"N"}</v>
      </c>
      <c r="I487" t="str">
        <f>ToJsonArray(supplementary_offering_legacyid__4[[#This Row],[semilla04]],supplementary_offering_legacyid__4[[#This Row],[json]])</f>
        <v>{"810001-16":{"offeringid":"981000116","name":"SDP 2000TD-2D_981000116","mode":"N"}}</v>
      </c>
    </row>
    <row r="488" spans="1:9" x14ac:dyDescent="0.25">
      <c r="A488" s="60" t="s">
        <v>3593</v>
      </c>
      <c r="B488" s="60" t="str">
        <f>findKey(supplementary_offering_legacyid__4[[#This Row],[PRODUCCION]])</f>
        <v>810003-03</v>
      </c>
      <c r="C488" s="61" t="s">
        <v>3594</v>
      </c>
      <c r="D488" t="s">
        <v>3595</v>
      </c>
      <c r="E488" t="s">
        <v>2329</v>
      </c>
      <c r="F488" s="61"/>
      <c r="H488" t="str">
        <f>ToJsonArray(supplementary_offering_legacyid__4[[#Headers],[offeringid]:[json]],supplementary_offering_legacyid__4[[#This Row],[offeringid]:[ignore]])</f>
        <v>{"offeringid":"981000303","name":"SDP 100000SMS-2D_981000303","mode":"N"}</v>
      </c>
      <c r="I488" t="str">
        <f>ToJsonArray(supplementary_offering_legacyid__4[[#This Row],[semilla04]],supplementary_offering_legacyid__4[[#This Row],[json]])</f>
        <v>{"810003-03":{"offeringid":"981000303","name":"SDP 100000SMS-2D_981000303","mode":"N"}}</v>
      </c>
    </row>
    <row r="489" spans="1:9" x14ac:dyDescent="0.25">
      <c r="A489" s="60" t="s">
        <v>3596</v>
      </c>
      <c r="B489" s="60" t="str">
        <f>findKey(supplementary_offering_legacyid__4[[#This Row],[PRODUCCION]])</f>
        <v>810003-04</v>
      </c>
      <c r="C489" s="61" t="s">
        <v>3597</v>
      </c>
      <c r="D489" t="s">
        <v>3598</v>
      </c>
      <c r="E489" t="s">
        <v>2329</v>
      </c>
      <c r="F489" s="61"/>
      <c r="H489" t="str">
        <f>ToJsonArray(supplementary_offering_legacyid__4[[#Headers],[offeringid]:[json]],supplementary_offering_legacyid__4[[#This Row],[offeringid]:[ignore]])</f>
        <v>{"offeringid":"981000304","name":"SDP 100000SMS-3D_981000304","mode":"N"}</v>
      </c>
      <c r="I489" t="str">
        <f>ToJsonArray(supplementary_offering_legacyid__4[[#This Row],[semilla04]],supplementary_offering_legacyid__4[[#This Row],[json]])</f>
        <v>{"810003-04":{"offeringid":"981000304","name":"SDP 100000SMS-3D_981000304","mode":"N"}}</v>
      </c>
    </row>
    <row r="490" spans="1:9" x14ac:dyDescent="0.25">
      <c r="A490" s="60" t="s">
        <v>3599</v>
      </c>
      <c r="B490" s="60" t="str">
        <f>findKey(supplementary_offering_legacyid__4[[#This Row],[PRODUCCION]])</f>
        <v>810003-05</v>
      </c>
      <c r="C490" s="61" t="s">
        <v>3600</v>
      </c>
      <c r="D490" t="s">
        <v>3601</v>
      </c>
      <c r="E490" t="s">
        <v>2329</v>
      </c>
      <c r="F490" s="61"/>
      <c r="H490" t="str">
        <f>ToJsonArray(supplementary_offering_legacyid__4[[#Headers],[offeringid]:[json]],supplementary_offering_legacyid__4[[#This Row],[offeringid]:[ignore]])</f>
        <v>{"offeringid":"981000305","name":"SDP 100000SMS-5D_981000305","mode":"N"}</v>
      </c>
      <c r="I490" t="str">
        <f>ToJsonArray(supplementary_offering_legacyid__4[[#This Row],[semilla04]],supplementary_offering_legacyid__4[[#This Row],[json]])</f>
        <v>{"810003-05":{"offeringid":"981000305","name":"SDP 100000SMS-5D_981000305","mode":"N"}}</v>
      </c>
    </row>
    <row r="491" spans="1:9" x14ac:dyDescent="0.25">
      <c r="A491" s="60" t="s">
        <v>3602</v>
      </c>
      <c r="B491" s="60" t="str">
        <f>findKey(supplementary_offering_legacyid__4[[#This Row],[PRODUCCION]])</f>
        <v>810003-06</v>
      </c>
      <c r="C491" s="61" t="s">
        <v>3603</v>
      </c>
      <c r="D491" t="s">
        <v>3604</v>
      </c>
      <c r="E491" t="s">
        <v>2329</v>
      </c>
      <c r="F491" s="61"/>
      <c r="H491" t="str">
        <f>ToJsonArray(supplementary_offering_legacyid__4[[#Headers],[offeringid]:[json]],supplementary_offering_legacyid__4[[#This Row],[offeringid]:[ignore]])</f>
        <v>{"offeringid":"981000306","name":"SDP UnlimitedSMS-3D_981000306","mode":"N"}</v>
      </c>
      <c r="I491" t="str">
        <f>ToJsonArray(supplementary_offering_legacyid__4[[#This Row],[semilla04]],supplementary_offering_legacyid__4[[#This Row],[json]])</f>
        <v>{"810003-06":{"offeringid":"981000306","name":"SDP UnlimitedSMS-3D_981000306","mode":"N"}}</v>
      </c>
    </row>
    <row r="492" spans="1:9" x14ac:dyDescent="0.25">
      <c r="A492" s="60" t="s">
        <v>3605</v>
      </c>
      <c r="B492" s="60" t="str">
        <f>findKey(supplementary_offering_legacyid__4[[#This Row],[PRODUCCION]])</f>
        <v>810003-07</v>
      </c>
      <c r="C492" s="61" t="s">
        <v>3606</v>
      </c>
      <c r="D492" t="s">
        <v>3607</v>
      </c>
      <c r="E492" t="s">
        <v>2329</v>
      </c>
      <c r="F492" s="61"/>
      <c r="H492" t="str">
        <f>ToJsonArray(supplementary_offering_legacyid__4[[#Headers],[offeringid]:[json]],supplementary_offering_legacyid__4[[#This Row],[offeringid]:[ignore]])</f>
        <v>{"offeringid":"981000307","name":"SDP UnlimitedSMS-2D_981000307","mode":"N"}</v>
      </c>
      <c r="I492" t="str">
        <f>ToJsonArray(supplementary_offering_legacyid__4[[#This Row],[semilla04]],supplementary_offering_legacyid__4[[#This Row],[json]])</f>
        <v>{"810003-07":{"offeringid":"981000307","name":"SDP UnlimitedSMS-2D_981000307","mode":"N"}}</v>
      </c>
    </row>
    <row r="493" spans="1:9" x14ac:dyDescent="0.25">
      <c r="A493" s="60" t="s">
        <v>3608</v>
      </c>
      <c r="B493" s="60" t="str">
        <f>findKey(supplementary_offering_legacyid__4[[#This Row],[PRODUCCION]])</f>
        <v>810003-08</v>
      </c>
      <c r="C493" s="61" t="s">
        <v>3609</v>
      </c>
      <c r="D493" t="s">
        <v>3610</v>
      </c>
      <c r="E493" t="s">
        <v>2329</v>
      </c>
      <c r="F493" s="61"/>
      <c r="H493" t="str">
        <f>ToJsonArray(supplementary_offering_legacyid__4[[#Headers],[offeringid]:[json]],supplementary_offering_legacyid__4[[#This Row],[offeringid]:[ignore]])</f>
        <v>{"offeringid":"981000308","name":"SDP UnlimitedSMS-5D_981000308","mode":"N"}</v>
      </c>
      <c r="I493" t="str">
        <f>ToJsonArray(supplementary_offering_legacyid__4[[#This Row],[semilla04]],supplementary_offering_legacyid__4[[#This Row],[json]])</f>
        <v>{"810003-08":{"offeringid":"981000308","name":"SDP UnlimitedSMS-5D_981000308","mode":"N"}}</v>
      </c>
    </row>
    <row r="494" spans="1:9" x14ac:dyDescent="0.25">
      <c r="A494" s="60" t="s">
        <v>3611</v>
      </c>
      <c r="B494" s="60" t="str">
        <f>findKey(supplementary_offering_legacyid__4[[#This Row],[PRODUCCION]])</f>
        <v>810004-11</v>
      </c>
      <c r="C494" s="61" t="s">
        <v>3612</v>
      </c>
      <c r="D494" t="s">
        <v>3613</v>
      </c>
      <c r="E494" t="s">
        <v>2329</v>
      </c>
      <c r="F494" s="61"/>
      <c r="H494" t="str">
        <f>ToJsonArray(supplementary_offering_legacyid__4[[#Headers],[offeringid]:[json]],supplementary_offering_legacyid__4[[#This Row],[offeringid]:[ignore]])</f>
        <v>{"offeringid":"981000411","name":"CUG-4D_981000411","mode":"N"}</v>
      </c>
      <c r="I494" t="str">
        <f>ToJsonArray(supplementary_offering_legacyid__4[[#This Row],[semilla04]],supplementary_offering_legacyid__4[[#This Row],[json]])</f>
        <v>{"810004-11":{"offeringid":"981000411","name":"CUG-4D_981000411","mode":"N"}}</v>
      </c>
    </row>
    <row r="495" spans="1:9" x14ac:dyDescent="0.25">
      <c r="A495" s="60" t="s">
        <v>3614</v>
      </c>
      <c r="B495" s="60" t="str">
        <f>findKey(supplementary_offering_legacyid__4[[#This Row],[PRODUCCION]])</f>
        <v>810004-13</v>
      </c>
      <c r="C495" s="61" t="s">
        <v>3615</v>
      </c>
      <c r="D495" t="s">
        <v>3616</v>
      </c>
      <c r="E495" t="s">
        <v>2329</v>
      </c>
      <c r="F495" s="61"/>
      <c r="H495" t="str">
        <f>ToJsonArray(supplementary_offering_legacyid__4[[#Headers],[offeringid]:[json]],supplementary_offering_legacyid__4[[#This Row],[offeringid]:[ignore]])</f>
        <v>{"offeringid":"981000413","name":"CUG-4D_981000413","mode":"N"}</v>
      </c>
      <c r="I495" t="str">
        <f>ToJsonArray(supplementary_offering_legacyid__4[[#This Row],[semilla04]],supplementary_offering_legacyid__4[[#This Row],[json]])</f>
        <v>{"810004-13":{"offeringid":"981000413","name":"CUG-4D_981000413","mode":"N"}}</v>
      </c>
    </row>
    <row r="496" spans="1:9" x14ac:dyDescent="0.25">
      <c r="A496" s="60" t="s">
        <v>3617</v>
      </c>
      <c r="B496" s="60" t="str">
        <f>findKey(supplementary_offering_legacyid__4[[#This Row],[PRODUCCION]])</f>
        <v>810004-14</v>
      </c>
      <c r="C496" s="61" t="s">
        <v>3618</v>
      </c>
      <c r="D496" t="s">
        <v>3619</v>
      </c>
      <c r="E496" t="s">
        <v>2329</v>
      </c>
      <c r="F496" s="61"/>
      <c r="H496" t="str">
        <f>ToJsonArray(supplementary_offering_legacyid__4[[#Headers],[offeringid]:[json]],supplementary_offering_legacyid__4[[#This Row],[offeringid]:[ignore]])</f>
        <v>{"offeringid":"981000414","name":"CUG-2D_981000414","mode":"N"}</v>
      </c>
      <c r="I496" t="str">
        <f>ToJsonArray(supplementary_offering_legacyid__4[[#This Row],[semilla04]],supplementary_offering_legacyid__4[[#This Row],[json]])</f>
        <v>{"810004-14":{"offeringid":"981000414","name":"CUG-2D_981000414","mode":"N"}}</v>
      </c>
    </row>
    <row r="497" spans="1:9" x14ac:dyDescent="0.25">
      <c r="A497" s="60" t="s">
        <v>3620</v>
      </c>
      <c r="B497" s="60" t="str">
        <f>findKey(supplementary_offering_legacyid__4[[#This Row],[PRODUCCION]])</f>
        <v>810004-15</v>
      </c>
      <c r="C497" s="61" t="s">
        <v>3621</v>
      </c>
      <c r="D497" t="s">
        <v>3622</v>
      </c>
      <c r="E497" t="s">
        <v>2329</v>
      </c>
      <c r="F497" s="61"/>
      <c r="H497" t="str">
        <f>ToJsonArray(supplementary_offering_legacyid__4[[#Headers],[offeringid]:[json]],supplementary_offering_legacyid__4[[#This Row],[offeringid]:[ignore]])</f>
        <v>{"offeringid":"981000415","name":"CUG-2D_981000415","mode":"N"}</v>
      </c>
      <c r="I497" t="str">
        <f>ToJsonArray(supplementary_offering_legacyid__4[[#This Row],[semilla04]],supplementary_offering_legacyid__4[[#This Row],[json]])</f>
        <v>{"810004-15":{"offeringid":"981000415","name":"CUG-2D_981000415","mode":"N"}}</v>
      </c>
    </row>
    <row r="498" spans="1:9" x14ac:dyDescent="0.25">
      <c r="A498" s="60" t="s">
        <v>3623</v>
      </c>
      <c r="B498" s="60" t="str">
        <f>findKey(supplementary_offering_legacyid__4[[#This Row],[PRODUCCION]])</f>
        <v>810004-16</v>
      </c>
      <c r="C498" s="61" t="s">
        <v>3624</v>
      </c>
      <c r="D498" t="s">
        <v>3625</v>
      </c>
      <c r="E498" t="s">
        <v>2329</v>
      </c>
      <c r="F498" s="61"/>
      <c r="H498" t="str">
        <f>ToJsonArray(supplementary_offering_legacyid__4[[#Headers],[offeringid]:[json]],supplementary_offering_legacyid__4[[#This Row],[offeringid]:[ignore]])</f>
        <v>{"offeringid":"981000416","name":"CUG-2D_981000416","mode":"N"}</v>
      </c>
      <c r="I498" t="str">
        <f>ToJsonArray(supplementary_offering_legacyid__4[[#This Row],[semilla04]],supplementary_offering_legacyid__4[[#This Row],[json]])</f>
        <v>{"810004-16":{"offeringid":"981000416","name":"CUG-2D_981000416","mode":"N"}}</v>
      </c>
    </row>
    <row r="499" spans="1:9" x14ac:dyDescent="0.25">
      <c r="A499" s="60" t="s">
        <v>3626</v>
      </c>
      <c r="B499" s="60" t="str">
        <f>findKey(supplementary_offering_legacyid__4[[#This Row],[PRODUCCION]])</f>
        <v>810004-17</v>
      </c>
      <c r="C499" s="61" t="s">
        <v>3627</v>
      </c>
      <c r="D499" t="s">
        <v>3628</v>
      </c>
      <c r="E499" t="s">
        <v>2329</v>
      </c>
      <c r="F499" s="61"/>
      <c r="H499" t="str">
        <f>ToJsonArray(supplementary_offering_legacyid__4[[#Headers],[offeringid]:[json]],supplementary_offering_legacyid__4[[#This Row],[offeringid]:[ignore]])</f>
        <v>{"offeringid":"981000417","name":"CUG-2D_981000417","mode":"N"}</v>
      </c>
      <c r="I499" t="str">
        <f>ToJsonArray(supplementary_offering_legacyid__4[[#This Row],[semilla04]],supplementary_offering_legacyid__4[[#This Row],[json]])</f>
        <v>{"810004-17":{"offeringid":"981000417","name":"CUG-2D_981000417","mode":"N"}}</v>
      </c>
    </row>
    <row r="500" spans="1:9" x14ac:dyDescent="0.25">
      <c r="A500" s="60" t="s">
        <v>3629</v>
      </c>
      <c r="B500" s="60" t="str">
        <f>findKey(supplementary_offering_legacyid__4[[#This Row],[PRODUCCION]])</f>
        <v>810004-18</v>
      </c>
      <c r="C500" s="61" t="s">
        <v>3630</v>
      </c>
      <c r="D500" t="s">
        <v>3631</v>
      </c>
      <c r="E500" t="s">
        <v>2329</v>
      </c>
      <c r="F500" s="61"/>
      <c r="H500" t="str">
        <f>ToJsonArray(supplementary_offering_legacyid__4[[#Headers],[offeringid]:[json]],supplementary_offering_legacyid__4[[#This Row],[offeringid]:[ignore]])</f>
        <v>{"offeringid":"981000418","name":"CUG-3D_981000418","mode":"N"}</v>
      </c>
      <c r="I500" t="str">
        <f>ToJsonArray(supplementary_offering_legacyid__4[[#This Row],[semilla04]],supplementary_offering_legacyid__4[[#This Row],[json]])</f>
        <v>{"810004-18":{"offeringid":"981000418","name":"CUG-3D_981000418","mode":"N"}}</v>
      </c>
    </row>
    <row r="501" spans="1:9" x14ac:dyDescent="0.25">
      <c r="A501" s="60" t="s">
        <v>3632</v>
      </c>
      <c r="B501" s="60" t="str">
        <f>findKey(supplementary_offering_legacyid__4[[#This Row],[PRODUCCION]])</f>
        <v>810004-19</v>
      </c>
      <c r="C501" s="61" t="s">
        <v>3633</v>
      </c>
      <c r="D501" t="s">
        <v>3634</v>
      </c>
      <c r="E501" t="s">
        <v>2329</v>
      </c>
      <c r="F501" s="61"/>
      <c r="H501" t="str">
        <f>ToJsonArray(supplementary_offering_legacyid__4[[#Headers],[offeringid]:[json]],supplementary_offering_legacyid__4[[#This Row],[offeringid]:[ignore]])</f>
        <v>{"offeringid":"981000419","name":"CUG-4D_981000419","mode":"N"}</v>
      </c>
      <c r="I501" t="str">
        <f>ToJsonArray(supplementary_offering_legacyid__4[[#This Row],[semilla04]],supplementary_offering_legacyid__4[[#This Row],[json]])</f>
        <v>{"810004-19":{"offeringid":"981000419","name":"CUG-4D_981000419","mode":"N"}}</v>
      </c>
    </row>
    <row r="502" spans="1:9" x14ac:dyDescent="0.25">
      <c r="A502" s="60" t="s">
        <v>3635</v>
      </c>
      <c r="B502" s="60" t="str">
        <f>findKey(supplementary_offering_legacyid__4[[#This Row],[PRODUCCION]])</f>
        <v>810004-20</v>
      </c>
      <c r="C502" s="61" t="s">
        <v>3636</v>
      </c>
      <c r="D502" t="s">
        <v>3637</v>
      </c>
      <c r="E502" t="s">
        <v>2329</v>
      </c>
      <c r="F502" s="61"/>
      <c r="H502" t="str">
        <f>ToJsonArray(supplementary_offering_legacyid__4[[#Headers],[offeringid]:[json]],supplementary_offering_legacyid__4[[#This Row],[offeringid]:[ignore]])</f>
        <v>{"offeringid":"981000420","name":"CUG-4D_981000420","mode":"N"}</v>
      </c>
      <c r="I502" t="str">
        <f>ToJsonArray(supplementary_offering_legacyid__4[[#This Row],[semilla04]],supplementary_offering_legacyid__4[[#This Row],[json]])</f>
        <v>{"810004-20":{"offeringid":"981000420","name":"CUG-4D_981000420","mode":"N"}}</v>
      </c>
    </row>
    <row r="503" spans="1:9" x14ac:dyDescent="0.25">
      <c r="A503" s="60" t="s">
        <v>3638</v>
      </c>
      <c r="B503" s="60" t="str">
        <f>findKey(supplementary_offering_legacyid__4[[#This Row],[PRODUCCION]])</f>
        <v>810004-21</v>
      </c>
      <c r="C503" s="61" t="s">
        <v>3639</v>
      </c>
      <c r="D503" t="s">
        <v>3640</v>
      </c>
      <c r="E503" t="s">
        <v>2329</v>
      </c>
      <c r="F503" s="61"/>
      <c r="H503" t="str">
        <f>ToJsonArray(supplementary_offering_legacyid__4[[#Headers],[offeringid]:[json]],supplementary_offering_legacyid__4[[#This Row],[offeringid]:[ignore]])</f>
        <v>{"offeringid":"981000421","name":"CUG-5D_981000421","mode":"N"}</v>
      </c>
      <c r="I503" t="str">
        <f>ToJsonArray(supplementary_offering_legacyid__4[[#This Row],[semilla04]],supplementary_offering_legacyid__4[[#This Row],[json]])</f>
        <v>{"810004-21":{"offeringid":"981000421","name":"CUG-5D_981000421","mode":"N"}}</v>
      </c>
    </row>
    <row r="504" spans="1:9" x14ac:dyDescent="0.25">
      <c r="A504" s="60" t="s">
        <v>3641</v>
      </c>
      <c r="B504" s="60" t="str">
        <f>findKey(supplementary_offering_legacyid__4[[#This Row],[PRODUCCION]])</f>
        <v>810004-23</v>
      </c>
      <c r="C504" s="61" t="s">
        <v>3642</v>
      </c>
      <c r="D504" t="s">
        <v>3643</v>
      </c>
      <c r="E504" t="s">
        <v>2329</v>
      </c>
      <c r="F504" s="61"/>
      <c r="H504" t="str">
        <f>ToJsonArray(supplementary_offering_legacyid__4[[#Headers],[offeringid]:[json]],supplementary_offering_legacyid__4[[#This Row],[offeringid]:[ignore]])</f>
        <v>{"offeringid":"981000423","name":"CUG-4D_981000423","mode":"N"}</v>
      </c>
      <c r="I504" t="str">
        <f>ToJsonArray(supplementary_offering_legacyid__4[[#This Row],[semilla04]],supplementary_offering_legacyid__4[[#This Row],[json]])</f>
        <v>{"810004-23":{"offeringid":"981000423","name":"CUG-4D_981000423","mode":"N"}}</v>
      </c>
    </row>
    <row r="505" spans="1:9" x14ac:dyDescent="0.25">
      <c r="A505" s="60" t="s">
        <v>3644</v>
      </c>
      <c r="B505" s="60" t="str">
        <f>findKey(supplementary_offering_legacyid__4[[#This Row],[PRODUCCION]])</f>
        <v>810004-26</v>
      </c>
      <c r="C505" s="61" t="s">
        <v>3645</v>
      </c>
      <c r="D505" t="s">
        <v>3646</v>
      </c>
      <c r="E505" t="s">
        <v>2329</v>
      </c>
      <c r="F505" s="61"/>
      <c r="H505" t="str">
        <f>ToJsonArray(supplementary_offering_legacyid__4[[#Headers],[offeringid]:[json]],supplementary_offering_legacyid__4[[#This Row],[offeringid]:[ignore]])</f>
        <v>{"offeringid":"981000426","name":"SDP CUGV-6D_981000426","mode":"N"}</v>
      </c>
      <c r="I505" t="str">
        <f>ToJsonArray(supplementary_offering_legacyid__4[[#This Row],[semilla04]],supplementary_offering_legacyid__4[[#This Row],[json]])</f>
        <v>{"810004-26":{"offeringid":"981000426","name":"SDP CUGV-6D_981000426","mode":"N"}}</v>
      </c>
    </row>
    <row r="506" spans="1:9" x14ac:dyDescent="0.25">
      <c r="A506" s="60" t="s">
        <v>3647</v>
      </c>
      <c r="B506" s="60" t="str">
        <f>findKey(supplementary_offering_legacyid__4[[#This Row],[PRODUCCION]])</f>
        <v>810004-28</v>
      </c>
      <c r="C506" s="61" t="s">
        <v>3648</v>
      </c>
      <c r="D506" t="s">
        <v>3649</v>
      </c>
      <c r="E506" t="s">
        <v>2329</v>
      </c>
      <c r="F506" s="61"/>
      <c r="H506" t="str">
        <f>ToJsonArray(supplementary_offering_legacyid__4[[#Headers],[offeringid]:[json]],supplementary_offering_legacyid__4[[#This Row],[offeringid]:[ignore]])</f>
        <v>{"offeringid":"981000428","name":"CUG-4D_981000428","mode":"N"}</v>
      </c>
      <c r="I506" t="str">
        <f>ToJsonArray(supplementary_offering_legacyid__4[[#This Row],[semilla04]],supplementary_offering_legacyid__4[[#This Row],[json]])</f>
        <v>{"810004-28":{"offeringid":"981000428","name":"CUG-4D_981000428","mode":"N"}}</v>
      </c>
    </row>
    <row r="507" spans="1:9" x14ac:dyDescent="0.25">
      <c r="A507" s="60" t="s">
        <v>3650</v>
      </c>
      <c r="B507" s="60" t="str">
        <f>findKey(supplementary_offering_legacyid__4[[#This Row],[PRODUCCION]])</f>
        <v>810004-30</v>
      </c>
      <c r="C507" s="61" t="s">
        <v>3651</v>
      </c>
      <c r="D507" t="s">
        <v>3652</v>
      </c>
      <c r="E507" t="s">
        <v>2329</v>
      </c>
      <c r="F507" s="61"/>
      <c r="H507" t="str">
        <f>ToJsonArray(supplementary_offering_legacyid__4[[#Headers],[offeringid]:[json]],supplementary_offering_legacyid__4[[#This Row],[offeringid]:[ignore]])</f>
        <v>{"offeringid":"981000430","name":"CUG-5D_981000430","mode":"N"}</v>
      </c>
      <c r="I507" t="str">
        <f>ToJsonArray(supplementary_offering_legacyid__4[[#This Row],[semilla04]],supplementary_offering_legacyid__4[[#This Row],[json]])</f>
        <v>{"810004-30":{"offeringid":"981000430","name":"CUG-5D_981000430","mode":"N"}}</v>
      </c>
    </row>
    <row r="508" spans="1:9" x14ac:dyDescent="0.25">
      <c r="A508" s="60" t="s">
        <v>3653</v>
      </c>
      <c r="B508" s="60" t="str">
        <f>findKey(supplementary_offering_legacyid__4[[#This Row],[PRODUCCION]])</f>
        <v>810004-33</v>
      </c>
      <c r="C508" s="61" t="s">
        <v>3654</v>
      </c>
      <c r="D508" t="s">
        <v>3655</v>
      </c>
      <c r="E508" t="s">
        <v>2329</v>
      </c>
      <c r="F508" s="61"/>
      <c r="H508" t="str">
        <f>ToJsonArray(supplementary_offering_legacyid__4[[#Headers],[offeringid]:[json]],supplementary_offering_legacyid__4[[#This Row],[offeringid]:[ignore]])</f>
        <v>{"offeringid":"981000433","name":"CUG-4D_981000433","mode":"N"}</v>
      </c>
      <c r="I508" t="str">
        <f>ToJsonArray(supplementary_offering_legacyid__4[[#This Row],[semilla04]],supplementary_offering_legacyid__4[[#This Row],[json]])</f>
        <v>{"810004-33":{"offeringid":"981000433","name":"CUG-4D_981000433","mode":"N"}}</v>
      </c>
    </row>
    <row r="509" spans="1:9" x14ac:dyDescent="0.25">
      <c r="A509" s="60" t="s">
        <v>3656</v>
      </c>
      <c r="B509" s="60" t="str">
        <f>findKey(supplementary_offering_legacyid__4[[#This Row],[PRODUCCION]])</f>
        <v>810004-34</v>
      </c>
      <c r="C509" s="61" t="s">
        <v>3657</v>
      </c>
      <c r="D509" t="s">
        <v>3658</v>
      </c>
      <c r="E509" t="s">
        <v>2329</v>
      </c>
      <c r="F509" s="61"/>
      <c r="H509" t="str">
        <f>ToJsonArray(supplementary_offering_legacyid__4[[#Headers],[offeringid]:[json]],supplementary_offering_legacyid__4[[#This Row],[offeringid]:[ignore]])</f>
        <v>{"offeringid":"981000434","name":"CUG-4D_981000434","mode":"N"}</v>
      </c>
      <c r="I509" t="str">
        <f>ToJsonArray(supplementary_offering_legacyid__4[[#This Row],[semilla04]],supplementary_offering_legacyid__4[[#This Row],[json]])</f>
        <v>{"810004-34":{"offeringid":"981000434","name":"CUG-4D_981000434","mode":"N"}}</v>
      </c>
    </row>
    <row r="510" spans="1:9" x14ac:dyDescent="0.25">
      <c r="A510" s="60" t="s">
        <v>3659</v>
      </c>
      <c r="B510" s="60" t="str">
        <f>findKey(supplementary_offering_legacyid__4[[#This Row],[PRODUCCION]])</f>
        <v>810004-35</v>
      </c>
      <c r="C510" s="61" t="s">
        <v>3660</v>
      </c>
      <c r="D510" t="s">
        <v>3661</v>
      </c>
      <c r="E510" t="s">
        <v>2329</v>
      </c>
      <c r="F510" s="61"/>
      <c r="H510" t="str">
        <f>ToJsonArray(supplementary_offering_legacyid__4[[#Headers],[offeringid]:[json]],supplementary_offering_legacyid__4[[#This Row],[offeringid]:[ignore]])</f>
        <v>{"offeringid":"981000435","name":"CUG-5D_981000435","mode":"N"}</v>
      </c>
      <c r="I510" t="str">
        <f>ToJsonArray(supplementary_offering_legacyid__4[[#This Row],[semilla04]],supplementary_offering_legacyid__4[[#This Row],[json]])</f>
        <v>{"810004-35":{"offeringid":"981000435","name":"CUG-5D_981000435","mode":"N"}}</v>
      </c>
    </row>
    <row r="511" spans="1:9" x14ac:dyDescent="0.25">
      <c r="A511" s="60" t="s">
        <v>3662</v>
      </c>
      <c r="B511" s="60" t="str">
        <f>findKey(supplementary_offering_legacyid__4[[#This Row],[PRODUCCION]])</f>
        <v>810004-36</v>
      </c>
      <c r="C511" s="61" t="s">
        <v>3663</v>
      </c>
      <c r="D511" t="s">
        <v>3664</v>
      </c>
      <c r="E511" t="s">
        <v>2329</v>
      </c>
      <c r="F511" s="61"/>
      <c r="H511" t="str">
        <f>ToJsonArray(supplementary_offering_legacyid__4[[#Headers],[offeringid]:[json]],supplementary_offering_legacyid__4[[#This Row],[offeringid]:[ignore]])</f>
        <v>{"offeringid":"981000436","name":"CUG-5D_981000436","mode":"N"}</v>
      </c>
      <c r="I511" t="str">
        <f>ToJsonArray(supplementary_offering_legacyid__4[[#This Row],[semilla04]],supplementary_offering_legacyid__4[[#This Row],[json]])</f>
        <v>{"810004-36":{"offeringid":"981000436","name":"CUG-5D_981000436","mode":"N"}}</v>
      </c>
    </row>
    <row r="512" spans="1:9" x14ac:dyDescent="0.25">
      <c r="A512" s="60" t="s">
        <v>3665</v>
      </c>
      <c r="B512" s="60" t="str">
        <f>findKey(supplementary_offering_legacyid__4[[#This Row],[PRODUCCION]])</f>
        <v>810004-59</v>
      </c>
      <c r="C512" s="61" t="s">
        <v>3666</v>
      </c>
      <c r="D512" t="s">
        <v>3667</v>
      </c>
      <c r="E512" t="s">
        <v>2329</v>
      </c>
      <c r="F512" s="61"/>
      <c r="H512" t="str">
        <f>ToJsonArray(supplementary_offering_legacyid__4[[#Headers],[offeringid]:[json]],supplementary_offering_legacyid__4[[#This Row],[offeringid]:[ignore]])</f>
        <v>{"offeringid":"981000459","name":"CUG-4Fav_981000459","mode":"N"}</v>
      </c>
      <c r="I512" t="str">
        <f>ToJsonArray(supplementary_offering_legacyid__4[[#This Row],[semilla04]],supplementary_offering_legacyid__4[[#This Row],[json]])</f>
        <v>{"810004-59":{"offeringid":"981000459","name":"CUG-4Fav_981000459","mode":"N"}}</v>
      </c>
    </row>
    <row r="513" spans="1:9" x14ac:dyDescent="0.25">
      <c r="A513" s="60" t="s">
        <v>3668</v>
      </c>
      <c r="B513" s="60" t="str">
        <f>findKey(supplementary_offering_legacyid__4[[#This Row],[PRODUCCION]])</f>
        <v>810004-60</v>
      </c>
      <c r="C513" s="61" t="s">
        <v>3669</v>
      </c>
      <c r="D513" t="s">
        <v>3670</v>
      </c>
      <c r="E513" t="s">
        <v>2329</v>
      </c>
      <c r="F513" s="61"/>
      <c r="H513" t="str">
        <f>ToJsonArray(supplementary_offering_legacyid__4[[#Headers],[offeringid]:[json]],supplementary_offering_legacyid__4[[#This Row],[offeringid]:[ignore]])</f>
        <v>{"offeringid":"981000460","name":"CUG-4Fav_981000460","mode":"N"}</v>
      </c>
      <c r="I513" t="str">
        <f>ToJsonArray(supplementary_offering_legacyid__4[[#This Row],[semilla04]],supplementary_offering_legacyid__4[[#This Row],[json]])</f>
        <v>{"810004-60":{"offeringid":"981000460","name":"CUG-4Fav_981000460","mode":"N"}}</v>
      </c>
    </row>
    <row r="514" spans="1:9" x14ac:dyDescent="0.25">
      <c r="A514" s="60" t="s">
        <v>3671</v>
      </c>
      <c r="B514" s="60" t="str">
        <f>findKey(supplementary_offering_legacyid__4[[#This Row],[PRODUCCION]])</f>
        <v>810004-61</v>
      </c>
      <c r="C514" s="61" t="s">
        <v>3672</v>
      </c>
      <c r="D514" t="s">
        <v>3673</v>
      </c>
      <c r="E514" t="s">
        <v>2329</v>
      </c>
      <c r="F514" s="61"/>
      <c r="H514" t="str">
        <f>ToJsonArray(supplementary_offering_legacyid__4[[#Headers],[offeringid]:[json]],supplementary_offering_legacyid__4[[#This Row],[offeringid]:[ignore]])</f>
        <v>{"offeringid":"981000461","name":"CUG-5Fav_981000461","mode":"N"}</v>
      </c>
      <c r="I514" t="str">
        <f>ToJsonArray(supplementary_offering_legacyid__4[[#This Row],[semilla04]],supplementary_offering_legacyid__4[[#This Row],[json]])</f>
        <v>{"810004-61":{"offeringid":"981000461","name":"CUG-5Fav_981000461","mode":"N"}}</v>
      </c>
    </row>
    <row r="515" spans="1:9" x14ac:dyDescent="0.25">
      <c r="A515" s="60" t="s">
        <v>3674</v>
      </c>
      <c r="B515" s="60" t="str">
        <f>findKey(supplementary_offering_legacyid__4[[#This Row],[PRODUCCION]])</f>
        <v>810004-62</v>
      </c>
      <c r="C515" s="61" t="s">
        <v>3675</v>
      </c>
      <c r="D515" t="s">
        <v>3676</v>
      </c>
      <c r="E515" t="s">
        <v>2329</v>
      </c>
      <c r="F515" s="61"/>
      <c r="H515" t="str">
        <f>ToJsonArray(supplementary_offering_legacyid__4[[#Headers],[offeringid]:[json]],supplementary_offering_legacyid__4[[#This Row],[offeringid]:[ignore]])</f>
        <v>{"offeringid":"981000462","name":"CUG-5Fav_981000462","mode":"N"}</v>
      </c>
      <c r="I515" t="str">
        <f>ToJsonArray(supplementary_offering_legacyid__4[[#This Row],[semilla04]],supplementary_offering_legacyid__4[[#This Row],[json]])</f>
        <v>{"810004-62":{"offeringid":"981000462","name":"CUG-5Fav_981000462","mode":"N"}}</v>
      </c>
    </row>
    <row r="516" spans="1:9" x14ac:dyDescent="0.25">
      <c r="A516" s="60" t="s">
        <v>3677</v>
      </c>
      <c r="B516" s="60" t="str">
        <f>findKey(supplementary_offering_legacyid__4[[#This Row],[PRODUCCION]])</f>
        <v>810004-63</v>
      </c>
      <c r="C516" s="61" t="s">
        <v>3678</v>
      </c>
      <c r="D516" t="s">
        <v>3679</v>
      </c>
      <c r="E516" t="s">
        <v>2329</v>
      </c>
      <c r="F516" s="61"/>
      <c r="H516" t="str">
        <f>ToJsonArray(supplementary_offering_legacyid__4[[#Headers],[offeringid]:[json]],supplementary_offering_legacyid__4[[#This Row],[offeringid]:[ignore]])</f>
        <v>{"offeringid":"981000463","name":"CUG-2Fav_981000463","mode":"N"}</v>
      </c>
      <c r="I516" t="str">
        <f>ToJsonArray(supplementary_offering_legacyid__4[[#This Row],[semilla04]],supplementary_offering_legacyid__4[[#This Row],[json]])</f>
        <v>{"810004-63":{"offeringid":"981000463","name":"CUG-2Fav_981000463","mode":"N"}}</v>
      </c>
    </row>
    <row r="517" spans="1:9" x14ac:dyDescent="0.25">
      <c r="A517" s="60" t="s">
        <v>3680</v>
      </c>
      <c r="B517" s="60" t="str">
        <f>findKey(supplementary_offering_legacyid__4[[#This Row],[PRODUCCION]])</f>
        <v>810004-64</v>
      </c>
      <c r="C517" s="61" t="s">
        <v>3681</v>
      </c>
      <c r="D517" t="s">
        <v>3682</v>
      </c>
      <c r="E517" t="s">
        <v>2329</v>
      </c>
      <c r="F517" s="61"/>
      <c r="H517" t="str">
        <f>ToJsonArray(supplementary_offering_legacyid__4[[#Headers],[offeringid]:[json]],supplementary_offering_legacyid__4[[#This Row],[offeringid]:[ignore]])</f>
        <v>{"offeringid":"981000464","name":"CUG-4Fav_981000464","mode":"N"}</v>
      </c>
      <c r="I517" t="str">
        <f>ToJsonArray(supplementary_offering_legacyid__4[[#This Row],[semilla04]],supplementary_offering_legacyid__4[[#This Row],[json]])</f>
        <v>{"810004-64":{"offeringid":"981000464","name":"CUG-4Fav_981000464","mode":"N"}}</v>
      </c>
    </row>
    <row r="518" spans="1:9" x14ac:dyDescent="0.25">
      <c r="A518" s="60" t="s">
        <v>3683</v>
      </c>
      <c r="B518" s="60" t="str">
        <f>findKey(supplementary_offering_legacyid__4[[#This Row],[PRODUCCION]])</f>
        <v>810004-65</v>
      </c>
      <c r="C518" s="61" t="s">
        <v>3684</v>
      </c>
      <c r="D518" t="s">
        <v>3685</v>
      </c>
      <c r="E518" t="s">
        <v>2329</v>
      </c>
      <c r="F518" s="61"/>
      <c r="H518" t="str">
        <f>ToJsonArray(supplementary_offering_legacyid__4[[#Headers],[offeringid]:[json]],supplementary_offering_legacyid__4[[#This Row],[offeringid]:[ignore]])</f>
        <v>{"offeringid":"981000465","name":"CUG-3Fav_981000465","mode":"N"}</v>
      </c>
      <c r="I518" t="str">
        <f>ToJsonArray(supplementary_offering_legacyid__4[[#This Row],[semilla04]],supplementary_offering_legacyid__4[[#This Row],[json]])</f>
        <v>{"810004-65":{"offeringid":"981000465","name":"CUG-3Fav_981000465","mode":"N"}}</v>
      </c>
    </row>
    <row r="519" spans="1:9" x14ac:dyDescent="0.25">
      <c r="A519" s="60" t="s">
        <v>3686</v>
      </c>
      <c r="B519" s="60" t="str">
        <f>findKey(supplementary_offering_legacyid__4[[#This Row],[PRODUCCION]])</f>
        <v>810004-66</v>
      </c>
      <c r="C519" s="61" t="s">
        <v>3687</v>
      </c>
      <c r="D519" t="s">
        <v>3688</v>
      </c>
      <c r="E519" t="s">
        <v>2329</v>
      </c>
      <c r="F519" s="61"/>
      <c r="H519" t="str">
        <f>ToJsonArray(supplementary_offering_legacyid__4[[#Headers],[offeringid]:[json]],supplementary_offering_legacyid__4[[#This Row],[offeringid]:[ignore]])</f>
        <v>{"offeringid":"981000466","name":"CUG-5Fav_981000466","mode":"N"}</v>
      </c>
      <c r="I519" t="str">
        <f>ToJsonArray(supplementary_offering_legacyid__4[[#This Row],[semilla04]],supplementary_offering_legacyid__4[[#This Row],[json]])</f>
        <v>{"810004-66":{"offeringid":"981000466","name":"CUG-5Fav_981000466","mode":"N"}}</v>
      </c>
    </row>
    <row r="520" spans="1:9" x14ac:dyDescent="0.25">
      <c r="A520" s="60" t="s">
        <v>3689</v>
      </c>
      <c r="B520" s="60" t="str">
        <f>findKey(supplementary_offering_legacyid__4[[#This Row],[PRODUCCION]])</f>
        <v>810004-67</v>
      </c>
      <c r="C520" s="61" t="s">
        <v>3690</v>
      </c>
      <c r="D520" t="s">
        <v>3691</v>
      </c>
      <c r="E520" t="s">
        <v>2329</v>
      </c>
      <c r="F520" s="61"/>
      <c r="H520" t="str">
        <f>ToJsonArray(supplementary_offering_legacyid__4[[#Headers],[offeringid]:[json]],supplementary_offering_legacyid__4[[#This Row],[offeringid]:[ignore]])</f>
        <v>{"offeringid":"981000467","name":"CUG-4D_981000467","mode":"N"}</v>
      </c>
      <c r="I520" t="str">
        <f>ToJsonArray(supplementary_offering_legacyid__4[[#This Row],[semilla04]],supplementary_offering_legacyid__4[[#This Row],[json]])</f>
        <v>{"810004-67":{"offeringid":"981000467","name":"CUG-4D_981000467","mode":"N"}}</v>
      </c>
    </row>
    <row r="521" spans="1:9" x14ac:dyDescent="0.25">
      <c r="A521" s="60" t="s">
        <v>3692</v>
      </c>
      <c r="B521" s="60" t="str">
        <f>findKey(supplementary_offering_legacyid__4[[#This Row],[PRODUCCION]])</f>
        <v>810004-68</v>
      </c>
      <c r="C521" s="61" t="s">
        <v>3693</v>
      </c>
      <c r="D521" t="s">
        <v>3694</v>
      </c>
      <c r="E521" t="s">
        <v>2329</v>
      </c>
      <c r="F521" s="61"/>
      <c r="H521" t="str">
        <f>ToJsonArray(supplementary_offering_legacyid__4[[#Headers],[offeringid]:[json]],supplementary_offering_legacyid__4[[#This Row],[offeringid]:[ignore]])</f>
        <v>{"offeringid":"981000468","name":"CUG-5D_981000468","mode":"N"}</v>
      </c>
      <c r="I521" t="str">
        <f>ToJsonArray(supplementary_offering_legacyid__4[[#This Row],[semilla04]],supplementary_offering_legacyid__4[[#This Row],[json]])</f>
        <v>{"810004-68":{"offeringid":"981000468","name":"CUG-5D_981000468","mode":"N"}}</v>
      </c>
    </row>
    <row r="522" spans="1:9" x14ac:dyDescent="0.25">
      <c r="A522" s="60" t="s">
        <v>3695</v>
      </c>
      <c r="B522" s="60" t="str">
        <f>findKey(supplementary_offering_legacyid__4[[#This Row],[PRODUCCION]])</f>
        <v>810004-69</v>
      </c>
      <c r="C522" s="61" t="s">
        <v>3696</v>
      </c>
      <c r="D522" t="s">
        <v>3697</v>
      </c>
      <c r="E522" t="s">
        <v>2329</v>
      </c>
      <c r="F522" s="61"/>
      <c r="H522" t="str">
        <f>ToJsonArray(supplementary_offering_legacyid__4[[#Headers],[offeringid]:[json]],supplementary_offering_legacyid__4[[#This Row],[offeringid]:[ignore]])</f>
        <v>{"offeringid":"981000469","name":"CUG-6D_981000469","mode":"N"}</v>
      </c>
      <c r="I522" t="str">
        <f>ToJsonArray(supplementary_offering_legacyid__4[[#This Row],[semilla04]],supplementary_offering_legacyid__4[[#This Row],[json]])</f>
        <v>{"810004-69":{"offeringid":"981000469","name":"CUG-6D_981000469","mode":"N"}}</v>
      </c>
    </row>
    <row r="523" spans="1:9" x14ac:dyDescent="0.25">
      <c r="A523" s="60" t="s">
        <v>3698</v>
      </c>
      <c r="B523" s="60" t="str">
        <f>findKey(supplementary_offering_legacyid__4[[#This Row],[PRODUCCION]])</f>
        <v>810004-70</v>
      </c>
      <c r="C523" s="61" t="s">
        <v>3699</v>
      </c>
      <c r="D523" t="s">
        <v>3700</v>
      </c>
      <c r="E523" t="s">
        <v>2329</v>
      </c>
      <c r="F523" s="61"/>
      <c r="H523" t="str">
        <f>ToJsonArray(supplementary_offering_legacyid__4[[#Headers],[offeringid]:[json]],supplementary_offering_legacyid__4[[#This Row],[offeringid]:[ignore]])</f>
        <v>{"offeringid":"981000470","name":"CUG-4D_981000470","mode":"N"}</v>
      </c>
      <c r="I523" t="str">
        <f>ToJsonArray(supplementary_offering_legacyid__4[[#This Row],[semilla04]],supplementary_offering_legacyid__4[[#This Row],[json]])</f>
        <v>{"810004-70":{"offeringid":"981000470","name":"CUG-4D_981000470","mode":"N"}}</v>
      </c>
    </row>
    <row r="524" spans="1:9" x14ac:dyDescent="0.25">
      <c r="A524" s="60" t="s">
        <v>3701</v>
      </c>
      <c r="B524" s="60" t="str">
        <f>findKey(supplementary_offering_legacyid__4[[#This Row],[PRODUCCION]])</f>
        <v>810004-71</v>
      </c>
      <c r="C524" s="61" t="s">
        <v>3702</v>
      </c>
      <c r="D524" t="s">
        <v>3703</v>
      </c>
      <c r="E524" t="s">
        <v>2329</v>
      </c>
      <c r="F524" s="61"/>
      <c r="H524" t="str">
        <f>ToJsonArray(supplementary_offering_legacyid__4[[#Headers],[offeringid]:[json]],supplementary_offering_legacyid__4[[#This Row],[offeringid]:[ignore]])</f>
        <v>{"offeringid":"981000471","name":"CUG-4D_981000471","mode":"N"}</v>
      </c>
      <c r="I524" t="str">
        <f>ToJsonArray(supplementary_offering_legacyid__4[[#This Row],[semilla04]],supplementary_offering_legacyid__4[[#This Row],[json]])</f>
        <v>{"810004-71":{"offeringid":"981000471","name":"CUG-4D_981000471","mode":"N"}}</v>
      </c>
    </row>
    <row r="525" spans="1:9" x14ac:dyDescent="0.25">
      <c r="A525" s="60" t="s">
        <v>3704</v>
      </c>
      <c r="B525" s="60" t="str">
        <f>findKey(supplementary_offering_legacyid__4[[#This Row],[PRODUCCION]])</f>
        <v>810004-72</v>
      </c>
      <c r="C525" s="61" t="s">
        <v>3705</v>
      </c>
      <c r="D525" t="s">
        <v>3706</v>
      </c>
      <c r="E525" t="s">
        <v>2329</v>
      </c>
      <c r="F525" s="61"/>
      <c r="H525" t="str">
        <f>ToJsonArray(supplementary_offering_legacyid__4[[#Headers],[offeringid]:[json]],supplementary_offering_legacyid__4[[#This Row],[offeringid]:[ignore]])</f>
        <v>{"offeringid":"981000472","name":"CUG-5D_981000472","mode":"N"}</v>
      </c>
      <c r="I525" t="str">
        <f>ToJsonArray(supplementary_offering_legacyid__4[[#This Row],[semilla04]],supplementary_offering_legacyid__4[[#This Row],[json]])</f>
        <v>{"810004-72":{"offeringid":"981000472","name":"CUG-5D_981000472","mode":"N"}}</v>
      </c>
    </row>
    <row r="526" spans="1:9" x14ac:dyDescent="0.25">
      <c r="A526" s="60" t="s">
        <v>3707</v>
      </c>
      <c r="B526" s="60" t="str">
        <f>findKey(supplementary_offering_legacyid__4[[#This Row],[PRODUCCION]])</f>
        <v>810004-73</v>
      </c>
      <c r="C526" s="61" t="s">
        <v>3708</v>
      </c>
      <c r="D526" t="s">
        <v>3709</v>
      </c>
      <c r="E526" t="s">
        <v>2329</v>
      </c>
      <c r="F526" s="61"/>
      <c r="H526" t="str">
        <f>ToJsonArray(supplementary_offering_legacyid__4[[#Headers],[offeringid]:[json]],supplementary_offering_legacyid__4[[#This Row],[offeringid]:[ignore]])</f>
        <v>{"offeringid":"981000473","name":"CUG-4Fav_981000473","mode":"N"}</v>
      </c>
      <c r="I526" t="str">
        <f>ToJsonArray(supplementary_offering_legacyid__4[[#This Row],[semilla04]],supplementary_offering_legacyid__4[[#This Row],[json]])</f>
        <v>{"810004-73":{"offeringid":"981000473","name":"CUG-4Fav_981000473","mode":"N"}}</v>
      </c>
    </row>
    <row r="527" spans="1:9" x14ac:dyDescent="0.25">
      <c r="A527" s="60" t="s">
        <v>3710</v>
      </c>
      <c r="B527" s="60" t="str">
        <f>findKey(supplementary_offering_legacyid__4[[#This Row],[PRODUCCION]])</f>
        <v>810004-74</v>
      </c>
      <c r="C527" s="61" t="s">
        <v>3711</v>
      </c>
      <c r="D527" t="s">
        <v>3712</v>
      </c>
      <c r="E527" t="s">
        <v>2329</v>
      </c>
      <c r="F527" s="61"/>
      <c r="H527" t="str">
        <f>ToJsonArray(supplementary_offering_legacyid__4[[#Headers],[offeringid]:[json]],supplementary_offering_legacyid__4[[#This Row],[offeringid]:[ignore]])</f>
        <v>{"offeringid":"981000474","name":"CUG-6Fav_981000474","mode":"N"}</v>
      </c>
      <c r="I527" t="str">
        <f>ToJsonArray(supplementary_offering_legacyid__4[[#This Row],[semilla04]],supplementary_offering_legacyid__4[[#This Row],[json]])</f>
        <v>{"810004-74":{"offeringid":"981000474","name":"CUG-6Fav_981000474","mode":"N"}}</v>
      </c>
    </row>
    <row r="528" spans="1:9" x14ac:dyDescent="0.25">
      <c r="A528" s="60" t="s">
        <v>3713</v>
      </c>
      <c r="B528" s="60" t="str">
        <f>findKey(supplementary_offering_legacyid__4[[#This Row],[PRODUCCION]])</f>
        <v>VFAV-001</v>
      </c>
      <c r="C528" s="61" t="s">
        <v>3714</v>
      </c>
      <c r="D528" t="s">
        <v>3715</v>
      </c>
      <c r="E528" t="s">
        <v>2329</v>
      </c>
      <c r="F528" s="61"/>
      <c r="H528" t="str">
        <f>ToJsonArray(supplementary_offering_legacyid__4[[#Headers],[offeringid]:[json]],supplementary_offering_legacyid__4[[#This Row],[offeringid]:[ignore]])</f>
        <v>{"offeringid":"990000106","name":"Voz - Favoritos - 1_990000106","mode":"N"}</v>
      </c>
      <c r="I528" t="str">
        <f>ToJsonArray(supplementary_offering_legacyid__4[[#This Row],[semilla04]],supplementary_offering_legacyid__4[[#This Row],[json]])</f>
        <v>{"VFAV-001":{"offeringid":"990000106","name":"Voz - Favoritos - 1_990000106","mode":"N"}}</v>
      </c>
    </row>
    <row r="529" spans="1:9" x14ac:dyDescent="0.25">
      <c r="A529" s="60" t="s">
        <v>3716</v>
      </c>
      <c r="B529" s="60" t="str">
        <f>findKey(supplementary_offering_legacyid__4[[#This Row],[PRODUCCION]])</f>
        <v>VFAV-002</v>
      </c>
      <c r="C529" s="61" t="s">
        <v>3717</v>
      </c>
      <c r="D529" t="s">
        <v>3718</v>
      </c>
      <c r="E529" t="s">
        <v>2329</v>
      </c>
      <c r="F529" s="61"/>
      <c r="H529" t="str">
        <f>ToJsonArray(supplementary_offering_legacyid__4[[#Headers],[offeringid]:[json]],supplementary_offering_legacyid__4[[#This Row],[offeringid]:[ignore]])</f>
        <v>{"offeringid":"990000107","name":"Voz - Favoritos - 2_990000107","mode":"N"}</v>
      </c>
      <c r="I529" t="str">
        <f>ToJsonArray(supplementary_offering_legacyid__4[[#This Row],[semilla04]],supplementary_offering_legacyid__4[[#This Row],[json]])</f>
        <v>{"VFAV-002":{"offeringid":"990000107","name":"Voz - Favoritos - 2_990000107","mode":"N"}}</v>
      </c>
    </row>
    <row r="530" spans="1:9" x14ac:dyDescent="0.25">
      <c r="A530" s="60" t="s">
        <v>3719</v>
      </c>
      <c r="B530" s="60" t="str">
        <f>findKey(supplementary_offering_legacyid__4[[#This Row],[PRODUCCION]])</f>
        <v>VFAV-003</v>
      </c>
      <c r="C530" s="61" t="s">
        <v>3720</v>
      </c>
      <c r="D530" t="s">
        <v>3721</v>
      </c>
      <c r="E530" t="s">
        <v>2329</v>
      </c>
      <c r="F530" s="61"/>
      <c r="H530" t="str">
        <f>ToJsonArray(supplementary_offering_legacyid__4[[#Headers],[offeringid]:[json]],supplementary_offering_legacyid__4[[#This Row],[offeringid]:[ignore]])</f>
        <v>{"offeringid":"990000108","name":"Voz - Favoritos - 3_990000108","mode":"N"}</v>
      </c>
      <c r="I530" t="str">
        <f>ToJsonArray(supplementary_offering_legacyid__4[[#This Row],[semilla04]],supplementary_offering_legacyid__4[[#This Row],[json]])</f>
        <v>{"VFAV-003":{"offeringid":"990000108","name":"Voz - Favoritos - 3_990000108","mode":"N"}}</v>
      </c>
    </row>
    <row r="531" spans="1:9" x14ac:dyDescent="0.25">
      <c r="A531" s="60" t="s">
        <v>3722</v>
      </c>
      <c r="B531" s="60" t="str">
        <f>findKey(supplementary_offering_legacyid__4[[#This Row],[PRODUCCION]])</f>
        <v>VFAV-007</v>
      </c>
      <c r="C531" s="61" t="s">
        <v>3723</v>
      </c>
      <c r="D531" t="s">
        <v>3724</v>
      </c>
      <c r="E531" t="s">
        <v>2329</v>
      </c>
      <c r="F531" s="61"/>
      <c r="H531" t="str">
        <f>ToJsonArray(supplementary_offering_legacyid__4[[#Headers],[offeringid]:[json]],supplementary_offering_legacyid__4[[#This Row],[offeringid]:[ignore]])</f>
        <v>{"offeringid":"990000109","name":"Favorito ilimitado 4_990000109","mode":"N"}</v>
      </c>
      <c r="I531" t="str">
        <f>ToJsonArray(supplementary_offering_legacyid__4[[#This Row],[semilla04]],supplementary_offering_legacyid__4[[#This Row],[json]])</f>
        <v>{"VFAV-007":{"offeringid":"990000109","name":"Favorito ilimitado 4_990000109","mode":"N"}}</v>
      </c>
    </row>
    <row r="532" spans="1:9" x14ac:dyDescent="0.25">
      <c r="A532" s="60" t="s">
        <v>3725</v>
      </c>
      <c r="B532" s="60" t="str">
        <f>findKey(supplementary_offering_legacyid__4[[#This Row],[PRODUCCION]])</f>
        <v>VFAV-024</v>
      </c>
      <c r="C532" s="61" t="s">
        <v>3726</v>
      </c>
      <c r="D532" t="s">
        <v>3727</v>
      </c>
      <c r="E532" t="s">
        <v>2329</v>
      </c>
      <c r="F532" s="61"/>
      <c r="H532" t="str">
        <f>ToJsonArray(supplementary_offering_legacyid__4[[#Headers],[offeringid]:[json]],supplementary_offering_legacyid__4[[#This Row],[offeringid]:[ignore]])</f>
        <v>{"offeringid":"990000110","name":"4 Fav Allnet_990000110","mode":"N"}</v>
      </c>
      <c r="I532" t="str">
        <f>ToJsonArray(supplementary_offering_legacyid__4[[#This Row],[semilla04]],supplementary_offering_legacyid__4[[#This Row],[json]])</f>
        <v>{"VFAV-024":{"offeringid":"990000110","name":"4 Fav Allnet_990000110","mode":"N"}}</v>
      </c>
    </row>
    <row r="533" spans="1:9" x14ac:dyDescent="0.25">
      <c r="A533" s="60" t="s">
        <v>3728</v>
      </c>
      <c r="B533" s="60" t="str">
        <f>findKey(supplementary_offering_legacyid__4[[#This Row],[PRODUCCION]])</f>
        <v>VTD-012</v>
      </c>
      <c r="C533" s="61" t="s">
        <v>3729</v>
      </c>
      <c r="D533" t="s">
        <v>3730</v>
      </c>
      <c r="E533" t="s">
        <v>2329</v>
      </c>
      <c r="F533" s="61"/>
      <c r="H533" t="str">
        <f>ToJsonArray(supplementary_offering_legacyid__4[[#Headers],[offeringid]:[json]],supplementary_offering_legacyid__4[[#This Row],[offeringid]:[ignore]])</f>
        <v>{"offeringid":"990000111","name":"Voz-TD_Sec-180m_990000111","mode":"N"}</v>
      </c>
      <c r="I533" t="str">
        <f>ToJsonArray(supplementary_offering_legacyid__4[[#This Row],[semilla04]],supplementary_offering_legacyid__4[[#This Row],[json]])</f>
        <v>{"VTD-012":{"offeringid":"990000111","name":"Voz-TD_Sec-180m_990000111","mode":"N"}}</v>
      </c>
    </row>
    <row r="534" spans="1:9" x14ac:dyDescent="0.25">
      <c r="A534" s="60" t="s">
        <v>3731</v>
      </c>
      <c r="B534" s="60" t="str">
        <f>findKey(supplementary_offering_legacyid__4[[#This Row],[PRODUCCION]])</f>
        <v>VTD-026</v>
      </c>
      <c r="C534" s="61" t="s">
        <v>3732</v>
      </c>
      <c r="D534" t="s">
        <v>3733</v>
      </c>
      <c r="E534" t="s">
        <v>2329</v>
      </c>
      <c r="F534" s="61"/>
      <c r="H534" t="str">
        <f>ToJsonArray(supplementary_offering_legacyid__4[[#Headers],[offeringid]:[json]],supplementary_offering_legacyid__4[[#This Row],[offeringid]:[ignore]])</f>
        <v>{"offeringid":"990000112","name":"Voz-TD_Seg-150m_990000112","mode":"N"}</v>
      </c>
      <c r="I534" t="str">
        <f>ToJsonArray(supplementary_offering_legacyid__4[[#This Row],[semilla04]],supplementary_offering_legacyid__4[[#This Row],[json]])</f>
        <v>{"VTD-026":{"offeringid":"990000112","name":"Voz-TD_Seg-150m_990000112","mode":"N"}}</v>
      </c>
    </row>
    <row r="535" spans="1:9" x14ac:dyDescent="0.25">
      <c r="A535" s="60" t="s">
        <v>3734</v>
      </c>
      <c r="B535" s="60" t="str">
        <f>findKey(supplementary_offering_legacyid__4[[#This Row],[PRODUCCION]])</f>
        <v>VTD-027</v>
      </c>
      <c r="C535" s="61" t="s">
        <v>3735</v>
      </c>
      <c r="D535" t="s">
        <v>3736</v>
      </c>
      <c r="E535" t="s">
        <v>2329</v>
      </c>
      <c r="F535" s="61"/>
      <c r="H535" t="str">
        <f>ToJsonArray(supplementary_offering_legacyid__4[[#Headers],[offeringid]:[json]],supplementary_offering_legacyid__4[[#This Row],[offeringid]:[ignore]])</f>
        <v>{"offeringid":"990000113","name":"Voz-TD_Seg-250m_990000113","mode":"N"}</v>
      </c>
      <c r="I535" t="str">
        <f>ToJsonArray(supplementary_offering_legacyid__4[[#This Row],[semilla04]],supplementary_offering_legacyid__4[[#This Row],[json]])</f>
        <v>{"VTD-027":{"offeringid":"990000113","name":"Voz-TD_Seg-250m_990000113","mode":"N"}}</v>
      </c>
    </row>
    <row r="536" spans="1:9" x14ac:dyDescent="0.25">
      <c r="A536" s="60" t="s">
        <v>3737</v>
      </c>
      <c r="B536" s="60" t="str">
        <f>findKey(supplementary_offering_legacyid__4[[#This Row],[PRODUCCION]])</f>
        <v>VTD-031</v>
      </c>
      <c r="C536" s="61" t="s">
        <v>3738</v>
      </c>
      <c r="D536" t="s">
        <v>3739</v>
      </c>
      <c r="E536" t="s">
        <v>2329</v>
      </c>
      <c r="F536" s="61"/>
      <c r="H536" t="str">
        <f>ToJsonArray(supplementary_offering_legacyid__4[[#Headers],[offeringid]:[json]],supplementary_offering_legacyid__4[[#This Row],[offeringid]:[ignore]])</f>
        <v>{"offeringid":"990000114","name":"Voz-TD-36000 seg_990000114","mode":"N"}</v>
      </c>
      <c r="I536" t="str">
        <f>ToJsonArray(supplementary_offering_legacyid__4[[#This Row],[semilla04]],supplementary_offering_legacyid__4[[#This Row],[json]])</f>
        <v>{"VTD-031":{"offeringid":"990000114","name":"Voz-TD-36000 seg_990000114","mode":"N"}}</v>
      </c>
    </row>
    <row r="537" spans="1:9" x14ac:dyDescent="0.25">
      <c r="A537" s="60" t="s">
        <v>3740</v>
      </c>
      <c r="B537" s="60" t="str">
        <f>findKey(supplementary_offering_legacyid__4[[#This Row],[PRODUCCION]])</f>
        <v>VTD-032</v>
      </c>
      <c r="C537" s="61" t="s">
        <v>3741</v>
      </c>
      <c r="D537" t="s">
        <v>3742</v>
      </c>
      <c r="E537" t="s">
        <v>2329</v>
      </c>
      <c r="F537" s="61"/>
      <c r="H537" t="str">
        <f>ToJsonArray(supplementary_offering_legacyid__4[[#Headers],[offeringid]:[json]],supplementary_offering_legacyid__4[[#This Row],[offeringid]:[ignore]])</f>
        <v>{"offeringid":"990000115","name":"Voz-TD-24000 seg_990000115","mode":"N"}</v>
      </c>
      <c r="I537" t="str">
        <f>ToJsonArray(supplementary_offering_legacyid__4[[#This Row],[semilla04]],supplementary_offering_legacyid__4[[#This Row],[json]])</f>
        <v>{"VTD-032":{"offeringid":"990000115","name":"Voz-TD-24000 seg_990000115","mode":"N"}}</v>
      </c>
    </row>
    <row r="538" spans="1:9" x14ac:dyDescent="0.25">
      <c r="A538" s="60" t="s">
        <v>3743</v>
      </c>
      <c r="B538" s="60" t="str">
        <f>findKey(supplementary_offering_legacyid__4[[#This Row],[PRODUCCION]])</f>
        <v>VTD-033</v>
      </c>
      <c r="C538" s="61" t="s">
        <v>3744</v>
      </c>
      <c r="D538" t="s">
        <v>3745</v>
      </c>
      <c r="E538" t="s">
        <v>2329</v>
      </c>
      <c r="F538" s="61"/>
      <c r="H538" t="str">
        <f>ToJsonArray(supplementary_offering_legacyid__4[[#Headers],[offeringid]:[json]],supplementary_offering_legacyid__4[[#This Row],[offeringid]:[ignore]])</f>
        <v>{"offeringid":"990000116","name":"Voz-TD-6000 seg_990000116","mode":"N"}</v>
      </c>
      <c r="I538" t="str">
        <f>ToJsonArray(supplementary_offering_legacyid__4[[#This Row],[semilla04]],supplementary_offering_legacyid__4[[#This Row],[json]])</f>
        <v>{"VTD-033":{"offeringid":"990000116","name":"Voz-TD-6000 seg_990000116","mode":"N"}}</v>
      </c>
    </row>
    <row r="539" spans="1:9" x14ac:dyDescent="0.25">
      <c r="A539" s="60" t="s">
        <v>3746</v>
      </c>
      <c r="B539" s="60" t="str">
        <f>findKey(supplementary_offering_legacyid__4[[#This Row],[PRODUCCION]])</f>
        <v>VTD-034</v>
      </c>
      <c r="C539" s="61" t="s">
        <v>3747</v>
      </c>
      <c r="D539" t="s">
        <v>3748</v>
      </c>
      <c r="E539" t="s">
        <v>2329</v>
      </c>
      <c r="F539" s="61"/>
      <c r="H539" t="str">
        <f>ToJsonArray(supplementary_offering_legacyid__4[[#Headers],[offeringid]:[json]],supplementary_offering_legacyid__4[[#This Row],[offeringid]:[ignore]])</f>
        <v>{"offeringid":"990000117","name":"Voz-TD-51000 seg_990000117","mode":"N"}</v>
      </c>
      <c r="I539" t="str">
        <f>ToJsonArray(supplementary_offering_legacyid__4[[#This Row],[semilla04]],supplementary_offering_legacyid__4[[#This Row],[json]])</f>
        <v>{"VTD-034":{"offeringid":"990000117","name":"Voz-TD-51000 seg_990000117","mode":"N"}}</v>
      </c>
    </row>
    <row r="540" spans="1:9" x14ac:dyDescent="0.25">
      <c r="A540" s="60" t="s">
        <v>3749</v>
      </c>
      <c r="B540" s="60" t="str">
        <f>findKey(supplementary_offering_legacyid__4[[#This Row],[PRODUCCION]])</f>
        <v>VTD-035</v>
      </c>
      <c r="C540" s="61" t="s">
        <v>3750</v>
      </c>
      <c r="D540" t="s">
        <v>3751</v>
      </c>
      <c r="E540" t="s">
        <v>2329</v>
      </c>
      <c r="F540" s="61"/>
      <c r="H540" t="str">
        <f>ToJsonArray(supplementary_offering_legacyid__4[[#Headers],[offeringid]:[json]],supplementary_offering_legacyid__4[[#This Row],[offeringid]:[ignore]])</f>
        <v>{"offeringid":"990000118","name":"Voz-TD-9000 seg_990000118","mode":"N"}</v>
      </c>
      <c r="I540" t="str">
        <f>ToJsonArray(supplementary_offering_legacyid__4[[#This Row],[semilla04]],supplementary_offering_legacyid__4[[#This Row],[json]])</f>
        <v>{"VTD-035":{"offeringid":"990000118","name":"Voz-TD-9000 seg_990000118","mode":"N"}}</v>
      </c>
    </row>
    <row r="541" spans="1:9" x14ac:dyDescent="0.25">
      <c r="A541" s="60" t="s">
        <v>3752</v>
      </c>
      <c r="B541" s="60" t="str">
        <f>findKey(supplementary_offering_legacyid__4[[#This Row],[PRODUCCION]])</f>
        <v>VTD-036</v>
      </c>
      <c r="C541" s="61" t="s">
        <v>3753</v>
      </c>
      <c r="D541" t="s">
        <v>3754</v>
      </c>
      <c r="E541" t="s">
        <v>2329</v>
      </c>
      <c r="F541" s="61"/>
      <c r="H541" t="str">
        <f>ToJsonArray(supplementary_offering_legacyid__4[[#Headers],[offeringid]:[json]],supplementary_offering_legacyid__4[[#This Row],[offeringid]:[ignore]])</f>
        <v>{"offeringid":"990000119","name":"Voz-TD-12000 seg_990000119","mode":"N"}</v>
      </c>
      <c r="I541" t="str">
        <f>ToJsonArray(supplementary_offering_legacyid__4[[#This Row],[semilla04]],supplementary_offering_legacyid__4[[#This Row],[json]])</f>
        <v>{"VTD-036":{"offeringid":"990000119","name":"Voz-TD-12000 seg_990000119","mode":"N"}}</v>
      </c>
    </row>
    <row r="542" spans="1:9" x14ac:dyDescent="0.25">
      <c r="A542" s="60" t="s">
        <v>3755</v>
      </c>
      <c r="B542" s="60" t="str">
        <f>findKey(supplementary_offering_legacyid__4[[#This Row],[PRODUCCION]])</f>
        <v>VTD-037</v>
      </c>
      <c r="C542" s="61" t="s">
        <v>3756</v>
      </c>
      <c r="D542" t="s">
        <v>3757</v>
      </c>
      <c r="E542" t="s">
        <v>2329</v>
      </c>
      <c r="F542" s="61"/>
      <c r="H542" t="str">
        <f>ToJsonArray(supplementary_offering_legacyid__4[[#Headers],[offeringid]:[json]],supplementary_offering_legacyid__4[[#This Row],[offeringid]:[ignore]])</f>
        <v>{"offeringid":"990000120","name":"Voz-TD-12000 seg_990000120","mode":"N"}</v>
      </c>
      <c r="I542" t="str">
        <f>ToJsonArray(supplementary_offering_legacyid__4[[#This Row],[semilla04]],supplementary_offering_legacyid__4[[#This Row],[json]])</f>
        <v>{"VTD-037":{"offeringid":"990000120","name":"Voz-TD-12000 seg_990000120","mode":"N"}}</v>
      </c>
    </row>
    <row r="543" spans="1:9" x14ac:dyDescent="0.25">
      <c r="A543" s="60" t="s">
        <v>3758</v>
      </c>
      <c r="B543" s="60" t="str">
        <f>findKey(supplementary_offering_legacyid__4[[#This Row],[PRODUCCION]])</f>
        <v>VTD-038</v>
      </c>
      <c r="C543" s="61" t="s">
        <v>3759</v>
      </c>
      <c r="D543" t="s">
        <v>3760</v>
      </c>
      <c r="E543" t="s">
        <v>2329</v>
      </c>
      <c r="F543" s="61"/>
      <c r="H543" t="str">
        <f>ToJsonArray(supplementary_offering_legacyid__4[[#Headers],[offeringid]:[json]],supplementary_offering_legacyid__4[[#This Row],[offeringid]:[ignore]])</f>
        <v>{"offeringid":"990000121","name":"Voz-TD-15000 seg_990000121","mode":"N"}</v>
      </c>
      <c r="I543" t="str">
        <f>ToJsonArray(supplementary_offering_legacyid__4[[#This Row],[semilla04]],supplementary_offering_legacyid__4[[#This Row],[json]])</f>
        <v>{"VTD-038":{"offeringid":"990000121","name":"Voz-TD-15000 seg_990000121","mode":"N"}}</v>
      </c>
    </row>
    <row r="544" spans="1:9" x14ac:dyDescent="0.25">
      <c r="A544" s="60" t="s">
        <v>3761</v>
      </c>
      <c r="B544" s="60" t="str">
        <f>findKey(supplementary_offering_legacyid__4[[#This Row],[PRODUCCION]])</f>
        <v>VTD-039</v>
      </c>
      <c r="C544" s="61" t="s">
        <v>3762</v>
      </c>
      <c r="D544" t="s">
        <v>3763</v>
      </c>
      <c r="E544" t="s">
        <v>2329</v>
      </c>
      <c r="F544" s="61"/>
      <c r="H544" t="str">
        <f>ToJsonArray(supplementary_offering_legacyid__4[[#Headers],[offeringid]:[json]],supplementary_offering_legacyid__4[[#This Row],[offeringid]:[ignore]])</f>
        <v>{"offeringid":"990000122","name":"Voz-TD-78000 seg_990000122","mode":"N"}</v>
      </c>
      <c r="I544" t="str">
        <f>ToJsonArray(supplementary_offering_legacyid__4[[#This Row],[semilla04]],supplementary_offering_legacyid__4[[#This Row],[json]])</f>
        <v>{"VTD-039":{"offeringid":"990000122","name":"Voz-TD-78000 seg_990000122","mode":"N"}}</v>
      </c>
    </row>
    <row r="545" spans="1:9" x14ac:dyDescent="0.25">
      <c r="A545" s="60" t="s">
        <v>3764</v>
      </c>
      <c r="B545" s="60" t="str">
        <f>findKey(supplementary_offering_legacyid__4[[#This Row],[PRODUCCION]])</f>
        <v>VTD-041</v>
      </c>
      <c r="C545" s="61" t="s">
        <v>3765</v>
      </c>
      <c r="D545" t="s">
        <v>3766</v>
      </c>
      <c r="E545" t="s">
        <v>2329</v>
      </c>
      <c r="F545" s="61"/>
      <c r="H545" t="str">
        <f>ToJsonArray(supplementary_offering_legacyid__4[[#Headers],[offeringid]:[json]],supplementary_offering_legacyid__4[[#This Row],[offeringid]:[ignore]])</f>
        <v>{"offeringid":"990000123","name":"Voz-TD-18000 seg_990000123","mode":"N"}</v>
      </c>
      <c r="I545" t="str">
        <f>ToJsonArray(supplementary_offering_legacyid__4[[#This Row],[semilla04]],supplementary_offering_legacyid__4[[#This Row],[json]])</f>
        <v>{"VTD-041":{"offeringid":"990000123","name":"Voz-TD-18000 seg_990000123","mode":"N"}}</v>
      </c>
    </row>
    <row r="546" spans="1:9" x14ac:dyDescent="0.25">
      <c r="A546" s="60" t="s">
        <v>3767</v>
      </c>
      <c r="B546" s="60" t="str">
        <f>findKey(supplementary_offering_legacyid__4[[#This Row],[PRODUCCION]])</f>
        <v>VTD-042</v>
      </c>
      <c r="C546" s="61" t="s">
        <v>3768</v>
      </c>
      <c r="D546" t="s">
        <v>3769</v>
      </c>
      <c r="E546" t="s">
        <v>2329</v>
      </c>
      <c r="F546" s="61"/>
      <c r="H546" t="str">
        <f>ToJsonArray(supplementary_offering_legacyid__4[[#Headers],[offeringid]:[json]],supplementary_offering_legacyid__4[[#This Row],[offeringid]:[ignore]])</f>
        <v>{"offeringid":"990000124","name":"Voz-TD-21000 seg_990000124","mode":"N"}</v>
      </c>
      <c r="I546" t="str">
        <f>ToJsonArray(supplementary_offering_legacyid__4[[#This Row],[semilla04]],supplementary_offering_legacyid__4[[#This Row],[json]])</f>
        <v>{"VTD-042":{"offeringid":"990000124","name":"Voz-TD-21000 seg_990000124","mode":"N"}}</v>
      </c>
    </row>
    <row r="547" spans="1:9" x14ac:dyDescent="0.25">
      <c r="A547" s="60" t="s">
        <v>3770</v>
      </c>
      <c r="B547" s="60" t="str">
        <f>findKey(supplementary_offering_legacyid__4[[#This Row],[PRODUCCION]])</f>
        <v>VTD-043</v>
      </c>
      <c r="C547" s="61" t="s">
        <v>3771</v>
      </c>
      <c r="D547" t="s">
        <v>3772</v>
      </c>
      <c r="E547" t="s">
        <v>2329</v>
      </c>
      <c r="F547" s="61"/>
      <c r="H547" t="str">
        <f>ToJsonArray(supplementary_offering_legacyid__4[[#Headers],[offeringid]:[json]],supplementary_offering_legacyid__4[[#This Row],[offeringid]:[ignore]])</f>
        <v>{"offeringid":"990000125","name":"Voz-TD-24000 seg_990000125","mode":"N"}</v>
      </c>
      <c r="I547" t="str">
        <f>ToJsonArray(supplementary_offering_legacyid__4[[#This Row],[semilla04]],supplementary_offering_legacyid__4[[#This Row],[json]])</f>
        <v>{"VTD-043":{"offeringid":"990000125","name":"Voz-TD-24000 seg_990000125","mode":"N"}}</v>
      </c>
    </row>
    <row r="548" spans="1:9" x14ac:dyDescent="0.25">
      <c r="A548" s="60" t="s">
        <v>3773</v>
      </c>
      <c r="B548" s="60" t="str">
        <f>findKey(supplementary_offering_legacyid__4[[#This Row],[PRODUCCION]])</f>
        <v>VTD-044</v>
      </c>
      <c r="C548" s="61" t="s">
        <v>3774</v>
      </c>
      <c r="D548" t="s">
        <v>3775</v>
      </c>
      <c r="E548" t="s">
        <v>2329</v>
      </c>
      <c r="F548" s="61"/>
      <c r="H548" t="str">
        <f>ToJsonArray(supplementary_offering_legacyid__4[[#Headers],[offeringid]:[json]],supplementary_offering_legacyid__4[[#This Row],[offeringid]:[ignore]])</f>
        <v>{"offeringid":"990000126","name":"Voz-TD-Infinito_990000126","mode":"N"}</v>
      </c>
      <c r="I548" t="str">
        <f>ToJsonArray(supplementary_offering_legacyid__4[[#This Row],[semilla04]],supplementary_offering_legacyid__4[[#This Row],[json]])</f>
        <v>{"VTD-044":{"offeringid":"990000126","name":"Voz-TD-Infinito_990000126","mode":"N"}}</v>
      </c>
    </row>
    <row r="549" spans="1:9" x14ac:dyDescent="0.25">
      <c r="A549" s="60" t="s">
        <v>3776</v>
      </c>
      <c r="B549" s="60" t="str">
        <f>findKey(supplementary_offering_legacyid__4[[#This Row],[PRODUCCION]])</f>
        <v>VTD-045</v>
      </c>
      <c r="C549" s="61" t="s">
        <v>3777</v>
      </c>
      <c r="D549" t="s">
        <v>3778</v>
      </c>
      <c r="E549" t="s">
        <v>2329</v>
      </c>
      <c r="F549" s="61"/>
      <c r="H549" t="str">
        <f>ToJsonArray(supplementary_offering_legacyid__4[[#Headers],[offeringid]:[json]],supplementary_offering_legacyid__4[[#This Row],[offeringid]:[ignore]])</f>
        <v>{"offeringid":"990000127","name":"Voz-TD-Infinito_990000127","mode":"N"}</v>
      </c>
      <c r="I549" t="str">
        <f>ToJsonArray(supplementary_offering_legacyid__4[[#This Row],[semilla04]],supplementary_offering_legacyid__4[[#This Row],[json]])</f>
        <v>{"VTD-045":{"offeringid":"990000127","name":"Voz-TD-Infinito_990000127","mode":"N"}}</v>
      </c>
    </row>
    <row r="550" spans="1:9" x14ac:dyDescent="0.25">
      <c r="A550" s="60" t="s">
        <v>3779</v>
      </c>
      <c r="B550" s="60" t="str">
        <f>findKey(supplementary_offering_legacyid__4[[#This Row],[PRODUCCION]])</f>
        <v>VTD-046</v>
      </c>
      <c r="C550" s="61" t="s">
        <v>3780</v>
      </c>
      <c r="D550" t="s">
        <v>3781</v>
      </c>
      <c r="E550" t="s">
        <v>2329</v>
      </c>
      <c r="F550" s="61"/>
      <c r="H550" t="str">
        <f>ToJsonArray(supplementary_offering_legacyid__4[[#Headers],[offeringid]:[json]],supplementary_offering_legacyid__4[[#This Row],[offeringid]:[ignore]])</f>
        <v>{"offeringid":"990000128","name":"Voz-TD-30000 seg_990000128","mode":"N"}</v>
      </c>
      <c r="I550" t="str">
        <f>ToJsonArray(supplementary_offering_legacyid__4[[#This Row],[semilla04]],supplementary_offering_legacyid__4[[#This Row],[json]])</f>
        <v>{"VTD-046":{"offeringid":"990000128","name":"Voz-TD-30000 seg_990000128","mode":"N"}}</v>
      </c>
    </row>
    <row r="551" spans="1:9" x14ac:dyDescent="0.25">
      <c r="A551" s="60" t="s">
        <v>3782</v>
      </c>
      <c r="B551" s="60" t="str">
        <f>findKey(supplementary_offering_legacyid__4[[#This Row],[PRODUCCION]])</f>
        <v>VTD-048</v>
      </c>
      <c r="C551" s="61" t="s">
        <v>3783</v>
      </c>
      <c r="D551" t="s">
        <v>3784</v>
      </c>
      <c r="E551" t="s">
        <v>2329</v>
      </c>
      <c r="F551" s="61"/>
      <c r="H551" t="str">
        <f>ToJsonArray(supplementary_offering_legacyid__4[[#Headers],[offeringid]:[json]],supplementary_offering_legacyid__4[[#This Row],[offeringid]:[ignore]])</f>
        <v>{"offeringid":"990000129","name":"Voz-TD-Infinito_990000129","mode":"N"}</v>
      </c>
      <c r="I551" t="str">
        <f>ToJsonArray(supplementary_offering_legacyid__4[[#This Row],[semilla04]],supplementary_offering_legacyid__4[[#This Row],[json]])</f>
        <v>{"VTD-048":{"offeringid":"990000129","name":"Voz-TD-Infinito_990000129","mode":"N"}}</v>
      </c>
    </row>
    <row r="552" spans="1:9" x14ac:dyDescent="0.25">
      <c r="A552" s="60" t="s">
        <v>3785</v>
      </c>
      <c r="B552" s="60" t="str">
        <f>findKey(supplementary_offering_legacyid__4[[#This Row],[PRODUCCION]])</f>
        <v>VTD-049</v>
      </c>
      <c r="C552" s="61" t="s">
        <v>3786</v>
      </c>
      <c r="D552" t="s">
        <v>3787</v>
      </c>
      <c r="E552" t="s">
        <v>2329</v>
      </c>
      <c r="F552" s="61"/>
      <c r="H552" t="str">
        <f>ToJsonArray(supplementary_offering_legacyid__4[[#Headers],[offeringid]:[json]],supplementary_offering_legacyid__4[[#This Row],[offeringid]:[ignore]])</f>
        <v>{"offeringid":"990000130","name":"Voz-TD-Infinito_990000130","mode":"N"}</v>
      </c>
      <c r="I552" t="str">
        <f>ToJsonArray(supplementary_offering_legacyid__4[[#This Row],[semilla04]],supplementary_offering_legacyid__4[[#This Row],[json]])</f>
        <v>{"VTD-049":{"offeringid":"990000130","name":"Voz-TD-Infinito_990000130","mode":"N"}}</v>
      </c>
    </row>
    <row r="553" spans="1:9" x14ac:dyDescent="0.25">
      <c r="A553" s="60" t="s">
        <v>3788</v>
      </c>
      <c r="B553" s="60" t="str">
        <f>findKey(supplementary_offering_legacyid__4[[#This Row],[PRODUCCION]])</f>
        <v>VTD-050</v>
      </c>
      <c r="C553" s="61" t="s">
        <v>3789</v>
      </c>
      <c r="D553" t="s">
        <v>3790</v>
      </c>
      <c r="E553" t="s">
        <v>2329</v>
      </c>
      <c r="F553" s="61"/>
      <c r="H553" t="str">
        <f>ToJsonArray(supplementary_offering_legacyid__4[[#Headers],[offeringid]:[json]],supplementary_offering_legacyid__4[[#This Row],[offeringid]:[ignore]])</f>
        <v>{"offeringid":"990000131","name":"Voz-TD-42000 seg_990000131","mode":"N"}</v>
      </c>
      <c r="I553" t="str">
        <f>ToJsonArray(supplementary_offering_legacyid__4[[#This Row],[semilla04]],supplementary_offering_legacyid__4[[#This Row],[json]])</f>
        <v>{"VTD-050":{"offeringid":"990000131","name":"Voz-TD-42000 seg_990000131","mode":"N"}}</v>
      </c>
    </row>
    <row r="554" spans="1:9" x14ac:dyDescent="0.25">
      <c r="A554" s="60" t="s">
        <v>3791</v>
      </c>
      <c r="B554" s="60" t="str">
        <f>findKey(supplementary_offering_legacyid__4[[#This Row],[PRODUCCION]])</f>
        <v>VTD-051</v>
      </c>
      <c r="C554" s="61" t="s">
        <v>3792</v>
      </c>
      <c r="D554" t="s">
        <v>3793</v>
      </c>
      <c r="E554" t="s">
        <v>2329</v>
      </c>
      <c r="F554" s="61"/>
      <c r="H554" t="str">
        <f>ToJsonArray(supplementary_offering_legacyid__4[[#Headers],[offeringid]:[json]],supplementary_offering_legacyid__4[[#This Row],[offeringid]:[ignore]])</f>
        <v>{"offeringid":"990000132","name":"Voz-TD-24000 seg_990000132","mode":"N"}</v>
      </c>
      <c r="I554" t="str">
        <f>ToJsonArray(supplementary_offering_legacyid__4[[#This Row],[semilla04]],supplementary_offering_legacyid__4[[#This Row],[json]])</f>
        <v>{"VTD-051":{"offeringid":"990000132","name":"Voz-TD-24000 seg_990000132","mode":"N"}}</v>
      </c>
    </row>
    <row r="555" spans="1:9" x14ac:dyDescent="0.25">
      <c r="A555" s="60" t="s">
        <v>3794</v>
      </c>
      <c r="B555" s="60" t="str">
        <f>findKey(supplementary_offering_legacyid__4[[#This Row],[PRODUCCION]])</f>
        <v>VTD-054</v>
      </c>
      <c r="C555" s="61" t="s">
        <v>3795</v>
      </c>
      <c r="D555" t="s">
        <v>3796</v>
      </c>
      <c r="E555" t="s">
        <v>2329</v>
      </c>
      <c r="F555" s="61"/>
      <c r="H555" t="str">
        <f>ToJsonArray(supplementary_offering_legacyid__4[[#Headers],[offeringid]:[json]],supplementary_offering_legacyid__4[[#This Row],[offeringid]:[ignore]])</f>
        <v>{"offeringid":"990000133","name":"Voz-TD-Infinito_990000133","mode":"N"}</v>
      </c>
      <c r="I555" t="str">
        <f>ToJsonArray(supplementary_offering_legacyid__4[[#This Row],[semilla04]],supplementary_offering_legacyid__4[[#This Row],[json]])</f>
        <v>{"VTD-054":{"offeringid":"990000133","name":"Voz-TD-Infinito_990000133","mode":"N"}}</v>
      </c>
    </row>
    <row r="556" spans="1:9" x14ac:dyDescent="0.25">
      <c r="A556" s="60" t="s">
        <v>3797</v>
      </c>
      <c r="B556" s="60" t="str">
        <f>findKey(supplementary_offering_legacyid__4[[#This Row],[PRODUCCION]])</f>
        <v>VTD-055</v>
      </c>
      <c r="C556" s="61" t="s">
        <v>3798</v>
      </c>
      <c r="D556" t="s">
        <v>3799</v>
      </c>
      <c r="E556" t="s">
        <v>2329</v>
      </c>
      <c r="F556" s="61"/>
      <c r="H556" t="str">
        <f>ToJsonArray(supplementary_offering_legacyid__4[[#Headers],[offeringid]:[json]],supplementary_offering_legacyid__4[[#This Row],[offeringid]:[ignore]])</f>
        <v>{"offeringid":"990000134","name":"Voz-TD-Infinito_990000134","mode":"N"}</v>
      </c>
      <c r="I556" t="str">
        <f>ToJsonArray(supplementary_offering_legacyid__4[[#This Row],[semilla04]],supplementary_offering_legacyid__4[[#This Row],[json]])</f>
        <v>{"VTD-055":{"offeringid":"990000134","name":"Voz-TD-Infinito_990000134","mode":"N"}}</v>
      </c>
    </row>
    <row r="557" spans="1:9" x14ac:dyDescent="0.25">
      <c r="A557" s="60" t="s">
        <v>3800</v>
      </c>
      <c r="B557" s="60" t="str">
        <f>findKey(supplementary_offering_legacyid__4[[#This Row],[PRODUCCION]])</f>
        <v>VTD-059</v>
      </c>
      <c r="C557" s="61" t="s">
        <v>3801</v>
      </c>
      <c r="D557" t="s">
        <v>3802</v>
      </c>
      <c r="E557" t="s">
        <v>2329</v>
      </c>
      <c r="F557" s="61"/>
      <c r="H557" t="str">
        <f>ToJsonArray(supplementary_offering_legacyid__4[[#Headers],[offeringid]:[json]],supplementary_offering_legacyid__4[[#This Row],[offeringid]:[ignore]])</f>
        <v>{"offeringid":"990000135","name":"Voz-TD-Ilimitado seg_990000135","mode":"N"}</v>
      </c>
      <c r="I557" t="str">
        <f>ToJsonArray(supplementary_offering_legacyid__4[[#This Row],[semilla04]],supplementary_offering_legacyid__4[[#This Row],[json]])</f>
        <v>{"VTD-059":{"offeringid":"990000135","name":"Voz-TD-Ilimitado seg_990000135","mode":"N"}}</v>
      </c>
    </row>
    <row r="558" spans="1:9" x14ac:dyDescent="0.25">
      <c r="A558" s="60" t="s">
        <v>3803</v>
      </c>
      <c r="B558" s="60" t="str">
        <f>findKey(supplementary_offering_legacyid__4[[#This Row],[PRODUCCION]])</f>
        <v>VTD-060</v>
      </c>
      <c r="C558" s="61" t="s">
        <v>3804</v>
      </c>
      <c r="D558" t="s">
        <v>3805</v>
      </c>
      <c r="E558" t="s">
        <v>2329</v>
      </c>
      <c r="F558" s="61"/>
      <c r="H558" t="str">
        <f>ToJsonArray(supplementary_offering_legacyid__4[[#Headers],[offeringid]:[json]],supplementary_offering_legacyid__4[[#This Row],[offeringid]:[ignore]])</f>
        <v>{"offeringid":"990000136","name":"Voz-TD-Ilimitado_990000136","mode":"N"}</v>
      </c>
      <c r="I558" t="str">
        <f>ToJsonArray(supplementary_offering_legacyid__4[[#This Row],[semilla04]],supplementary_offering_legacyid__4[[#This Row],[json]])</f>
        <v>{"VTD-060":{"offeringid":"990000136","name":"Voz-TD-Ilimitado_990000136","mode":"N"}}</v>
      </c>
    </row>
    <row r="559" spans="1:9" x14ac:dyDescent="0.25">
      <c r="A559" s="60" t="s">
        <v>3806</v>
      </c>
      <c r="B559" s="60" t="str">
        <f>findKey(supplementary_offering_legacyid__4[[#This Row],[PRODUCCION]])</f>
        <v>VLDI-001</v>
      </c>
      <c r="C559" s="61" t="s">
        <v>3807</v>
      </c>
      <c r="D559" t="s">
        <v>3808</v>
      </c>
      <c r="E559" t="s">
        <v>2329</v>
      </c>
      <c r="F559" s="61"/>
      <c r="H559" t="str">
        <f>ToJsonArray(supplementary_offering_legacyid__4[[#Headers],[offeringid]:[json]],supplementary_offering_legacyid__4[[#This Row],[offeringid]:[ignore]])</f>
        <v>{"offeringid":"990000137","name":"Voz - Larga Distancia - 1500s","mode":"N"}</v>
      </c>
      <c r="I559" t="str">
        <f>ToJsonArray(supplementary_offering_legacyid__4[[#This Row],[semilla04]],supplementary_offering_legacyid__4[[#This Row],[json]])</f>
        <v>{"VLDI-001":{"offeringid":"990000137","name":"Voz - Larga Distancia - 1500s","mode":"N"}}</v>
      </c>
    </row>
    <row r="560" spans="1:9" x14ac:dyDescent="0.25">
      <c r="A560" s="60" t="s">
        <v>3809</v>
      </c>
      <c r="B560" s="60" t="str">
        <f>findKey(supplementary_offering_legacyid__4[[#This Row],[PRODUCCION]])</f>
        <v>VLDI-002</v>
      </c>
      <c r="C560" s="61" t="s">
        <v>3810</v>
      </c>
      <c r="D560" t="s">
        <v>3811</v>
      </c>
      <c r="E560" t="s">
        <v>2329</v>
      </c>
      <c r="F560" s="61"/>
      <c r="H560" t="str">
        <f>ToJsonArray(supplementary_offering_legacyid__4[[#Headers],[offeringid]:[json]],supplementary_offering_legacyid__4[[#This Row],[offeringid]:[ignore]])</f>
        <v>{"offeringid":"990000138","name":"Voz - Larga Distancia - 3000s","mode":"N"}</v>
      </c>
      <c r="I560" t="str">
        <f>ToJsonArray(supplementary_offering_legacyid__4[[#This Row],[semilla04]],supplementary_offering_legacyid__4[[#This Row],[json]])</f>
        <v>{"VLDI-002":{"offeringid":"990000138","name":"Voz - Larga Distancia - 3000s","mode":"N"}}</v>
      </c>
    </row>
    <row r="561" spans="1:9" x14ac:dyDescent="0.25">
      <c r="A561" s="60" t="s">
        <v>3812</v>
      </c>
      <c r="B561" s="60" t="str">
        <f>findKey(supplementary_offering_legacyid__4[[#This Row],[PRODUCCION]])</f>
        <v>VLDI-003</v>
      </c>
      <c r="C561" s="61" t="s">
        <v>3813</v>
      </c>
      <c r="D561" t="s">
        <v>3814</v>
      </c>
      <c r="E561" t="s">
        <v>2329</v>
      </c>
      <c r="F561" s="61"/>
      <c r="H561" t="str">
        <f>ToJsonArray(supplementary_offering_legacyid__4[[#Headers],[offeringid]:[json]],supplementary_offering_legacyid__4[[#This Row],[offeringid]:[ignore]])</f>
        <v>{"offeringid":"990000139","name":"Voz - Larga Distancia - 6000s","mode":"N"}</v>
      </c>
      <c r="I561" t="str">
        <f>ToJsonArray(supplementary_offering_legacyid__4[[#This Row],[semilla04]],supplementary_offering_legacyid__4[[#This Row],[json]])</f>
        <v>{"VLDI-003":{"offeringid":"990000139","name":"Voz - Larga Distancia - 6000s","mode":"N"}}</v>
      </c>
    </row>
    <row r="562" spans="1:9" x14ac:dyDescent="0.25">
      <c r="A562" s="60" t="s">
        <v>3815</v>
      </c>
      <c r="B562" s="60" t="str">
        <f>findKey(supplementary_offering_legacyid__4[[#This Row],[PRODUCCION]])</f>
        <v>TRK112-01</v>
      </c>
      <c r="C562" s="61" t="s">
        <v>3816</v>
      </c>
      <c r="D562" t="s">
        <v>3815</v>
      </c>
      <c r="E562" t="s">
        <v>2189</v>
      </c>
      <c r="F562" s="61"/>
      <c r="H562" t="str">
        <f>ToJsonArray(supplementary_offering_legacyid__4[[#Headers],[offeringid]:[json]],supplementary_offering_legacyid__4[[#This Row],[offeringid]:[ignore]])</f>
        <v>{"offeringid":"990000140","name":"TRK112-01","mode":"I"}</v>
      </c>
      <c r="I562" t="str">
        <f>ToJsonArray(supplementary_offering_legacyid__4[[#This Row],[semilla04]],supplementary_offering_legacyid__4[[#This Row],[json]])</f>
        <v>{"TRK112-01":{"offeringid":"990000140","name":"TRK112-01","mode":"I"}}</v>
      </c>
    </row>
    <row r="563" spans="1:9" x14ac:dyDescent="0.25">
      <c r="A563" s="60" t="s">
        <v>3817</v>
      </c>
      <c r="B563" s="60" t="str">
        <f>findKey(supplementary_offering_legacyid__4[[#This Row],[PRODUCCION]])</f>
        <v>TRK112-02</v>
      </c>
      <c r="C563" s="61" t="s">
        <v>3818</v>
      </c>
      <c r="D563" t="s">
        <v>3817</v>
      </c>
      <c r="E563" t="s">
        <v>2189</v>
      </c>
      <c r="F563" s="61"/>
      <c r="H563" t="str">
        <f>ToJsonArray(supplementary_offering_legacyid__4[[#Headers],[offeringid]:[json]],supplementary_offering_legacyid__4[[#This Row],[offeringid]:[ignore]])</f>
        <v>{"offeringid":"990000141","name":"TRK112-02","mode":"I"}</v>
      </c>
      <c r="I563" t="str">
        <f>ToJsonArray(supplementary_offering_legacyid__4[[#This Row],[semilla04]],supplementary_offering_legacyid__4[[#This Row],[json]])</f>
        <v>{"TRK112-02":{"offeringid":"990000141","name":"TRK112-02","mode":"I"}}</v>
      </c>
    </row>
    <row r="564" spans="1:9" x14ac:dyDescent="0.25">
      <c r="A564" s="60" t="s">
        <v>3819</v>
      </c>
      <c r="B564" s="60" t="str">
        <f>findKey(supplementary_offering_legacyid__4[[#This Row],[PRODUCCION]])</f>
        <v>TRK112-03</v>
      </c>
      <c r="C564" s="61" t="s">
        <v>3820</v>
      </c>
      <c r="D564" t="s">
        <v>3819</v>
      </c>
      <c r="E564" t="s">
        <v>2189</v>
      </c>
      <c r="F564" s="61"/>
      <c r="H564" t="str">
        <f>ToJsonArray(supplementary_offering_legacyid__4[[#Headers],[offeringid]:[json]],supplementary_offering_legacyid__4[[#This Row],[offeringid]:[ignore]])</f>
        <v>{"offeringid":"990000142","name":"TRK112-03","mode":"I"}</v>
      </c>
      <c r="I564" t="str">
        <f>ToJsonArray(supplementary_offering_legacyid__4[[#This Row],[semilla04]],supplementary_offering_legacyid__4[[#This Row],[json]])</f>
        <v>{"TRK112-03":{"offeringid":"990000142","name":"TRK112-03","mode":"I"}}</v>
      </c>
    </row>
    <row r="565" spans="1:9" x14ac:dyDescent="0.25">
      <c r="A565" s="60" t="s">
        <v>3821</v>
      </c>
      <c r="B565" s="60" t="str">
        <f>findKey(supplementary_offering_legacyid__4[[#This Row],[PRODUCCION]])</f>
        <v>TRK112-04</v>
      </c>
      <c r="C565" s="61" t="s">
        <v>3822</v>
      </c>
      <c r="D565" t="s">
        <v>3821</v>
      </c>
      <c r="E565" t="s">
        <v>2189</v>
      </c>
      <c r="F565" s="61"/>
      <c r="H565" t="str">
        <f>ToJsonArray(supplementary_offering_legacyid__4[[#Headers],[offeringid]:[json]],supplementary_offering_legacyid__4[[#This Row],[offeringid]:[ignore]])</f>
        <v>{"offeringid":"990000143","name":"TRK112-04","mode":"I"}</v>
      </c>
      <c r="I565" t="str">
        <f>ToJsonArray(supplementary_offering_legacyid__4[[#This Row],[semilla04]],supplementary_offering_legacyid__4[[#This Row],[json]])</f>
        <v>{"TRK112-04":{"offeringid":"990000143","name":"TRK112-04","mode":"I"}}</v>
      </c>
    </row>
    <row r="566" spans="1:9" x14ac:dyDescent="0.25">
      <c r="A566" s="60" t="s">
        <v>3823</v>
      </c>
      <c r="B566" s="60" t="str">
        <f>findKey(supplementary_offering_legacyid__4[[#This Row],[PRODUCCION]])</f>
        <v>TRK112-05</v>
      </c>
      <c r="C566" s="61" t="s">
        <v>3824</v>
      </c>
      <c r="D566" t="s">
        <v>3823</v>
      </c>
      <c r="E566" t="s">
        <v>2189</v>
      </c>
      <c r="F566" s="61"/>
      <c r="H566" t="str">
        <f>ToJsonArray(supplementary_offering_legacyid__4[[#Headers],[offeringid]:[json]],supplementary_offering_legacyid__4[[#This Row],[offeringid]:[ignore]])</f>
        <v>{"offeringid":"990000144","name":"TRK112-05","mode":"I"}</v>
      </c>
      <c r="I566" t="str">
        <f>ToJsonArray(supplementary_offering_legacyid__4[[#This Row],[semilla04]],supplementary_offering_legacyid__4[[#This Row],[json]])</f>
        <v>{"TRK112-05":{"offeringid":"990000144","name":"TRK112-05","mode":"I"}}</v>
      </c>
    </row>
    <row r="567" spans="1:9" x14ac:dyDescent="0.25">
      <c r="A567" s="60" t="s">
        <v>3825</v>
      </c>
      <c r="B567" s="60" t="str">
        <f>findKey(supplementary_offering_legacyid__4[[#This Row],[PRODUCCION]])</f>
        <v>TRK112-06</v>
      </c>
      <c r="C567" s="61" t="s">
        <v>3826</v>
      </c>
      <c r="D567" t="s">
        <v>3825</v>
      </c>
      <c r="E567" t="s">
        <v>2189</v>
      </c>
      <c r="F567" s="61"/>
      <c r="H567" t="str">
        <f>ToJsonArray(supplementary_offering_legacyid__4[[#Headers],[offeringid]:[json]],supplementary_offering_legacyid__4[[#This Row],[offeringid]:[ignore]])</f>
        <v>{"offeringid":"990000145","name":"TRK112-06","mode":"I"}</v>
      </c>
      <c r="I567" t="str">
        <f>ToJsonArray(supplementary_offering_legacyid__4[[#This Row],[semilla04]],supplementary_offering_legacyid__4[[#This Row],[json]])</f>
        <v>{"TRK112-06":{"offeringid":"990000145","name":"TRK112-06","mode":"I"}}</v>
      </c>
    </row>
    <row r="568" spans="1:9" x14ac:dyDescent="0.25">
      <c r="A568" s="60" t="s">
        <v>3827</v>
      </c>
      <c r="B568" s="60" t="str">
        <f>findKey(supplementary_offering_legacyid__4[[#This Row],[PRODUCCION]])</f>
        <v>TRK112-07</v>
      </c>
      <c r="C568" s="61" t="s">
        <v>3828</v>
      </c>
      <c r="D568" t="s">
        <v>3827</v>
      </c>
      <c r="E568" t="s">
        <v>2189</v>
      </c>
      <c r="F568" s="61"/>
      <c r="H568" t="str">
        <f>ToJsonArray(supplementary_offering_legacyid__4[[#Headers],[offeringid]:[json]],supplementary_offering_legacyid__4[[#This Row],[offeringid]:[ignore]])</f>
        <v>{"offeringid":"990000146","name":"TRK112-07","mode":"I"}</v>
      </c>
      <c r="I568" t="str">
        <f>ToJsonArray(supplementary_offering_legacyid__4[[#This Row],[semilla04]],supplementary_offering_legacyid__4[[#This Row],[json]])</f>
        <v>{"TRK112-07":{"offeringid":"990000146","name":"TRK112-07","mode":"I"}}</v>
      </c>
    </row>
    <row r="569" spans="1:9" x14ac:dyDescent="0.25">
      <c r="A569" s="60" t="s">
        <v>3829</v>
      </c>
      <c r="B569" s="60" t="str">
        <f>findKey(supplementary_offering_legacyid__4[[#This Row],[PRODUCCION]])</f>
        <v>TRK112-08</v>
      </c>
      <c r="C569" s="61" t="s">
        <v>3830</v>
      </c>
      <c r="D569" t="s">
        <v>3829</v>
      </c>
      <c r="E569" t="s">
        <v>2189</v>
      </c>
      <c r="F569" s="61"/>
      <c r="H569" t="str">
        <f>ToJsonArray(supplementary_offering_legacyid__4[[#Headers],[offeringid]:[json]],supplementary_offering_legacyid__4[[#This Row],[offeringid]:[ignore]])</f>
        <v>{"offeringid":"990000147","name":"TRK112-08","mode":"I"}</v>
      </c>
      <c r="I569" t="str">
        <f>ToJsonArray(supplementary_offering_legacyid__4[[#This Row],[semilla04]],supplementary_offering_legacyid__4[[#This Row],[json]])</f>
        <v>{"TRK112-08":{"offeringid":"990000147","name":"TRK112-08","mode":"I"}}</v>
      </c>
    </row>
    <row r="570" spans="1:9" x14ac:dyDescent="0.25">
      <c r="A570" s="60" t="s">
        <v>3831</v>
      </c>
      <c r="B570" s="60" t="str">
        <f>findKey(supplementary_offering_legacyid__4[[#This Row],[PRODUCCION]])</f>
        <v>TRK112-09</v>
      </c>
      <c r="C570" s="61" t="s">
        <v>3832</v>
      </c>
      <c r="D570" t="s">
        <v>3831</v>
      </c>
      <c r="E570" t="s">
        <v>2189</v>
      </c>
      <c r="F570" s="61"/>
      <c r="H570" t="str">
        <f>ToJsonArray(supplementary_offering_legacyid__4[[#Headers],[offeringid]:[json]],supplementary_offering_legacyid__4[[#This Row],[offeringid]:[ignore]])</f>
        <v>{"offeringid":"990000148","name":"TRK112-09","mode":"I"}</v>
      </c>
      <c r="I570" t="str">
        <f>ToJsonArray(supplementary_offering_legacyid__4[[#This Row],[semilla04]],supplementary_offering_legacyid__4[[#This Row],[json]])</f>
        <v>{"TRK112-09":{"offeringid":"990000148","name":"TRK112-09","mode":"I"}}</v>
      </c>
    </row>
    <row r="571" spans="1:9" x14ac:dyDescent="0.25">
      <c r="A571" s="60" t="s">
        <v>3833</v>
      </c>
      <c r="B571" s="60" t="str">
        <f>findKey(supplementary_offering_legacyid__4[[#This Row],[PRODUCCION]])</f>
        <v>TRK112-10</v>
      </c>
      <c r="C571" s="61" t="s">
        <v>3834</v>
      </c>
      <c r="D571" t="s">
        <v>3833</v>
      </c>
      <c r="E571" t="s">
        <v>2189</v>
      </c>
      <c r="F571" s="61"/>
      <c r="H571" t="str">
        <f>ToJsonArray(supplementary_offering_legacyid__4[[#Headers],[offeringid]:[json]],supplementary_offering_legacyid__4[[#This Row],[offeringid]:[ignore]])</f>
        <v>{"offeringid":"990000149","name":"TRK112-10","mode":"I"}</v>
      </c>
      <c r="I571" t="str">
        <f>ToJsonArray(supplementary_offering_legacyid__4[[#This Row],[semilla04]],supplementary_offering_legacyid__4[[#This Row],[json]])</f>
        <v>{"TRK112-10":{"offeringid":"990000149","name":"TRK112-10","mode":"I"}}</v>
      </c>
    </row>
    <row r="572" spans="1:9" x14ac:dyDescent="0.25">
      <c r="A572" s="60" t="s">
        <v>3835</v>
      </c>
      <c r="B572" s="60" t="str">
        <f>findKey(supplementary_offering_legacyid__4[[#This Row],[PRODUCCION]])</f>
        <v>TRK112-11</v>
      </c>
      <c r="C572" s="61" t="s">
        <v>3836</v>
      </c>
      <c r="D572" t="s">
        <v>3835</v>
      </c>
      <c r="E572" t="s">
        <v>2189</v>
      </c>
      <c r="F572" s="61"/>
      <c r="H572" t="str">
        <f>ToJsonArray(supplementary_offering_legacyid__4[[#Headers],[offeringid]:[json]],supplementary_offering_legacyid__4[[#This Row],[offeringid]:[ignore]])</f>
        <v>{"offeringid":"990000150","name":"TRK112-11","mode":"I"}</v>
      </c>
      <c r="I572" t="str">
        <f>ToJsonArray(supplementary_offering_legacyid__4[[#This Row],[semilla04]],supplementary_offering_legacyid__4[[#This Row],[json]])</f>
        <v>{"TRK112-11":{"offeringid":"990000150","name":"TRK112-11","mode":"I"}}</v>
      </c>
    </row>
    <row r="573" spans="1:9" x14ac:dyDescent="0.25">
      <c r="A573" s="60" t="s">
        <v>3837</v>
      </c>
      <c r="B573" s="60" t="str">
        <f>findKey(supplementary_offering_legacyid__4[[#This Row],[PRODUCCION]])</f>
        <v>TRK112-12</v>
      </c>
      <c r="C573" s="61" t="s">
        <v>3838</v>
      </c>
      <c r="D573" t="s">
        <v>3837</v>
      </c>
      <c r="E573" t="s">
        <v>2189</v>
      </c>
      <c r="F573" s="61"/>
      <c r="H573" t="str">
        <f>ToJsonArray(supplementary_offering_legacyid__4[[#Headers],[offeringid]:[json]],supplementary_offering_legacyid__4[[#This Row],[offeringid]:[ignore]])</f>
        <v>{"offeringid":"990000151","name":"TRK112-12","mode":"I"}</v>
      </c>
      <c r="I573" t="str">
        <f>ToJsonArray(supplementary_offering_legacyid__4[[#This Row],[semilla04]],supplementary_offering_legacyid__4[[#This Row],[json]])</f>
        <v>{"TRK112-12":{"offeringid":"990000151","name":"TRK112-12","mode":"I"}}</v>
      </c>
    </row>
    <row r="574" spans="1:9" x14ac:dyDescent="0.25">
      <c r="A574" s="60" t="s">
        <v>3839</v>
      </c>
      <c r="B574" s="60" t="str">
        <f>findKey(supplementary_offering_legacyid__4[[#This Row],[PRODUCCION]])</f>
        <v>TRK112-13</v>
      </c>
      <c r="C574" s="61" t="s">
        <v>3840</v>
      </c>
      <c r="D574" t="s">
        <v>3839</v>
      </c>
      <c r="E574" t="s">
        <v>2189</v>
      </c>
      <c r="F574" s="61"/>
      <c r="H574" t="str">
        <f>ToJsonArray(supplementary_offering_legacyid__4[[#Headers],[offeringid]:[json]],supplementary_offering_legacyid__4[[#This Row],[offeringid]:[ignore]])</f>
        <v>{"offeringid":"990000152","name":"TRK112-13","mode":"I"}</v>
      </c>
      <c r="I574" t="str">
        <f>ToJsonArray(supplementary_offering_legacyid__4[[#This Row],[semilla04]],supplementary_offering_legacyid__4[[#This Row],[json]])</f>
        <v>{"TRK112-13":{"offeringid":"990000152","name":"TRK112-13","mode":"I"}}</v>
      </c>
    </row>
    <row r="575" spans="1:9" x14ac:dyDescent="0.25">
      <c r="A575" s="60" t="s">
        <v>3841</v>
      </c>
      <c r="B575" s="60" t="str">
        <f>findKey(supplementary_offering_legacyid__4[[#This Row],[PRODUCCION]])</f>
        <v>TRK112-14</v>
      </c>
      <c r="C575" s="61" t="s">
        <v>3842</v>
      </c>
      <c r="D575" t="s">
        <v>3841</v>
      </c>
      <c r="E575" t="s">
        <v>2189</v>
      </c>
      <c r="F575" s="61"/>
      <c r="H575" t="str">
        <f>ToJsonArray(supplementary_offering_legacyid__4[[#Headers],[offeringid]:[json]],supplementary_offering_legacyid__4[[#This Row],[offeringid]:[ignore]])</f>
        <v>{"offeringid":"990000153","name":"TRK112-14","mode":"I"}</v>
      </c>
      <c r="I575" t="str">
        <f>ToJsonArray(supplementary_offering_legacyid__4[[#This Row],[semilla04]],supplementary_offering_legacyid__4[[#This Row],[json]])</f>
        <v>{"TRK112-14":{"offeringid":"990000153","name":"TRK112-14","mode":"I"}}</v>
      </c>
    </row>
    <row r="576" spans="1:9" x14ac:dyDescent="0.25">
      <c r="A576" s="60" t="s">
        <v>3843</v>
      </c>
      <c r="B576" s="60" t="str">
        <f>findKey(supplementary_offering_legacyid__4[[#This Row],[PRODUCCION]])</f>
        <v>TRK112-15</v>
      </c>
      <c r="C576" s="61" t="s">
        <v>3844</v>
      </c>
      <c r="D576" t="s">
        <v>3843</v>
      </c>
      <c r="E576" t="s">
        <v>2189</v>
      </c>
      <c r="F576" s="61"/>
      <c r="H576" t="str">
        <f>ToJsonArray(supplementary_offering_legacyid__4[[#Headers],[offeringid]:[json]],supplementary_offering_legacyid__4[[#This Row],[offeringid]:[ignore]])</f>
        <v>{"offeringid":"990000154","name":"TRK112-15","mode":"I"}</v>
      </c>
      <c r="I576" t="str">
        <f>ToJsonArray(supplementary_offering_legacyid__4[[#This Row],[semilla04]],supplementary_offering_legacyid__4[[#This Row],[json]])</f>
        <v>{"TRK112-15":{"offeringid":"990000154","name":"TRK112-15","mode":"I"}}</v>
      </c>
    </row>
    <row r="577" spans="1:9" x14ac:dyDescent="0.25">
      <c r="A577" s="60" t="s">
        <v>3845</v>
      </c>
      <c r="B577" s="60" t="str">
        <f>findKey(supplementary_offering_legacyid__4[[#This Row],[PRODUCCION]])</f>
        <v>TRK134-01</v>
      </c>
      <c r="C577" s="61" t="s">
        <v>3846</v>
      </c>
      <c r="D577" t="s">
        <v>3845</v>
      </c>
      <c r="E577" t="s">
        <v>2189</v>
      </c>
      <c r="F577" s="61"/>
      <c r="H577" t="str">
        <f>ToJsonArray(supplementary_offering_legacyid__4[[#Headers],[offeringid]:[json]],supplementary_offering_legacyid__4[[#This Row],[offeringid]:[ignore]])</f>
        <v>{"offeringid":"990000155","name":"TRK134-01","mode":"I"}</v>
      </c>
      <c r="I577" t="str">
        <f>ToJsonArray(supplementary_offering_legacyid__4[[#This Row],[semilla04]],supplementary_offering_legacyid__4[[#This Row],[json]])</f>
        <v>{"TRK134-01":{"offeringid":"990000155","name":"TRK134-01","mode":"I"}}</v>
      </c>
    </row>
    <row r="578" spans="1:9" x14ac:dyDescent="0.25">
      <c r="A578" s="60" t="s">
        <v>3847</v>
      </c>
      <c r="B578" s="60" t="str">
        <f>findKey(supplementary_offering_legacyid__4[[#This Row],[PRODUCCION]])</f>
        <v>TRK121-01</v>
      </c>
      <c r="C578" s="61" t="s">
        <v>3848</v>
      </c>
      <c r="D578" t="s">
        <v>3847</v>
      </c>
      <c r="E578" t="s">
        <v>2189</v>
      </c>
      <c r="F578" s="61"/>
      <c r="H578" t="str">
        <f>ToJsonArray(supplementary_offering_legacyid__4[[#Headers],[offeringid]:[json]],supplementary_offering_legacyid__4[[#This Row],[offeringid]:[ignore]])</f>
        <v>{"offeringid":"990000156","name":"TRK121-01","mode":"I"}</v>
      </c>
      <c r="I578" t="str">
        <f>ToJsonArray(supplementary_offering_legacyid__4[[#This Row],[semilla04]],supplementary_offering_legacyid__4[[#This Row],[json]])</f>
        <v>{"TRK121-01":{"offeringid":"990000156","name":"TRK121-01","mode":"I"}}</v>
      </c>
    </row>
    <row r="579" spans="1:9" x14ac:dyDescent="0.25">
      <c r="A579" s="60" t="s">
        <v>3849</v>
      </c>
      <c r="B579" s="60" t="str">
        <f>findKey(supplementary_offering_legacyid__4[[#This Row],[PRODUCCION]])</f>
        <v>TRK123-01</v>
      </c>
      <c r="C579" s="61" t="s">
        <v>3850</v>
      </c>
      <c r="D579" t="s">
        <v>3849</v>
      </c>
      <c r="E579" t="s">
        <v>2189</v>
      </c>
      <c r="F579" s="61"/>
      <c r="H579" t="str">
        <f>ToJsonArray(supplementary_offering_legacyid__4[[#Headers],[offeringid]:[json]],supplementary_offering_legacyid__4[[#This Row],[offeringid]:[ignore]])</f>
        <v>{"offeringid":"990000157","name":"TRK123-01","mode":"I"}</v>
      </c>
      <c r="I579" t="str">
        <f>ToJsonArray(supplementary_offering_legacyid__4[[#This Row],[semilla04]],supplementary_offering_legacyid__4[[#This Row],[json]])</f>
        <v>{"TRK123-01":{"offeringid":"990000157","name":"TRK123-01","mode":"I"}}</v>
      </c>
    </row>
    <row r="580" spans="1:9" x14ac:dyDescent="0.25">
      <c r="A580" s="60" t="s">
        <v>3851</v>
      </c>
      <c r="B580" s="60" t="str">
        <f>findKey(supplementary_offering_legacyid__4[[#This Row],[PRODUCCION]])</f>
        <v>TRK123-02</v>
      </c>
      <c r="C580" s="61" t="s">
        <v>3852</v>
      </c>
      <c r="D580" t="s">
        <v>3851</v>
      </c>
      <c r="E580" t="s">
        <v>2189</v>
      </c>
      <c r="F580" s="61"/>
      <c r="H580" t="str">
        <f>ToJsonArray(supplementary_offering_legacyid__4[[#Headers],[offeringid]:[json]],supplementary_offering_legacyid__4[[#This Row],[offeringid]:[ignore]])</f>
        <v>{"offeringid":"990000158","name":"TRK123-02","mode":"I"}</v>
      </c>
      <c r="I580" t="str">
        <f>ToJsonArray(supplementary_offering_legacyid__4[[#This Row],[semilla04]],supplementary_offering_legacyid__4[[#This Row],[json]])</f>
        <v>{"TRK123-02":{"offeringid":"990000158","name":"TRK123-02","mode":"I"}}</v>
      </c>
    </row>
    <row r="581" spans="1:9" x14ac:dyDescent="0.25">
      <c r="A581" s="60" t="s">
        <v>3853</v>
      </c>
      <c r="B581" s="60" t="str">
        <f>findKey(supplementary_offering_legacyid__4[[#This Row],[PRODUCCION]])</f>
        <v>TRK123-03</v>
      </c>
      <c r="C581" s="61" t="s">
        <v>3854</v>
      </c>
      <c r="D581" t="s">
        <v>3853</v>
      </c>
      <c r="E581" t="s">
        <v>2189</v>
      </c>
      <c r="F581" s="61"/>
      <c r="H581" t="str">
        <f>ToJsonArray(supplementary_offering_legacyid__4[[#Headers],[offeringid]:[json]],supplementary_offering_legacyid__4[[#This Row],[offeringid]:[ignore]])</f>
        <v>{"offeringid":"990000159","name":"TRK123-03","mode":"I"}</v>
      </c>
      <c r="I581" t="str">
        <f>ToJsonArray(supplementary_offering_legacyid__4[[#This Row],[semilla04]],supplementary_offering_legacyid__4[[#This Row],[json]])</f>
        <v>{"TRK123-03":{"offeringid":"990000159","name":"TRK123-03","mode":"I"}}</v>
      </c>
    </row>
    <row r="582" spans="1:9" x14ac:dyDescent="0.25">
      <c r="A582" s="60" t="s">
        <v>3855</v>
      </c>
      <c r="B582" s="60" t="str">
        <f>findKey(supplementary_offering_legacyid__4[[#This Row],[PRODUCCION]])</f>
        <v>ONDEMAND</v>
      </c>
      <c r="C582" s="61" t="s">
        <v>3856</v>
      </c>
      <c r="D582" t="s">
        <v>3857</v>
      </c>
      <c r="E582" t="s">
        <v>2189</v>
      </c>
      <c r="F582" s="61"/>
      <c r="H582" t="str">
        <f>ToJsonArray(supplementary_offering_legacyid__4[[#Headers],[offeringid]:[json]],supplementary_offering_legacyid__4[[#This Row],[offeringid]:[ignore]])</f>
        <v>{"offeringid":"990000100","name":"ONDEMAND_GPRS","mode":"I"}</v>
      </c>
      <c r="I582" t="str">
        <f>ToJsonArray(supplementary_offering_legacyid__4[[#This Row],[semilla04]],supplementary_offering_legacyid__4[[#This Row],[json]])</f>
        <v>{"ONDEMAND":{"offeringid":"990000100","name":"ONDEMAND_GPRS","mode":"I"}}</v>
      </c>
    </row>
    <row r="583" spans="1:9" x14ac:dyDescent="0.25">
      <c r="A583" s="60" t="s">
        <v>3858</v>
      </c>
      <c r="B583" s="60" t="str">
        <f>findKey(supplementary_offering_legacyid__4[[#This Row],[PRODUCCION]])</f>
        <v>100001-56</v>
      </c>
      <c r="C583" s="61" t="s">
        <v>3859</v>
      </c>
      <c r="D583" t="s">
        <v>3860</v>
      </c>
      <c r="E583" t="s">
        <v>2329</v>
      </c>
      <c r="F583" s="61"/>
      <c r="H583" t="str">
        <f>ToJsonArray(supplementary_offering_legacyid__4[[#Headers],[offeringid]:[json]],supplementary_offering_legacyid__4[[#This Row],[offeringid]:[ignore]])</f>
        <v>{"offeringid":"910000156","name":"Voz-OnNet-Ilimitado_910000156","mode":"N"}</v>
      </c>
      <c r="I583" t="str">
        <f>ToJsonArray(supplementary_offering_legacyid__4[[#This Row],[semilla04]],supplementary_offering_legacyid__4[[#This Row],[json]])</f>
        <v>{"100001-56":{"offeringid":"910000156","name":"Voz-OnNet-Ilimitado_910000156","mode":"N"}}</v>
      </c>
    </row>
    <row r="584" spans="1:9" x14ac:dyDescent="0.25">
      <c r="A584" s="60" t="s">
        <v>3861</v>
      </c>
      <c r="B584" s="60" t="str">
        <f>findKey(supplementary_offering_legacyid__4[[#This Row],[PRODUCCION]])</f>
        <v>100001-57</v>
      </c>
      <c r="C584" s="61" t="s">
        <v>3862</v>
      </c>
      <c r="D584" t="s">
        <v>3863</v>
      </c>
      <c r="E584" t="s">
        <v>2329</v>
      </c>
      <c r="F584" s="61"/>
      <c r="H584" t="str">
        <f>ToJsonArray(supplementary_offering_legacyid__4[[#Headers],[offeringid]:[json]],supplementary_offering_legacyid__4[[#This Row],[offeringid]:[ignore]])</f>
        <v>{"offeringid":"910000157","name":"Voz-OnNet-Ilimitado_910000157","mode":"N"}</v>
      </c>
      <c r="I584" t="str">
        <f>ToJsonArray(supplementary_offering_legacyid__4[[#This Row],[semilla04]],supplementary_offering_legacyid__4[[#This Row],[json]])</f>
        <v>{"100001-57":{"offeringid":"910000157","name":"Voz-OnNet-Ilimitado_910000157","mode":"N"}}</v>
      </c>
    </row>
    <row r="585" spans="1:9" x14ac:dyDescent="0.25">
      <c r="A585" s="60" t="s">
        <v>3864</v>
      </c>
      <c r="B585" s="60" t="str">
        <f>findKey(supplementary_offering_legacyid__4[[#This Row],[PRODUCCION]])</f>
        <v>100001-58</v>
      </c>
      <c r="C585" s="61" t="s">
        <v>3865</v>
      </c>
      <c r="D585" t="s">
        <v>3866</v>
      </c>
      <c r="E585" t="s">
        <v>2329</v>
      </c>
      <c r="F585" s="61"/>
      <c r="H585" t="str">
        <f>ToJsonArray(supplementary_offering_legacyid__4[[#Headers],[offeringid]:[json]],supplementary_offering_legacyid__4[[#This Row],[offeringid]:[ignore]])</f>
        <v>{"offeringid":"910000158","name":"Voz-OnNet-Ilimitado_910000158","mode":"N"}</v>
      </c>
      <c r="I585" t="str">
        <f>ToJsonArray(supplementary_offering_legacyid__4[[#This Row],[semilla04]],supplementary_offering_legacyid__4[[#This Row],[json]])</f>
        <v>{"100001-58":{"offeringid":"910000158","name":"Voz-OnNet-Ilimitado_910000158","mode":"N"}}</v>
      </c>
    </row>
    <row r="586" spans="1:9" x14ac:dyDescent="0.25">
      <c r="A586" s="60" t="s">
        <v>3867</v>
      </c>
      <c r="B586" s="60" t="str">
        <f>findKey(supplementary_offering_legacyid__4[[#This Row],[PRODUCCION]])</f>
        <v>100001-59</v>
      </c>
      <c r="C586" s="61" t="s">
        <v>3868</v>
      </c>
      <c r="D586" t="s">
        <v>3869</v>
      </c>
      <c r="E586" t="s">
        <v>2329</v>
      </c>
      <c r="F586" s="61"/>
      <c r="H586" t="str">
        <f>ToJsonArray(supplementary_offering_legacyid__4[[#Headers],[offeringid]:[json]],supplementary_offering_legacyid__4[[#This Row],[offeringid]:[ignore]])</f>
        <v>{"offeringid":"910000159","name":"Voz-OnNet-Ilimitado_910000159","mode":"N"}</v>
      </c>
      <c r="I586" t="str">
        <f>ToJsonArray(supplementary_offering_legacyid__4[[#This Row],[semilla04]],supplementary_offering_legacyid__4[[#This Row],[json]])</f>
        <v>{"100001-59":{"offeringid":"910000159","name":"Voz-OnNet-Ilimitado_910000159","mode":"N"}}</v>
      </c>
    </row>
    <row r="587" spans="1:9" x14ac:dyDescent="0.25">
      <c r="A587" s="60" t="s">
        <v>3870</v>
      </c>
      <c r="B587" s="60" t="str">
        <f>findKey(supplementary_offering_legacyid__4[[#This Row],[PRODUCCION]])</f>
        <v>100001-60</v>
      </c>
      <c r="C587" s="61" t="s">
        <v>3871</v>
      </c>
      <c r="D587" t="s">
        <v>3872</v>
      </c>
      <c r="E587" t="s">
        <v>2329</v>
      </c>
      <c r="F587" s="61"/>
      <c r="H587" t="str">
        <f>ToJsonArray(supplementary_offering_legacyid__4[[#Headers],[offeringid]:[json]],supplementary_offering_legacyid__4[[#This Row],[offeringid]:[ignore]])</f>
        <v>{"offeringid":"910000160","name":"Voz-OnNet-Ilimitado_910000160","mode":"N"}</v>
      </c>
      <c r="I587" t="str">
        <f>ToJsonArray(supplementary_offering_legacyid__4[[#This Row],[semilla04]],supplementary_offering_legacyid__4[[#This Row],[json]])</f>
        <v>{"100001-60":{"offeringid":"910000160","name":"Voz-OnNet-Ilimitado_910000160","mode":"N"}}</v>
      </c>
    </row>
    <row r="588" spans="1:9" x14ac:dyDescent="0.25">
      <c r="A588" s="60" t="s">
        <v>3873</v>
      </c>
      <c r="B588" s="60" t="str">
        <f>findKey(supplementary_offering_legacyid__4[[#This Row],[PRODUCCION]])</f>
        <v>100001-61</v>
      </c>
      <c r="C588" s="61" t="s">
        <v>3874</v>
      </c>
      <c r="D588" t="s">
        <v>3875</v>
      </c>
      <c r="E588" t="s">
        <v>2329</v>
      </c>
      <c r="F588" s="61"/>
      <c r="H588" t="str">
        <f>ToJsonArray(supplementary_offering_legacyid__4[[#Headers],[offeringid]:[json]],supplementary_offering_legacyid__4[[#This Row],[offeringid]:[ignore]])</f>
        <v>{"offeringid":"910000161","name":"Voz-OnNet-Ilimitado_910000161","mode":"N"}</v>
      </c>
      <c r="I588" t="str">
        <f>ToJsonArray(supplementary_offering_legacyid__4[[#This Row],[semilla04]],supplementary_offering_legacyid__4[[#This Row],[json]])</f>
        <v>{"100001-61":{"offeringid":"910000161","name":"Voz-OnNet-Ilimitado_910000161","mode":"N"}}</v>
      </c>
    </row>
    <row r="589" spans="1:9" x14ac:dyDescent="0.25">
      <c r="A589" s="60" t="s">
        <v>3876</v>
      </c>
      <c r="B589" s="60" t="str">
        <f>findKey(supplementary_offering_legacyid__4[[#This Row],[PRODUCCION]])</f>
        <v>100001-62</v>
      </c>
      <c r="C589" s="61" t="s">
        <v>3877</v>
      </c>
      <c r="D589" t="s">
        <v>3878</v>
      </c>
      <c r="E589" t="s">
        <v>2329</v>
      </c>
      <c r="F589" s="61"/>
      <c r="H589" t="str">
        <f>ToJsonArray(supplementary_offering_legacyid__4[[#Headers],[offeringid]:[json]],supplementary_offering_legacyid__4[[#This Row],[offeringid]:[ignore]])</f>
        <v>{"offeringid":"910000162","name":"Voz-OnNet-Ilimitado_910000162","mode":"N"}</v>
      </c>
      <c r="I589" t="str">
        <f>ToJsonArray(supplementary_offering_legacyid__4[[#This Row],[semilla04]],supplementary_offering_legacyid__4[[#This Row],[json]])</f>
        <v>{"100001-62":{"offeringid":"910000162","name":"Voz-OnNet-Ilimitado_910000162","mode":"N"}}</v>
      </c>
    </row>
    <row r="590" spans="1:9" x14ac:dyDescent="0.25">
      <c r="A590" s="60" t="s">
        <v>3879</v>
      </c>
      <c r="B590" s="60" t="str">
        <f>findKey(supplementary_offering_legacyid__4[[#This Row],[PRODUCCION]])</f>
        <v>100001-63</v>
      </c>
      <c r="C590" s="61" t="s">
        <v>3880</v>
      </c>
      <c r="D590" t="s">
        <v>3881</v>
      </c>
      <c r="E590" t="s">
        <v>2329</v>
      </c>
      <c r="F590" s="61"/>
      <c r="H590" t="str">
        <f>ToJsonArray(supplementary_offering_legacyid__4[[#Headers],[offeringid]:[json]],supplementary_offering_legacyid__4[[#This Row],[offeringid]:[ignore]])</f>
        <v>{"offeringid":"910000163","name":"Voz-OnNet-Ilimitado_910000163","mode":"N"}</v>
      </c>
      <c r="I590" t="str">
        <f>ToJsonArray(supplementary_offering_legacyid__4[[#This Row],[semilla04]],supplementary_offering_legacyid__4[[#This Row],[json]])</f>
        <v>{"100001-63":{"offeringid":"910000163","name":"Voz-OnNet-Ilimitado_910000163","mode":"N"}}</v>
      </c>
    </row>
    <row r="591" spans="1:9" x14ac:dyDescent="0.25">
      <c r="A591" s="60" t="s">
        <v>3882</v>
      </c>
      <c r="B591" s="60" t="str">
        <f>findKey(supplementary_offering_legacyid__4[[#This Row],[PRODUCCION]])</f>
        <v>100001-64</v>
      </c>
      <c r="C591" s="61" t="s">
        <v>3883</v>
      </c>
      <c r="D591" t="s">
        <v>3884</v>
      </c>
      <c r="E591" t="s">
        <v>2329</v>
      </c>
      <c r="F591" s="61"/>
      <c r="H591" t="str">
        <f>ToJsonArray(supplementary_offering_legacyid__4[[#Headers],[offeringid]:[json]],supplementary_offering_legacyid__4[[#This Row],[offeringid]:[ignore]])</f>
        <v>{"offeringid":"910000164","name":"Voz-OnNet-Ilimitado_910000164","mode":"N"}</v>
      </c>
      <c r="I591" t="str">
        <f>ToJsonArray(supplementary_offering_legacyid__4[[#This Row],[semilla04]],supplementary_offering_legacyid__4[[#This Row],[json]])</f>
        <v>{"100001-64":{"offeringid":"910000164","name":"Voz-OnNet-Ilimitado_910000164","mode":"N"}}</v>
      </c>
    </row>
    <row r="592" spans="1:9" x14ac:dyDescent="0.25">
      <c r="A592" s="60" t="s">
        <v>3885</v>
      </c>
      <c r="B592" s="60" t="str">
        <f>findKey(supplementary_offering_legacyid__4[[#This Row],[PRODUCCION]])</f>
        <v>100001-65</v>
      </c>
      <c r="C592" s="61" t="s">
        <v>3886</v>
      </c>
      <c r="D592" t="s">
        <v>3887</v>
      </c>
      <c r="E592" t="s">
        <v>2329</v>
      </c>
      <c r="F592" s="61"/>
      <c r="H592" t="str">
        <f>ToJsonArray(supplementary_offering_legacyid__4[[#Headers],[offeringid]:[json]],supplementary_offering_legacyid__4[[#This Row],[offeringid]:[ignore]])</f>
        <v>{"offeringid":"910000165","name":"Voz-OnNet-Ilimitado_910000165","mode":"N"}</v>
      </c>
      <c r="I592" t="str">
        <f>ToJsonArray(supplementary_offering_legacyid__4[[#This Row],[semilla04]],supplementary_offering_legacyid__4[[#This Row],[json]])</f>
        <v>{"100001-65":{"offeringid":"910000165","name":"Voz-OnNet-Ilimitado_910000165","mode":"N"}}</v>
      </c>
    </row>
    <row r="593" spans="1:9" x14ac:dyDescent="0.25">
      <c r="A593" s="60" t="s">
        <v>3888</v>
      </c>
      <c r="B593" s="60" t="str">
        <f>findKey(supplementary_offering_legacyid__4[[#This Row],[PRODUCCION]])</f>
        <v>100012-80</v>
      </c>
      <c r="C593" s="61" t="s">
        <v>3889</v>
      </c>
      <c r="D593" t="s">
        <v>3890</v>
      </c>
      <c r="E593" t="s">
        <v>2329</v>
      </c>
      <c r="F593" s="61"/>
      <c r="H593" t="str">
        <f>ToJsonArray(supplementary_offering_legacyid__4[[#Headers],[offeringid]:[json]],supplementary_offering_legacyid__4[[#This Row],[offeringid]:[ignore]])</f>
        <v>{"offeringid":"910001280","name":"Voz-TD-15000s_910001280","mode":"N"}</v>
      </c>
      <c r="I593" t="str">
        <f>ToJsonArray(supplementary_offering_legacyid__4[[#This Row],[semilla04]],supplementary_offering_legacyid__4[[#This Row],[json]])</f>
        <v>{"100012-80":{"offeringid":"910001280","name":"Voz-TD-15000s_910001280","mode":"N"}}</v>
      </c>
    </row>
    <row r="594" spans="1:9" x14ac:dyDescent="0.25">
      <c r="A594" s="60" t="s">
        <v>3891</v>
      </c>
      <c r="B594" s="60" t="str">
        <f>findKey(supplementary_offering_legacyid__4[[#This Row],[PRODUCCION]])</f>
        <v>100012-81</v>
      </c>
      <c r="C594" s="61" t="s">
        <v>3892</v>
      </c>
      <c r="D594" t="s">
        <v>3893</v>
      </c>
      <c r="E594" t="s">
        <v>2329</v>
      </c>
      <c r="F594" s="61"/>
      <c r="H594" t="str">
        <f>ToJsonArray(supplementary_offering_legacyid__4[[#Headers],[offeringid]:[json]],supplementary_offering_legacyid__4[[#This Row],[offeringid]:[ignore]])</f>
        <v>{"offeringid":"910001281","name":"Voz-TD-24000s_910001281","mode":"N"}</v>
      </c>
      <c r="I594" t="str">
        <f>ToJsonArray(supplementary_offering_legacyid__4[[#This Row],[semilla04]],supplementary_offering_legacyid__4[[#This Row],[json]])</f>
        <v>{"100012-81":{"offeringid":"910001281","name":"Voz-TD-24000s_910001281","mode":"N"}}</v>
      </c>
    </row>
    <row r="595" spans="1:9" x14ac:dyDescent="0.25">
      <c r="A595" s="60" t="s">
        <v>3894</v>
      </c>
      <c r="B595" s="60" t="str">
        <f>findKey(supplementary_offering_legacyid__4[[#This Row],[PRODUCCION]])</f>
        <v>100012-82</v>
      </c>
      <c r="C595" s="61" t="s">
        <v>3895</v>
      </c>
      <c r="D595" t="s">
        <v>3896</v>
      </c>
      <c r="E595" t="s">
        <v>2329</v>
      </c>
      <c r="F595" s="61"/>
      <c r="H595" t="str">
        <f>ToJsonArray(supplementary_offering_legacyid__4[[#Headers],[offeringid]:[json]],supplementary_offering_legacyid__4[[#This Row],[offeringid]:[ignore]])</f>
        <v>{"offeringid":"910001282","name":"Voz-TD-45000s_910001282","mode":"N"}</v>
      </c>
      <c r="I595" t="str">
        <f>ToJsonArray(supplementary_offering_legacyid__4[[#This Row],[semilla04]],supplementary_offering_legacyid__4[[#This Row],[json]])</f>
        <v>{"100012-82":{"offeringid":"910001282","name":"Voz-TD-45000s_910001282","mode":"N"}}</v>
      </c>
    </row>
    <row r="596" spans="1:9" x14ac:dyDescent="0.25">
      <c r="A596" s="60" t="s">
        <v>3897</v>
      </c>
      <c r="B596" s="60" t="str">
        <f>findKey(supplementary_offering_legacyid__4[[#This Row],[PRODUCCION]])</f>
        <v>100012-83</v>
      </c>
      <c r="C596" s="61" t="s">
        <v>3898</v>
      </c>
      <c r="D596" t="s">
        <v>3899</v>
      </c>
      <c r="E596" t="s">
        <v>2329</v>
      </c>
      <c r="F596" s="61"/>
      <c r="H596" t="str">
        <f>ToJsonArray(supplementary_offering_legacyid__4[[#Headers],[offeringid]:[json]],supplementary_offering_legacyid__4[[#This Row],[offeringid]:[ignore]])</f>
        <v>{"offeringid":"910001283","name":"Voz-TD-54000s_910001283","mode":"N"}</v>
      </c>
      <c r="I596" t="str">
        <f>ToJsonArray(supplementary_offering_legacyid__4[[#This Row],[semilla04]],supplementary_offering_legacyid__4[[#This Row],[json]])</f>
        <v>{"100012-83":{"offeringid":"910001283","name":"Voz-TD-54000s_910001283","mode":"N"}}</v>
      </c>
    </row>
    <row r="597" spans="1:9" x14ac:dyDescent="0.25">
      <c r="A597" s="60" t="s">
        <v>3900</v>
      </c>
      <c r="B597" s="60" t="str">
        <f>findKey(supplementary_offering_legacyid__4[[#This Row],[PRODUCCION]])</f>
        <v>100012-84</v>
      </c>
      <c r="C597" s="61" t="s">
        <v>3901</v>
      </c>
      <c r="D597" t="s">
        <v>3902</v>
      </c>
      <c r="E597" t="s">
        <v>2329</v>
      </c>
      <c r="F597" s="61"/>
      <c r="H597" t="str">
        <f>ToJsonArray(supplementary_offering_legacyid__4[[#Headers],[offeringid]:[json]],supplementary_offering_legacyid__4[[#This Row],[offeringid]:[ignore]])</f>
        <v>{"offeringid":"910001284","name":"Voz-TD-84000s_910001284","mode":"N"}</v>
      </c>
      <c r="I597" t="str">
        <f>ToJsonArray(supplementary_offering_legacyid__4[[#This Row],[semilla04]],supplementary_offering_legacyid__4[[#This Row],[json]])</f>
        <v>{"100012-84":{"offeringid":"910001284","name":"Voz-TD-84000s_910001284","mode":"N"}}</v>
      </c>
    </row>
    <row r="598" spans="1:9" x14ac:dyDescent="0.25">
      <c r="A598" s="60" t="s">
        <v>3903</v>
      </c>
      <c r="B598" s="60" t="str">
        <f>findKey(supplementary_offering_legacyid__4[[#This Row],[PRODUCCION]])</f>
        <v>100012-85</v>
      </c>
      <c r="C598" s="61" t="s">
        <v>3904</v>
      </c>
      <c r="D598" t="s">
        <v>3905</v>
      </c>
      <c r="E598" t="s">
        <v>2329</v>
      </c>
      <c r="F598" s="61"/>
      <c r="H598" t="str">
        <f>ToJsonArray(supplementary_offering_legacyid__4[[#Headers],[offeringid]:[json]],supplementary_offering_legacyid__4[[#This Row],[offeringid]:[ignore]])</f>
        <v>{"offeringid":"910001285","name":"Voz-TD-2678400s_910001285","mode":"N"}</v>
      </c>
      <c r="I598" t="str">
        <f>ToJsonArray(supplementary_offering_legacyid__4[[#This Row],[semilla04]],supplementary_offering_legacyid__4[[#This Row],[json]])</f>
        <v>{"100012-85":{"offeringid":"910001285","name":"Voz-TD-2678400s_910001285","mode":"N"}}</v>
      </c>
    </row>
    <row r="599" spans="1:9" x14ac:dyDescent="0.25">
      <c r="A599" s="60" t="s">
        <v>3906</v>
      </c>
      <c r="B599" s="60" t="str">
        <f>findKey(supplementary_offering_legacyid__4[[#This Row],[PRODUCCION]])</f>
        <v>100012-86</v>
      </c>
      <c r="C599" s="61" t="s">
        <v>3907</v>
      </c>
      <c r="D599" t="s">
        <v>3908</v>
      </c>
      <c r="E599" t="s">
        <v>2329</v>
      </c>
      <c r="F599" s="61"/>
      <c r="H599" t="str">
        <f>ToJsonArray(supplementary_offering_legacyid__4[[#Headers],[offeringid]:[json]],supplementary_offering_legacyid__4[[#This Row],[offeringid]:[ignore]])</f>
        <v>{"offeringid":"910001286","name":"Voz-TD-2678400s_910001286","mode":"N"}</v>
      </c>
      <c r="I599" t="str">
        <f>ToJsonArray(supplementary_offering_legacyid__4[[#This Row],[semilla04]],supplementary_offering_legacyid__4[[#This Row],[json]])</f>
        <v>{"100012-86":{"offeringid":"910001286","name":"Voz-TD-2678400s_910001286","mode":"N"}}</v>
      </c>
    </row>
    <row r="600" spans="1:9" x14ac:dyDescent="0.25">
      <c r="A600" s="60" t="s">
        <v>3909</v>
      </c>
      <c r="B600" s="60" t="str">
        <f>findKey(supplementary_offering_legacyid__4[[#This Row],[PRODUCCION]])</f>
        <v>100012-87</v>
      </c>
      <c r="C600" s="61" t="s">
        <v>3910</v>
      </c>
      <c r="D600" t="s">
        <v>3911</v>
      </c>
      <c r="E600" t="s">
        <v>2329</v>
      </c>
      <c r="F600" s="61"/>
      <c r="H600" t="str">
        <f>ToJsonArray(supplementary_offering_legacyid__4[[#Headers],[offeringid]:[json]],supplementary_offering_legacyid__4[[#This Row],[offeringid]:[ignore]])</f>
        <v>{"offeringid":"910001287","name":"Voz-TD-2678400s_910001287","mode":"N"}</v>
      </c>
      <c r="I600" t="str">
        <f>ToJsonArray(supplementary_offering_legacyid__4[[#This Row],[semilla04]],supplementary_offering_legacyid__4[[#This Row],[json]])</f>
        <v>{"100012-87":{"offeringid":"910001287","name":"Voz-TD-2678400s_910001287","mode":"N"}}</v>
      </c>
    </row>
    <row r="601" spans="1:9" x14ac:dyDescent="0.25">
      <c r="A601" s="60" t="s">
        <v>3912</v>
      </c>
      <c r="B601" s="60" t="str">
        <f>findKey(supplementary_offering_legacyid__4[[#This Row],[PRODUCCION]])</f>
        <v>100012-88</v>
      </c>
      <c r="C601" s="61" t="s">
        <v>3913</v>
      </c>
      <c r="D601" t="s">
        <v>3914</v>
      </c>
      <c r="E601" t="s">
        <v>2329</v>
      </c>
      <c r="F601" s="61"/>
      <c r="H601" t="str">
        <f>ToJsonArray(supplementary_offering_legacyid__4[[#Headers],[offeringid]:[json]],supplementary_offering_legacyid__4[[#This Row],[offeringid]:[ignore]])</f>
        <v>{"offeringid":"910001288","name":"Voz-TD-2678400s_910001288","mode":"N"}</v>
      </c>
      <c r="I601" t="str">
        <f>ToJsonArray(supplementary_offering_legacyid__4[[#This Row],[semilla04]],supplementary_offering_legacyid__4[[#This Row],[json]])</f>
        <v>{"100012-88":{"offeringid":"910001288","name":"Voz-TD-2678400s_910001288","mode":"N"}}</v>
      </c>
    </row>
    <row r="602" spans="1:9" x14ac:dyDescent="0.25">
      <c r="A602" s="60" t="s">
        <v>3915</v>
      </c>
      <c r="B602" s="60" t="str">
        <f>findKey(supplementary_offering_legacyid__4[[#This Row],[PRODUCCION]])</f>
        <v>100012-89</v>
      </c>
      <c r="C602" s="61" t="s">
        <v>3916</v>
      </c>
      <c r="D602" t="s">
        <v>3917</v>
      </c>
      <c r="E602" t="s">
        <v>2329</v>
      </c>
      <c r="F602" s="61"/>
      <c r="H602" t="str">
        <f>ToJsonArray(supplementary_offering_legacyid__4[[#Headers],[offeringid]:[json]],supplementary_offering_legacyid__4[[#This Row],[offeringid]:[ignore]])</f>
        <v>{"offeringid":"910001289","name":"Voz-TD-2678400s_910001289","mode":"N"}</v>
      </c>
      <c r="I602" t="str">
        <f>ToJsonArray(supplementary_offering_legacyid__4[[#This Row],[semilla04]],supplementary_offering_legacyid__4[[#This Row],[json]])</f>
        <v>{"100012-89":{"offeringid":"910001289","name":"Voz-TD-2678400s_910001289","mode":"N"}}</v>
      </c>
    </row>
    <row r="603" spans="1:9" x14ac:dyDescent="0.25">
      <c r="A603" s="60" t="s">
        <v>3918</v>
      </c>
      <c r="B603" s="60" t="str">
        <f>findKey(supplementary_offering_legacyid__4[[#This Row],[PRODUCCION]])</f>
        <v>100012-90</v>
      </c>
      <c r="C603" s="61" t="s">
        <v>3919</v>
      </c>
      <c r="D603" t="s">
        <v>3920</v>
      </c>
      <c r="E603" t="s">
        <v>2329</v>
      </c>
      <c r="F603" s="61"/>
      <c r="H603" t="str">
        <f>ToJsonArray(supplementary_offering_legacyid__4[[#Headers],[offeringid]:[json]],supplementary_offering_legacyid__4[[#This Row],[offeringid]:[ignore]])</f>
        <v>{"offeringid":"910001290","name":"Voz-TD-2678400s_910001290","mode":"N"}</v>
      </c>
      <c r="I603" t="str">
        <f>ToJsonArray(supplementary_offering_legacyid__4[[#This Row],[semilla04]],supplementary_offering_legacyid__4[[#This Row],[json]])</f>
        <v>{"100012-90":{"offeringid":"910001290","name":"Voz-TD-2678400s_910001290","mode":"N"}}</v>
      </c>
    </row>
    <row r="604" spans="1:9" x14ac:dyDescent="0.25">
      <c r="A604" s="60" t="s">
        <v>3921</v>
      </c>
      <c r="B604" s="60" t="str">
        <f>findKey(supplementary_offering_legacyid__4[[#This Row],[PRODUCCION]])</f>
        <v>100012-91</v>
      </c>
      <c r="C604" s="61" t="s">
        <v>3922</v>
      </c>
      <c r="D604" t="s">
        <v>3923</v>
      </c>
      <c r="E604" t="s">
        <v>2329</v>
      </c>
      <c r="F604" s="61"/>
      <c r="H604" t="str">
        <f>ToJsonArray(supplementary_offering_legacyid__4[[#Headers],[offeringid]:[json]],supplementary_offering_legacyid__4[[#This Row],[offeringid]:[ignore]])</f>
        <v>{"offeringid":"910001291","name":"Voz-TD-15000s_910001291","mode":"N"}</v>
      </c>
      <c r="I604" t="str">
        <f>ToJsonArray(supplementary_offering_legacyid__4[[#This Row],[semilla04]],supplementary_offering_legacyid__4[[#This Row],[json]])</f>
        <v>{"100012-91":{"offeringid":"910001291","name":"Voz-TD-15000s_910001291","mode":"N"}}</v>
      </c>
    </row>
    <row r="605" spans="1:9" x14ac:dyDescent="0.25">
      <c r="A605" s="60" t="s">
        <v>3924</v>
      </c>
      <c r="B605" s="60" t="str">
        <f>findKey(supplementary_offering_legacyid__4[[#This Row],[PRODUCCION]])</f>
        <v>100012-92</v>
      </c>
      <c r="C605" s="61" t="s">
        <v>3925</v>
      </c>
      <c r="D605" t="s">
        <v>3926</v>
      </c>
      <c r="E605" t="s">
        <v>2329</v>
      </c>
      <c r="F605" s="61"/>
      <c r="H605" t="str">
        <f>ToJsonArray(supplementary_offering_legacyid__4[[#Headers],[offeringid]:[json]],supplementary_offering_legacyid__4[[#This Row],[offeringid]:[ignore]])</f>
        <v>{"offeringid":"910001292","name":"Voz-TD-24000s_910001292","mode":"N"}</v>
      </c>
      <c r="I605" t="str">
        <f>ToJsonArray(supplementary_offering_legacyid__4[[#This Row],[semilla04]],supplementary_offering_legacyid__4[[#This Row],[json]])</f>
        <v>{"100012-92":{"offeringid":"910001292","name":"Voz-TD-24000s_910001292","mode":"N"}}</v>
      </c>
    </row>
    <row r="606" spans="1:9" x14ac:dyDescent="0.25">
      <c r="A606" s="60" t="s">
        <v>3927</v>
      </c>
      <c r="B606" s="60" t="str">
        <f>findKey(supplementary_offering_legacyid__4[[#This Row],[PRODUCCION]])</f>
        <v>100012-93</v>
      </c>
      <c r="C606" s="61" t="s">
        <v>3928</v>
      </c>
      <c r="D606" t="s">
        <v>3929</v>
      </c>
      <c r="E606" t="s">
        <v>2329</v>
      </c>
      <c r="F606" s="61"/>
      <c r="H606" t="str">
        <f>ToJsonArray(supplementary_offering_legacyid__4[[#Headers],[offeringid]:[json]],supplementary_offering_legacyid__4[[#This Row],[offeringid]:[ignore]])</f>
        <v>{"offeringid":"910001293","name":"Voz-TD-45000s_910001293","mode":"N"}</v>
      </c>
      <c r="I606" t="str">
        <f>ToJsonArray(supplementary_offering_legacyid__4[[#This Row],[semilla04]],supplementary_offering_legacyid__4[[#This Row],[json]])</f>
        <v>{"100012-93":{"offeringid":"910001293","name":"Voz-TD-45000s_910001293","mode":"N"}}</v>
      </c>
    </row>
    <row r="607" spans="1:9" x14ac:dyDescent="0.25">
      <c r="A607" s="60" t="s">
        <v>3930</v>
      </c>
      <c r="B607" s="60" t="str">
        <f>findKey(supplementary_offering_legacyid__4[[#This Row],[PRODUCCION]])</f>
        <v>100012-94</v>
      </c>
      <c r="C607" s="61" t="s">
        <v>3931</v>
      </c>
      <c r="D607" t="s">
        <v>3932</v>
      </c>
      <c r="E607" t="s">
        <v>2329</v>
      </c>
      <c r="F607" s="61"/>
      <c r="H607" t="str">
        <f>ToJsonArray(supplementary_offering_legacyid__4[[#Headers],[offeringid]:[json]],supplementary_offering_legacyid__4[[#This Row],[offeringid]:[ignore]])</f>
        <v>{"offeringid":"910001294","name":"Voz-TD-54000s_910001294","mode":"N"}</v>
      </c>
      <c r="I607" t="str">
        <f>ToJsonArray(supplementary_offering_legacyid__4[[#This Row],[semilla04]],supplementary_offering_legacyid__4[[#This Row],[json]])</f>
        <v>{"100012-94":{"offeringid":"910001294","name":"Voz-TD-54000s_910001294","mode":"N"}}</v>
      </c>
    </row>
    <row r="608" spans="1:9" x14ac:dyDescent="0.25">
      <c r="A608" s="60" t="s">
        <v>3933</v>
      </c>
      <c r="B608" s="60" t="str">
        <f>findKey(supplementary_offering_legacyid__4[[#This Row],[PRODUCCION]])</f>
        <v>100012-95</v>
      </c>
      <c r="C608" s="61" t="s">
        <v>3934</v>
      </c>
      <c r="D608" t="s">
        <v>3935</v>
      </c>
      <c r="E608" t="s">
        <v>2329</v>
      </c>
      <c r="F608" s="61"/>
      <c r="H608" t="str">
        <f>ToJsonArray(supplementary_offering_legacyid__4[[#Headers],[offeringid]:[json]],supplementary_offering_legacyid__4[[#This Row],[offeringid]:[ignore]])</f>
        <v>{"offeringid":"910001295","name":"Voz-TD-2678400s_910001295","mode":"N"}</v>
      </c>
      <c r="I608" t="str">
        <f>ToJsonArray(supplementary_offering_legacyid__4[[#This Row],[semilla04]],supplementary_offering_legacyid__4[[#This Row],[json]])</f>
        <v>{"100012-95":{"offeringid":"910001295","name":"Voz-TD-2678400s_910001295","mode":"N"}}</v>
      </c>
    </row>
    <row r="609" spans="1:9" x14ac:dyDescent="0.25">
      <c r="A609" s="60" t="s">
        <v>3936</v>
      </c>
      <c r="B609" s="60" t="str">
        <f>findKey(supplementary_offering_legacyid__4[[#This Row],[PRODUCCION]])</f>
        <v>100012-96</v>
      </c>
      <c r="C609" s="61" t="s">
        <v>3937</v>
      </c>
      <c r="D609" t="s">
        <v>3938</v>
      </c>
      <c r="E609" t="s">
        <v>2329</v>
      </c>
      <c r="F609" s="61"/>
      <c r="H609" t="str">
        <f>ToJsonArray(supplementary_offering_legacyid__4[[#Headers],[offeringid]:[json]],supplementary_offering_legacyid__4[[#This Row],[offeringid]:[ignore]])</f>
        <v>{"offeringid":"910001296","name":"Voz-TD-2678400s_910001296","mode":"N"}</v>
      </c>
      <c r="I609" t="str">
        <f>ToJsonArray(supplementary_offering_legacyid__4[[#This Row],[semilla04]],supplementary_offering_legacyid__4[[#This Row],[json]])</f>
        <v>{"100012-96":{"offeringid":"910001296","name":"Voz-TD-2678400s_910001296","mode":"N"}}</v>
      </c>
    </row>
    <row r="610" spans="1:9" x14ac:dyDescent="0.25">
      <c r="A610" s="60" t="s">
        <v>3939</v>
      </c>
      <c r="B610" s="60" t="str">
        <f>findKey(supplementary_offering_legacyid__4[[#This Row],[PRODUCCION]])</f>
        <v>100012-97</v>
      </c>
      <c r="C610" s="61" t="s">
        <v>3940</v>
      </c>
      <c r="D610" t="s">
        <v>3941</v>
      </c>
      <c r="E610" t="s">
        <v>2329</v>
      </c>
      <c r="F610" s="61"/>
      <c r="H610" t="str">
        <f>ToJsonArray(supplementary_offering_legacyid__4[[#Headers],[offeringid]:[json]],supplementary_offering_legacyid__4[[#This Row],[offeringid]:[ignore]])</f>
        <v>{"offeringid":"910001297","name":"Voz-TD-2678400s_910001297","mode":"N"}</v>
      </c>
      <c r="I610" t="str">
        <f>ToJsonArray(supplementary_offering_legacyid__4[[#This Row],[semilla04]],supplementary_offering_legacyid__4[[#This Row],[json]])</f>
        <v>{"100012-97":{"offeringid":"910001297","name":"Voz-TD-2678400s_910001297","mode":"N"}}</v>
      </c>
    </row>
    <row r="611" spans="1:9" x14ac:dyDescent="0.25">
      <c r="A611" s="60" t="s">
        <v>3942</v>
      </c>
      <c r="B611" s="60" t="str">
        <f>findKey(supplementary_offering_legacyid__4[[#This Row],[PRODUCCION]])</f>
        <v>100012-98</v>
      </c>
      <c r="C611" s="61" t="s">
        <v>3943</v>
      </c>
      <c r="D611" t="s">
        <v>3944</v>
      </c>
      <c r="E611" t="s">
        <v>2329</v>
      </c>
      <c r="F611" s="61"/>
      <c r="H611" t="str">
        <f>ToJsonArray(supplementary_offering_legacyid__4[[#Headers],[offeringid]:[json]],supplementary_offering_legacyid__4[[#This Row],[offeringid]:[ignore]])</f>
        <v>{"offeringid":"910001298","name":"Voz-TD-2678400s_910001298","mode":"N"}</v>
      </c>
      <c r="I611" t="str">
        <f>ToJsonArray(supplementary_offering_legacyid__4[[#This Row],[semilla04]],supplementary_offering_legacyid__4[[#This Row],[json]])</f>
        <v>{"100012-98":{"offeringid":"910001298","name":"Voz-TD-2678400s_910001298","mode":"N"}}</v>
      </c>
    </row>
    <row r="612" spans="1:9" x14ac:dyDescent="0.25">
      <c r="A612" s="60" t="s">
        <v>3945</v>
      </c>
      <c r="B612" s="60" t="str">
        <f>findKey(supplementary_offering_legacyid__4[[#This Row],[PRODUCCION]])</f>
        <v>100012-99</v>
      </c>
      <c r="C612" s="61" t="s">
        <v>3946</v>
      </c>
      <c r="D612" t="s">
        <v>3947</v>
      </c>
      <c r="E612" t="s">
        <v>2329</v>
      </c>
      <c r="F612" s="61"/>
      <c r="H612" t="str">
        <f>ToJsonArray(supplementary_offering_legacyid__4[[#Headers],[offeringid]:[json]],supplementary_offering_legacyid__4[[#This Row],[offeringid]:[ignore]])</f>
        <v>{"offeringid":"910001299","name":"Voz-TD-2678400s_910001299","mode":"N"}</v>
      </c>
      <c r="I612" t="str">
        <f>ToJsonArray(supplementary_offering_legacyid__4[[#This Row],[semilla04]],supplementary_offering_legacyid__4[[#This Row],[json]])</f>
        <v>{"100012-99":{"offeringid":"910001299","name":"Voz-TD-2678400s_910001299","mode":"N"}}</v>
      </c>
    </row>
    <row r="613" spans="1:9" x14ac:dyDescent="0.25">
      <c r="A613" s="60" t="s">
        <v>3948</v>
      </c>
      <c r="B613" s="60" t="str">
        <f>findKey(supplementary_offering_legacyid__4[[#This Row],[PRODUCCION]])</f>
        <v>100022-00</v>
      </c>
      <c r="C613" s="61" t="s">
        <v>3949</v>
      </c>
      <c r="D613" t="s">
        <v>3950</v>
      </c>
      <c r="E613" t="s">
        <v>2329</v>
      </c>
      <c r="F613" s="61"/>
      <c r="H613" t="str">
        <f>ToJsonArray(supplementary_offering_legacyid__4[[#Headers],[offeringid]:[json]],supplementary_offering_legacyid__4[[#This Row],[offeringid]:[ignore]])</f>
        <v>{"offeringid":"910002200","name":"Voz-TD-2678400s_910002200","mode":"N"}</v>
      </c>
      <c r="I613" t="str">
        <f>ToJsonArray(supplementary_offering_legacyid__4[[#This Row],[semilla04]],supplementary_offering_legacyid__4[[#This Row],[json]])</f>
        <v>{"100022-00":{"offeringid":"910002200","name":"Voz-TD-2678400s_910002200","mode":"N"}}</v>
      </c>
    </row>
    <row r="614" spans="1:9" x14ac:dyDescent="0.25">
      <c r="A614" s="60" t="s">
        <v>3951</v>
      </c>
      <c r="B614" s="60" t="str">
        <f>findKey(supplementary_offering_legacyid__4[[#This Row],[PRODUCCION]])</f>
        <v>100022-01</v>
      </c>
      <c r="C614" s="61" t="s">
        <v>3952</v>
      </c>
      <c r="D614" t="s">
        <v>3953</v>
      </c>
      <c r="E614" t="s">
        <v>2329</v>
      </c>
      <c r="F614" s="61"/>
      <c r="H614" t="str">
        <f>ToJsonArray(supplementary_offering_legacyid__4[[#Headers],[offeringid]:[json]],supplementary_offering_legacyid__4[[#This Row],[offeringid]:[ignore]])</f>
        <v>{"offeringid":"910002201","name":"Voz-TD-2678400s_910002201","mode":"N"}</v>
      </c>
      <c r="I614" t="str">
        <f>ToJsonArray(supplementary_offering_legacyid__4[[#This Row],[semilla04]],supplementary_offering_legacyid__4[[#This Row],[json]])</f>
        <v>{"100022-01":{"offeringid":"910002201","name":"Voz-TD-2678400s_910002201","mode":"N"}}</v>
      </c>
    </row>
    <row r="615" spans="1:9" x14ac:dyDescent="0.25">
      <c r="A615" s="60" t="s">
        <v>3954</v>
      </c>
      <c r="B615" s="60" t="str">
        <f>findKey(supplementary_offering_legacyid__4[[#This Row],[PRODUCCION]])</f>
        <v>100022-02</v>
      </c>
      <c r="C615" s="61" t="s">
        <v>3955</v>
      </c>
      <c r="D615" t="s">
        <v>3956</v>
      </c>
      <c r="E615" t="s">
        <v>2329</v>
      </c>
      <c r="F615" s="61"/>
      <c r="H615" t="str">
        <f>ToJsonArray(supplementary_offering_legacyid__4[[#Headers],[offeringid]:[json]],supplementary_offering_legacyid__4[[#This Row],[offeringid]:[ignore]])</f>
        <v>{"offeringid":"910002202","name":"Voz-TD-12000s_910002202","mode":"N"}</v>
      </c>
      <c r="I615" t="str">
        <f>ToJsonArray(supplementary_offering_legacyid__4[[#This Row],[semilla04]],supplementary_offering_legacyid__4[[#This Row],[json]])</f>
        <v>{"100022-02":{"offeringid":"910002202","name":"Voz-TD-12000s_910002202","mode":"N"}}</v>
      </c>
    </row>
    <row r="616" spans="1:9" x14ac:dyDescent="0.25">
      <c r="A616" s="60" t="s">
        <v>3957</v>
      </c>
      <c r="B616" s="60" t="str">
        <f>findKey(supplementary_offering_legacyid__4[[#This Row],[PRODUCCION]])</f>
        <v>100022-03</v>
      </c>
      <c r="C616" s="61" t="s">
        <v>3958</v>
      </c>
      <c r="D616" t="s">
        <v>3959</v>
      </c>
      <c r="E616" t="s">
        <v>2329</v>
      </c>
      <c r="F616" s="61"/>
      <c r="H616" t="str">
        <f>ToJsonArray(supplementary_offering_legacyid__4[[#Headers],[offeringid]:[json]],supplementary_offering_legacyid__4[[#This Row],[offeringid]:[ignore]])</f>
        <v>{"offeringid":"910002203","name":"Voz-TD-12000s_910002203","mode":"N"}</v>
      </c>
      <c r="I616" t="str">
        <f>ToJsonArray(supplementary_offering_legacyid__4[[#This Row],[semilla04]],supplementary_offering_legacyid__4[[#This Row],[json]])</f>
        <v>{"100022-03":{"offeringid":"910002203","name":"Voz-TD-12000s_910002203","mode":"N"}}</v>
      </c>
    </row>
    <row r="617" spans="1:9" x14ac:dyDescent="0.25">
      <c r="A617" s="60" t="s">
        <v>3960</v>
      </c>
      <c r="B617" s="60" t="str">
        <f>findKey(supplementary_offering_legacyid__4[[#This Row],[PRODUCCION]])</f>
        <v>100022-04</v>
      </c>
      <c r="C617" s="61" t="s">
        <v>3961</v>
      </c>
      <c r="D617" t="s">
        <v>3962</v>
      </c>
      <c r="E617" t="s">
        <v>2329</v>
      </c>
      <c r="F617" s="61"/>
      <c r="H617" t="str">
        <f>ToJsonArray(supplementary_offering_legacyid__4[[#Headers],[offeringid]:[json]],supplementary_offering_legacyid__4[[#This Row],[offeringid]:[ignore]])</f>
        <v>{"offeringid":"910002204","name":"Voz-TD-12000s_910002204","mode":"N"}</v>
      </c>
      <c r="I617" t="str">
        <f>ToJsonArray(supplementary_offering_legacyid__4[[#This Row],[semilla04]],supplementary_offering_legacyid__4[[#This Row],[json]])</f>
        <v>{"100022-04":{"offeringid":"910002204","name":"Voz-TD-12000s_910002204","mode":"N"}}</v>
      </c>
    </row>
    <row r="618" spans="1:9" x14ac:dyDescent="0.25">
      <c r="A618" s="60" t="s">
        <v>3963</v>
      </c>
      <c r="B618" s="60" t="str">
        <f>findKey(supplementary_offering_legacyid__4[[#This Row],[PRODUCCION]])</f>
        <v>100022-05</v>
      </c>
      <c r="C618" s="61" t="s">
        <v>3964</v>
      </c>
      <c r="D618" t="s">
        <v>3965</v>
      </c>
      <c r="E618" t="s">
        <v>2329</v>
      </c>
      <c r="F618" s="61"/>
      <c r="H618" t="str">
        <f>ToJsonArray(supplementary_offering_legacyid__4[[#Headers],[offeringid]:[json]],supplementary_offering_legacyid__4[[#This Row],[offeringid]:[ignore]])</f>
        <v>{"offeringid":"910002205","name":"Voz-TD-12000s_910002205","mode":"N"}</v>
      </c>
      <c r="I618" t="str">
        <f>ToJsonArray(supplementary_offering_legacyid__4[[#This Row],[semilla04]],supplementary_offering_legacyid__4[[#This Row],[json]])</f>
        <v>{"100022-05":{"offeringid":"910002205","name":"Voz-TD-12000s_910002205","mode":"N"}}</v>
      </c>
    </row>
    <row r="619" spans="1:9" x14ac:dyDescent="0.25">
      <c r="A619" s="60" t="s">
        <v>3966</v>
      </c>
      <c r="B619" s="60" t="str">
        <f>findKey(supplementary_offering_legacyid__4[[#This Row],[PRODUCCION]])</f>
        <v>100022-06</v>
      </c>
      <c r="C619" s="61" t="s">
        <v>3967</v>
      </c>
      <c r="D619" t="s">
        <v>3968</v>
      </c>
      <c r="E619" t="s">
        <v>2329</v>
      </c>
      <c r="F619" s="61"/>
      <c r="H619" t="str">
        <f>ToJsonArray(supplementary_offering_legacyid__4[[#Headers],[offeringid]:[json]],supplementary_offering_legacyid__4[[#This Row],[offeringid]:[ignore]])</f>
        <v>{"offeringid":"910002206","name":"Voz-TD-12000s_910002206","mode":"N"}</v>
      </c>
      <c r="I619" t="str">
        <f>ToJsonArray(supplementary_offering_legacyid__4[[#This Row],[semilla04]],supplementary_offering_legacyid__4[[#This Row],[json]])</f>
        <v>{"100022-06":{"offeringid":"910002206","name":"Voz-TD-12000s_910002206","mode":"N"}}</v>
      </c>
    </row>
    <row r="620" spans="1:9" x14ac:dyDescent="0.25">
      <c r="A620" s="60" t="s">
        <v>3969</v>
      </c>
      <c r="B620" s="60" t="str">
        <f>findKey(supplementary_offering_legacyid__4[[#This Row],[PRODUCCION]])</f>
        <v>100022-07</v>
      </c>
      <c r="C620" s="61" t="s">
        <v>3970</v>
      </c>
      <c r="D620" t="s">
        <v>3971</v>
      </c>
      <c r="E620" t="s">
        <v>2329</v>
      </c>
      <c r="F620" s="61"/>
      <c r="H620" t="str">
        <f>ToJsonArray(supplementary_offering_legacyid__4[[#Headers],[offeringid]:[json]],supplementary_offering_legacyid__4[[#This Row],[offeringid]:[ignore]])</f>
        <v>{"offeringid":"910002207","name":"Voz-TD-12000s_910002207","mode":"N"}</v>
      </c>
      <c r="I620" t="str">
        <f>ToJsonArray(supplementary_offering_legacyid__4[[#This Row],[semilla04]],supplementary_offering_legacyid__4[[#This Row],[json]])</f>
        <v>{"100022-07":{"offeringid":"910002207","name":"Voz-TD-12000s_910002207","mode":"N"}}</v>
      </c>
    </row>
    <row r="621" spans="1:9" x14ac:dyDescent="0.25">
      <c r="A621" s="60" t="s">
        <v>3972</v>
      </c>
      <c r="B621" s="60" t="str">
        <f>findKey(supplementary_offering_legacyid__4[[#This Row],[PRODUCCION]])</f>
        <v>100022-08</v>
      </c>
      <c r="C621" s="61" t="s">
        <v>3973</v>
      </c>
      <c r="D621" t="s">
        <v>3974</v>
      </c>
      <c r="E621" t="s">
        <v>2329</v>
      </c>
      <c r="F621" s="61"/>
      <c r="H621" t="str">
        <f>ToJsonArray(supplementary_offering_legacyid__4[[#Headers],[offeringid]:[json]],supplementary_offering_legacyid__4[[#This Row],[offeringid]:[ignore]])</f>
        <v>{"offeringid":"910002208","name":"Voz-TD-9000s_910002208","mode":"N"}</v>
      </c>
      <c r="I621" t="str">
        <f>ToJsonArray(supplementary_offering_legacyid__4[[#This Row],[semilla04]],supplementary_offering_legacyid__4[[#This Row],[json]])</f>
        <v>{"100022-08":{"offeringid":"910002208","name":"Voz-TD-9000s_910002208","mode":"N"}}</v>
      </c>
    </row>
    <row r="622" spans="1:9" x14ac:dyDescent="0.25">
      <c r="A622" s="60" t="s">
        <v>3975</v>
      </c>
      <c r="B622" s="60" t="str">
        <f>findKey(supplementary_offering_legacyid__4[[#This Row],[PRODUCCION]])</f>
        <v>100022-09</v>
      </c>
      <c r="C622" s="61" t="s">
        <v>3976</v>
      </c>
      <c r="D622" t="s">
        <v>3977</v>
      </c>
      <c r="E622" t="s">
        <v>2329</v>
      </c>
      <c r="F622" s="61"/>
      <c r="H622" t="str">
        <f>ToJsonArray(supplementary_offering_legacyid__4[[#Headers],[offeringid]:[json]],supplementary_offering_legacyid__4[[#This Row],[offeringid]:[ignore]])</f>
        <v>{"offeringid":"910002209","name":"Voz-TD-12000s_910002209","mode":"N"}</v>
      </c>
      <c r="I622" t="str">
        <f>ToJsonArray(supplementary_offering_legacyid__4[[#This Row],[semilla04]],supplementary_offering_legacyid__4[[#This Row],[json]])</f>
        <v>{"100022-09":{"offeringid":"910002209","name":"Voz-TD-12000s_910002209","mode":"N"}}</v>
      </c>
    </row>
    <row r="623" spans="1:9" x14ac:dyDescent="0.25">
      <c r="A623" s="60" t="s">
        <v>3978</v>
      </c>
      <c r="B623" s="60" t="str">
        <f>findKey(supplementary_offering_legacyid__4[[#This Row],[PRODUCCION]])</f>
        <v>100022-10</v>
      </c>
      <c r="C623" s="61" t="s">
        <v>3979</v>
      </c>
      <c r="D623" t="s">
        <v>3980</v>
      </c>
      <c r="E623" t="s">
        <v>2329</v>
      </c>
      <c r="F623" s="61"/>
      <c r="H623" t="str">
        <f>ToJsonArray(supplementary_offering_legacyid__4[[#Headers],[offeringid]:[json]],supplementary_offering_legacyid__4[[#This Row],[offeringid]:[ignore]])</f>
        <v>{"offeringid":"910002210","name":"Voz-TD-12000s_910002210","mode":"N"}</v>
      </c>
      <c r="I623" t="str">
        <f>ToJsonArray(supplementary_offering_legacyid__4[[#This Row],[semilla04]],supplementary_offering_legacyid__4[[#This Row],[json]])</f>
        <v>{"100022-10":{"offeringid":"910002210","name":"Voz-TD-12000s_910002210","mode":"N"}}</v>
      </c>
    </row>
    <row r="624" spans="1:9" x14ac:dyDescent="0.25">
      <c r="A624" s="60" t="s">
        <v>3981</v>
      </c>
      <c r="B624" s="60" t="str">
        <f>findKey(supplementary_offering_legacyid__4[[#This Row],[PRODUCCION]])</f>
        <v>100022-11</v>
      </c>
      <c r="C624" s="61" t="s">
        <v>3982</v>
      </c>
      <c r="D624" t="s">
        <v>3983</v>
      </c>
      <c r="E624" t="s">
        <v>2329</v>
      </c>
      <c r="F624" s="61"/>
      <c r="H624" t="str">
        <f>ToJsonArray(supplementary_offering_legacyid__4[[#Headers],[offeringid]:[json]],supplementary_offering_legacyid__4[[#This Row],[offeringid]:[ignore]])</f>
        <v>{"offeringid":"910002211","name":"Voz-TD-300000s_910002211","mode":"N"}</v>
      </c>
      <c r="I624" t="str">
        <f>ToJsonArray(supplementary_offering_legacyid__4[[#This Row],[semilla04]],supplementary_offering_legacyid__4[[#This Row],[json]])</f>
        <v>{"100022-11":{"offeringid":"910002211","name":"Voz-TD-300000s_910002211","mode":"N"}}</v>
      </c>
    </row>
    <row r="625" spans="1:9" x14ac:dyDescent="0.25">
      <c r="A625" s="60" t="s">
        <v>3984</v>
      </c>
      <c r="B625" s="60" t="str">
        <f>findKey(supplementary_offering_legacyid__4[[#This Row],[PRODUCCION]])</f>
        <v>100022-12</v>
      </c>
      <c r="C625" s="61" t="s">
        <v>3985</v>
      </c>
      <c r="D625" t="s">
        <v>3986</v>
      </c>
      <c r="E625" t="s">
        <v>2329</v>
      </c>
      <c r="F625" s="61"/>
      <c r="H625" t="str">
        <f>ToJsonArray(supplementary_offering_legacyid__4[[#Headers],[offeringid]:[json]],supplementary_offering_legacyid__4[[#This Row],[offeringid]:[ignore]])</f>
        <v>{"offeringid":"910002212","name":"Voz-TD-600000s_910002212","mode":"N"}</v>
      </c>
      <c r="I625" t="str">
        <f>ToJsonArray(supplementary_offering_legacyid__4[[#This Row],[semilla04]],supplementary_offering_legacyid__4[[#This Row],[json]])</f>
        <v>{"100022-12":{"offeringid":"910002212","name":"Voz-TD-600000s_910002212","mode":"N"}}</v>
      </c>
    </row>
    <row r="626" spans="1:9" x14ac:dyDescent="0.25">
      <c r="A626" s="60" t="s">
        <v>3987</v>
      </c>
      <c r="B626" s="60" t="str">
        <f>findKey(supplementary_offering_legacyid__4[[#This Row],[PRODUCCION]])</f>
        <v>100022-15</v>
      </c>
      <c r="C626" s="61" t="s">
        <v>3988</v>
      </c>
      <c r="D626" t="s">
        <v>3989</v>
      </c>
      <c r="E626" t="s">
        <v>2329</v>
      </c>
      <c r="F626" s="61"/>
      <c r="H626" t="str">
        <f>ToJsonArray(supplementary_offering_legacyid__4[[#Headers],[offeringid]:[json]],supplementary_offering_legacyid__4[[#This Row],[offeringid]:[ignore]])</f>
        <v>{"offeringid":"910002215","name":"Voz-TD-2678400s_910002215","mode":"N"}</v>
      </c>
      <c r="I626" t="str">
        <f>ToJsonArray(supplementary_offering_legacyid__4[[#This Row],[semilla04]],supplementary_offering_legacyid__4[[#This Row],[json]])</f>
        <v>{"100022-15":{"offeringid":"910002215","name":"Voz-TD-2678400s_910002215","mode":"N"}}</v>
      </c>
    </row>
    <row r="627" spans="1:9" x14ac:dyDescent="0.25">
      <c r="A627" s="60" t="s">
        <v>3990</v>
      </c>
      <c r="B627" s="60" t="str">
        <f>findKey(supplementary_offering_legacyid__4[[#This Row],[PRODUCCION]])</f>
        <v>200008-46</v>
      </c>
      <c r="C627" s="61" t="s">
        <v>3991</v>
      </c>
      <c r="D627" t="s">
        <v>3992</v>
      </c>
      <c r="E627" t="s">
        <v>2329</v>
      </c>
      <c r="F627" s="61"/>
      <c r="H627" t="str">
        <f>ToJsonArray(supplementary_offering_legacyid__4[[#Headers],[offeringid]:[json]],supplementary_offering_legacyid__4[[#This Row],[offeringid]:[ignore]])</f>
        <v>{"offeringid":"920000846","name":"Smart sin navegacion_920000846","mode":"N"}</v>
      </c>
      <c r="I627" t="str">
        <f>ToJsonArray(supplementary_offering_legacyid__4[[#This Row],[semilla04]],supplementary_offering_legacyid__4[[#This Row],[json]])</f>
        <v>{"200008-46":{"offeringid":"920000846","name":"Smart sin navegacion_920000846","mode":"N"}}</v>
      </c>
    </row>
    <row r="628" spans="1:9" x14ac:dyDescent="0.25">
      <c r="A628" s="60" t="s">
        <v>3993</v>
      </c>
      <c r="B628" s="60" t="str">
        <f>findKey(supplementary_offering_legacyid__4[[#This Row],[PRODUCCION]])</f>
        <v>200008-47</v>
      </c>
      <c r="C628" s="61" t="s">
        <v>3994</v>
      </c>
      <c r="D628" t="s">
        <v>3995</v>
      </c>
      <c r="E628" t="s">
        <v>2329</v>
      </c>
      <c r="F628" s="61"/>
      <c r="H628" t="str">
        <f>ToJsonArray(supplementary_offering_legacyid__4[[#Headers],[offeringid]:[json]],supplementary_offering_legacyid__4[[#This Row],[offeringid]:[ignore]])</f>
        <v>{"offeringid":"920000847","name":"Smart sin navegacion_920000847","mode":"N"}</v>
      </c>
      <c r="I628" t="str">
        <f>ToJsonArray(supplementary_offering_legacyid__4[[#This Row],[semilla04]],supplementary_offering_legacyid__4[[#This Row],[json]])</f>
        <v>{"200008-47":{"offeringid":"920000847","name":"Smart sin navegacion_920000847","mode":"N"}}</v>
      </c>
    </row>
    <row r="629" spans="1:9" x14ac:dyDescent="0.25">
      <c r="A629" s="60" t="s">
        <v>3996</v>
      </c>
      <c r="B629" s="60" t="str">
        <f>findKey(supplementary_offering_legacyid__4[[#This Row],[PRODUCCION]])</f>
        <v>200008-48</v>
      </c>
      <c r="C629" s="61" t="s">
        <v>3997</v>
      </c>
      <c r="D629" t="s">
        <v>3998</v>
      </c>
      <c r="E629" t="s">
        <v>2329</v>
      </c>
      <c r="F629" s="61"/>
      <c r="H629" t="str">
        <f>ToJsonArray(supplementary_offering_legacyid__4[[#Headers],[offeringid]:[json]],supplementary_offering_legacyid__4[[#This Row],[offeringid]:[ignore]])</f>
        <v>{"offeringid":"920000848","name":"Smart sin navegacion_920000848","mode":"N"}</v>
      </c>
      <c r="I629" t="str">
        <f>ToJsonArray(supplementary_offering_legacyid__4[[#This Row],[semilla04]],supplementary_offering_legacyid__4[[#This Row],[json]])</f>
        <v>{"200008-48":{"offeringid":"920000848","name":"Smart sin navegacion_920000848","mode":"N"}}</v>
      </c>
    </row>
    <row r="630" spans="1:9" x14ac:dyDescent="0.25">
      <c r="A630" s="60" t="s">
        <v>3999</v>
      </c>
      <c r="B630" s="60" t="str">
        <f>findKey(supplementary_offering_legacyid__4[[#This Row],[PRODUCCION]])</f>
        <v>200008-49</v>
      </c>
      <c r="C630" s="61" t="s">
        <v>4000</v>
      </c>
      <c r="D630" t="s">
        <v>4001</v>
      </c>
      <c r="E630" t="s">
        <v>2329</v>
      </c>
      <c r="F630" s="61"/>
      <c r="H630" t="str">
        <f>ToJsonArray(supplementary_offering_legacyid__4[[#Headers],[offeringid]:[json]],supplementary_offering_legacyid__4[[#This Row],[offeringid]:[ignore]])</f>
        <v>{"offeringid":"920000849","name":"Smart sin navegacion_920000849","mode":"N"}</v>
      </c>
      <c r="I630" t="str">
        <f>ToJsonArray(supplementary_offering_legacyid__4[[#This Row],[semilla04]],supplementary_offering_legacyid__4[[#This Row],[json]])</f>
        <v>{"200008-49":{"offeringid":"920000849","name":"Smart sin navegacion_920000849","mode":"N"}}</v>
      </c>
    </row>
    <row r="631" spans="1:9" x14ac:dyDescent="0.25">
      <c r="A631" s="60" t="s">
        <v>4002</v>
      </c>
      <c r="B631" s="60" t="str">
        <f>findKey(supplementary_offering_legacyid__4[[#This Row],[PRODUCCION]])</f>
        <v>200008-50</v>
      </c>
      <c r="C631" s="61" t="s">
        <v>4003</v>
      </c>
      <c r="D631" t="s">
        <v>4004</v>
      </c>
      <c r="E631" t="s">
        <v>2329</v>
      </c>
      <c r="F631" s="61"/>
      <c r="H631" t="str">
        <f>ToJsonArray(supplementary_offering_legacyid__4[[#Headers],[offeringid]:[json]],supplementary_offering_legacyid__4[[#This Row],[offeringid]:[ignore]])</f>
        <v>{"offeringid":"920000850","name":"Smart sin navegacion_920000850","mode":"N"}</v>
      </c>
      <c r="I631" t="str">
        <f>ToJsonArray(supplementary_offering_legacyid__4[[#This Row],[semilla04]],supplementary_offering_legacyid__4[[#This Row],[json]])</f>
        <v>{"200008-50":{"offeringid":"920000850","name":"Smart sin navegacion_920000850","mode":"N"}}</v>
      </c>
    </row>
    <row r="632" spans="1:9" x14ac:dyDescent="0.25">
      <c r="A632" s="60" t="s">
        <v>4005</v>
      </c>
      <c r="B632" s="60" t="str">
        <f>findKey(supplementary_offering_legacyid__4[[#This Row],[PRODUCCION]])</f>
        <v>200008-51</v>
      </c>
      <c r="C632" s="61" t="s">
        <v>4006</v>
      </c>
      <c r="D632" t="s">
        <v>4007</v>
      </c>
      <c r="E632" t="s">
        <v>2329</v>
      </c>
      <c r="F632" s="61"/>
      <c r="H632" t="str">
        <f>ToJsonArray(supplementary_offering_legacyid__4[[#Headers],[offeringid]:[json]],supplementary_offering_legacyid__4[[#This Row],[offeringid]:[ignore]])</f>
        <v>{"offeringid":"920000851","name":"Smart sin navegacion_920000851","mode":"N"}</v>
      </c>
      <c r="I632" t="str">
        <f>ToJsonArray(supplementary_offering_legacyid__4[[#This Row],[semilla04]],supplementary_offering_legacyid__4[[#This Row],[json]])</f>
        <v>{"200008-51":{"offeringid":"920000851","name":"Smart sin navegacion_920000851","mode":"N"}}</v>
      </c>
    </row>
    <row r="633" spans="1:9" x14ac:dyDescent="0.25">
      <c r="A633" s="60" t="s">
        <v>4008</v>
      </c>
      <c r="B633" s="60" t="str">
        <f>findKey(supplementary_offering_legacyid__4[[#This Row],[PRODUCCION]])</f>
        <v>200008-52</v>
      </c>
      <c r="C633" s="61" t="s">
        <v>4009</v>
      </c>
      <c r="D633" t="s">
        <v>4010</v>
      </c>
      <c r="E633" t="s">
        <v>2329</v>
      </c>
      <c r="F633" s="61"/>
      <c r="H633" t="str">
        <f>ToJsonArray(supplementary_offering_legacyid__4[[#Headers],[offeringid]:[json]],supplementary_offering_legacyid__4[[#This Row],[offeringid]:[ignore]])</f>
        <v>{"offeringid":"920000852","name":"Smart sin navegacion_920000852","mode":"N"}</v>
      </c>
      <c r="I633" t="str">
        <f>ToJsonArray(supplementary_offering_legacyid__4[[#This Row],[semilla04]],supplementary_offering_legacyid__4[[#This Row],[json]])</f>
        <v>{"200008-52":{"offeringid":"920000852","name":"Smart sin navegacion_920000852","mode":"N"}}</v>
      </c>
    </row>
    <row r="634" spans="1:9" x14ac:dyDescent="0.25">
      <c r="A634" s="60" t="s">
        <v>4011</v>
      </c>
      <c r="B634" s="60" t="str">
        <f>findKey(supplementary_offering_legacyid__4[[#This Row],[PRODUCCION]])</f>
        <v>200008-53</v>
      </c>
      <c r="C634" s="61" t="s">
        <v>4012</v>
      </c>
      <c r="D634" t="s">
        <v>4013</v>
      </c>
      <c r="E634" t="s">
        <v>2329</v>
      </c>
      <c r="F634" s="61"/>
      <c r="H634" t="str">
        <f>ToJsonArray(supplementary_offering_legacyid__4[[#Headers],[offeringid]:[json]],supplementary_offering_legacyid__4[[#This Row],[offeringid]:[ignore]])</f>
        <v>{"offeringid":"920000853","name":"Smart sin navegacion_920000853","mode":"N"}</v>
      </c>
      <c r="I634" t="str">
        <f>ToJsonArray(supplementary_offering_legacyid__4[[#This Row],[semilla04]],supplementary_offering_legacyid__4[[#This Row],[json]])</f>
        <v>{"200008-53":{"offeringid":"920000853","name":"Smart sin navegacion_920000853","mode":"N"}}</v>
      </c>
    </row>
    <row r="635" spans="1:9" x14ac:dyDescent="0.25">
      <c r="A635" s="60" t="s">
        <v>4014</v>
      </c>
      <c r="B635" s="60" t="str">
        <f>findKey(supplementary_offering_legacyid__4[[#This Row],[PRODUCCION]])</f>
        <v>200008-54</v>
      </c>
      <c r="C635" s="61" t="s">
        <v>4015</v>
      </c>
      <c r="D635" t="s">
        <v>4016</v>
      </c>
      <c r="E635" t="s">
        <v>2329</v>
      </c>
      <c r="F635" s="61"/>
      <c r="H635" t="str">
        <f>ToJsonArray(supplementary_offering_legacyid__4[[#Headers],[offeringid]:[json]],supplementary_offering_legacyid__4[[#This Row],[offeringid]:[ignore]])</f>
        <v>{"offeringid":"920000854","name":"Smart sin navegacion_920000854","mode":"N"}</v>
      </c>
      <c r="I635" t="str">
        <f>ToJsonArray(supplementary_offering_legacyid__4[[#This Row],[semilla04]],supplementary_offering_legacyid__4[[#This Row],[json]])</f>
        <v>{"200008-54":{"offeringid":"920000854","name":"Smart sin navegacion_920000854","mode":"N"}}</v>
      </c>
    </row>
    <row r="636" spans="1:9" x14ac:dyDescent="0.25">
      <c r="A636" s="60" t="s">
        <v>4017</v>
      </c>
      <c r="B636" s="60" t="str">
        <f>findKey(supplementary_offering_legacyid__4[[#This Row],[PRODUCCION]])</f>
        <v>200008-55</v>
      </c>
      <c r="C636" s="61" t="s">
        <v>4018</v>
      </c>
      <c r="D636" t="s">
        <v>4019</v>
      </c>
      <c r="E636" t="s">
        <v>2329</v>
      </c>
      <c r="F636" s="61"/>
      <c r="H636" t="str">
        <f>ToJsonArray(supplementary_offering_legacyid__4[[#Headers],[offeringid]:[json]],supplementary_offering_legacyid__4[[#This Row],[offeringid]:[ignore]])</f>
        <v>{"offeringid":"920000855","name":"Smart sin navegacion_920000855","mode":"N"}</v>
      </c>
      <c r="I636" t="str">
        <f>ToJsonArray(supplementary_offering_legacyid__4[[#This Row],[semilla04]],supplementary_offering_legacyid__4[[#This Row],[json]])</f>
        <v>{"200008-55":{"offeringid":"920000855","name":"Smart sin navegacion_920000855","mode":"N"}}</v>
      </c>
    </row>
    <row r="637" spans="1:9" x14ac:dyDescent="0.25">
      <c r="A637" s="60" t="s">
        <v>4020</v>
      </c>
      <c r="B637" s="60" t="str">
        <f>findKey(supplementary_offering_legacyid__4[[#This Row],[PRODUCCION]])</f>
        <v>200008-56</v>
      </c>
      <c r="C637" s="61" t="s">
        <v>4021</v>
      </c>
      <c r="D637" t="s">
        <v>4022</v>
      </c>
      <c r="E637" t="s">
        <v>2329</v>
      </c>
      <c r="F637" s="61"/>
      <c r="H637" t="str">
        <f>ToJsonArray(supplementary_offering_legacyid__4[[#Headers],[offeringid]:[json]],supplementary_offering_legacyid__4[[#This Row],[offeringid]:[ignore]])</f>
        <v>{"offeringid":"920000856","name":"Smart sin navegacion_920000856","mode":"N"}</v>
      </c>
      <c r="I637" t="str">
        <f>ToJsonArray(supplementary_offering_legacyid__4[[#This Row],[semilla04]],supplementary_offering_legacyid__4[[#This Row],[json]])</f>
        <v>{"200008-56":{"offeringid":"920000856","name":"Smart sin navegacion_920000856","mode":"N"}}</v>
      </c>
    </row>
    <row r="638" spans="1:9" x14ac:dyDescent="0.25">
      <c r="A638" s="60" t="s">
        <v>4023</v>
      </c>
      <c r="B638" s="60" t="str">
        <f>findKey(supplementary_offering_legacyid__4[[#This Row],[PRODUCCION]])</f>
        <v>200008-57</v>
      </c>
      <c r="C638" s="61" t="s">
        <v>4024</v>
      </c>
      <c r="D638" t="s">
        <v>4025</v>
      </c>
      <c r="E638" t="s">
        <v>2329</v>
      </c>
      <c r="F638" s="61"/>
      <c r="H638" t="str">
        <f>ToJsonArray(supplementary_offering_legacyid__4[[#Headers],[offeringid]:[json]],supplementary_offering_legacyid__4[[#This Row],[offeringid]:[ignore]])</f>
        <v>{"offeringid":"920000857","name":"Smart sin navegacion_920000857","mode":"N"}</v>
      </c>
      <c r="I638" t="str">
        <f>ToJsonArray(supplementary_offering_legacyid__4[[#This Row],[semilla04]],supplementary_offering_legacyid__4[[#This Row],[json]])</f>
        <v>{"200008-57":{"offeringid":"920000857","name":"Smart sin navegacion_920000857","mode":"N"}}</v>
      </c>
    </row>
    <row r="639" spans="1:9" x14ac:dyDescent="0.25">
      <c r="A639" s="60" t="s">
        <v>4026</v>
      </c>
      <c r="B639" s="60" t="str">
        <f>findKey(supplementary_offering_legacyid__4[[#This Row],[PRODUCCION]])</f>
        <v>200008-58</v>
      </c>
      <c r="C639" s="61" t="s">
        <v>4027</v>
      </c>
      <c r="D639" t="s">
        <v>4028</v>
      </c>
      <c r="E639" t="s">
        <v>2329</v>
      </c>
      <c r="F639" s="61"/>
      <c r="H639" t="str">
        <f>ToJsonArray(supplementary_offering_legacyid__4[[#Headers],[offeringid]:[json]],supplementary_offering_legacyid__4[[#This Row],[offeringid]:[ignore]])</f>
        <v>{"offeringid":"920000858","name":"Smart sin navegacion_920000858","mode":"N"}</v>
      </c>
      <c r="I639" t="str">
        <f>ToJsonArray(supplementary_offering_legacyid__4[[#This Row],[semilla04]],supplementary_offering_legacyid__4[[#This Row],[json]])</f>
        <v>{"200008-58":{"offeringid":"920000858","name":"Smart sin navegacion_920000858","mode":"N"}}</v>
      </c>
    </row>
    <row r="640" spans="1:9" x14ac:dyDescent="0.25">
      <c r="A640" s="60" t="s">
        <v>4029</v>
      </c>
      <c r="B640" s="60" t="str">
        <f>findKey(supplementary_offering_legacyid__4[[#This Row],[PRODUCCION]])</f>
        <v>200008-59</v>
      </c>
      <c r="C640" s="61" t="s">
        <v>4030</v>
      </c>
      <c r="D640" t="s">
        <v>4031</v>
      </c>
      <c r="E640" t="s">
        <v>2329</v>
      </c>
      <c r="F640" s="61"/>
      <c r="H640" t="str">
        <f>ToJsonArray(supplementary_offering_legacyid__4[[#Headers],[offeringid]:[json]],supplementary_offering_legacyid__4[[#This Row],[offeringid]:[ignore]])</f>
        <v>{"offeringid":"920000859","name":"Smart sin navegacion_920000859","mode":"N"}</v>
      </c>
      <c r="I640" t="str">
        <f>ToJsonArray(supplementary_offering_legacyid__4[[#This Row],[semilla04]],supplementary_offering_legacyid__4[[#This Row],[json]])</f>
        <v>{"200008-59":{"offeringid":"920000859","name":"Smart sin navegacion_920000859","mode":"N"}}</v>
      </c>
    </row>
    <row r="641" spans="1:9" x14ac:dyDescent="0.25">
      <c r="A641" s="60" t="s">
        <v>4032</v>
      </c>
      <c r="B641" s="60" t="str">
        <f>findKey(supplementary_offering_legacyid__4[[#This Row],[PRODUCCION]])</f>
        <v>200008-60</v>
      </c>
      <c r="C641" s="61" t="s">
        <v>4033</v>
      </c>
      <c r="D641" t="s">
        <v>4034</v>
      </c>
      <c r="E641" t="s">
        <v>2329</v>
      </c>
      <c r="F641" s="61"/>
      <c r="H641" t="str">
        <f>ToJsonArray(supplementary_offering_legacyid__4[[#Headers],[offeringid]:[json]],supplementary_offering_legacyid__4[[#This Row],[offeringid]:[ignore]])</f>
        <v>{"offeringid":"920000860","name":"Smart sin navegacion_920000860","mode":"N"}</v>
      </c>
      <c r="I641" t="str">
        <f>ToJsonArray(supplementary_offering_legacyid__4[[#This Row],[semilla04]],supplementary_offering_legacyid__4[[#This Row],[json]])</f>
        <v>{"200008-60":{"offeringid":"920000860","name":"Smart sin navegacion_920000860","mode":"N"}}</v>
      </c>
    </row>
    <row r="642" spans="1:9" x14ac:dyDescent="0.25">
      <c r="A642" s="60" t="s">
        <v>4035</v>
      </c>
      <c r="B642" s="60" t="str">
        <f>findKey(supplementary_offering_legacyid__4[[#This Row],[PRODUCCION]])</f>
        <v>200008-61</v>
      </c>
      <c r="C642" s="61" t="s">
        <v>4036</v>
      </c>
      <c r="D642" t="s">
        <v>4037</v>
      </c>
      <c r="E642" t="s">
        <v>2329</v>
      </c>
      <c r="F642" s="61"/>
      <c r="H642" t="str">
        <f>ToJsonArray(supplementary_offering_legacyid__4[[#Headers],[offeringid]:[json]],supplementary_offering_legacyid__4[[#This Row],[offeringid]:[ignore]])</f>
        <v>{"offeringid":"920000861","name":"Smart sin navegacion_920000861","mode":"N"}</v>
      </c>
      <c r="I642" t="str">
        <f>ToJsonArray(supplementary_offering_legacyid__4[[#This Row],[semilla04]],supplementary_offering_legacyid__4[[#This Row],[json]])</f>
        <v>{"200008-61":{"offeringid":"920000861","name":"Smart sin navegacion_920000861","mode":"N"}}</v>
      </c>
    </row>
    <row r="643" spans="1:9" x14ac:dyDescent="0.25">
      <c r="A643" s="60" t="s">
        <v>4038</v>
      </c>
      <c r="B643" s="60" t="str">
        <f>findKey(supplementary_offering_legacyid__4[[#This Row],[PRODUCCION]])</f>
        <v>200008-62</v>
      </c>
      <c r="C643" s="61" t="s">
        <v>4039</v>
      </c>
      <c r="D643" t="s">
        <v>4040</v>
      </c>
      <c r="E643" t="s">
        <v>2329</v>
      </c>
      <c r="F643" s="61"/>
      <c r="H643" t="str">
        <f>ToJsonArray(supplementary_offering_legacyid__4[[#Headers],[offeringid]:[json]],supplementary_offering_legacyid__4[[#This Row],[offeringid]:[ignore]])</f>
        <v>{"offeringid":"920000862","name":"Smart sin navegacion_920000862","mode":"N"}</v>
      </c>
      <c r="I643" t="str">
        <f>ToJsonArray(supplementary_offering_legacyid__4[[#This Row],[semilla04]],supplementary_offering_legacyid__4[[#This Row],[json]])</f>
        <v>{"200008-62":{"offeringid":"920000862","name":"Smart sin navegacion_920000862","mode":"N"}}</v>
      </c>
    </row>
    <row r="644" spans="1:9" x14ac:dyDescent="0.25">
      <c r="A644" s="60" t="s">
        <v>4041</v>
      </c>
      <c r="B644" s="60" t="str">
        <f>findKey(supplementary_offering_legacyid__4[[#This Row],[PRODUCCION]])</f>
        <v>200008-63</v>
      </c>
      <c r="C644" s="61" t="s">
        <v>4042</v>
      </c>
      <c r="D644" t="s">
        <v>4043</v>
      </c>
      <c r="E644" t="s">
        <v>2329</v>
      </c>
      <c r="F644" s="61"/>
      <c r="H644" t="str">
        <f>ToJsonArray(supplementary_offering_legacyid__4[[#Headers],[offeringid]:[json]],supplementary_offering_legacyid__4[[#This Row],[offeringid]:[ignore]])</f>
        <v>{"offeringid":"920000863","name":"Smart sin navegacion_920000863","mode":"N"}</v>
      </c>
      <c r="I644" t="str">
        <f>ToJsonArray(supplementary_offering_legacyid__4[[#This Row],[semilla04]],supplementary_offering_legacyid__4[[#This Row],[json]])</f>
        <v>{"200008-63":{"offeringid":"920000863","name":"Smart sin navegacion_920000863","mode":"N"}}</v>
      </c>
    </row>
    <row r="645" spans="1:9" x14ac:dyDescent="0.25">
      <c r="A645" s="60" t="s">
        <v>4044</v>
      </c>
      <c r="B645" s="60" t="str">
        <f>findKey(supplementary_offering_legacyid__4[[#This Row],[PRODUCCION]])</f>
        <v>200008-64</v>
      </c>
      <c r="C645" s="61" t="s">
        <v>4045</v>
      </c>
      <c r="D645" t="s">
        <v>4046</v>
      </c>
      <c r="E645" t="s">
        <v>2329</v>
      </c>
      <c r="F645" s="61"/>
      <c r="H645" t="str">
        <f>ToJsonArray(supplementary_offering_legacyid__4[[#Headers],[offeringid]:[json]],supplementary_offering_legacyid__4[[#This Row],[offeringid]:[ignore]])</f>
        <v>{"offeringid":"920000864","name":"Smart sin navegacion_920000864","mode":"N"}</v>
      </c>
      <c r="I645" t="str">
        <f>ToJsonArray(supplementary_offering_legacyid__4[[#This Row],[semilla04]],supplementary_offering_legacyid__4[[#This Row],[json]])</f>
        <v>{"200008-64":{"offeringid":"920000864","name":"Smart sin navegacion_920000864","mode":"N"}}</v>
      </c>
    </row>
    <row r="646" spans="1:9" x14ac:dyDescent="0.25">
      <c r="A646" s="60" t="s">
        <v>4047</v>
      </c>
      <c r="B646" s="60" t="str">
        <f>findKey(supplementary_offering_legacyid__4[[#This Row],[PRODUCCION]])</f>
        <v>200008-65</v>
      </c>
      <c r="C646" s="61" t="s">
        <v>4048</v>
      </c>
      <c r="D646" t="s">
        <v>4049</v>
      </c>
      <c r="E646" t="s">
        <v>2329</v>
      </c>
      <c r="F646" s="61"/>
      <c r="H646" t="str">
        <f>ToJsonArray(supplementary_offering_legacyid__4[[#Headers],[offeringid]:[json]],supplementary_offering_legacyid__4[[#This Row],[offeringid]:[ignore]])</f>
        <v>{"offeringid":"920000865","name":"Smart sin navegacion_920000865","mode":"N"}</v>
      </c>
      <c r="I646" t="str">
        <f>ToJsonArray(supplementary_offering_legacyid__4[[#This Row],[semilla04]],supplementary_offering_legacyid__4[[#This Row],[json]])</f>
        <v>{"200008-65":{"offeringid":"920000865","name":"Smart sin navegacion_920000865","mode":"N"}}</v>
      </c>
    </row>
    <row r="647" spans="1:9" x14ac:dyDescent="0.25">
      <c r="A647" s="60" t="s">
        <v>4050</v>
      </c>
      <c r="B647" s="60" t="str">
        <f>findKey(supplementary_offering_legacyid__4[[#This Row],[PRODUCCION]])</f>
        <v>200008-66</v>
      </c>
      <c r="C647" s="61" t="s">
        <v>4051</v>
      </c>
      <c r="D647" t="s">
        <v>4052</v>
      </c>
      <c r="E647" t="s">
        <v>2329</v>
      </c>
      <c r="F647" s="61"/>
      <c r="H647" t="str">
        <f>ToJsonArray(supplementary_offering_legacyid__4[[#Headers],[offeringid]:[json]],supplementary_offering_legacyid__4[[#This Row],[offeringid]:[ignore]])</f>
        <v>{"offeringid":"920000866","name":"Smart sin navegacion_920000866","mode":"N"}</v>
      </c>
      <c r="I647" t="str">
        <f>ToJsonArray(supplementary_offering_legacyid__4[[#This Row],[semilla04]],supplementary_offering_legacyid__4[[#This Row],[json]])</f>
        <v>{"200008-66":{"offeringid":"920000866","name":"Smart sin navegacion_920000866","mode":"N"}}</v>
      </c>
    </row>
    <row r="648" spans="1:9" x14ac:dyDescent="0.25">
      <c r="A648" s="60" t="s">
        <v>4053</v>
      </c>
      <c r="B648" s="60" t="str">
        <f>findKey(supplementary_offering_legacyid__4[[#This Row],[PRODUCCION]])</f>
        <v>200008-67</v>
      </c>
      <c r="C648" s="61" t="s">
        <v>4054</v>
      </c>
      <c r="D648" t="s">
        <v>4055</v>
      </c>
      <c r="E648" t="s">
        <v>2329</v>
      </c>
      <c r="F648" s="61"/>
      <c r="H648" t="str">
        <f>ToJsonArray(supplementary_offering_legacyid__4[[#Headers],[offeringid]:[json]],supplementary_offering_legacyid__4[[#This Row],[offeringid]:[ignore]])</f>
        <v>{"offeringid":"920000867","name":"Smart sin navegacion_920000867","mode":"N"}</v>
      </c>
      <c r="I648" t="str">
        <f>ToJsonArray(supplementary_offering_legacyid__4[[#This Row],[semilla04]],supplementary_offering_legacyid__4[[#This Row],[json]])</f>
        <v>{"200008-67":{"offeringid":"920000867","name":"Smart sin navegacion_920000867","mode":"N"}}</v>
      </c>
    </row>
    <row r="649" spans="1:9" x14ac:dyDescent="0.25">
      <c r="A649" s="60" t="s">
        <v>4056</v>
      </c>
      <c r="B649" s="60" t="str">
        <f>findKey(supplementary_offering_legacyid__4[[#This Row],[PRODUCCION]])</f>
        <v>200008-68</v>
      </c>
      <c r="C649" s="61" t="s">
        <v>4057</v>
      </c>
      <c r="D649" t="s">
        <v>4058</v>
      </c>
      <c r="E649" t="s">
        <v>2329</v>
      </c>
      <c r="F649" s="61"/>
      <c r="H649" t="str">
        <f>ToJsonArray(supplementary_offering_legacyid__4[[#Headers],[offeringid]:[json]],supplementary_offering_legacyid__4[[#This Row],[offeringid]:[ignore]])</f>
        <v>{"offeringid":"920000868","name":"Smart sin navegacion_920000868","mode":"N"}</v>
      </c>
      <c r="I649" t="str">
        <f>ToJsonArray(supplementary_offering_legacyid__4[[#This Row],[semilla04]],supplementary_offering_legacyid__4[[#This Row],[json]])</f>
        <v>{"200008-68":{"offeringid":"920000868","name":"Smart sin navegacion_920000868","mode":"N"}}</v>
      </c>
    </row>
    <row r="650" spans="1:9" x14ac:dyDescent="0.25">
      <c r="A650" s="60" t="s">
        <v>4059</v>
      </c>
      <c r="B650" s="60" t="str">
        <f>findKey(supplementary_offering_legacyid__4[[#This Row],[PRODUCCION]])</f>
        <v>200008-71</v>
      </c>
      <c r="C650" s="61" t="s">
        <v>4060</v>
      </c>
      <c r="D650" t="s">
        <v>4061</v>
      </c>
      <c r="E650" t="s">
        <v>2329</v>
      </c>
      <c r="F650" s="61"/>
      <c r="H650" t="str">
        <f>ToJsonArray(supplementary_offering_legacyid__4[[#Headers],[offeringid]:[json]],supplementary_offering_legacyid__4[[#This Row],[offeringid]:[ignore]])</f>
        <v>{"offeringid":"920000871","name":"Smart sin navegacion_920000871","mode":"N"}</v>
      </c>
      <c r="I650" t="str">
        <f>ToJsonArray(supplementary_offering_legacyid__4[[#This Row],[semilla04]],supplementary_offering_legacyid__4[[#This Row],[json]])</f>
        <v>{"200008-71":{"offeringid":"920000871","name":"Smart sin navegacion_920000871","mode":"N"}}</v>
      </c>
    </row>
    <row r="651" spans="1:9" x14ac:dyDescent="0.25">
      <c r="A651" s="60" t="s">
        <v>4062</v>
      </c>
      <c r="B651" s="60" t="str">
        <f>findKey(supplementary_offering_legacyid__4[[#This Row],[PRODUCCION]])</f>
        <v>200021-50</v>
      </c>
      <c r="C651" s="61" t="s">
        <v>4063</v>
      </c>
      <c r="D651" t="s">
        <v>4064</v>
      </c>
      <c r="E651" t="s">
        <v>2329</v>
      </c>
      <c r="F651" s="61"/>
      <c r="H651" t="str">
        <f>ToJsonArray(supplementary_offering_legacyid__4[[#Headers],[offeringid]:[json]],supplementary_offering_legacyid__4[[#This Row],[offeringid]:[ignore]])</f>
        <v>{"offeringid":"920002150","name":"Data 0.8GB_920002150","mode":"N"}</v>
      </c>
      <c r="I651" t="str">
        <f>ToJsonArray(supplementary_offering_legacyid__4[[#This Row],[semilla04]],supplementary_offering_legacyid__4[[#This Row],[json]])</f>
        <v>{"200021-50":{"offeringid":"920002150","name":"Data 0.8GB_920002150","mode":"N"}}</v>
      </c>
    </row>
    <row r="652" spans="1:9" x14ac:dyDescent="0.25">
      <c r="A652" s="60" t="s">
        <v>4065</v>
      </c>
      <c r="B652" s="60" t="str">
        <f>findKey(supplementary_offering_legacyid__4[[#This Row],[PRODUCCION]])</f>
        <v>200021-51</v>
      </c>
      <c r="C652" s="61" t="s">
        <v>4066</v>
      </c>
      <c r="D652" t="s">
        <v>4067</v>
      </c>
      <c r="E652" t="s">
        <v>2329</v>
      </c>
      <c r="F652" s="61"/>
      <c r="H652" t="str">
        <f>ToJsonArray(supplementary_offering_legacyid__4[[#Headers],[offeringid]:[json]],supplementary_offering_legacyid__4[[#This Row],[offeringid]:[ignore]])</f>
        <v>{"offeringid":"920002151","name":"Data 1.2GB_920002151","mode":"N"}</v>
      </c>
      <c r="I652" t="str">
        <f>ToJsonArray(supplementary_offering_legacyid__4[[#This Row],[semilla04]],supplementary_offering_legacyid__4[[#This Row],[json]])</f>
        <v>{"200021-51":{"offeringid":"920002151","name":"Data 1.2GB_920002151","mode":"N"}}</v>
      </c>
    </row>
    <row r="653" spans="1:9" x14ac:dyDescent="0.25">
      <c r="A653" s="60" t="s">
        <v>4068</v>
      </c>
      <c r="B653" s="60" t="str">
        <f>findKey(supplementary_offering_legacyid__4[[#This Row],[PRODUCCION]])</f>
        <v>200021-52</v>
      </c>
      <c r="C653" s="61" t="s">
        <v>4069</v>
      </c>
      <c r="D653" t="s">
        <v>4070</v>
      </c>
      <c r="E653" t="s">
        <v>2329</v>
      </c>
      <c r="F653" s="61"/>
      <c r="H653" t="str">
        <f>ToJsonArray(supplementary_offering_legacyid__4[[#Headers],[offeringid]:[json]],supplementary_offering_legacyid__4[[#This Row],[offeringid]:[ignore]])</f>
        <v>{"offeringid":"920002152","name":"Data 2.5GB_920002152","mode":"N"}</v>
      </c>
      <c r="I653" t="str">
        <f>ToJsonArray(supplementary_offering_legacyid__4[[#This Row],[semilla04]],supplementary_offering_legacyid__4[[#This Row],[json]])</f>
        <v>{"200021-52":{"offeringid":"920002152","name":"Data 2.5GB_920002152","mode":"N"}}</v>
      </c>
    </row>
    <row r="654" spans="1:9" x14ac:dyDescent="0.25">
      <c r="A654" s="60" t="s">
        <v>4071</v>
      </c>
      <c r="B654" s="60" t="str">
        <f>findKey(supplementary_offering_legacyid__4[[#This Row],[PRODUCCION]])</f>
        <v>200021-53</v>
      </c>
      <c r="C654" s="61" t="s">
        <v>4072</v>
      </c>
      <c r="D654" t="s">
        <v>4073</v>
      </c>
      <c r="E654" t="s">
        <v>2329</v>
      </c>
      <c r="F654" s="61"/>
      <c r="H654" t="str">
        <f>ToJsonArray(supplementary_offering_legacyid__4[[#Headers],[offeringid]:[json]],supplementary_offering_legacyid__4[[#This Row],[offeringid]:[ignore]])</f>
        <v>{"offeringid":"920002153","name":"Data 3.5GB_920002153","mode":"N"}</v>
      </c>
      <c r="I654" t="str">
        <f>ToJsonArray(supplementary_offering_legacyid__4[[#This Row],[semilla04]],supplementary_offering_legacyid__4[[#This Row],[json]])</f>
        <v>{"200021-53":{"offeringid":"920002153","name":"Data 3.5GB_920002153","mode":"N"}}</v>
      </c>
    </row>
    <row r="655" spans="1:9" x14ac:dyDescent="0.25">
      <c r="A655" s="60" t="s">
        <v>4074</v>
      </c>
      <c r="B655" s="60" t="str">
        <f>findKey(supplementary_offering_legacyid__4[[#This Row],[PRODUCCION]])</f>
        <v>200021-54</v>
      </c>
      <c r="C655" s="61" t="s">
        <v>4075</v>
      </c>
      <c r="D655" t="s">
        <v>4076</v>
      </c>
      <c r="E655" t="s">
        <v>2329</v>
      </c>
      <c r="F655" s="61"/>
      <c r="H655" t="str">
        <f>ToJsonArray(supplementary_offering_legacyid__4[[#Headers],[offeringid]:[json]],supplementary_offering_legacyid__4[[#This Row],[offeringid]:[ignore]])</f>
        <v>{"offeringid":"920002154","name":"Data 4GB_920002154","mode":"N"}</v>
      </c>
      <c r="I655" t="str">
        <f>ToJsonArray(supplementary_offering_legacyid__4[[#This Row],[semilla04]],supplementary_offering_legacyid__4[[#This Row],[json]])</f>
        <v>{"200021-54":{"offeringid":"920002154","name":"Data 4GB_920002154","mode":"N"}}</v>
      </c>
    </row>
    <row r="656" spans="1:9" x14ac:dyDescent="0.25">
      <c r="A656" s="60" t="s">
        <v>4077</v>
      </c>
      <c r="B656" s="60" t="str">
        <f>findKey(supplementary_offering_legacyid__4[[#This Row],[PRODUCCION]])</f>
        <v>200021-55</v>
      </c>
      <c r="C656" s="61" t="s">
        <v>4078</v>
      </c>
      <c r="D656" t="s">
        <v>4079</v>
      </c>
      <c r="E656" t="s">
        <v>2329</v>
      </c>
      <c r="F656" s="61"/>
      <c r="H656" t="str">
        <f>ToJsonArray(supplementary_offering_legacyid__4[[#Headers],[offeringid]:[json]],supplementary_offering_legacyid__4[[#This Row],[offeringid]:[ignore]])</f>
        <v>{"offeringid":"920002155","name":"Data 4.5GB_920002155","mode":"N"}</v>
      </c>
      <c r="I656" t="str">
        <f>ToJsonArray(supplementary_offering_legacyid__4[[#This Row],[semilla04]],supplementary_offering_legacyid__4[[#This Row],[json]])</f>
        <v>{"200021-55":{"offeringid":"920002155","name":"Data 4.5GB_920002155","mode":"N"}}</v>
      </c>
    </row>
    <row r="657" spans="1:9" x14ac:dyDescent="0.25">
      <c r="A657" s="60" t="s">
        <v>4080</v>
      </c>
      <c r="B657" s="60" t="str">
        <f>findKey(supplementary_offering_legacyid__4[[#This Row],[PRODUCCION]])</f>
        <v>200021-56</v>
      </c>
      <c r="C657" s="61" t="s">
        <v>4081</v>
      </c>
      <c r="D657" t="s">
        <v>4082</v>
      </c>
      <c r="E657" t="s">
        <v>2329</v>
      </c>
      <c r="F657" s="61"/>
      <c r="H657" t="str">
        <f>ToJsonArray(supplementary_offering_legacyid__4[[#Headers],[offeringid]:[json]],supplementary_offering_legacyid__4[[#This Row],[offeringid]:[ignore]])</f>
        <v>{"offeringid":"920002156","name":"Data 5.5GB_920002156","mode":"N"}</v>
      </c>
      <c r="I657" t="str">
        <f>ToJsonArray(supplementary_offering_legacyid__4[[#This Row],[semilla04]],supplementary_offering_legacyid__4[[#This Row],[json]])</f>
        <v>{"200021-56":{"offeringid":"920002156","name":"Data 5.5GB_920002156","mode":"N"}}</v>
      </c>
    </row>
    <row r="658" spans="1:9" x14ac:dyDescent="0.25">
      <c r="A658" s="60" t="s">
        <v>4083</v>
      </c>
      <c r="B658" s="60" t="str">
        <f>findKey(supplementary_offering_legacyid__4[[#This Row],[PRODUCCION]])</f>
        <v>200021-57</v>
      </c>
      <c r="C658" s="61" t="s">
        <v>4084</v>
      </c>
      <c r="D658" t="s">
        <v>4085</v>
      </c>
      <c r="E658" t="s">
        <v>2329</v>
      </c>
      <c r="F658" s="61"/>
      <c r="H658" t="str">
        <f>ToJsonArray(supplementary_offering_legacyid__4[[#Headers],[offeringid]:[json]],supplementary_offering_legacyid__4[[#This Row],[offeringid]:[ignore]])</f>
        <v>{"offeringid":"920002157","name":"Data 6.5GB_920002157","mode":"N"}</v>
      </c>
      <c r="I658" t="str">
        <f>ToJsonArray(supplementary_offering_legacyid__4[[#This Row],[semilla04]],supplementary_offering_legacyid__4[[#This Row],[json]])</f>
        <v>{"200021-57":{"offeringid":"920002157","name":"Data 6.5GB_920002157","mode":"N"}}</v>
      </c>
    </row>
    <row r="659" spans="1:9" x14ac:dyDescent="0.25">
      <c r="A659" s="60" t="s">
        <v>4086</v>
      </c>
      <c r="B659" s="60" t="str">
        <f>findKey(supplementary_offering_legacyid__4[[#This Row],[PRODUCCION]])</f>
        <v>200021-58</v>
      </c>
      <c r="C659" s="61" t="s">
        <v>4087</v>
      </c>
      <c r="D659" t="s">
        <v>4088</v>
      </c>
      <c r="E659" t="s">
        <v>2329</v>
      </c>
      <c r="F659" s="61"/>
      <c r="H659" t="str">
        <f>ToJsonArray(supplementary_offering_legacyid__4[[#Headers],[offeringid]:[json]],supplementary_offering_legacyid__4[[#This Row],[offeringid]:[ignore]])</f>
        <v>{"offeringid":"920002158","name":"Data 8.5GB_920002158","mode":"N"}</v>
      </c>
      <c r="I659" t="str">
        <f>ToJsonArray(supplementary_offering_legacyid__4[[#This Row],[semilla04]],supplementary_offering_legacyid__4[[#This Row],[json]])</f>
        <v>{"200021-58":{"offeringid":"920002158","name":"Data 8.5GB_920002158","mode":"N"}}</v>
      </c>
    </row>
    <row r="660" spans="1:9" x14ac:dyDescent="0.25">
      <c r="A660" s="60" t="s">
        <v>4089</v>
      </c>
      <c r="B660" s="60" t="str">
        <f>findKey(supplementary_offering_legacyid__4[[#This Row],[PRODUCCION]])</f>
        <v>200021-59</v>
      </c>
      <c r="C660" s="61" t="s">
        <v>4090</v>
      </c>
      <c r="D660" t="s">
        <v>4091</v>
      </c>
      <c r="E660" t="s">
        <v>2329</v>
      </c>
      <c r="F660" s="61"/>
      <c r="H660" t="str">
        <f>ToJsonArray(supplementary_offering_legacyid__4[[#Headers],[offeringid]:[json]],supplementary_offering_legacyid__4[[#This Row],[offeringid]:[ignore]])</f>
        <v>{"offeringid":"920002159","name":"Data 17GB_920002159","mode":"N"}</v>
      </c>
      <c r="I660" t="str">
        <f>ToJsonArray(supplementary_offering_legacyid__4[[#This Row],[semilla04]],supplementary_offering_legacyid__4[[#This Row],[json]])</f>
        <v>{"200021-59":{"offeringid":"920002159","name":"Data 17GB_920002159","mode":"N"}}</v>
      </c>
    </row>
    <row r="661" spans="1:9" x14ac:dyDescent="0.25">
      <c r="A661" s="60" t="s">
        <v>4092</v>
      </c>
      <c r="B661" s="60" t="str">
        <f>findKey(supplementary_offering_legacyid__4[[#This Row],[PRODUCCION]])</f>
        <v>200021-60</v>
      </c>
      <c r="C661" s="61" t="s">
        <v>4093</v>
      </c>
      <c r="D661" t="s">
        <v>4094</v>
      </c>
      <c r="E661" t="s">
        <v>2329</v>
      </c>
      <c r="F661" s="61"/>
      <c r="H661" t="str">
        <f>ToJsonArray(supplementary_offering_legacyid__4[[#Headers],[offeringid]:[json]],supplementary_offering_legacyid__4[[#This Row],[offeringid]:[ignore]])</f>
        <v>{"offeringid":"920002160","name":"Data 22GB_920002160","mode":"N"}</v>
      </c>
      <c r="I661" t="str">
        <f>ToJsonArray(supplementary_offering_legacyid__4[[#This Row],[semilla04]],supplementary_offering_legacyid__4[[#This Row],[json]])</f>
        <v>{"200021-60":{"offeringid":"920002160","name":"Data 22GB_920002160","mode":"N"}}</v>
      </c>
    </row>
    <row r="662" spans="1:9" x14ac:dyDescent="0.25">
      <c r="A662" s="60" t="s">
        <v>4095</v>
      </c>
      <c r="B662" s="60" t="str">
        <f>findKey(supplementary_offering_legacyid__4[[#This Row],[PRODUCCION]])</f>
        <v>200021-61</v>
      </c>
      <c r="C662" s="61" t="s">
        <v>4096</v>
      </c>
      <c r="D662" t="s">
        <v>4097</v>
      </c>
      <c r="E662" t="s">
        <v>2329</v>
      </c>
      <c r="F662" s="61"/>
      <c r="H662" t="str">
        <f>ToJsonArray(supplementary_offering_legacyid__4[[#Headers],[offeringid]:[json]],supplementary_offering_legacyid__4[[#This Row],[offeringid]:[ignore]])</f>
        <v>{"offeringid":"920002161","name":"Data 1GB_920002161","mode":"N"}</v>
      </c>
      <c r="I662" t="str">
        <f>ToJsonArray(supplementary_offering_legacyid__4[[#This Row],[semilla04]],supplementary_offering_legacyid__4[[#This Row],[json]])</f>
        <v>{"200021-61":{"offeringid":"920002161","name":"Data 1GB_920002161","mode":"N"}}</v>
      </c>
    </row>
    <row r="663" spans="1:9" x14ac:dyDescent="0.25">
      <c r="A663" s="60" t="s">
        <v>4098</v>
      </c>
      <c r="B663" s="60" t="str">
        <f>findKey(supplementary_offering_legacyid__4[[#This Row],[PRODUCCION]])</f>
        <v>200021-62</v>
      </c>
      <c r="C663" s="61" t="s">
        <v>4099</v>
      </c>
      <c r="D663" t="s">
        <v>4100</v>
      </c>
      <c r="E663" t="s">
        <v>2329</v>
      </c>
      <c r="F663" s="61"/>
      <c r="H663" t="str">
        <f>ToJsonArray(supplementary_offering_legacyid__4[[#Headers],[offeringid]:[json]],supplementary_offering_legacyid__4[[#This Row],[offeringid]:[ignore]])</f>
        <v>{"offeringid":"920002162","name":"Data 1.7GB_920002162","mode":"N"}</v>
      </c>
      <c r="I663" t="str">
        <f>ToJsonArray(supplementary_offering_legacyid__4[[#This Row],[semilla04]],supplementary_offering_legacyid__4[[#This Row],[json]])</f>
        <v>{"200021-62":{"offeringid":"920002162","name":"Data 1.7GB_920002162","mode":"N"}}</v>
      </c>
    </row>
    <row r="664" spans="1:9" x14ac:dyDescent="0.25">
      <c r="A664" s="60" t="s">
        <v>4101</v>
      </c>
      <c r="B664" s="60" t="str">
        <f>findKey(supplementary_offering_legacyid__4[[#This Row],[PRODUCCION]])</f>
        <v>200021-63</v>
      </c>
      <c r="C664" s="61" t="s">
        <v>4102</v>
      </c>
      <c r="D664" t="s">
        <v>4103</v>
      </c>
      <c r="E664" t="s">
        <v>2329</v>
      </c>
      <c r="F664" s="61"/>
      <c r="H664" t="str">
        <f>ToJsonArray(supplementary_offering_legacyid__4[[#Headers],[offeringid]:[json]],supplementary_offering_legacyid__4[[#This Row],[offeringid]:[ignore]])</f>
        <v>{"offeringid":"920002163","name":"Data 3.5GB_920002163","mode":"N"}</v>
      </c>
      <c r="I664" t="str">
        <f>ToJsonArray(supplementary_offering_legacyid__4[[#This Row],[semilla04]],supplementary_offering_legacyid__4[[#This Row],[json]])</f>
        <v>{"200021-63":{"offeringid":"920002163","name":"Data 3.5GB_920002163","mode":"N"}}</v>
      </c>
    </row>
    <row r="665" spans="1:9" x14ac:dyDescent="0.25">
      <c r="A665" s="60" t="s">
        <v>4104</v>
      </c>
      <c r="B665" s="60" t="str">
        <f>findKey(supplementary_offering_legacyid__4[[#This Row],[PRODUCCION]])</f>
        <v>200021-64</v>
      </c>
      <c r="C665" s="61" t="s">
        <v>4105</v>
      </c>
      <c r="D665" t="s">
        <v>4106</v>
      </c>
      <c r="E665" t="s">
        <v>2329</v>
      </c>
      <c r="F665" s="61"/>
      <c r="H665" t="str">
        <f>ToJsonArray(supplementary_offering_legacyid__4[[#Headers],[offeringid]:[json]],supplementary_offering_legacyid__4[[#This Row],[offeringid]:[ignore]])</f>
        <v>{"offeringid":"920002164","name":"Data 4.5GB_920002164","mode":"N"}</v>
      </c>
      <c r="I665" t="str">
        <f>ToJsonArray(supplementary_offering_legacyid__4[[#This Row],[semilla04]],supplementary_offering_legacyid__4[[#This Row],[json]])</f>
        <v>{"200021-64":{"offeringid":"920002164","name":"Data 4.5GB_920002164","mode":"N"}}</v>
      </c>
    </row>
    <row r="666" spans="1:9" x14ac:dyDescent="0.25">
      <c r="A666" s="60" t="s">
        <v>4107</v>
      </c>
      <c r="B666" s="60" t="str">
        <f>findKey(supplementary_offering_legacyid__4[[#This Row],[PRODUCCION]])</f>
        <v>200021-65</v>
      </c>
      <c r="C666" s="61" t="s">
        <v>4108</v>
      </c>
      <c r="D666" t="s">
        <v>4109</v>
      </c>
      <c r="E666" t="s">
        <v>2329</v>
      </c>
      <c r="F666" s="61"/>
      <c r="H666" t="str">
        <f>ToJsonArray(supplementary_offering_legacyid__4[[#Headers],[offeringid]:[json]],supplementary_offering_legacyid__4[[#This Row],[offeringid]:[ignore]])</f>
        <v>{"offeringid":"920002165","name":"Data 4.5GB_920002165","mode":"N"}</v>
      </c>
      <c r="I666" t="str">
        <f>ToJsonArray(supplementary_offering_legacyid__4[[#This Row],[semilla04]],supplementary_offering_legacyid__4[[#This Row],[json]])</f>
        <v>{"200021-65":{"offeringid":"920002165","name":"Data 4.5GB_920002165","mode":"N"}}</v>
      </c>
    </row>
    <row r="667" spans="1:9" x14ac:dyDescent="0.25">
      <c r="A667" s="60" t="s">
        <v>4110</v>
      </c>
      <c r="B667" s="60" t="str">
        <f>findKey(supplementary_offering_legacyid__4[[#This Row],[PRODUCCION]])</f>
        <v>200021-66</v>
      </c>
      <c r="C667" s="61" t="s">
        <v>4111</v>
      </c>
      <c r="D667" t="s">
        <v>4112</v>
      </c>
      <c r="E667" t="s">
        <v>2329</v>
      </c>
      <c r="F667" s="61"/>
      <c r="H667" t="str">
        <f>ToJsonArray(supplementary_offering_legacyid__4[[#Headers],[offeringid]:[json]],supplementary_offering_legacyid__4[[#This Row],[offeringid]:[ignore]])</f>
        <v>{"offeringid":"920002166","name":"Data 5.5GB_920002166","mode":"N"}</v>
      </c>
      <c r="I667" t="str">
        <f>ToJsonArray(supplementary_offering_legacyid__4[[#This Row],[semilla04]],supplementary_offering_legacyid__4[[#This Row],[json]])</f>
        <v>{"200021-66":{"offeringid":"920002166","name":"Data 5.5GB_920002166","mode":"N"}}</v>
      </c>
    </row>
    <row r="668" spans="1:9" x14ac:dyDescent="0.25">
      <c r="A668" s="60" t="s">
        <v>4113</v>
      </c>
      <c r="B668" s="60" t="str">
        <f>findKey(supplementary_offering_legacyid__4[[#This Row],[PRODUCCION]])</f>
        <v>200021-67</v>
      </c>
      <c r="C668" s="61" t="s">
        <v>4114</v>
      </c>
      <c r="D668" t="s">
        <v>4115</v>
      </c>
      <c r="E668" t="s">
        <v>2329</v>
      </c>
      <c r="F668" s="61"/>
      <c r="H668" t="str">
        <f>ToJsonArray(supplementary_offering_legacyid__4[[#Headers],[offeringid]:[json]],supplementary_offering_legacyid__4[[#This Row],[offeringid]:[ignore]])</f>
        <v>{"offeringid":"920002167","name":"Data 6.5GB_920002167","mode":"N"}</v>
      </c>
      <c r="I668" t="str">
        <f>ToJsonArray(supplementary_offering_legacyid__4[[#This Row],[semilla04]],supplementary_offering_legacyid__4[[#This Row],[json]])</f>
        <v>{"200021-67":{"offeringid":"920002167","name":"Data 6.5GB_920002167","mode":"N"}}</v>
      </c>
    </row>
    <row r="669" spans="1:9" x14ac:dyDescent="0.25">
      <c r="A669" s="60" t="s">
        <v>4116</v>
      </c>
      <c r="B669" s="60" t="str">
        <f>findKey(supplementary_offering_legacyid__4[[#This Row],[PRODUCCION]])</f>
        <v>200021-68</v>
      </c>
      <c r="C669" s="61" t="s">
        <v>4117</v>
      </c>
      <c r="D669" t="s">
        <v>4118</v>
      </c>
      <c r="E669" t="s">
        <v>2329</v>
      </c>
      <c r="F669" s="61"/>
      <c r="H669" t="str">
        <f>ToJsonArray(supplementary_offering_legacyid__4[[#Headers],[offeringid]:[json]],supplementary_offering_legacyid__4[[#This Row],[offeringid]:[ignore]])</f>
        <v>{"offeringid":"920002168","name":"Data 7.5GB_920002168","mode":"N"}</v>
      </c>
      <c r="I669" t="str">
        <f>ToJsonArray(supplementary_offering_legacyid__4[[#This Row],[semilla04]],supplementary_offering_legacyid__4[[#This Row],[json]])</f>
        <v>{"200021-68":{"offeringid":"920002168","name":"Data 7.5GB_920002168","mode":"N"}}</v>
      </c>
    </row>
    <row r="670" spans="1:9" x14ac:dyDescent="0.25">
      <c r="A670" s="60" t="s">
        <v>4119</v>
      </c>
      <c r="B670" s="60" t="str">
        <f>findKey(supplementary_offering_legacyid__4[[#This Row],[PRODUCCION]])</f>
        <v>200021-69</v>
      </c>
      <c r="C670" s="61" t="s">
        <v>4120</v>
      </c>
      <c r="D670" t="s">
        <v>4121</v>
      </c>
      <c r="E670" t="s">
        <v>2329</v>
      </c>
      <c r="F670" s="61"/>
      <c r="H670" t="str">
        <f>ToJsonArray(supplementary_offering_legacyid__4[[#Headers],[offeringid]:[json]],supplementary_offering_legacyid__4[[#This Row],[offeringid]:[ignore]])</f>
        <v>{"offeringid":"920002169","name":"Data 9.5GB_920002169","mode":"N"}</v>
      </c>
      <c r="I670" t="str">
        <f>ToJsonArray(supplementary_offering_legacyid__4[[#This Row],[semilla04]],supplementary_offering_legacyid__4[[#This Row],[json]])</f>
        <v>{"200021-69":{"offeringid":"920002169","name":"Data 9.5GB_920002169","mode":"N"}}</v>
      </c>
    </row>
    <row r="671" spans="1:9" x14ac:dyDescent="0.25">
      <c r="A671" s="60" t="s">
        <v>4122</v>
      </c>
      <c r="B671" s="60" t="str">
        <f>findKey(supplementary_offering_legacyid__4[[#This Row],[PRODUCCION]])</f>
        <v>200021-70</v>
      </c>
      <c r="C671" s="61" t="s">
        <v>4123</v>
      </c>
      <c r="D671" t="s">
        <v>4124</v>
      </c>
      <c r="E671" t="s">
        <v>2329</v>
      </c>
      <c r="F671" s="61"/>
      <c r="H671" t="str">
        <f>ToJsonArray(supplementary_offering_legacyid__4[[#Headers],[offeringid]:[json]],supplementary_offering_legacyid__4[[#This Row],[offeringid]:[ignore]])</f>
        <v>{"offeringid":"920002170","name":"Data 18.5GB_920002170","mode":"N"}</v>
      </c>
      <c r="I671" t="str">
        <f>ToJsonArray(supplementary_offering_legacyid__4[[#This Row],[semilla04]],supplementary_offering_legacyid__4[[#This Row],[json]])</f>
        <v>{"200021-70":{"offeringid":"920002170","name":"Data 18.5GB_920002170","mode":"N"}}</v>
      </c>
    </row>
    <row r="672" spans="1:9" x14ac:dyDescent="0.25">
      <c r="A672" s="60" t="s">
        <v>4125</v>
      </c>
      <c r="B672" s="60" t="str">
        <f>findKey(supplementary_offering_legacyid__4[[#This Row],[PRODUCCION]])</f>
        <v>200021-71</v>
      </c>
      <c r="C672" s="61" t="s">
        <v>4126</v>
      </c>
      <c r="D672" t="s">
        <v>4127</v>
      </c>
      <c r="E672" t="s">
        <v>2329</v>
      </c>
      <c r="F672" s="61"/>
      <c r="H672" t="str">
        <f>ToJsonArray(supplementary_offering_legacyid__4[[#Headers],[offeringid]:[json]],supplementary_offering_legacyid__4[[#This Row],[offeringid]:[ignore]])</f>
        <v>{"offeringid":"920002171","name":"Data 23.5GB_920002171","mode":"N"}</v>
      </c>
      <c r="I672" t="str">
        <f>ToJsonArray(supplementary_offering_legacyid__4[[#This Row],[semilla04]],supplementary_offering_legacyid__4[[#This Row],[json]])</f>
        <v>{"200021-71":{"offeringid":"920002171","name":"Data 23.5GB_920002171","mode":"N"}}</v>
      </c>
    </row>
    <row r="673" spans="1:9" x14ac:dyDescent="0.25">
      <c r="A673" s="60" t="s">
        <v>4128</v>
      </c>
      <c r="B673" s="60" t="str">
        <f>findKey(supplementary_offering_legacyid__4[[#This Row],[PRODUCCION]])</f>
        <v>200021-72</v>
      </c>
      <c r="C673" s="61" t="s">
        <v>4129</v>
      </c>
      <c r="D673" t="s">
        <v>4130</v>
      </c>
      <c r="E673" t="s">
        <v>2329</v>
      </c>
      <c r="F673" s="61"/>
      <c r="H673" t="str">
        <f>ToJsonArray(supplementary_offering_legacyid__4[[#Headers],[offeringid]:[json]],supplementary_offering_legacyid__4[[#This Row],[offeringid]:[ignore]])</f>
        <v>{"offeringid":"920002172","name":"Data 3.5GB_920002172","mode":"N"}</v>
      </c>
      <c r="I673" t="str">
        <f>ToJsonArray(supplementary_offering_legacyid__4[[#This Row],[semilla04]],supplementary_offering_legacyid__4[[#This Row],[json]])</f>
        <v>{"200021-72":{"offeringid":"920002172","name":"Data 3.5GB_920002172","mode":"N"}}</v>
      </c>
    </row>
    <row r="674" spans="1:9" x14ac:dyDescent="0.25">
      <c r="A674" s="60" t="s">
        <v>4131</v>
      </c>
      <c r="B674" s="60" t="str">
        <f>findKey(supplementary_offering_legacyid__4[[#This Row],[PRODUCCION]])</f>
        <v>200021-73</v>
      </c>
      <c r="C674" s="61" t="s">
        <v>4132</v>
      </c>
      <c r="D674" t="s">
        <v>4133</v>
      </c>
      <c r="E674" t="s">
        <v>2329</v>
      </c>
      <c r="F674" s="61"/>
      <c r="H674" t="str">
        <f>ToJsonArray(supplementary_offering_legacyid__4[[#Headers],[offeringid]:[json]],supplementary_offering_legacyid__4[[#This Row],[offeringid]:[ignore]])</f>
        <v>{"offeringid":"920002173","name":"Data 4.5GB_920002173","mode":"N"}</v>
      </c>
      <c r="I674" t="str">
        <f>ToJsonArray(supplementary_offering_legacyid__4[[#This Row],[semilla04]],supplementary_offering_legacyid__4[[#This Row],[json]])</f>
        <v>{"200021-73":{"offeringid":"920002173","name":"Data 4.5GB_920002173","mode":"N"}}</v>
      </c>
    </row>
    <row r="675" spans="1:9" x14ac:dyDescent="0.25">
      <c r="A675" s="60" t="s">
        <v>4134</v>
      </c>
      <c r="B675" s="60" t="str">
        <f>findKey(supplementary_offering_legacyid__4[[#This Row],[PRODUCCION]])</f>
        <v>200021-74</v>
      </c>
      <c r="C675" s="61" t="s">
        <v>4135</v>
      </c>
      <c r="D675" t="s">
        <v>4136</v>
      </c>
      <c r="E675" t="s">
        <v>2329</v>
      </c>
      <c r="F675" s="61"/>
      <c r="H675" t="str">
        <f>ToJsonArray(supplementary_offering_legacyid__4[[#Headers],[offeringid]:[json]],supplementary_offering_legacyid__4[[#This Row],[offeringid]:[ignore]])</f>
        <v>{"offeringid":"920002174","name":"Data 5.5GB_920002174","mode":"N"}</v>
      </c>
      <c r="I675" t="str">
        <f>ToJsonArray(supplementary_offering_legacyid__4[[#This Row],[semilla04]],supplementary_offering_legacyid__4[[#This Row],[json]])</f>
        <v>{"200021-74":{"offeringid":"920002174","name":"Data 5.5GB_920002174","mode":"N"}}</v>
      </c>
    </row>
    <row r="676" spans="1:9" x14ac:dyDescent="0.25">
      <c r="A676" s="60" t="s">
        <v>4137</v>
      </c>
      <c r="B676" s="60" t="str">
        <f>findKey(supplementary_offering_legacyid__4[[#This Row],[PRODUCCION]])</f>
        <v>200021-75</v>
      </c>
      <c r="C676" s="61" t="s">
        <v>4138</v>
      </c>
      <c r="D676" t="s">
        <v>4139</v>
      </c>
      <c r="E676" t="s">
        <v>2329</v>
      </c>
      <c r="F676" s="61"/>
      <c r="H676" t="str">
        <f>ToJsonArray(supplementary_offering_legacyid__4[[#Headers],[offeringid]:[json]],supplementary_offering_legacyid__4[[#This Row],[offeringid]:[ignore]])</f>
        <v>{"offeringid":"920002175","name":"Data 6.5GB_920002175","mode":"N"}</v>
      </c>
      <c r="I676" t="str">
        <f>ToJsonArray(supplementary_offering_legacyid__4[[#This Row],[semilla04]],supplementary_offering_legacyid__4[[#This Row],[json]])</f>
        <v>{"200021-75":{"offeringid":"920002175","name":"Data 6.5GB_920002175","mode":"N"}}</v>
      </c>
    </row>
    <row r="677" spans="1:9" x14ac:dyDescent="0.25">
      <c r="A677" s="60" t="s">
        <v>4140</v>
      </c>
      <c r="B677" s="60" t="str">
        <f>findKey(supplementary_offering_legacyid__4[[#This Row],[PRODUCCION]])</f>
        <v>200021-76</v>
      </c>
      <c r="C677" s="61" t="s">
        <v>4141</v>
      </c>
      <c r="D677" t="s">
        <v>4142</v>
      </c>
      <c r="E677" t="s">
        <v>2329</v>
      </c>
      <c r="F677" s="61"/>
      <c r="H677" t="str">
        <f>ToJsonArray(supplementary_offering_legacyid__4[[#Headers],[offeringid]:[json]],supplementary_offering_legacyid__4[[#This Row],[offeringid]:[ignore]])</f>
        <v>{"offeringid":"920002176","name":"Data 7.5GB_920002176","mode":"N"}</v>
      </c>
      <c r="I677" t="str">
        <f>ToJsonArray(supplementary_offering_legacyid__4[[#This Row],[semilla04]],supplementary_offering_legacyid__4[[#This Row],[json]])</f>
        <v>{"200021-76":{"offeringid":"920002176","name":"Data 7.5GB_920002176","mode":"N"}}</v>
      </c>
    </row>
    <row r="678" spans="1:9" x14ac:dyDescent="0.25">
      <c r="A678" s="60" t="s">
        <v>4143</v>
      </c>
      <c r="B678" s="60" t="str">
        <f>findKey(supplementary_offering_legacyid__4[[#This Row],[PRODUCCION]])</f>
        <v>200021-77</v>
      </c>
      <c r="C678" s="61" t="s">
        <v>4144</v>
      </c>
      <c r="D678" t="s">
        <v>4145</v>
      </c>
      <c r="E678" t="s">
        <v>2329</v>
      </c>
      <c r="F678" s="61"/>
      <c r="H678" t="str">
        <f>ToJsonArray(supplementary_offering_legacyid__4[[#Headers],[offeringid]:[json]],supplementary_offering_legacyid__4[[#This Row],[offeringid]:[ignore]])</f>
        <v>{"offeringid":"920002177","name":"Data 9.5GB_920002177","mode":"N"}</v>
      </c>
      <c r="I678" t="str">
        <f>ToJsonArray(supplementary_offering_legacyid__4[[#This Row],[semilla04]],supplementary_offering_legacyid__4[[#This Row],[json]])</f>
        <v>{"200021-77":{"offeringid":"920002177","name":"Data 9.5GB_920002177","mode":"N"}}</v>
      </c>
    </row>
    <row r="679" spans="1:9" x14ac:dyDescent="0.25">
      <c r="A679" s="60" t="s">
        <v>4146</v>
      </c>
      <c r="B679" s="60" t="str">
        <f>findKey(supplementary_offering_legacyid__4[[#This Row],[PRODUCCION]])</f>
        <v>200021-78</v>
      </c>
      <c r="C679" s="61" t="s">
        <v>4147</v>
      </c>
      <c r="D679" t="s">
        <v>4148</v>
      </c>
      <c r="E679" t="s">
        <v>2329</v>
      </c>
      <c r="F679" s="61"/>
      <c r="H679" t="str">
        <f>ToJsonArray(supplementary_offering_legacyid__4[[#Headers],[offeringid]:[json]],supplementary_offering_legacyid__4[[#This Row],[offeringid]:[ignore]])</f>
        <v>{"offeringid":"920002178","name":"Data 0.5GB_920002178","mode":"N"}</v>
      </c>
      <c r="I679" t="str">
        <f>ToJsonArray(supplementary_offering_legacyid__4[[#This Row],[semilla04]],supplementary_offering_legacyid__4[[#This Row],[json]])</f>
        <v>{"200021-78":{"offeringid":"920002178","name":"Data 0.5GB_920002178","mode":"N"}}</v>
      </c>
    </row>
    <row r="680" spans="1:9" x14ac:dyDescent="0.25">
      <c r="A680" s="60" t="s">
        <v>4149</v>
      </c>
      <c r="B680" s="60" t="str">
        <f>findKey(supplementary_offering_legacyid__4[[#This Row],[PRODUCCION]])</f>
        <v>200021-79</v>
      </c>
      <c r="C680" s="61" t="s">
        <v>4150</v>
      </c>
      <c r="D680" t="s">
        <v>4151</v>
      </c>
      <c r="E680" t="s">
        <v>2329</v>
      </c>
      <c r="F680" s="61"/>
      <c r="H680" t="str">
        <f>ToJsonArray(supplementary_offering_legacyid__4[[#Headers],[offeringid]:[json]],supplementary_offering_legacyid__4[[#This Row],[offeringid]:[ignore]])</f>
        <v>{"offeringid":"920002179","name":"Data 0.8GB_920002179","mode":"N"}</v>
      </c>
      <c r="I680" t="str">
        <f>ToJsonArray(supplementary_offering_legacyid__4[[#This Row],[semilla04]],supplementary_offering_legacyid__4[[#This Row],[json]])</f>
        <v>{"200021-79":{"offeringid":"920002179","name":"Data 0.8GB_920002179","mode":"N"}}</v>
      </c>
    </row>
    <row r="681" spans="1:9" x14ac:dyDescent="0.25">
      <c r="A681" s="60" t="s">
        <v>4152</v>
      </c>
      <c r="B681" s="60" t="str">
        <f>findKey(supplementary_offering_legacyid__4[[#This Row],[PRODUCCION]])</f>
        <v>200021-80</v>
      </c>
      <c r="C681" s="61" t="s">
        <v>4153</v>
      </c>
      <c r="D681" t="s">
        <v>4154</v>
      </c>
      <c r="E681" t="s">
        <v>2329</v>
      </c>
      <c r="F681" s="61"/>
      <c r="H681" t="str">
        <f>ToJsonArray(supplementary_offering_legacyid__4[[#Headers],[offeringid]:[json]],supplementary_offering_legacyid__4[[#This Row],[offeringid]:[ignore]])</f>
        <v>{"offeringid":"920002180","name":"Data 1GB_920002180","mode":"N"}</v>
      </c>
      <c r="I681" t="str">
        <f>ToJsonArray(supplementary_offering_legacyid__4[[#This Row],[semilla04]],supplementary_offering_legacyid__4[[#This Row],[json]])</f>
        <v>{"200021-80":{"offeringid":"920002180","name":"Data 1GB_920002180","mode":"N"}}</v>
      </c>
    </row>
    <row r="682" spans="1:9" x14ac:dyDescent="0.25">
      <c r="A682" s="60" t="s">
        <v>4155</v>
      </c>
      <c r="B682" s="60" t="str">
        <f>findKey(supplementary_offering_legacyid__4[[#This Row],[PRODUCCION]])</f>
        <v>200021-81</v>
      </c>
      <c r="C682" s="61" t="s">
        <v>4156</v>
      </c>
      <c r="D682" t="s">
        <v>4157</v>
      </c>
      <c r="E682" t="s">
        <v>2329</v>
      </c>
      <c r="F682" s="61"/>
      <c r="H682" t="str">
        <f>ToJsonArray(supplementary_offering_legacyid__4[[#Headers],[offeringid]:[json]],supplementary_offering_legacyid__4[[#This Row],[offeringid]:[ignore]])</f>
        <v>{"offeringid":"920002181","name":"Data 12GB_920002181","mode":"N"}</v>
      </c>
      <c r="I682" t="str">
        <f>ToJsonArray(supplementary_offering_legacyid__4[[#This Row],[semilla04]],supplementary_offering_legacyid__4[[#This Row],[json]])</f>
        <v>{"200021-81":{"offeringid":"920002181","name":"Data 12GB_920002181","mode":"N"}}</v>
      </c>
    </row>
    <row r="683" spans="1:9" x14ac:dyDescent="0.25">
      <c r="A683" s="60" t="s">
        <v>4158</v>
      </c>
      <c r="B683" s="60" t="str">
        <f>findKey(supplementary_offering_legacyid__4[[#This Row],[PRODUCCION]])</f>
        <v>200021-82</v>
      </c>
      <c r="C683" s="61" t="s">
        <v>4159</v>
      </c>
      <c r="D683" t="s">
        <v>4160</v>
      </c>
      <c r="E683" t="s">
        <v>2329</v>
      </c>
      <c r="F683" s="61"/>
      <c r="H683" t="str">
        <f>ToJsonArray(supplementary_offering_legacyid__4[[#Headers],[offeringid]:[json]],supplementary_offering_legacyid__4[[#This Row],[offeringid]:[ignore]])</f>
        <v>{"offeringid":"920002182","name":"Data 20GB_920002182","mode":"N"}</v>
      </c>
      <c r="I683" t="str">
        <f>ToJsonArray(supplementary_offering_legacyid__4[[#This Row],[semilla04]],supplementary_offering_legacyid__4[[#This Row],[json]])</f>
        <v>{"200021-82":{"offeringid":"920002182","name":"Data 20GB_920002182","mode":"N"}}</v>
      </c>
    </row>
    <row r="684" spans="1:9" x14ac:dyDescent="0.25">
      <c r="A684" s="60" t="s">
        <v>4161</v>
      </c>
      <c r="B684" s="60" t="str">
        <f>findKey(supplementary_offering_legacyid__4[[#This Row],[PRODUCCION]])</f>
        <v>200021-85</v>
      </c>
      <c r="C684" s="61" t="s">
        <v>4162</v>
      </c>
      <c r="D684" t="s">
        <v>4163</v>
      </c>
      <c r="E684" t="s">
        <v>2329</v>
      </c>
      <c r="F684" s="61"/>
      <c r="H684" t="str">
        <f>ToJsonArray(supplementary_offering_legacyid__4[[#Headers],[offeringid]:[json]],supplementary_offering_legacyid__4[[#This Row],[offeringid]:[ignore]])</f>
        <v>{"offeringid":"920002185","name":"Data 4.5GB_920002185","mode":"N"}</v>
      </c>
      <c r="I684" t="str">
        <f>ToJsonArray(supplementary_offering_legacyid__4[[#This Row],[semilla04]],supplementary_offering_legacyid__4[[#This Row],[json]])</f>
        <v>{"200021-85":{"offeringid":"920002185","name":"Data 4.5GB_920002185","mode":"N"}}</v>
      </c>
    </row>
    <row r="685" spans="1:9" x14ac:dyDescent="0.25">
      <c r="A685" s="60" t="s">
        <v>4164</v>
      </c>
      <c r="B685" s="60" t="str">
        <f>findKey(supplementary_offering_legacyid__4[[#This Row],[PRODUCCION]])</f>
        <v>300302-65</v>
      </c>
      <c r="C685" s="61" t="s">
        <v>4165</v>
      </c>
      <c r="D685" t="s">
        <v>4166</v>
      </c>
      <c r="E685" t="s">
        <v>2329</v>
      </c>
      <c r="F685" s="61"/>
      <c r="H685" t="str">
        <f>ToJsonArray(supplementary_offering_legacyid__4[[#Headers],[offeringid]:[json]],supplementary_offering_legacyid__4[[#This Row],[offeringid]:[ignore]])</f>
        <v>{"offeringid":"930030265","name":"Sms-TD-Ilimitado_930030265","mode":"N"}</v>
      </c>
      <c r="I685" t="str">
        <f>ToJsonArray(supplementary_offering_legacyid__4[[#This Row],[semilla04]],supplementary_offering_legacyid__4[[#This Row],[json]])</f>
        <v>{"300302-65":{"offeringid":"930030265","name":"Sms-TD-Ilimitado_930030265","mode":"N"}}</v>
      </c>
    </row>
    <row r="686" spans="1:9" x14ac:dyDescent="0.25">
      <c r="A686" s="60" t="s">
        <v>4167</v>
      </c>
      <c r="B686" s="60" t="str">
        <f>findKey(supplementary_offering_legacyid__4[[#This Row],[PRODUCCION]])</f>
        <v>300302-66</v>
      </c>
      <c r="C686" s="61" t="s">
        <v>4168</v>
      </c>
      <c r="D686" t="s">
        <v>4169</v>
      </c>
      <c r="E686" t="s">
        <v>2329</v>
      </c>
      <c r="F686" s="61"/>
      <c r="H686" t="str">
        <f>ToJsonArray(supplementary_offering_legacyid__4[[#Headers],[offeringid]:[json]],supplementary_offering_legacyid__4[[#This Row],[offeringid]:[ignore]])</f>
        <v>{"offeringid":"930030266","name":"Sms-TD-Ilimitado_930030266","mode":"N"}</v>
      </c>
      <c r="I686" t="str">
        <f>ToJsonArray(supplementary_offering_legacyid__4[[#This Row],[semilla04]],supplementary_offering_legacyid__4[[#This Row],[json]])</f>
        <v>{"300302-66":{"offeringid":"930030266","name":"Sms-TD-Ilimitado_930030266","mode":"N"}}</v>
      </c>
    </row>
    <row r="687" spans="1:9" x14ac:dyDescent="0.25">
      <c r="A687" s="60" t="s">
        <v>4170</v>
      </c>
      <c r="B687" s="60" t="str">
        <f>findKey(supplementary_offering_legacyid__4[[#This Row],[PRODUCCION]])</f>
        <v>300302-67</v>
      </c>
      <c r="C687" s="61" t="s">
        <v>4171</v>
      </c>
      <c r="D687" t="s">
        <v>4172</v>
      </c>
      <c r="E687" t="s">
        <v>2329</v>
      </c>
      <c r="F687" s="61"/>
      <c r="H687" t="str">
        <f>ToJsonArray(supplementary_offering_legacyid__4[[#Headers],[offeringid]:[json]],supplementary_offering_legacyid__4[[#This Row],[offeringid]:[ignore]])</f>
        <v>{"offeringid":"930030267","name":"Sms-TD-Ilimitado_930030267","mode":"N"}</v>
      </c>
      <c r="I687" t="str">
        <f>ToJsonArray(supplementary_offering_legacyid__4[[#This Row],[semilla04]],supplementary_offering_legacyid__4[[#This Row],[json]])</f>
        <v>{"300302-67":{"offeringid":"930030267","name":"Sms-TD-Ilimitado_930030267","mode":"N"}}</v>
      </c>
    </row>
    <row r="688" spans="1:9" x14ac:dyDescent="0.25">
      <c r="A688" s="60" t="s">
        <v>4173</v>
      </c>
      <c r="B688" s="60" t="str">
        <f>findKey(supplementary_offering_legacyid__4[[#This Row],[PRODUCCION]])</f>
        <v>300302-68</v>
      </c>
      <c r="C688" s="61" t="s">
        <v>4174</v>
      </c>
      <c r="D688" t="s">
        <v>4175</v>
      </c>
      <c r="E688" t="s">
        <v>2329</v>
      </c>
      <c r="F688" s="61"/>
      <c r="H688" t="str">
        <f>ToJsonArray(supplementary_offering_legacyid__4[[#Headers],[offeringid]:[json]],supplementary_offering_legacyid__4[[#This Row],[offeringid]:[ignore]])</f>
        <v>{"offeringid":"930030268","name":"Sms-TD-Ilimitado_930030268","mode":"N"}</v>
      </c>
      <c r="I688" t="str">
        <f>ToJsonArray(supplementary_offering_legacyid__4[[#This Row],[semilla04]],supplementary_offering_legacyid__4[[#This Row],[json]])</f>
        <v>{"300302-68":{"offeringid":"930030268","name":"Sms-TD-Ilimitado_930030268","mode":"N"}}</v>
      </c>
    </row>
    <row r="689" spans="1:9" x14ac:dyDescent="0.25">
      <c r="A689" s="60" t="s">
        <v>4176</v>
      </c>
      <c r="B689" s="60" t="str">
        <f>findKey(supplementary_offering_legacyid__4[[#This Row],[PRODUCCION]])</f>
        <v>300302-69</v>
      </c>
      <c r="C689" s="61" t="s">
        <v>4177</v>
      </c>
      <c r="D689" t="s">
        <v>4178</v>
      </c>
      <c r="E689" t="s">
        <v>2329</v>
      </c>
      <c r="F689" s="61"/>
      <c r="H689" t="str">
        <f>ToJsonArray(supplementary_offering_legacyid__4[[#Headers],[offeringid]:[json]],supplementary_offering_legacyid__4[[#This Row],[offeringid]:[ignore]])</f>
        <v>{"offeringid":"930030269","name":"Sms-TD-Ilimitado_930030269","mode":"N"}</v>
      </c>
      <c r="I689" t="str">
        <f>ToJsonArray(supplementary_offering_legacyid__4[[#This Row],[semilla04]],supplementary_offering_legacyid__4[[#This Row],[json]])</f>
        <v>{"300302-69":{"offeringid":"930030269","name":"Sms-TD-Ilimitado_930030269","mode":"N"}}</v>
      </c>
    </row>
    <row r="690" spans="1:9" x14ac:dyDescent="0.25">
      <c r="A690" s="60" t="s">
        <v>4179</v>
      </c>
      <c r="B690" s="60" t="str">
        <f>findKey(supplementary_offering_legacyid__4[[#This Row],[PRODUCCION]])</f>
        <v>300302-70</v>
      </c>
      <c r="C690" s="61" t="s">
        <v>4180</v>
      </c>
      <c r="D690" t="s">
        <v>4181</v>
      </c>
      <c r="E690" t="s">
        <v>2329</v>
      </c>
      <c r="F690" s="61"/>
      <c r="H690" t="str">
        <f>ToJsonArray(supplementary_offering_legacyid__4[[#Headers],[offeringid]:[json]],supplementary_offering_legacyid__4[[#This Row],[offeringid]:[ignore]])</f>
        <v>{"offeringid":"930030270","name":"Sms-TD-Ilimitado_930030270","mode":"N"}</v>
      </c>
      <c r="I690" t="str">
        <f>ToJsonArray(supplementary_offering_legacyid__4[[#This Row],[semilla04]],supplementary_offering_legacyid__4[[#This Row],[json]])</f>
        <v>{"300302-70":{"offeringid":"930030270","name":"Sms-TD-Ilimitado_930030270","mode":"N"}}</v>
      </c>
    </row>
    <row r="691" spans="1:9" x14ac:dyDescent="0.25">
      <c r="A691" s="60" t="s">
        <v>4182</v>
      </c>
      <c r="B691" s="60" t="str">
        <f>findKey(supplementary_offering_legacyid__4[[#This Row],[PRODUCCION]])</f>
        <v>300302-71</v>
      </c>
      <c r="C691" s="61" t="s">
        <v>4183</v>
      </c>
      <c r="D691" t="s">
        <v>4184</v>
      </c>
      <c r="E691" t="s">
        <v>2329</v>
      </c>
      <c r="F691" s="61"/>
      <c r="H691" t="str">
        <f>ToJsonArray(supplementary_offering_legacyid__4[[#Headers],[offeringid]:[json]],supplementary_offering_legacyid__4[[#This Row],[offeringid]:[ignore]])</f>
        <v>{"offeringid":"930030271","name":"Sms-TD-Ilimitado_930030271","mode":"N"}</v>
      </c>
      <c r="I691" t="str">
        <f>ToJsonArray(supplementary_offering_legacyid__4[[#This Row],[semilla04]],supplementary_offering_legacyid__4[[#This Row],[json]])</f>
        <v>{"300302-71":{"offeringid":"930030271","name":"Sms-TD-Ilimitado_930030271","mode":"N"}}</v>
      </c>
    </row>
    <row r="692" spans="1:9" x14ac:dyDescent="0.25">
      <c r="A692" s="60" t="s">
        <v>4185</v>
      </c>
      <c r="B692" s="60" t="str">
        <f>findKey(supplementary_offering_legacyid__4[[#This Row],[PRODUCCION]])</f>
        <v>300302-72</v>
      </c>
      <c r="C692" s="61" t="s">
        <v>4186</v>
      </c>
      <c r="D692" t="s">
        <v>4187</v>
      </c>
      <c r="E692" t="s">
        <v>2329</v>
      </c>
      <c r="F692" s="61"/>
      <c r="H692" t="str">
        <f>ToJsonArray(supplementary_offering_legacyid__4[[#Headers],[offeringid]:[json]],supplementary_offering_legacyid__4[[#This Row],[offeringid]:[ignore]])</f>
        <v>{"offeringid":"930030272","name":"Sms-TD-Ilimitado_930030272","mode":"N"}</v>
      </c>
      <c r="I692" t="str">
        <f>ToJsonArray(supplementary_offering_legacyid__4[[#This Row],[semilla04]],supplementary_offering_legacyid__4[[#This Row],[json]])</f>
        <v>{"300302-72":{"offeringid":"930030272","name":"Sms-TD-Ilimitado_930030272","mode":"N"}}</v>
      </c>
    </row>
    <row r="693" spans="1:9" x14ac:dyDescent="0.25">
      <c r="A693" s="60" t="s">
        <v>4188</v>
      </c>
      <c r="B693" s="60" t="str">
        <f>findKey(supplementary_offering_legacyid__4[[#This Row],[PRODUCCION]])</f>
        <v>300302-73</v>
      </c>
      <c r="C693" s="61" t="s">
        <v>4189</v>
      </c>
      <c r="D693" t="s">
        <v>4190</v>
      </c>
      <c r="E693" t="s">
        <v>2329</v>
      </c>
      <c r="F693" s="61"/>
      <c r="H693" t="str">
        <f>ToJsonArray(supplementary_offering_legacyid__4[[#Headers],[offeringid]:[json]],supplementary_offering_legacyid__4[[#This Row],[offeringid]:[ignore]])</f>
        <v>{"offeringid":"930030273","name":"Sms-TD-Ilimitado_930030273","mode":"N"}</v>
      </c>
      <c r="I693" t="str">
        <f>ToJsonArray(supplementary_offering_legacyid__4[[#This Row],[semilla04]],supplementary_offering_legacyid__4[[#This Row],[json]])</f>
        <v>{"300302-73":{"offeringid":"930030273","name":"Sms-TD-Ilimitado_930030273","mode":"N"}}</v>
      </c>
    </row>
    <row r="694" spans="1:9" x14ac:dyDescent="0.25">
      <c r="A694" s="60" t="s">
        <v>4191</v>
      </c>
      <c r="B694" s="60" t="str">
        <f>findKey(supplementary_offering_legacyid__4[[#This Row],[PRODUCCION]])</f>
        <v>300302-74</v>
      </c>
      <c r="C694" s="61" t="s">
        <v>4192</v>
      </c>
      <c r="D694" t="s">
        <v>4193</v>
      </c>
      <c r="E694" t="s">
        <v>2329</v>
      </c>
      <c r="F694" s="61"/>
      <c r="H694" t="str">
        <f>ToJsonArray(supplementary_offering_legacyid__4[[#Headers],[offeringid]:[json]],supplementary_offering_legacyid__4[[#This Row],[offeringid]:[ignore]])</f>
        <v>{"offeringid":"930030274","name":"Sms-TD-Ilimitado_930030274","mode":"N"}</v>
      </c>
      <c r="I694" t="str">
        <f>ToJsonArray(supplementary_offering_legacyid__4[[#This Row],[semilla04]],supplementary_offering_legacyid__4[[#This Row],[json]])</f>
        <v>{"300302-74":{"offeringid":"930030274","name":"Sms-TD-Ilimitado_930030274","mode":"N"}}</v>
      </c>
    </row>
    <row r="695" spans="1:9" x14ac:dyDescent="0.25">
      <c r="A695" s="60" t="s">
        <v>4194</v>
      </c>
      <c r="B695" s="60" t="str">
        <f>findKey(supplementary_offering_legacyid__4[[#This Row],[PRODUCCION]])</f>
        <v>300302-75</v>
      </c>
      <c r="C695" s="61" t="s">
        <v>4195</v>
      </c>
      <c r="D695" t="s">
        <v>4196</v>
      </c>
      <c r="E695" t="s">
        <v>2329</v>
      </c>
      <c r="F695" s="61"/>
      <c r="H695" t="str">
        <f>ToJsonArray(supplementary_offering_legacyid__4[[#Headers],[offeringid]:[json]],supplementary_offering_legacyid__4[[#This Row],[offeringid]:[ignore]])</f>
        <v>{"offeringid":"930030275","name":"Sms-TD-Ilimitado_930030275","mode":"N"}</v>
      </c>
      <c r="I695" t="str">
        <f>ToJsonArray(supplementary_offering_legacyid__4[[#This Row],[semilla04]],supplementary_offering_legacyid__4[[#This Row],[json]])</f>
        <v>{"300302-75":{"offeringid":"930030275","name":"Sms-TD-Ilimitado_930030275","mode":"N"}}</v>
      </c>
    </row>
    <row r="696" spans="1:9" x14ac:dyDescent="0.25">
      <c r="A696" s="60" t="s">
        <v>4197</v>
      </c>
      <c r="B696" s="60" t="str">
        <f>findKey(supplementary_offering_legacyid__4[[#This Row],[PRODUCCION]])</f>
        <v>300302-76</v>
      </c>
      <c r="C696" s="61" t="s">
        <v>4198</v>
      </c>
      <c r="D696" t="s">
        <v>4199</v>
      </c>
      <c r="E696" t="s">
        <v>2329</v>
      </c>
      <c r="F696" s="61"/>
      <c r="H696" t="str">
        <f>ToJsonArray(supplementary_offering_legacyid__4[[#Headers],[offeringid]:[json]],supplementary_offering_legacyid__4[[#This Row],[offeringid]:[ignore]])</f>
        <v>{"offeringid":"930030276","name":"Sms-TD-Ilimitado_930030276","mode":"N"}</v>
      </c>
      <c r="I696" t="str">
        <f>ToJsonArray(supplementary_offering_legacyid__4[[#This Row],[semilla04]],supplementary_offering_legacyid__4[[#This Row],[json]])</f>
        <v>{"300302-76":{"offeringid":"930030276","name":"Sms-TD-Ilimitado_930030276","mode":"N"}}</v>
      </c>
    </row>
    <row r="697" spans="1:9" x14ac:dyDescent="0.25">
      <c r="A697" s="60" t="s">
        <v>4200</v>
      </c>
      <c r="B697" s="60" t="str">
        <f>findKey(supplementary_offering_legacyid__4[[#This Row],[PRODUCCION]])</f>
        <v>300302-77</v>
      </c>
      <c r="C697" s="61" t="s">
        <v>4201</v>
      </c>
      <c r="D697" t="s">
        <v>4202</v>
      </c>
      <c r="E697" t="s">
        <v>2329</v>
      </c>
      <c r="F697" s="61"/>
      <c r="H697" t="str">
        <f>ToJsonArray(supplementary_offering_legacyid__4[[#Headers],[offeringid]:[json]],supplementary_offering_legacyid__4[[#This Row],[offeringid]:[ignore]])</f>
        <v>{"offeringid":"930030277","name":"Sms-TD-Ilimitado_930030277","mode":"N"}</v>
      </c>
      <c r="I697" t="str">
        <f>ToJsonArray(supplementary_offering_legacyid__4[[#This Row],[semilla04]],supplementary_offering_legacyid__4[[#This Row],[json]])</f>
        <v>{"300302-77":{"offeringid":"930030277","name":"Sms-TD-Ilimitado_930030277","mode":"N"}}</v>
      </c>
    </row>
    <row r="698" spans="1:9" x14ac:dyDescent="0.25">
      <c r="A698" s="60" t="s">
        <v>4203</v>
      </c>
      <c r="B698" s="60" t="str">
        <f>findKey(supplementary_offering_legacyid__4[[#This Row],[PRODUCCION]])</f>
        <v>300302-78</v>
      </c>
      <c r="C698" s="61" t="s">
        <v>4204</v>
      </c>
      <c r="D698" t="s">
        <v>4205</v>
      </c>
      <c r="E698" t="s">
        <v>2329</v>
      </c>
      <c r="F698" s="61"/>
      <c r="H698" t="str">
        <f>ToJsonArray(supplementary_offering_legacyid__4[[#Headers],[offeringid]:[json]],supplementary_offering_legacyid__4[[#This Row],[offeringid]:[ignore]])</f>
        <v>{"offeringid":"930030278","name":"Sms-TD-Ilimitado_930030278","mode":"N"}</v>
      </c>
      <c r="I698" t="str">
        <f>ToJsonArray(supplementary_offering_legacyid__4[[#This Row],[semilla04]],supplementary_offering_legacyid__4[[#This Row],[json]])</f>
        <v>{"300302-78":{"offeringid":"930030278","name":"Sms-TD-Ilimitado_930030278","mode":"N"}}</v>
      </c>
    </row>
    <row r="699" spans="1:9" x14ac:dyDescent="0.25">
      <c r="A699" s="60" t="s">
        <v>4206</v>
      </c>
      <c r="B699" s="60" t="str">
        <f>findKey(supplementary_offering_legacyid__4[[#This Row],[PRODUCCION]])</f>
        <v>300302-79</v>
      </c>
      <c r="C699" s="61" t="s">
        <v>4207</v>
      </c>
      <c r="D699" t="s">
        <v>4208</v>
      </c>
      <c r="E699" t="s">
        <v>2329</v>
      </c>
      <c r="F699" s="61"/>
      <c r="H699" t="str">
        <f>ToJsonArray(supplementary_offering_legacyid__4[[#Headers],[offeringid]:[json]],supplementary_offering_legacyid__4[[#This Row],[offeringid]:[ignore]])</f>
        <v>{"offeringid":"930030279","name":"Sms-TD-Ilimitado_930030279","mode":"N"}</v>
      </c>
      <c r="I699" t="str">
        <f>ToJsonArray(supplementary_offering_legacyid__4[[#This Row],[semilla04]],supplementary_offering_legacyid__4[[#This Row],[json]])</f>
        <v>{"300302-79":{"offeringid":"930030279","name":"Sms-TD-Ilimitado_930030279","mode":"N"}}</v>
      </c>
    </row>
    <row r="700" spans="1:9" x14ac:dyDescent="0.25">
      <c r="A700" s="60" t="s">
        <v>4209</v>
      </c>
      <c r="B700" s="60" t="str">
        <f>findKey(supplementary_offering_legacyid__4[[#This Row],[PRODUCCION]])</f>
        <v>300302-80</v>
      </c>
      <c r="C700" s="61" t="s">
        <v>4210</v>
      </c>
      <c r="D700" t="s">
        <v>4211</v>
      </c>
      <c r="E700" t="s">
        <v>2329</v>
      </c>
      <c r="F700" s="61"/>
      <c r="H700" t="str">
        <f>ToJsonArray(supplementary_offering_legacyid__4[[#Headers],[offeringid]:[json]],supplementary_offering_legacyid__4[[#This Row],[offeringid]:[ignore]])</f>
        <v>{"offeringid":"930030280","name":"Sms-TD-Ilimitado_930030280","mode":"N"}</v>
      </c>
      <c r="I700" t="str">
        <f>ToJsonArray(supplementary_offering_legacyid__4[[#This Row],[semilla04]],supplementary_offering_legacyid__4[[#This Row],[json]])</f>
        <v>{"300302-80":{"offeringid":"930030280","name":"Sms-TD-Ilimitado_930030280","mode":"N"}}</v>
      </c>
    </row>
    <row r="701" spans="1:9" x14ac:dyDescent="0.25">
      <c r="A701" s="60" t="s">
        <v>4212</v>
      </c>
      <c r="B701" s="60" t="str">
        <f>findKey(supplementary_offering_legacyid__4[[#This Row],[PRODUCCION]])</f>
        <v>300302-81</v>
      </c>
      <c r="C701" s="61" t="s">
        <v>4213</v>
      </c>
      <c r="D701" t="s">
        <v>4214</v>
      </c>
      <c r="E701" t="s">
        <v>2329</v>
      </c>
      <c r="F701" s="61"/>
      <c r="H701" t="str">
        <f>ToJsonArray(supplementary_offering_legacyid__4[[#Headers],[offeringid]:[json]],supplementary_offering_legacyid__4[[#This Row],[offeringid]:[ignore]])</f>
        <v>{"offeringid":"930030281","name":"Sms-TD-Ilimitado_930030281","mode":"N"}</v>
      </c>
      <c r="I701" t="str">
        <f>ToJsonArray(supplementary_offering_legacyid__4[[#This Row],[semilla04]],supplementary_offering_legacyid__4[[#This Row],[json]])</f>
        <v>{"300302-81":{"offeringid":"930030281","name":"Sms-TD-Ilimitado_930030281","mode":"N"}}</v>
      </c>
    </row>
    <row r="702" spans="1:9" x14ac:dyDescent="0.25">
      <c r="A702" s="60" t="s">
        <v>4215</v>
      </c>
      <c r="B702" s="60" t="str">
        <f>findKey(supplementary_offering_legacyid__4[[#This Row],[PRODUCCION]])</f>
        <v>300302-82</v>
      </c>
      <c r="C702" s="61" t="s">
        <v>4216</v>
      </c>
      <c r="D702" t="s">
        <v>4217</v>
      </c>
      <c r="E702" t="s">
        <v>2329</v>
      </c>
      <c r="F702" s="61"/>
      <c r="H702" t="str">
        <f>ToJsonArray(supplementary_offering_legacyid__4[[#Headers],[offeringid]:[json]],supplementary_offering_legacyid__4[[#This Row],[offeringid]:[ignore]])</f>
        <v>{"offeringid":"930030282","name":"Sms-TD-Ilimitado_930030282","mode":"N"}</v>
      </c>
      <c r="I702" t="str">
        <f>ToJsonArray(supplementary_offering_legacyid__4[[#This Row],[semilla04]],supplementary_offering_legacyid__4[[#This Row],[json]])</f>
        <v>{"300302-82":{"offeringid":"930030282","name":"Sms-TD-Ilimitado_930030282","mode":"N"}}</v>
      </c>
    </row>
    <row r="703" spans="1:9" x14ac:dyDescent="0.25">
      <c r="A703" s="60" t="s">
        <v>4218</v>
      </c>
      <c r="B703" s="60" t="str">
        <f>findKey(supplementary_offering_legacyid__4[[#This Row],[PRODUCCION]])</f>
        <v>300302-83</v>
      </c>
      <c r="C703" s="61" t="s">
        <v>4219</v>
      </c>
      <c r="D703" t="s">
        <v>4220</v>
      </c>
      <c r="E703" t="s">
        <v>2329</v>
      </c>
      <c r="F703" s="61"/>
      <c r="H703" t="str">
        <f>ToJsonArray(supplementary_offering_legacyid__4[[#Headers],[offeringid]:[json]],supplementary_offering_legacyid__4[[#This Row],[offeringid]:[ignore]])</f>
        <v>{"offeringid":"930030283","name":"Sms-TD-Ilimitado_930030283","mode":"N"}</v>
      </c>
      <c r="I703" t="str">
        <f>ToJsonArray(supplementary_offering_legacyid__4[[#This Row],[semilla04]],supplementary_offering_legacyid__4[[#This Row],[json]])</f>
        <v>{"300302-83":{"offeringid":"930030283","name":"Sms-TD-Ilimitado_930030283","mode":"N"}}</v>
      </c>
    </row>
    <row r="704" spans="1:9" x14ac:dyDescent="0.25">
      <c r="A704" s="60" t="s">
        <v>4221</v>
      </c>
      <c r="B704" s="60" t="str">
        <f>findKey(supplementary_offering_legacyid__4[[#This Row],[PRODUCCION]])</f>
        <v>300302-84</v>
      </c>
      <c r="C704" s="61" t="s">
        <v>4222</v>
      </c>
      <c r="D704" t="s">
        <v>4223</v>
      </c>
      <c r="E704" t="s">
        <v>2329</v>
      </c>
      <c r="F704" s="61"/>
      <c r="H704" t="str">
        <f>ToJsonArray(supplementary_offering_legacyid__4[[#Headers],[offeringid]:[json]],supplementary_offering_legacyid__4[[#This Row],[offeringid]:[ignore]])</f>
        <v>{"offeringid":"930030284","name":"Sms-TD-Ilimitado_930030284","mode":"N"}</v>
      </c>
      <c r="I704" t="str">
        <f>ToJsonArray(supplementary_offering_legacyid__4[[#This Row],[semilla04]],supplementary_offering_legacyid__4[[#This Row],[json]])</f>
        <v>{"300302-84":{"offeringid":"930030284","name":"Sms-TD-Ilimitado_930030284","mode":"N"}}</v>
      </c>
    </row>
    <row r="705" spans="1:9" x14ac:dyDescent="0.25">
      <c r="A705" s="60" t="s">
        <v>4224</v>
      </c>
      <c r="B705" s="60" t="str">
        <f>findKey(supplementary_offering_legacyid__4[[#This Row],[PRODUCCION]])</f>
        <v>300302-85</v>
      </c>
      <c r="C705" s="61" t="s">
        <v>4225</v>
      </c>
      <c r="D705" t="s">
        <v>4226</v>
      </c>
      <c r="E705" t="s">
        <v>2329</v>
      </c>
      <c r="F705" s="61"/>
      <c r="H705" t="str">
        <f>ToJsonArray(supplementary_offering_legacyid__4[[#Headers],[offeringid]:[json]],supplementary_offering_legacyid__4[[#This Row],[offeringid]:[ignore]])</f>
        <v>{"offeringid":"930030285","name":"Sms-TD-Ilimitado_930030285","mode":"N"}</v>
      </c>
      <c r="I705" t="str">
        <f>ToJsonArray(supplementary_offering_legacyid__4[[#This Row],[semilla04]],supplementary_offering_legacyid__4[[#This Row],[json]])</f>
        <v>{"300302-85":{"offeringid":"930030285","name":"Sms-TD-Ilimitado_930030285","mode":"N"}}</v>
      </c>
    </row>
    <row r="706" spans="1:9" x14ac:dyDescent="0.25">
      <c r="A706" s="60" t="s">
        <v>4227</v>
      </c>
      <c r="B706" s="60" t="str">
        <f>findKey(supplementary_offering_legacyid__4[[#This Row],[PRODUCCION]])</f>
        <v>300302-86</v>
      </c>
      <c r="C706" s="61" t="s">
        <v>4228</v>
      </c>
      <c r="D706" t="s">
        <v>4229</v>
      </c>
      <c r="E706" t="s">
        <v>2329</v>
      </c>
      <c r="F706" s="61"/>
      <c r="H706" t="str">
        <f>ToJsonArray(supplementary_offering_legacyid__4[[#Headers],[offeringid]:[json]],supplementary_offering_legacyid__4[[#This Row],[offeringid]:[ignore]])</f>
        <v>{"offeringid":"930030286","name":"Sms-TD-Ilimitado_930030286","mode":"N"}</v>
      </c>
      <c r="I706" t="str">
        <f>ToJsonArray(supplementary_offering_legacyid__4[[#This Row],[semilla04]],supplementary_offering_legacyid__4[[#This Row],[json]])</f>
        <v>{"300302-86":{"offeringid":"930030286","name":"Sms-TD-Ilimitado_930030286","mode":"N"}}</v>
      </c>
    </row>
    <row r="707" spans="1:9" x14ac:dyDescent="0.25">
      <c r="A707" s="60" t="s">
        <v>4230</v>
      </c>
      <c r="B707" s="60" t="str">
        <f>findKey(supplementary_offering_legacyid__4[[#This Row],[PRODUCCION]])</f>
        <v>300302-87</v>
      </c>
      <c r="C707" s="61" t="s">
        <v>4231</v>
      </c>
      <c r="D707" t="s">
        <v>4232</v>
      </c>
      <c r="E707" t="s">
        <v>2329</v>
      </c>
      <c r="F707" s="61"/>
      <c r="H707" t="str">
        <f>ToJsonArray(supplementary_offering_legacyid__4[[#Headers],[offeringid]:[json]],supplementary_offering_legacyid__4[[#This Row],[offeringid]:[ignore]])</f>
        <v>{"offeringid":"930030287","name":"Sms-TD-Ilimitado_930030287","mode":"N"}</v>
      </c>
      <c r="I707" t="str">
        <f>ToJsonArray(supplementary_offering_legacyid__4[[#This Row],[semilla04]],supplementary_offering_legacyid__4[[#This Row],[json]])</f>
        <v>{"300302-87":{"offeringid":"930030287","name":"Sms-TD-Ilimitado_930030287","mode":"N"}}</v>
      </c>
    </row>
    <row r="708" spans="1:9" x14ac:dyDescent="0.25">
      <c r="A708" s="60" t="s">
        <v>4233</v>
      </c>
      <c r="B708" s="60" t="str">
        <f>findKey(supplementary_offering_legacyid__4[[#This Row],[PRODUCCION]])</f>
        <v>300302-88</v>
      </c>
      <c r="C708" s="61" t="s">
        <v>4234</v>
      </c>
      <c r="D708" t="s">
        <v>4235</v>
      </c>
      <c r="E708" t="s">
        <v>2329</v>
      </c>
      <c r="F708" s="61"/>
      <c r="H708" t="str">
        <f>ToJsonArray(supplementary_offering_legacyid__4[[#Headers],[offeringid]:[json]],supplementary_offering_legacyid__4[[#This Row],[offeringid]:[ignore]])</f>
        <v>{"offeringid":"930030288","name":"Sms-TD-Ilimitado_930030288","mode":"N"}</v>
      </c>
      <c r="I708" t="str">
        <f>ToJsonArray(supplementary_offering_legacyid__4[[#This Row],[semilla04]],supplementary_offering_legacyid__4[[#This Row],[json]])</f>
        <v>{"300302-88":{"offeringid":"930030288","name":"Sms-TD-Ilimitado_930030288","mode":"N"}}</v>
      </c>
    </row>
    <row r="709" spans="1:9" x14ac:dyDescent="0.25">
      <c r="A709" s="60" t="s">
        <v>4236</v>
      </c>
      <c r="B709" s="60" t="str">
        <f>findKey(supplementary_offering_legacyid__4[[#This Row],[PRODUCCION]])</f>
        <v>300302-89</v>
      </c>
      <c r="C709" s="61" t="s">
        <v>4237</v>
      </c>
      <c r="D709" t="s">
        <v>4238</v>
      </c>
      <c r="E709" t="s">
        <v>2329</v>
      </c>
      <c r="F709" s="61"/>
      <c r="H709" t="str">
        <f>ToJsonArray(supplementary_offering_legacyid__4[[#Headers],[offeringid]:[json]],supplementary_offering_legacyid__4[[#This Row],[offeringid]:[ignore]])</f>
        <v>{"offeringid":"930030289","name":"Sms-TD-Ilimitado_930030289","mode":"N"}</v>
      </c>
      <c r="I709" t="str">
        <f>ToJsonArray(supplementary_offering_legacyid__4[[#This Row],[semilla04]],supplementary_offering_legacyid__4[[#This Row],[json]])</f>
        <v>{"300302-89":{"offeringid":"930030289","name":"Sms-TD-Ilimitado_930030289","mode":"N"}}</v>
      </c>
    </row>
    <row r="710" spans="1:9" x14ac:dyDescent="0.25">
      <c r="A710" s="60" t="s">
        <v>4239</v>
      </c>
      <c r="B710" s="60" t="str">
        <f>findKey(supplementary_offering_legacyid__4[[#This Row],[PRODUCCION]])</f>
        <v>300302-90</v>
      </c>
      <c r="C710" s="61" t="s">
        <v>4240</v>
      </c>
      <c r="D710" t="s">
        <v>4241</v>
      </c>
      <c r="E710" t="s">
        <v>2329</v>
      </c>
      <c r="F710" s="61"/>
      <c r="H710" t="str">
        <f>ToJsonArray(supplementary_offering_legacyid__4[[#Headers],[offeringid]:[json]],supplementary_offering_legacyid__4[[#This Row],[offeringid]:[ignore]])</f>
        <v>{"offeringid":"930030290","name":"Sms-TD-Ilimitado_930030290","mode":"N"}</v>
      </c>
      <c r="I710" t="str">
        <f>ToJsonArray(supplementary_offering_legacyid__4[[#This Row],[semilla04]],supplementary_offering_legacyid__4[[#This Row],[json]])</f>
        <v>{"300302-90":{"offeringid":"930030290","name":"Sms-TD-Ilimitado_930030290","mode":"N"}}</v>
      </c>
    </row>
    <row r="711" spans="1:9" x14ac:dyDescent="0.25">
      <c r="A711" s="60" t="s">
        <v>4242</v>
      </c>
      <c r="B711" s="60" t="str">
        <f>findKey(supplementary_offering_legacyid__4[[#This Row],[PRODUCCION]])</f>
        <v>300302-91</v>
      </c>
      <c r="C711" s="61" t="s">
        <v>4243</v>
      </c>
      <c r="D711" t="s">
        <v>4244</v>
      </c>
      <c r="E711" t="s">
        <v>2329</v>
      </c>
      <c r="F711" s="61"/>
      <c r="H711" t="str">
        <f>ToJsonArray(supplementary_offering_legacyid__4[[#Headers],[offeringid]:[json]],supplementary_offering_legacyid__4[[#This Row],[offeringid]:[ignore]])</f>
        <v>{"offeringid":"930030291","name":"Sms-TD-Ilimitado_930030291","mode":"N"}</v>
      </c>
      <c r="I711" t="str">
        <f>ToJsonArray(supplementary_offering_legacyid__4[[#This Row],[semilla04]],supplementary_offering_legacyid__4[[#This Row],[json]])</f>
        <v>{"300302-91":{"offeringid":"930030291","name":"Sms-TD-Ilimitado_930030291","mode":"N"}}</v>
      </c>
    </row>
    <row r="712" spans="1:9" x14ac:dyDescent="0.25">
      <c r="A712" s="60" t="s">
        <v>4245</v>
      </c>
      <c r="B712" s="60" t="str">
        <f>findKey(supplementary_offering_legacyid__4[[#This Row],[PRODUCCION]])</f>
        <v>300302-92</v>
      </c>
      <c r="C712" s="61" t="s">
        <v>4246</v>
      </c>
      <c r="D712" t="s">
        <v>4247</v>
      </c>
      <c r="E712" t="s">
        <v>2329</v>
      </c>
      <c r="F712" s="61"/>
      <c r="H712" t="str">
        <f>ToJsonArray(supplementary_offering_legacyid__4[[#Headers],[offeringid]:[json]],supplementary_offering_legacyid__4[[#This Row],[offeringid]:[ignore]])</f>
        <v>{"offeringid":"930030292","name":"Sms-TD-Ilimitado_930030292","mode":"N"}</v>
      </c>
      <c r="I712" t="str">
        <f>ToJsonArray(supplementary_offering_legacyid__4[[#This Row],[semilla04]],supplementary_offering_legacyid__4[[#This Row],[json]])</f>
        <v>{"300302-92":{"offeringid":"930030292","name":"Sms-TD-Ilimitado_930030292","mode":"N"}}</v>
      </c>
    </row>
    <row r="713" spans="1:9" x14ac:dyDescent="0.25">
      <c r="A713" s="60" t="s">
        <v>4248</v>
      </c>
      <c r="B713" s="60" t="str">
        <f>findKey(supplementary_offering_legacyid__4[[#This Row],[PRODUCCION]])</f>
        <v>300302-93</v>
      </c>
      <c r="C713" s="61" t="s">
        <v>4249</v>
      </c>
      <c r="D713" t="s">
        <v>4250</v>
      </c>
      <c r="E713" t="s">
        <v>2329</v>
      </c>
      <c r="F713" s="61"/>
      <c r="H713" t="str">
        <f>ToJsonArray(supplementary_offering_legacyid__4[[#Headers],[offeringid]:[json]],supplementary_offering_legacyid__4[[#This Row],[offeringid]:[ignore]])</f>
        <v>{"offeringid":"930030293","name":"Sms-TD-Ilimitado_930030293","mode":"N"}</v>
      </c>
      <c r="I713" t="str">
        <f>ToJsonArray(supplementary_offering_legacyid__4[[#This Row],[semilla04]],supplementary_offering_legacyid__4[[#This Row],[json]])</f>
        <v>{"300302-93":{"offeringid":"930030293","name":"Sms-TD-Ilimitado_930030293","mode":"N"}}</v>
      </c>
    </row>
    <row r="714" spans="1:9" x14ac:dyDescent="0.25">
      <c r="A714" s="60" t="s">
        <v>4251</v>
      </c>
      <c r="B714" s="60" t="str">
        <f>findKey(supplementary_offering_legacyid__4[[#This Row],[PRODUCCION]])</f>
        <v>300302-94</v>
      </c>
      <c r="C714" s="61" t="s">
        <v>4252</v>
      </c>
      <c r="D714" t="s">
        <v>4253</v>
      </c>
      <c r="E714" t="s">
        <v>2329</v>
      </c>
      <c r="F714" s="61"/>
      <c r="H714" t="str">
        <f>ToJsonArray(supplementary_offering_legacyid__4[[#Headers],[offeringid]:[json]],supplementary_offering_legacyid__4[[#This Row],[offeringid]:[ignore]])</f>
        <v>{"offeringid":"930030294","name":"Sms-TD-Ilimitado_930030294","mode":"N"}</v>
      </c>
      <c r="I714" t="str">
        <f>ToJsonArray(supplementary_offering_legacyid__4[[#This Row],[semilla04]],supplementary_offering_legacyid__4[[#This Row],[json]])</f>
        <v>{"300302-94":{"offeringid":"930030294","name":"Sms-TD-Ilimitado_930030294","mode":"N"}}</v>
      </c>
    </row>
    <row r="715" spans="1:9" x14ac:dyDescent="0.25">
      <c r="A715" s="60" t="s">
        <v>4254</v>
      </c>
      <c r="B715" s="60" t="str">
        <f>findKey(supplementary_offering_legacyid__4[[#This Row],[PRODUCCION]])</f>
        <v>300302-95</v>
      </c>
      <c r="C715" s="61" t="s">
        <v>4255</v>
      </c>
      <c r="D715" t="s">
        <v>4256</v>
      </c>
      <c r="E715" t="s">
        <v>2329</v>
      </c>
      <c r="F715" s="61"/>
      <c r="H715" t="str">
        <f>ToJsonArray(supplementary_offering_legacyid__4[[#Headers],[offeringid]:[json]],supplementary_offering_legacyid__4[[#This Row],[offeringid]:[ignore]])</f>
        <v>{"offeringid":"930030295","name":"Sms-TD-Ilimitado_930030295","mode":"N"}</v>
      </c>
      <c r="I715" t="str">
        <f>ToJsonArray(supplementary_offering_legacyid__4[[#This Row],[semilla04]],supplementary_offering_legacyid__4[[#This Row],[json]])</f>
        <v>{"300302-95":{"offeringid":"930030295","name":"Sms-TD-Ilimitado_930030295","mode":"N"}}</v>
      </c>
    </row>
    <row r="716" spans="1:9" x14ac:dyDescent="0.25">
      <c r="A716" s="60" t="s">
        <v>4257</v>
      </c>
      <c r="B716" s="60" t="str">
        <f>findKey(supplementary_offering_legacyid__4[[#This Row],[PRODUCCION]])</f>
        <v>300302-96</v>
      </c>
      <c r="C716" s="61" t="s">
        <v>4258</v>
      </c>
      <c r="D716" t="s">
        <v>4259</v>
      </c>
      <c r="E716" t="s">
        <v>2329</v>
      </c>
      <c r="F716" s="61"/>
      <c r="H716" t="str">
        <f>ToJsonArray(supplementary_offering_legacyid__4[[#Headers],[offeringid]:[json]],supplementary_offering_legacyid__4[[#This Row],[offeringid]:[ignore]])</f>
        <v>{"offeringid":"930030296","name":"Sms-TD-Ilimitado_930030296","mode":"N"}</v>
      </c>
      <c r="I716" t="str">
        <f>ToJsonArray(supplementary_offering_legacyid__4[[#This Row],[semilla04]],supplementary_offering_legacyid__4[[#This Row],[json]])</f>
        <v>{"300302-96":{"offeringid":"930030296","name":"Sms-TD-Ilimitado_930030296","mode":"N"}}</v>
      </c>
    </row>
    <row r="717" spans="1:9" x14ac:dyDescent="0.25">
      <c r="A717" s="60" t="s">
        <v>4260</v>
      </c>
      <c r="B717" s="60" t="str">
        <f>findKey(supplementary_offering_legacyid__4[[#This Row],[PRODUCCION]])</f>
        <v>300302-97</v>
      </c>
      <c r="C717" s="61" t="s">
        <v>4261</v>
      </c>
      <c r="D717" t="s">
        <v>4262</v>
      </c>
      <c r="E717" t="s">
        <v>2329</v>
      </c>
      <c r="F717" s="61"/>
      <c r="H717" t="str">
        <f>ToJsonArray(supplementary_offering_legacyid__4[[#Headers],[offeringid]:[json]],supplementary_offering_legacyid__4[[#This Row],[offeringid]:[ignore]])</f>
        <v>{"offeringid":"930030297","name":"Sms-TD-Ilimitado_930030297","mode":"N"}</v>
      </c>
      <c r="I717" t="str">
        <f>ToJsonArray(supplementary_offering_legacyid__4[[#This Row],[semilla04]],supplementary_offering_legacyid__4[[#This Row],[json]])</f>
        <v>{"300302-97":{"offeringid":"930030297","name":"Sms-TD-Ilimitado_930030297","mode":"N"}}</v>
      </c>
    </row>
    <row r="718" spans="1:9" x14ac:dyDescent="0.25">
      <c r="A718" s="60" t="s">
        <v>4263</v>
      </c>
      <c r="B718" s="60" t="str">
        <f>findKey(supplementary_offering_legacyid__4[[#This Row],[PRODUCCION]])</f>
        <v>300312-00</v>
      </c>
      <c r="C718" s="61" t="s">
        <v>4264</v>
      </c>
      <c r="D718" t="s">
        <v>4265</v>
      </c>
      <c r="E718" t="s">
        <v>2329</v>
      </c>
      <c r="F718" s="61"/>
      <c r="H718" t="str">
        <f>ToJsonArray(supplementary_offering_legacyid__4[[#Headers],[offeringid]:[json]],supplementary_offering_legacyid__4[[#This Row],[offeringid]:[ignore]])</f>
        <v>{"offeringid":"930031200","name":"Sms-TD-Ilimitado_930031200","mode":"N"}</v>
      </c>
      <c r="I718" t="str">
        <f>ToJsonArray(supplementary_offering_legacyid__4[[#This Row],[semilla04]],supplementary_offering_legacyid__4[[#This Row],[json]])</f>
        <v>{"300312-00":{"offeringid":"930031200","name":"Sms-TD-Ilimitado_930031200","mode":"N"}}</v>
      </c>
    </row>
    <row r="719" spans="1:9" x14ac:dyDescent="0.25">
      <c r="A719" s="60" t="s">
        <v>4266</v>
      </c>
      <c r="B719" s="60" t="str">
        <f>findKey(supplementary_offering_legacyid__4[[#This Row],[PRODUCCION]])</f>
        <v>800010-01</v>
      </c>
      <c r="C719" s="61" t="s">
        <v>4267</v>
      </c>
      <c r="D719" t="s">
        <v>4268</v>
      </c>
      <c r="E719" t="s">
        <v>2329</v>
      </c>
      <c r="F719" s="61"/>
      <c r="H719" t="str">
        <f>ToJsonArray(supplementary_offering_legacyid__4[[#Headers],[offeringid]:[json]],supplementary_offering_legacyid__4[[#This Row],[offeringid]:[ignore]])</f>
        <v>{"offeringid":"980001001","name":"SDP 12GB-3D_980001001","mode":"N"}</v>
      </c>
      <c r="I719" t="str">
        <f>ToJsonArray(supplementary_offering_legacyid__4[[#This Row],[semilla04]],supplementary_offering_legacyid__4[[#This Row],[json]])</f>
        <v>{"800010-01":{"offeringid":"980001001","name":"SDP 12GB-3D_980001001","mode":"N"}}</v>
      </c>
    </row>
    <row r="720" spans="1:9" x14ac:dyDescent="0.25">
      <c r="A720" s="60" t="s">
        <v>4269</v>
      </c>
      <c r="B720" s="60" t="str">
        <f>findKey(supplementary_offering_legacyid__4[[#This Row],[PRODUCCION]])</f>
        <v>800010-02</v>
      </c>
      <c r="C720" s="61" t="s">
        <v>4270</v>
      </c>
      <c r="D720" t="s">
        <v>4271</v>
      </c>
      <c r="E720" t="s">
        <v>2329</v>
      </c>
      <c r="F720" s="61"/>
      <c r="H720" t="str">
        <f>ToJsonArray(supplementary_offering_legacyid__4[[#Headers],[offeringid]:[json]],supplementary_offering_legacyid__4[[#This Row],[offeringid]:[ignore]])</f>
        <v>{"offeringid":"980001002","name":"SDP 20GB-5D_980001002","mode":"N"}</v>
      </c>
      <c r="I720" t="str">
        <f>ToJsonArray(supplementary_offering_legacyid__4[[#This Row],[semilla04]],supplementary_offering_legacyid__4[[#This Row],[json]])</f>
        <v>{"800010-02":{"offeringid":"980001002","name":"SDP 20GB-5D_980001002","mode":"N"}}</v>
      </c>
    </row>
    <row r="721" spans="1:9" x14ac:dyDescent="0.25">
      <c r="A721" s="60" t="s">
        <v>4272</v>
      </c>
      <c r="B721" s="60" t="str">
        <f>findKey(supplementary_offering_legacyid__4[[#This Row],[PRODUCCION]])</f>
        <v>810004-76</v>
      </c>
      <c r="C721" s="61" t="s">
        <v>4273</v>
      </c>
      <c r="D721" t="s">
        <v>4274</v>
      </c>
      <c r="E721" t="s">
        <v>2329</v>
      </c>
      <c r="F721" s="61"/>
      <c r="H721" t="str">
        <f>ToJsonArray(supplementary_offering_legacyid__4[[#Headers],[offeringid]:[json]],supplementary_offering_legacyid__4[[#This Row],[offeringid]:[ignore]])</f>
        <v>{"offeringid":"981000476","name":"CUG-4Fav_981000476","mode":"N"}</v>
      </c>
      <c r="I721" t="str">
        <f>ToJsonArray(supplementary_offering_legacyid__4[[#This Row],[semilla04]],supplementary_offering_legacyid__4[[#This Row],[json]])</f>
        <v>{"810004-76":{"offeringid":"981000476","name":"CUG-4Fav_981000476","mode":"N"}}</v>
      </c>
    </row>
    <row r="722" spans="1:9" x14ac:dyDescent="0.25">
      <c r="A722" s="60" t="s">
        <v>4275</v>
      </c>
      <c r="B722" s="60" t="str">
        <f>findKey(supplementary_offering_legacyid__4[[#This Row],[PRODUCCION]])</f>
        <v>810004-77</v>
      </c>
      <c r="C722" s="61" t="s">
        <v>4276</v>
      </c>
      <c r="D722" t="s">
        <v>4277</v>
      </c>
      <c r="E722" t="s">
        <v>2329</v>
      </c>
      <c r="F722" s="61"/>
      <c r="H722" t="str">
        <f>ToJsonArray(supplementary_offering_legacyid__4[[#Headers],[offeringid]:[json]],supplementary_offering_legacyid__4[[#This Row],[offeringid]:[ignore]])</f>
        <v>{"offeringid":"981000477","name":"CUG-4Fav_981000477","mode":"N"}</v>
      </c>
      <c r="I722" t="str">
        <f>ToJsonArray(supplementary_offering_legacyid__4[[#This Row],[semilla04]],supplementary_offering_legacyid__4[[#This Row],[json]])</f>
        <v>{"810004-77":{"offeringid":"981000477","name":"CUG-4Fav_981000477","mode":"N"}}</v>
      </c>
    </row>
    <row r="723" spans="1:9" x14ac:dyDescent="0.25">
      <c r="A723" s="60" t="s">
        <v>4278</v>
      </c>
      <c r="B723" s="60" t="str">
        <f>findKey(supplementary_offering_legacyid__4[[#This Row],[PRODUCCION]])</f>
        <v>810004-78</v>
      </c>
      <c r="C723" s="61" t="s">
        <v>4279</v>
      </c>
      <c r="D723" t="s">
        <v>4280</v>
      </c>
      <c r="E723" t="s">
        <v>2329</v>
      </c>
      <c r="F723" s="61"/>
      <c r="H723" t="str">
        <f>ToJsonArray(supplementary_offering_legacyid__4[[#Headers],[offeringid]:[json]],supplementary_offering_legacyid__4[[#This Row],[offeringid]:[ignore]])</f>
        <v>{"offeringid":"981000478","name":"CUG-5Fav_981000478","mode":"N"}</v>
      </c>
      <c r="I723" t="str">
        <f>ToJsonArray(supplementary_offering_legacyid__4[[#This Row],[semilla04]],supplementary_offering_legacyid__4[[#This Row],[json]])</f>
        <v>{"810004-78":{"offeringid":"981000478","name":"CUG-5Fav_981000478","mode":"N"}}</v>
      </c>
    </row>
    <row r="724" spans="1:9" x14ac:dyDescent="0.25">
      <c r="A724" s="60" t="s">
        <v>4281</v>
      </c>
      <c r="B724" s="60" t="str">
        <f>findKey(supplementary_offering_legacyid__4[[#This Row],[PRODUCCION]])</f>
        <v>810004-79</v>
      </c>
      <c r="C724" s="61" t="s">
        <v>4282</v>
      </c>
      <c r="D724" t="s">
        <v>4283</v>
      </c>
      <c r="E724" t="s">
        <v>2329</v>
      </c>
      <c r="F724" s="61"/>
      <c r="H724" t="str">
        <f>ToJsonArray(supplementary_offering_legacyid__4[[#Headers],[offeringid]:[json]],supplementary_offering_legacyid__4[[#This Row],[offeringid]:[ignore]])</f>
        <v>{"offeringid":"981000479","name":"CUG-5Fav_981000479","mode":"N"}</v>
      </c>
      <c r="I724" t="str">
        <f>ToJsonArray(supplementary_offering_legacyid__4[[#This Row],[semilla04]],supplementary_offering_legacyid__4[[#This Row],[json]])</f>
        <v>{"810004-79":{"offeringid":"981000479","name":"CUG-5Fav_981000479","mode":"N"}}</v>
      </c>
    </row>
    <row r="725" spans="1:9" x14ac:dyDescent="0.25">
      <c r="A725" s="60" t="s">
        <v>4284</v>
      </c>
      <c r="B725" s="60" t="str">
        <f>findKey(supplementary_offering_legacyid__4[[#This Row],[PRODUCCION]])</f>
        <v>810004-80</v>
      </c>
      <c r="C725" s="61" t="s">
        <v>4285</v>
      </c>
      <c r="D725" t="s">
        <v>4286</v>
      </c>
      <c r="E725" t="s">
        <v>2329</v>
      </c>
      <c r="F725" s="61"/>
      <c r="H725" t="str">
        <f>ToJsonArray(supplementary_offering_legacyid__4[[#Headers],[offeringid]:[json]],supplementary_offering_legacyid__4[[#This Row],[offeringid]:[ignore]])</f>
        <v>{"offeringid":"981000480","name":"CUG-4Fav_981000480","mode":"N"}</v>
      </c>
      <c r="I725" t="str">
        <f>ToJsonArray(supplementary_offering_legacyid__4[[#This Row],[semilla04]],supplementary_offering_legacyid__4[[#This Row],[json]])</f>
        <v>{"810004-80":{"offeringid":"981000480","name":"CUG-4Fav_981000480","mode":"N"}}</v>
      </c>
    </row>
    <row r="726" spans="1:9" x14ac:dyDescent="0.25">
      <c r="A726" s="60" t="s">
        <v>4287</v>
      </c>
      <c r="B726" s="60" t="str">
        <f>findKey(supplementary_offering_legacyid__4[[#This Row],[PRODUCCION]])</f>
        <v>810004-81</v>
      </c>
      <c r="C726" s="61" t="s">
        <v>4288</v>
      </c>
      <c r="D726" t="s">
        <v>4289</v>
      </c>
      <c r="E726" t="s">
        <v>2329</v>
      </c>
      <c r="F726" s="61"/>
      <c r="H726" t="str">
        <f>ToJsonArray(supplementary_offering_legacyid__4[[#Headers],[offeringid]:[json]],supplementary_offering_legacyid__4[[#This Row],[offeringid]:[ignore]])</f>
        <v>{"offeringid":"981000481","name":"CUG-4Fav_981000481","mode":"N"}</v>
      </c>
      <c r="I726" t="str">
        <f>ToJsonArray(supplementary_offering_legacyid__4[[#This Row],[semilla04]],supplementary_offering_legacyid__4[[#This Row],[json]])</f>
        <v>{"810004-81":{"offeringid":"981000481","name":"CUG-4Fav_981000481","mode":"N"}}</v>
      </c>
    </row>
    <row r="727" spans="1:9" x14ac:dyDescent="0.25">
      <c r="A727" s="60" t="s">
        <v>4290</v>
      </c>
      <c r="B727" s="60" t="str">
        <f>findKey(supplementary_offering_legacyid__4[[#This Row],[PRODUCCION]])</f>
        <v>810004-82</v>
      </c>
      <c r="C727" s="61" t="s">
        <v>4291</v>
      </c>
      <c r="D727" t="s">
        <v>4292</v>
      </c>
      <c r="E727" t="s">
        <v>2329</v>
      </c>
      <c r="F727" s="61"/>
      <c r="H727" t="str">
        <f>ToJsonArray(supplementary_offering_legacyid__4[[#Headers],[offeringid]:[json]],supplementary_offering_legacyid__4[[#This Row],[offeringid]:[ignore]])</f>
        <v>{"offeringid":"981000482","name":"CUG-4Fav_981000482","mode":"N"}</v>
      </c>
      <c r="I727" t="str">
        <f>ToJsonArray(supplementary_offering_legacyid__4[[#This Row],[semilla04]],supplementary_offering_legacyid__4[[#This Row],[json]])</f>
        <v>{"810004-82":{"offeringid":"981000482","name":"CUG-4Fav_981000482","mode":"N"}}</v>
      </c>
    </row>
    <row r="728" spans="1:9" x14ac:dyDescent="0.25">
      <c r="A728" s="60" t="s">
        <v>4293</v>
      </c>
      <c r="B728" s="60" t="str">
        <f>findKey(supplementary_offering_legacyid__4[[#This Row],[PRODUCCION]])</f>
        <v>810004-83</v>
      </c>
      <c r="C728" s="61" t="s">
        <v>4294</v>
      </c>
      <c r="D728" t="s">
        <v>4295</v>
      </c>
      <c r="E728" t="s">
        <v>2329</v>
      </c>
      <c r="F728" s="61"/>
      <c r="H728" t="str">
        <f>ToJsonArray(supplementary_offering_legacyid__4[[#Headers],[offeringid]:[json]],supplementary_offering_legacyid__4[[#This Row],[offeringid]:[ignore]])</f>
        <v>{"offeringid":"981000483","name":"CUG-5Fav_981000483","mode":"N"}</v>
      </c>
      <c r="I728" t="str">
        <f>ToJsonArray(supplementary_offering_legacyid__4[[#This Row],[semilla04]],supplementary_offering_legacyid__4[[#This Row],[json]])</f>
        <v>{"810004-83":{"offeringid":"981000483","name":"CUG-5Fav_981000483","mode":"N"}}</v>
      </c>
    </row>
    <row r="729" spans="1:9" x14ac:dyDescent="0.25">
      <c r="A729" s="60" t="s">
        <v>4296</v>
      </c>
      <c r="B729" s="60" t="str">
        <f>findKey(supplementary_offering_legacyid__4[[#This Row],[PRODUCCION]])</f>
        <v>810004-84</v>
      </c>
      <c r="C729" s="61" t="s">
        <v>4297</v>
      </c>
      <c r="D729" t="s">
        <v>4298</v>
      </c>
      <c r="E729" t="s">
        <v>2329</v>
      </c>
      <c r="F729" s="61"/>
      <c r="H729" t="str">
        <f>ToJsonArray(supplementary_offering_legacyid__4[[#Headers],[offeringid]:[json]],supplementary_offering_legacyid__4[[#This Row],[offeringid]:[ignore]])</f>
        <v>{"offeringid":"981000484","name":"CUG-5Fav_981000484","mode":"N"}</v>
      </c>
      <c r="I729" t="str">
        <f>ToJsonArray(supplementary_offering_legacyid__4[[#This Row],[semilla04]],supplementary_offering_legacyid__4[[#This Row],[json]])</f>
        <v>{"810004-84":{"offeringid":"981000484","name":"CUG-5Fav_981000484","mode":"N"}}</v>
      </c>
    </row>
    <row r="730" spans="1:9" x14ac:dyDescent="0.25">
      <c r="A730" s="60" t="s">
        <v>4299</v>
      </c>
      <c r="B730" s="60" t="str">
        <f>findKey(supplementary_offering_legacyid__4[[#This Row],[PRODUCCION]])</f>
        <v>810004-85</v>
      </c>
      <c r="C730" s="61" t="s">
        <v>4300</v>
      </c>
      <c r="D730" t="s">
        <v>4301</v>
      </c>
      <c r="E730" t="s">
        <v>2329</v>
      </c>
      <c r="F730" s="61"/>
      <c r="H730" t="str">
        <f>ToJsonArray(supplementary_offering_legacyid__4[[#Headers],[offeringid]:[json]],supplementary_offering_legacyid__4[[#This Row],[offeringid]:[ignore]])</f>
        <v>{"offeringid":"981000485","name":"CUG-5Fav_981000485","mode":"N"}</v>
      </c>
      <c r="I730" t="str">
        <f>ToJsonArray(supplementary_offering_legacyid__4[[#This Row],[semilla04]],supplementary_offering_legacyid__4[[#This Row],[json]])</f>
        <v>{"810004-85":{"offeringid":"981000485","name":"CUG-5Fav_981000485","mode":"N"}}</v>
      </c>
    </row>
    <row r="731" spans="1:9" x14ac:dyDescent="0.25">
      <c r="A731" s="60" t="s">
        <v>4302</v>
      </c>
      <c r="B731" s="60" t="str">
        <f>findKey(supplementary_offering_legacyid__4[[#This Row],[PRODUCCION]])</f>
        <v>810004-86</v>
      </c>
      <c r="C731" s="61" t="s">
        <v>4303</v>
      </c>
      <c r="D731" t="s">
        <v>4304</v>
      </c>
      <c r="E731" t="s">
        <v>2329</v>
      </c>
      <c r="F731" s="61"/>
      <c r="H731" t="str">
        <f>ToJsonArray(supplementary_offering_legacyid__4[[#Headers],[offeringid]:[json]],supplementary_offering_legacyid__4[[#This Row],[offeringid]:[ignore]])</f>
        <v>{"offeringid":"981000486","name":"CUG-3Fav_981000486","mode":"N"}</v>
      </c>
      <c r="I731" t="str">
        <f>ToJsonArray(supplementary_offering_legacyid__4[[#This Row],[semilla04]],supplementary_offering_legacyid__4[[#This Row],[json]])</f>
        <v>{"810004-86":{"offeringid":"981000486","name":"CUG-3Fav_981000486","mode":"N"}}</v>
      </c>
    </row>
    <row r="732" spans="1:9" x14ac:dyDescent="0.25">
      <c r="A732" s="60" t="s">
        <v>4305</v>
      </c>
      <c r="B732" s="60" t="str">
        <f>findKey(supplementary_offering_legacyid__4[[#This Row],[PRODUCCION]])</f>
        <v>810004-87</v>
      </c>
      <c r="C732" s="61" t="s">
        <v>4306</v>
      </c>
      <c r="D732" t="s">
        <v>4307</v>
      </c>
      <c r="E732" t="s">
        <v>2329</v>
      </c>
      <c r="F732" s="61"/>
      <c r="H732" t="str">
        <f>ToJsonArray(supplementary_offering_legacyid__4[[#Headers],[offeringid]:[json]],supplementary_offering_legacyid__4[[#This Row],[offeringid]:[ignore]])</f>
        <v>{"offeringid":"981000487","name":"CUG-5Fav_981000487","mode":"N"}</v>
      </c>
      <c r="I732" t="str">
        <f>ToJsonArray(supplementary_offering_legacyid__4[[#This Row],[semilla04]],supplementary_offering_legacyid__4[[#This Row],[json]])</f>
        <v>{"810004-87":{"offeringid":"981000487","name":"CUG-5Fav_981000487","mode":"N"}}</v>
      </c>
    </row>
    <row r="733" spans="1:9" x14ac:dyDescent="0.25">
      <c r="A733" s="60" t="s">
        <v>4308</v>
      </c>
      <c r="B733" s="60" t="str">
        <f>findKey(supplementary_offering_legacyid__4[[#This Row],[PRODUCCION]])</f>
        <v>810004-90</v>
      </c>
      <c r="C733" s="61" t="s">
        <v>4309</v>
      </c>
      <c r="D733" t="s">
        <v>4310</v>
      </c>
      <c r="E733" t="s">
        <v>2329</v>
      </c>
      <c r="F733" s="61"/>
      <c r="H733" t="str">
        <f>ToJsonArray(supplementary_offering_legacyid__4[[#Headers],[offeringid]:[json]],supplementary_offering_legacyid__4[[#This Row],[offeringid]:[ignore]])</f>
        <v>{"offeringid":"981000490","name":"CUG-4Fav_981000490","mode":"N"}</v>
      </c>
      <c r="I733" t="str">
        <f>ToJsonArray(supplementary_offering_legacyid__4[[#This Row],[semilla04]],supplementary_offering_legacyid__4[[#This Row],[json]])</f>
        <v>{"810004-90":{"offeringid":"981000490","name":"CUG-4Fav_981000490","mode":"N"}}</v>
      </c>
    </row>
    <row r="734" spans="1:9" x14ac:dyDescent="0.25">
      <c r="A734" s="60" t="s">
        <v>4311</v>
      </c>
      <c r="B734" s="60" t="str">
        <f>findKey(supplementary_offering_legacyid__4[[#This Row],[PRODUCCION]])</f>
        <v>810004-91</v>
      </c>
      <c r="C734" s="61" t="s">
        <v>4312</v>
      </c>
      <c r="D734" t="s">
        <v>4313</v>
      </c>
      <c r="E734" t="s">
        <v>2329</v>
      </c>
      <c r="F734" s="61"/>
      <c r="H734" t="str">
        <f>ToJsonArray(supplementary_offering_legacyid__4[[#Headers],[offeringid]:[json]],supplementary_offering_legacyid__4[[#This Row],[offeringid]:[ignore]])</f>
        <v>{"offeringid":"981000491","name":"CUG-6Fav_981000491","mode":"N"}</v>
      </c>
      <c r="I734" t="str">
        <f>ToJsonArray(supplementary_offering_legacyid__4[[#This Row],[semilla04]],supplementary_offering_legacyid__4[[#This Row],[json]])</f>
        <v>{"810004-91":{"offeringid":"981000491","name":"CUG-6Fav_981000491","mode":"N"}}</v>
      </c>
    </row>
    <row r="735" spans="1:9" x14ac:dyDescent="0.25">
      <c r="A735" s="60" t="s">
        <v>4314</v>
      </c>
      <c r="B735" s="60" t="str">
        <f>findKey(supplementary_offering_legacyid__4[[#This Row],[PRODUCCION]])</f>
        <v>100001-00</v>
      </c>
      <c r="C735" s="61" t="s">
        <v>4315</v>
      </c>
      <c r="D735" t="s">
        <v>4316</v>
      </c>
      <c r="E735" t="s">
        <v>2329</v>
      </c>
      <c r="F735" s="61"/>
      <c r="H735" t="str">
        <f>ToJsonArray(supplementary_offering_legacyid__4[[#Headers],[offeringid]:[json]],supplementary_offering_legacyid__4[[#This Row],[offeringid]:[ignore]])</f>
        <v>{"offeringid":"910000100","name":"Voz - OnNet - Bajo 0_910000100","mode":"N"}</v>
      </c>
      <c r="I735" t="str">
        <f>ToJsonArray(supplementary_offering_legacyid__4[[#This Row],[semilla04]],supplementary_offering_legacyid__4[[#This Row],[json]])</f>
        <v>{"100001-00":{"offeringid":"910000100","name":"Voz - OnNet - Bajo 0_910000100","mode":"N"}}</v>
      </c>
    </row>
    <row r="736" spans="1:9" x14ac:dyDescent="0.25">
      <c r="A736" s="60" t="s">
        <v>4317</v>
      </c>
      <c r="B736" s="60" t="str">
        <f>findKey(supplementary_offering_legacyid__4[[#This Row],[PRODUCCION]])</f>
        <v>100001-03</v>
      </c>
      <c r="C736" s="61" t="s">
        <v>4318</v>
      </c>
      <c r="D736" t="s">
        <v>4319</v>
      </c>
      <c r="E736" t="s">
        <v>2329</v>
      </c>
      <c r="F736" s="61"/>
      <c r="H736" t="str">
        <f>ToJsonArray(supplementary_offering_legacyid__4[[#Headers],[offeringid]:[json]],supplementary_offering_legacyid__4[[#This Row],[offeringid]:[ignore]])</f>
        <v>{"offeringid":"910000103","name":"Voz - OnNet - Medio 2_910000103","mode":"N"}</v>
      </c>
      <c r="I736" t="str">
        <f>ToJsonArray(supplementary_offering_legacyid__4[[#This Row],[semilla04]],supplementary_offering_legacyid__4[[#This Row],[json]])</f>
        <v>{"100001-03":{"offeringid":"910000103","name":"Voz - OnNet - Medio 2_910000103","mode":"N"}}</v>
      </c>
    </row>
    <row r="737" spans="1:9" x14ac:dyDescent="0.25">
      <c r="A737" s="60" t="s">
        <v>4320</v>
      </c>
      <c r="B737" s="60" t="str">
        <f>findKey(supplementary_offering_legacyid__4[[#This Row],[PRODUCCION]])</f>
        <v>100001-04</v>
      </c>
      <c r="C737" s="61" t="s">
        <v>4321</v>
      </c>
      <c r="D737" t="s">
        <v>4322</v>
      </c>
      <c r="E737" t="s">
        <v>2329</v>
      </c>
      <c r="F737" s="61"/>
      <c r="H737" t="str">
        <f>ToJsonArray(supplementary_offering_legacyid__4[[#Headers],[offeringid]:[json]],supplementary_offering_legacyid__4[[#This Row],[offeringid]:[ignore]])</f>
        <v>{"offeringid":"910000104","name":"Voz - OnNet - Medio 2_910000104","mode":"N"}</v>
      </c>
      <c r="I737" t="str">
        <f>ToJsonArray(supplementary_offering_legacyid__4[[#This Row],[semilla04]],supplementary_offering_legacyid__4[[#This Row],[json]])</f>
        <v>{"100001-04":{"offeringid":"910000104","name":"Voz - OnNet - Medio 2_910000104","mode":"N"}}</v>
      </c>
    </row>
    <row r="738" spans="1:9" x14ac:dyDescent="0.25">
      <c r="A738" s="60" t="s">
        <v>4323</v>
      </c>
      <c r="B738" s="60" t="str">
        <f>findKey(supplementary_offering_legacyid__4[[#This Row],[PRODUCCION]])</f>
        <v>100001-07</v>
      </c>
      <c r="C738" s="61" t="s">
        <v>4324</v>
      </c>
      <c r="D738" t="s">
        <v>4325</v>
      </c>
      <c r="E738" t="s">
        <v>2329</v>
      </c>
      <c r="F738" s="61"/>
      <c r="H738" t="str">
        <f>ToJsonArray(supplementary_offering_legacyid__4[[#Headers],[offeringid]:[json]],supplementary_offering_legacyid__4[[#This Row],[offeringid]:[ignore]])</f>
        <v>{"offeringid":"910000107","name":"Voz - OnNet - Alto 2_910000107","mode":"N"}</v>
      </c>
      <c r="I738" t="str">
        <f>ToJsonArray(supplementary_offering_legacyid__4[[#This Row],[semilla04]],supplementary_offering_legacyid__4[[#This Row],[json]])</f>
        <v>{"100001-07":{"offeringid":"910000107","name":"Voz - OnNet - Alto 2_910000107","mode":"N"}}</v>
      </c>
    </row>
    <row r="739" spans="1:9" x14ac:dyDescent="0.25">
      <c r="A739" s="60" t="s">
        <v>4326</v>
      </c>
      <c r="B739" s="60" t="str">
        <f>findKey(supplementary_offering_legacyid__4[[#This Row],[PRODUCCION]])</f>
        <v>100001-10</v>
      </c>
      <c r="C739" s="61" t="s">
        <v>4327</v>
      </c>
      <c r="D739" t="s">
        <v>4328</v>
      </c>
      <c r="E739" t="s">
        <v>2329</v>
      </c>
      <c r="F739" s="61"/>
      <c r="H739" t="str">
        <f>ToJsonArray(supplementary_offering_legacyid__4[[#Headers],[offeringid]:[json]],supplementary_offering_legacyid__4[[#This Row],[offeringid]:[ignore]])</f>
        <v>{"offeringid":"910000110","name":"Voz-OnNet-170m_910000110","mode":"N"}</v>
      </c>
      <c r="I739" t="str">
        <f>ToJsonArray(supplementary_offering_legacyid__4[[#This Row],[semilla04]],supplementary_offering_legacyid__4[[#This Row],[json]])</f>
        <v>{"100001-10":{"offeringid":"910000110","name":"Voz-OnNet-170m_910000110","mode":"N"}}</v>
      </c>
    </row>
    <row r="740" spans="1:9" x14ac:dyDescent="0.25">
      <c r="A740" s="60" t="s">
        <v>4329</v>
      </c>
      <c r="B740" s="60" t="str">
        <f>findKey(supplementary_offering_legacyid__4[[#This Row],[PRODUCCION]])</f>
        <v>100001-11</v>
      </c>
      <c r="C740" s="61" t="s">
        <v>4330</v>
      </c>
      <c r="D740" t="s">
        <v>4331</v>
      </c>
      <c r="E740" t="s">
        <v>2329</v>
      </c>
      <c r="F740" s="61"/>
      <c r="H740" t="str">
        <f>ToJsonArray(supplementary_offering_legacyid__4[[#Headers],[offeringid]:[json]],supplementary_offering_legacyid__4[[#This Row],[offeringid]:[ignore]])</f>
        <v>{"offeringid":"910000111","name":"Voz-OnNet-250m_910000111","mode":"N"}</v>
      </c>
      <c r="I740" t="str">
        <f>ToJsonArray(supplementary_offering_legacyid__4[[#This Row],[semilla04]],supplementary_offering_legacyid__4[[#This Row],[json]])</f>
        <v>{"100001-11":{"offeringid":"910000111","name":"Voz-OnNet-250m_910000111","mode":"N"}}</v>
      </c>
    </row>
    <row r="741" spans="1:9" x14ac:dyDescent="0.25">
      <c r="A741" s="60" t="s">
        <v>4332</v>
      </c>
      <c r="B741" s="60" t="str">
        <f>findKey(supplementary_offering_legacyid__4[[#This Row],[PRODUCCION]])</f>
        <v>100001-12</v>
      </c>
      <c r="C741" s="61" t="s">
        <v>4333</v>
      </c>
      <c r="D741" t="s">
        <v>4334</v>
      </c>
      <c r="E741" t="s">
        <v>2329</v>
      </c>
      <c r="F741" s="61"/>
      <c r="H741" t="str">
        <f>ToJsonArray(supplementary_offering_legacyid__4[[#Headers],[offeringid]:[json]],supplementary_offering_legacyid__4[[#This Row],[offeringid]:[ignore]])</f>
        <v>{"offeringid":"910000112","name":"Voz-OnNet-350m_910000112","mode":"N"}</v>
      </c>
      <c r="I741" t="str">
        <f>ToJsonArray(supplementary_offering_legacyid__4[[#This Row],[semilla04]],supplementary_offering_legacyid__4[[#This Row],[json]])</f>
        <v>{"100001-12":{"offeringid":"910000112","name":"Voz-OnNet-350m_910000112","mode":"N"}}</v>
      </c>
    </row>
    <row r="742" spans="1:9" x14ac:dyDescent="0.25">
      <c r="A742" s="60" t="s">
        <v>4335</v>
      </c>
      <c r="B742" s="60" t="str">
        <f>findKey(supplementary_offering_legacyid__4[[#This Row],[PRODUCCION]])</f>
        <v>100001-13</v>
      </c>
      <c r="C742" s="61" t="s">
        <v>4336</v>
      </c>
      <c r="D742" t="s">
        <v>4337</v>
      </c>
      <c r="E742" t="s">
        <v>2329</v>
      </c>
      <c r="F742" s="61"/>
      <c r="H742" t="str">
        <f>ToJsonArray(supplementary_offering_legacyid__4[[#Headers],[offeringid]:[json]],supplementary_offering_legacyid__4[[#This Row],[offeringid]:[ignore]])</f>
        <v>{"offeringid":"910000113","name":"Voz-OnNet-550m_910000113","mode":"N"}</v>
      </c>
      <c r="I742" t="str">
        <f>ToJsonArray(supplementary_offering_legacyid__4[[#This Row],[semilla04]],supplementary_offering_legacyid__4[[#This Row],[json]])</f>
        <v>{"100001-13":{"offeringid":"910000113","name":"Voz-OnNet-550m_910000113","mode":"N"}}</v>
      </c>
    </row>
    <row r="743" spans="1:9" x14ac:dyDescent="0.25">
      <c r="A743" s="60" t="s">
        <v>4338</v>
      </c>
      <c r="B743" s="60" t="str">
        <f>findKey(supplementary_offering_legacyid__4[[#This Row],[PRODUCCION]])</f>
        <v>100001-35</v>
      </c>
      <c r="C743" s="61" t="s">
        <v>4339</v>
      </c>
      <c r="D743" t="s">
        <v>4340</v>
      </c>
      <c r="E743" t="s">
        <v>2329</v>
      </c>
      <c r="F743" s="61"/>
      <c r="H743" t="str">
        <f>ToJsonArray(supplementary_offering_legacyid__4[[#Headers],[offeringid]:[json]],supplementary_offering_legacyid__4[[#This Row],[offeringid]:[ignore]])</f>
        <v>{"offeringid":"910000135","name":"Voz-OnNet-Ilimitado_910000135","mode":"N"}</v>
      </c>
      <c r="I743" t="str">
        <f>ToJsonArray(supplementary_offering_legacyid__4[[#This Row],[semilla04]],supplementary_offering_legacyid__4[[#This Row],[json]])</f>
        <v>{"100001-35":{"offeringid":"910000135","name":"Voz-OnNet-Ilimitado_910000135","mode":"N"}}</v>
      </c>
    </row>
    <row r="744" spans="1:9" x14ac:dyDescent="0.25">
      <c r="A744" s="60" t="s">
        <v>4341</v>
      </c>
      <c r="B744" s="60" t="str">
        <f>findKey(supplementary_offering_legacyid__4[[#This Row],[PRODUCCION]])</f>
        <v>100002-00</v>
      </c>
      <c r="C744" s="61" t="s">
        <v>4342</v>
      </c>
      <c r="D744" t="s">
        <v>4343</v>
      </c>
      <c r="E744" t="s">
        <v>2329</v>
      </c>
      <c r="F744" s="61"/>
      <c r="H744" t="str">
        <f>ToJsonArray(supplementary_offering_legacyid__4[[#Headers],[offeringid]:[json]],supplementary_offering_legacyid__4[[#This Row],[offeringid]:[ignore]])</f>
        <v>{"offeringid":"910000200","name":"Voz - Todo destino - Bajo 0_910000200","mode":"N"}</v>
      </c>
      <c r="I744" t="str">
        <f>ToJsonArray(supplementary_offering_legacyid__4[[#This Row],[semilla04]],supplementary_offering_legacyid__4[[#This Row],[json]])</f>
        <v>{"100002-00":{"offeringid":"910000200","name":"Voz - Todo destino - Bajo 0_910000200","mode":"N"}}</v>
      </c>
    </row>
    <row r="745" spans="1:9" x14ac:dyDescent="0.25">
      <c r="A745" s="60" t="s">
        <v>4344</v>
      </c>
      <c r="B745" s="60" t="str">
        <f>findKey(supplementary_offering_legacyid__4[[#This Row],[PRODUCCION]])</f>
        <v>100002-02</v>
      </c>
      <c r="C745" s="61" t="s">
        <v>4345</v>
      </c>
      <c r="D745" t="s">
        <v>4346</v>
      </c>
      <c r="E745" t="s">
        <v>2329</v>
      </c>
      <c r="F745" s="61"/>
      <c r="H745" t="str">
        <f>ToJsonArray(supplementary_offering_legacyid__4[[#Headers],[offeringid]:[json]],supplementary_offering_legacyid__4[[#This Row],[offeringid]:[ignore]])</f>
        <v>{"offeringid":"910000202","name":"Voz - Todo destino - Bajo 2_910000202","mode":"N"}</v>
      </c>
      <c r="I745" t="str">
        <f>ToJsonArray(supplementary_offering_legacyid__4[[#This Row],[semilla04]],supplementary_offering_legacyid__4[[#This Row],[json]])</f>
        <v>{"100002-02":{"offeringid":"910000202","name":"Voz - Todo destino - Bajo 2_910000202","mode":"N"}}</v>
      </c>
    </row>
    <row r="746" spans="1:9" x14ac:dyDescent="0.25">
      <c r="A746" s="60" t="s">
        <v>4347</v>
      </c>
      <c r="B746" s="60" t="str">
        <f>findKey(supplementary_offering_legacyid__4[[#This Row],[PRODUCCION]])</f>
        <v>100002-04</v>
      </c>
      <c r="C746" s="61" t="s">
        <v>4348</v>
      </c>
      <c r="D746" t="s">
        <v>4349</v>
      </c>
      <c r="E746" t="s">
        <v>2329</v>
      </c>
      <c r="F746" s="61"/>
      <c r="H746" t="str">
        <f>ToJsonArray(supplementary_offering_legacyid__4[[#Headers],[offeringid]:[json]],supplementary_offering_legacyid__4[[#This Row],[offeringid]:[ignore]])</f>
        <v>{"offeringid":"910000204","name":"Voz - Todo destino - Medio 2_910000204","mode":"N"}</v>
      </c>
      <c r="I746" t="str">
        <f>ToJsonArray(supplementary_offering_legacyid__4[[#This Row],[semilla04]],supplementary_offering_legacyid__4[[#This Row],[json]])</f>
        <v>{"100002-04":{"offeringid":"910000204","name":"Voz - Todo destino - Medio 2_910000204","mode":"N"}}</v>
      </c>
    </row>
    <row r="747" spans="1:9" x14ac:dyDescent="0.25">
      <c r="A747" s="60" t="s">
        <v>4350</v>
      </c>
      <c r="B747" s="60" t="str">
        <f>findKey(supplementary_offering_legacyid__4[[#This Row],[PRODUCCION]])</f>
        <v>100002-06</v>
      </c>
      <c r="C747" s="61" t="s">
        <v>4351</v>
      </c>
      <c r="D747" t="s">
        <v>4352</v>
      </c>
      <c r="E747" t="s">
        <v>2329</v>
      </c>
      <c r="F747" s="61"/>
      <c r="H747" t="str">
        <f>ToJsonArray(supplementary_offering_legacyid__4[[#Headers],[offeringid]:[json]],supplementary_offering_legacyid__4[[#This Row],[offeringid]:[ignore]])</f>
        <v>{"offeringid":"910000206","name":"Voz - Todo destino - Alto 1_910000206","mode":"N"}</v>
      </c>
      <c r="I747" t="str">
        <f>ToJsonArray(supplementary_offering_legacyid__4[[#This Row],[semilla04]],supplementary_offering_legacyid__4[[#This Row],[json]])</f>
        <v>{"100002-06":{"offeringid":"910000206","name":"Voz - Todo destino - Alto 1_910000206","mode":"N"}}</v>
      </c>
    </row>
    <row r="748" spans="1:9" x14ac:dyDescent="0.25">
      <c r="A748" s="60" t="s">
        <v>4353</v>
      </c>
      <c r="B748" s="60" t="str">
        <f>findKey(supplementary_offering_legacyid__4[[#This Row],[PRODUCCION]])</f>
        <v>100002-09</v>
      </c>
      <c r="C748" s="61" t="s">
        <v>4354</v>
      </c>
      <c r="D748" t="s">
        <v>4355</v>
      </c>
      <c r="E748" t="s">
        <v>2329</v>
      </c>
      <c r="F748" s="61"/>
      <c r="H748" t="str">
        <f>ToJsonArray(supplementary_offering_legacyid__4[[#Headers],[offeringid]:[json]],supplementary_offering_legacyid__4[[#This Row],[offeringid]:[ignore]])</f>
        <v>{"offeringid":"910000209","name":"Voz - Todo destino - 250m_910000209","mode":"N"}</v>
      </c>
      <c r="I748" t="str">
        <f>ToJsonArray(supplementary_offering_legacyid__4[[#This Row],[semilla04]],supplementary_offering_legacyid__4[[#This Row],[json]])</f>
        <v>{"100002-09":{"offeringid":"910000209","name":"Voz - Todo destino - 250m_910000209","mode":"N"}}</v>
      </c>
    </row>
    <row r="749" spans="1:9" x14ac:dyDescent="0.25">
      <c r="A749" s="60" t="s">
        <v>4356</v>
      </c>
      <c r="B749" s="60" t="str">
        <f>findKey(supplementary_offering_legacyid__4[[#This Row],[PRODUCCION]])</f>
        <v>100002-12</v>
      </c>
      <c r="C749" s="61" t="s">
        <v>4357</v>
      </c>
      <c r="D749" t="s">
        <v>4358</v>
      </c>
      <c r="E749" t="s">
        <v>2329</v>
      </c>
      <c r="F749" s="61"/>
      <c r="H749" t="str">
        <f>ToJsonArray(supplementary_offering_legacyid__4[[#Headers],[offeringid]:[json]],supplementary_offering_legacyid__4[[#This Row],[offeringid]:[ignore]])</f>
        <v>{"offeringid":"910000212","name":"Voz-TD- Medio 4 - 170min_910000212","mode":"N"}</v>
      </c>
      <c r="I749" t="str">
        <f>ToJsonArray(supplementary_offering_legacyid__4[[#This Row],[semilla04]],supplementary_offering_legacyid__4[[#This Row],[json]])</f>
        <v>{"100002-12":{"offeringid":"910000212","name":"Voz-TD- Medio 4 - 170min_910000212","mode":"N"}}</v>
      </c>
    </row>
    <row r="750" spans="1:9" x14ac:dyDescent="0.25">
      <c r="A750" s="60" t="s">
        <v>4359</v>
      </c>
      <c r="B750" s="60" t="str">
        <f>findKey(supplementary_offering_legacyid__4[[#This Row],[PRODUCCION]])</f>
        <v>100002-15</v>
      </c>
      <c r="C750" s="61" t="s">
        <v>4360</v>
      </c>
      <c r="D750" t="s">
        <v>4361</v>
      </c>
      <c r="E750" t="s">
        <v>2329</v>
      </c>
      <c r="F750" s="61"/>
      <c r="H750" t="str">
        <f>ToJsonArray(supplementary_offering_legacyid__4[[#Headers],[offeringid]:[json]],supplementary_offering_legacyid__4[[#This Row],[offeringid]:[ignore]])</f>
        <v>{"offeringid":"910000215","name":"Voz-TD-100m_910000215","mode":"N"}</v>
      </c>
      <c r="I750" t="str">
        <f>ToJsonArray(supplementary_offering_legacyid__4[[#This Row],[semilla04]],supplementary_offering_legacyid__4[[#This Row],[json]])</f>
        <v>{"100002-15":{"offeringid":"910000215","name":"Voz-TD-100m_910000215","mode":"N"}}</v>
      </c>
    </row>
    <row r="751" spans="1:9" x14ac:dyDescent="0.25">
      <c r="A751" s="60" t="s">
        <v>4362</v>
      </c>
      <c r="B751" s="60" t="str">
        <f>findKey(supplementary_offering_legacyid__4[[#This Row],[PRODUCCION]])</f>
        <v>100002-17</v>
      </c>
      <c r="C751" s="61" t="s">
        <v>4363</v>
      </c>
      <c r="D751" t="s">
        <v>4364</v>
      </c>
      <c r="E751" t="s">
        <v>2329</v>
      </c>
      <c r="F751" s="61"/>
      <c r="H751" t="str">
        <f>ToJsonArray(supplementary_offering_legacyid__4[[#Headers],[offeringid]:[json]],supplementary_offering_legacyid__4[[#This Row],[offeringid]:[ignore]])</f>
        <v>{"offeringid":"910000217","name":"Voz-TD-170m_910000217","mode":"N"}</v>
      </c>
      <c r="I751" t="str">
        <f>ToJsonArray(supplementary_offering_legacyid__4[[#This Row],[semilla04]],supplementary_offering_legacyid__4[[#This Row],[json]])</f>
        <v>{"100002-17":{"offeringid":"910000217","name":"Voz-TD-170m_910000217","mode":"N"}}</v>
      </c>
    </row>
    <row r="752" spans="1:9" x14ac:dyDescent="0.25">
      <c r="A752" s="60" t="s">
        <v>4365</v>
      </c>
      <c r="B752" s="60" t="str">
        <f>findKey(supplementary_offering_legacyid__4[[#This Row],[PRODUCCION]])</f>
        <v>100002-18</v>
      </c>
      <c r="C752" s="61" t="s">
        <v>4366</v>
      </c>
      <c r="D752" t="s">
        <v>4367</v>
      </c>
      <c r="E752" t="s">
        <v>2329</v>
      </c>
      <c r="F752" s="61"/>
      <c r="H752" t="str">
        <f>ToJsonArray(supplementary_offering_legacyid__4[[#Headers],[offeringid]:[json]],supplementary_offering_legacyid__4[[#This Row],[offeringid]:[ignore]])</f>
        <v>{"offeringid":"910000218","name":"Voz-TD-200m_a_910000218","mode":"N"}</v>
      </c>
      <c r="I752" t="str">
        <f>ToJsonArray(supplementary_offering_legacyid__4[[#This Row],[semilla04]],supplementary_offering_legacyid__4[[#This Row],[json]])</f>
        <v>{"100002-18":{"offeringid":"910000218","name":"Voz-TD-200m_a_910000218","mode":"N"}}</v>
      </c>
    </row>
    <row r="753" spans="1:9" x14ac:dyDescent="0.25">
      <c r="A753" s="60" t="s">
        <v>4368</v>
      </c>
      <c r="B753" s="60" t="str">
        <f>findKey(supplementary_offering_legacyid__4[[#This Row],[PRODUCCION]])</f>
        <v>100002-20</v>
      </c>
      <c r="C753" s="61" t="s">
        <v>4369</v>
      </c>
      <c r="D753" t="s">
        <v>4370</v>
      </c>
      <c r="E753" t="s">
        <v>2329</v>
      </c>
      <c r="F753" s="61"/>
      <c r="H753" t="str">
        <f>ToJsonArray(supplementary_offering_legacyid__4[[#Headers],[offeringid]:[json]],supplementary_offering_legacyid__4[[#This Row],[offeringid]:[ignore]])</f>
        <v>{"offeringid":"910000220","name":"Voz-TD-270m_910000220","mode":"N"}</v>
      </c>
      <c r="I753" t="str">
        <f>ToJsonArray(supplementary_offering_legacyid__4[[#This Row],[semilla04]],supplementary_offering_legacyid__4[[#This Row],[json]])</f>
        <v>{"100002-20":{"offeringid":"910000220","name":"Voz-TD-270m_910000220","mode":"N"}}</v>
      </c>
    </row>
    <row r="754" spans="1:9" x14ac:dyDescent="0.25">
      <c r="A754" s="60" t="s">
        <v>4371</v>
      </c>
      <c r="B754" s="60" t="str">
        <f>findKey(supplementary_offering_legacyid__4[[#This Row],[PRODUCCION]])</f>
        <v>100002-23</v>
      </c>
      <c r="C754" s="61" t="s">
        <v>4372</v>
      </c>
      <c r="D754" t="s">
        <v>4373</v>
      </c>
      <c r="E754" t="s">
        <v>2329</v>
      </c>
      <c r="F754" s="61"/>
      <c r="H754" t="str">
        <f>ToJsonArray(supplementary_offering_legacyid__4[[#Headers],[offeringid]:[json]],supplementary_offering_legacyid__4[[#This Row],[offeringid]:[ignore]])</f>
        <v>{"offeringid":"910000223","name":"Voz-TD-450m_910000223","mode":"N"}</v>
      </c>
      <c r="I754" t="str">
        <f>ToJsonArray(supplementary_offering_legacyid__4[[#This Row],[semilla04]],supplementary_offering_legacyid__4[[#This Row],[json]])</f>
        <v>{"100002-23":{"offeringid":"910000223","name":"Voz-TD-450m_910000223","mode":"N"}}</v>
      </c>
    </row>
    <row r="755" spans="1:9" x14ac:dyDescent="0.25">
      <c r="A755" s="60" t="s">
        <v>4374</v>
      </c>
      <c r="B755" s="60" t="str">
        <f>findKey(supplementary_offering_legacyid__4[[#This Row],[PRODUCCION]])</f>
        <v>100002-27</v>
      </c>
      <c r="C755" s="61" t="s">
        <v>4375</v>
      </c>
      <c r="D755" t="s">
        <v>4376</v>
      </c>
      <c r="E755" t="s">
        <v>2329</v>
      </c>
      <c r="F755" s="61"/>
      <c r="H755" t="str">
        <f>ToJsonArray(supplementary_offering_legacyid__4[[#Headers],[offeringid]:[json]],supplementary_offering_legacyid__4[[#This Row],[offeringid]:[ignore]])</f>
        <v>{"offeringid":"910000227","name":"Voz-TD-850m_910000227","mode":"N"}</v>
      </c>
      <c r="I755" t="str">
        <f>ToJsonArray(supplementary_offering_legacyid__4[[#This Row],[semilla04]],supplementary_offering_legacyid__4[[#This Row],[json]])</f>
        <v>{"100002-27":{"offeringid":"910000227","name":"Voz-TD-850m_910000227","mode":"N"}}</v>
      </c>
    </row>
    <row r="756" spans="1:9" x14ac:dyDescent="0.25">
      <c r="A756" s="60" t="s">
        <v>4377</v>
      </c>
      <c r="B756" s="60" t="str">
        <f>findKey(supplementary_offering_legacyid__4[[#This Row],[PRODUCCION]])</f>
        <v>100002-28</v>
      </c>
      <c r="C756" s="61" t="s">
        <v>4378</v>
      </c>
      <c r="D756" t="s">
        <v>4379</v>
      </c>
      <c r="E756" t="s">
        <v>2329</v>
      </c>
      <c r="F756" s="61"/>
      <c r="H756" t="str">
        <f>ToJsonArray(supplementary_offering_legacyid__4[[#Headers],[offeringid]:[json]],supplementary_offering_legacyid__4[[#This Row],[offeringid]:[ignore]])</f>
        <v>{"offeringid":"910000228","name":"Voz-TD-950m_910000228","mode":"N"}</v>
      </c>
      <c r="I756" t="str">
        <f>ToJsonArray(supplementary_offering_legacyid__4[[#This Row],[semilla04]],supplementary_offering_legacyid__4[[#This Row],[json]])</f>
        <v>{"100002-28":{"offeringid":"910000228","name":"Voz-TD-950m_910000228","mode":"N"}}</v>
      </c>
    </row>
    <row r="757" spans="1:9" x14ac:dyDescent="0.25">
      <c r="A757" s="60" t="s">
        <v>4380</v>
      </c>
      <c r="B757" s="60" t="str">
        <f>findKey(supplementary_offering_legacyid__4[[#This Row],[PRODUCCION]])</f>
        <v>100002-48</v>
      </c>
      <c r="C757" s="61" t="s">
        <v>4381</v>
      </c>
      <c r="D757" t="s">
        <v>4382</v>
      </c>
      <c r="E757" t="s">
        <v>2329</v>
      </c>
      <c r="F757" s="61"/>
      <c r="H757" t="str">
        <f>ToJsonArray(supplementary_offering_legacyid__4[[#Headers],[offeringid]:[json]],supplementary_offering_legacyid__4[[#This Row],[offeringid]:[ignore]])</f>
        <v>{"offeringid":"910000248","name":"Voz-TD-600m_910000248","mode":"N"}</v>
      </c>
      <c r="I757" t="str">
        <f>ToJsonArray(supplementary_offering_legacyid__4[[#This Row],[semilla04]],supplementary_offering_legacyid__4[[#This Row],[json]])</f>
        <v>{"100002-48":{"offeringid":"910000248","name":"Voz-TD-600m_910000248","mode":"N"}}</v>
      </c>
    </row>
    <row r="758" spans="1:9" x14ac:dyDescent="0.25">
      <c r="A758" s="60" t="s">
        <v>4383</v>
      </c>
      <c r="B758" s="60" t="str">
        <f>findKey(supplementary_offering_legacyid__4[[#This Row],[PRODUCCION]])</f>
        <v>100002-50</v>
      </c>
      <c r="C758" s="61" t="s">
        <v>4384</v>
      </c>
      <c r="D758" t="s">
        <v>4385</v>
      </c>
      <c r="E758" t="s">
        <v>2329</v>
      </c>
      <c r="F758" s="61"/>
      <c r="H758" t="str">
        <f>ToJsonArray(supplementary_offering_legacyid__4[[#Headers],[offeringid]:[json]],supplementary_offering_legacyid__4[[#This Row],[offeringid]:[ignore]])</f>
        <v>{"offeringid":"910000250","name":"Voz-TD-1000m_910000250","mode":"N"}</v>
      </c>
      <c r="I758" t="str">
        <f>ToJsonArray(supplementary_offering_legacyid__4[[#This Row],[semilla04]],supplementary_offering_legacyid__4[[#This Row],[json]])</f>
        <v>{"100002-50":{"offeringid":"910000250","name":"Voz-TD-1000m_910000250","mode":"N"}}</v>
      </c>
    </row>
    <row r="759" spans="1:9" x14ac:dyDescent="0.25">
      <c r="A759" s="60" t="s">
        <v>4386</v>
      </c>
      <c r="B759" s="60" t="str">
        <f>findKey(supplementary_offering_legacyid__4[[#This Row],[PRODUCCION]])</f>
        <v>100002-51</v>
      </c>
      <c r="C759" s="61" t="s">
        <v>4387</v>
      </c>
      <c r="D759" t="s">
        <v>4388</v>
      </c>
      <c r="E759" t="s">
        <v>2329</v>
      </c>
      <c r="F759" s="61"/>
      <c r="H759" t="str">
        <f>ToJsonArray(supplementary_offering_legacyid__4[[#Headers],[offeringid]:[json]],supplementary_offering_legacyid__4[[#This Row],[offeringid]:[ignore]])</f>
        <v>{"offeringid":"910000251","name":"Voz-TD-1500m_910000251","mode":"N"}</v>
      </c>
      <c r="I759" t="str">
        <f>ToJsonArray(supplementary_offering_legacyid__4[[#This Row],[semilla04]],supplementary_offering_legacyid__4[[#This Row],[json]])</f>
        <v>{"100002-51":{"offeringid":"910000251","name":"Voz-TD-1500m_910000251","mode":"N"}}</v>
      </c>
    </row>
    <row r="760" spans="1:9" x14ac:dyDescent="0.25">
      <c r="A760" s="60" t="s">
        <v>4389</v>
      </c>
      <c r="B760" s="60" t="str">
        <f>findKey(supplementary_offering_legacyid__4[[#This Row],[PRODUCCION]])</f>
        <v>100002-52</v>
      </c>
      <c r="C760" s="61" t="s">
        <v>4390</v>
      </c>
      <c r="D760" t="s">
        <v>4391</v>
      </c>
      <c r="E760" t="s">
        <v>2329</v>
      </c>
      <c r="F760" s="61"/>
      <c r="H760" t="str">
        <f>ToJsonArray(supplementary_offering_legacyid__4[[#Headers],[offeringid]:[json]],supplementary_offering_legacyid__4[[#This Row],[offeringid]:[ignore]])</f>
        <v>{"offeringid":"910000252","name":"Voz-TD-40m_910000252","mode":"N"}</v>
      </c>
      <c r="I760" t="str">
        <f>ToJsonArray(supplementary_offering_legacyid__4[[#This Row],[semilla04]],supplementary_offering_legacyid__4[[#This Row],[json]])</f>
        <v>{"100002-52":{"offeringid":"910000252","name":"Voz-TD-40m_910000252","mode":"N"}}</v>
      </c>
    </row>
    <row r="761" spans="1:9" x14ac:dyDescent="0.25">
      <c r="A761" s="60" t="s">
        <v>4392</v>
      </c>
      <c r="B761" s="60" t="str">
        <f>findKey(supplementary_offering_legacyid__4[[#This Row],[PRODUCCION]])</f>
        <v>100002-53</v>
      </c>
      <c r="C761" s="61" t="s">
        <v>4393</v>
      </c>
      <c r="D761" t="s">
        <v>4394</v>
      </c>
      <c r="E761" t="s">
        <v>2329</v>
      </c>
      <c r="F761" s="61"/>
      <c r="H761" t="str">
        <f>ToJsonArray(supplementary_offering_legacyid__4[[#Headers],[offeringid]:[json]],supplementary_offering_legacyid__4[[#This Row],[offeringid]:[ignore]])</f>
        <v>{"offeringid":"910000253","name":"Voz-TD-100m_910000253","mode":"N"}</v>
      </c>
      <c r="I761" t="str">
        <f>ToJsonArray(supplementary_offering_legacyid__4[[#This Row],[semilla04]],supplementary_offering_legacyid__4[[#This Row],[json]])</f>
        <v>{"100002-53":{"offeringid":"910000253","name":"Voz-TD-100m_910000253","mode":"N"}}</v>
      </c>
    </row>
    <row r="762" spans="1:9" x14ac:dyDescent="0.25">
      <c r="A762" s="60" t="s">
        <v>4395</v>
      </c>
      <c r="B762" s="60" t="str">
        <f>findKey(supplementary_offering_legacyid__4[[#This Row],[PRODUCCION]])</f>
        <v>100002-54</v>
      </c>
      <c r="C762" s="61" t="s">
        <v>4396</v>
      </c>
      <c r="D762" t="s">
        <v>4397</v>
      </c>
      <c r="E762" t="s">
        <v>2329</v>
      </c>
      <c r="F762" s="61"/>
      <c r="H762" t="str">
        <f>ToJsonArray(supplementary_offering_legacyid__4[[#Headers],[offeringid]:[json]],supplementary_offering_legacyid__4[[#This Row],[offeringid]:[ignore]])</f>
        <v>{"offeringid":"910000254","name":"Voz-TD-150m_910000254","mode":"N"}</v>
      </c>
      <c r="I762" t="str">
        <f>ToJsonArray(supplementary_offering_legacyid__4[[#This Row],[semilla04]],supplementary_offering_legacyid__4[[#This Row],[json]])</f>
        <v>{"100002-54":{"offeringid":"910000254","name":"Voz-TD-150m_910000254","mode":"N"}}</v>
      </c>
    </row>
    <row r="763" spans="1:9" x14ac:dyDescent="0.25">
      <c r="A763" s="60" t="s">
        <v>4398</v>
      </c>
      <c r="B763" s="60" t="str">
        <f>findKey(supplementary_offering_legacyid__4[[#This Row],[PRODUCCION]])</f>
        <v>100002-58</v>
      </c>
      <c r="C763" s="61" t="s">
        <v>4399</v>
      </c>
      <c r="D763" t="s">
        <v>4400</v>
      </c>
      <c r="E763" t="s">
        <v>2329</v>
      </c>
      <c r="F763" s="61"/>
      <c r="H763" t="str">
        <f>ToJsonArray(supplementary_offering_legacyid__4[[#Headers],[offeringid]:[json]],supplementary_offering_legacyid__4[[#This Row],[offeringid]:[ignore]])</f>
        <v>{"offeringid":"910000258","name":"Voz-TD-50m_910000258","mode":"N"}</v>
      </c>
      <c r="I763" t="str">
        <f>ToJsonArray(supplementary_offering_legacyid__4[[#This Row],[semilla04]],supplementary_offering_legacyid__4[[#This Row],[json]])</f>
        <v>{"100002-58":{"offeringid":"910000258","name":"Voz-TD-50m_910000258","mode":"N"}}</v>
      </c>
    </row>
    <row r="764" spans="1:9" x14ac:dyDescent="0.25">
      <c r="A764" s="60" t="s">
        <v>4401</v>
      </c>
      <c r="B764" s="60" t="str">
        <f>findKey(supplementary_offering_legacyid__4[[#This Row],[PRODUCCION]])</f>
        <v>100002-59</v>
      </c>
      <c r="C764" s="61" t="s">
        <v>4402</v>
      </c>
      <c r="D764" t="s">
        <v>4403</v>
      </c>
      <c r="E764" t="s">
        <v>2329</v>
      </c>
      <c r="F764" s="61"/>
      <c r="H764" t="str">
        <f>ToJsonArray(supplementary_offering_legacyid__4[[#Headers],[offeringid]:[json]],supplementary_offering_legacyid__4[[#This Row],[offeringid]:[ignore]])</f>
        <v>{"offeringid":"910000259","name":"Voz-TD-100m_910000259","mode":"N"}</v>
      </c>
      <c r="I764" t="str">
        <f>ToJsonArray(supplementary_offering_legacyid__4[[#This Row],[semilla04]],supplementary_offering_legacyid__4[[#This Row],[json]])</f>
        <v>{"100002-59":{"offeringid":"910000259","name":"Voz-TD-100m_910000259","mode":"N"}}</v>
      </c>
    </row>
    <row r="765" spans="1:9" x14ac:dyDescent="0.25">
      <c r="A765" s="60" t="s">
        <v>4404</v>
      </c>
      <c r="B765" s="60" t="str">
        <f>findKey(supplementary_offering_legacyid__4[[#This Row],[PRODUCCION]])</f>
        <v>100002-61</v>
      </c>
      <c r="C765" s="61" t="s">
        <v>4405</v>
      </c>
      <c r="D765" t="s">
        <v>4406</v>
      </c>
      <c r="E765" t="s">
        <v>2329</v>
      </c>
      <c r="F765" s="61"/>
      <c r="H765" t="str">
        <f>ToJsonArray(supplementary_offering_legacyid__4[[#Headers],[offeringid]:[json]],supplementary_offering_legacyid__4[[#This Row],[offeringid]:[ignore]])</f>
        <v>{"offeringid":"910000261","name":"Voz-TD-Ilimitado_910000261","mode":"N"}</v>
      </c>
      <c r="I765" t="str">
        <f>ToJsonArray(supplementary_offering_legacyid__4[[#This Row],[semilla04]],supplementary_offering_legacyid__4[[#This Row],[json]])</f>
        <v>{"100002-61":{"offeringid":"910000261","name":"Voz-TD-Ilimitado_910000261","mode":"N"}}</v>
      </c>
    </row>
    <row r="766" spans="1:9" x14ac:dyDescent="0.25">
      <c r="A766" s="60" t="s">
        <v>4407</v>
      </c>
      <c r="B766" s="60" t="str">
        <f>findKey(supplementary_offering_legacyid__4[[#This Row],[PRODUCCION]])</f>
        <v>100002-66</v>
      </c>
      <c r="C766" s="61" t="s">
        <v>4408</v>
      </c>
      <c r="D766" t="s">
        <v>4409</v>
      </c>
      <c r="E766" t="s">
        <v>2329</v>
      </c>
      <c r="F766" s="61"/>
      <c r="H766" t="str">
        <f>ToJsonArray(supplementary_offering_legacyid__4[[#Headers],[offeringid]:[json]],supplementary_offering_legacyid__4[[#This Row],[offeringid]:[ignore]])</f>
        <v>{"offeringid":"910000266","name":"Voz-TD-30000s_910000266","mode":"N"}</v>
      </c>
      <c r="I766" t="str">
        <f>ToJsonArray(supplementary_offering_legacyid__4[[#This Row],[semilla04]],supplementary_offering_legacyid__4[[#This Row],[json]])</f>
        <v>{"100002-66":{"offeringid":"910000266","name":"Voz-TD-30000s_910000266","mode":"N"}}</v>
      </c>
    </row>
    <row r="767" spans="1:9" x14ac:dyDescent="0.25">
      <c r="A767" s="60" t="s">
        <v>4410</v>
      </c>
      <c r="B767" s="60" t="str">
        <f>findKey(supplementary_offering_legacyid__4[[#This Row],[PRODUCCION]])</f>
        <v>100012-69</v>
      </c>
      <c r="C767" s="61" t="s">
        <v>4411</v>
      </c>
      <c r="D767" t="s">
        <v>4412</v>
      </c>
      <c r="E767" t="s">
        <v>2329</v>
      </c>
      <c r="F767" s="61"/>
      <c r="H767" t="str">
        <f>ToJsonArray(supplementary_offering_legacyid__4[[#Headers],[offeringid]:[json]],supplementary_offering_legacyid__4[[#This Row],[offeringid]:[ignore]])</f>
        <v>{"offeringid":"910001269","name":"Voz-TD-9000s_910001269","mode":"N"}</v>
      </c>
      <c r="I767" t="str">
        <f>ToJsonArray(supplementary_offering_legacyid__4[[#This Row],[semilla04]],supplementary_offering_legacyid__4[[#This Row],[json]])</f>
        <v>{"100012-69":{"offeringid":"910001269","name":"Voz-TD-9000s_910001269","mode":"N"}}</v>
      </c>
    </row>
    <row r="768" spans="1:9" x14ac:dyDescent="0.25">
      <c r="A768" s="60" t="s">
        <v>4413</v>
      </c>
      <c r="B768" s="60" t="str">
        <f>findKey(supplementary_offering_legacyid__4[[#This Row],[PRODUCCION]])</f>
        <v>100012-70</v>
      </c>
      <c r="C768" s="61" t="s">
        <v>4414</v>
      </c>
      <c r="D768" t="s">
        <v>4415</v>
      </c>
      <c r="E768" t="s">
        <v>2329</v>
      </c>
      <c r="F768" s="61"/>
      <c r="H768" t="str">
        <f>ToJsonArray(supplementary_offering_legacyid__4[[#Headers],[offeringid]:[json]],supplementary_offering_legacyid__4[[#This Row],[offeringid]:[ignore]])</f>
        <v>{"offeringid":"910001270","name":"Voz-TD-12000s_910001270","mode":"N"}</v>
      </c>
      <c r="I768" t="str">
        <f>ToJsonArray(supplementary_offering_legacyid__4[[#This Row],[semilla04]],supplementary_offering_legacyid__4[[#This Row],[json]])</f>
        <v>{"100012-70":{"offeringid":"910001270","name":"Voz-TD-12000s_910001270","mode":"N"}}</v>
      </c>
    </row>
    <row r="769" spans="1:9" x14ac:dyDescent="0.25">
      <c r="A769" s="60" t="s">
        <v>4416</v>
      </c>
      <c r="B769" s="60" t="str">
        <f>findKey(supplementary_offering_legacyid__4[[#This Row],[PRODUCCION]])</f>
        <v>100101-02</v>
      </c>
      <c r="C769" s="61" t="s">
        <v>4417</v>
      </c>
      <c r="D769" t="s">
        <v>4418</v>
      </c>
      <c r="E769" t="s">
        <v>2329</v>
      </c>
      <c r="F769" s="61"/>
      <c r="H769" t="str">
        <f>ToJsonArray(supplementary_offering_legacyid__4[[#Headers],[offeringid]:[json]],supplementary_offering_legacyid__4[[#This Row],[offeringid]:[ignore]])</f>
        <v>{"offeringid":"910010102","name":"Voz - OnNet - Regalo 1_910010102","mode":"N"}</v>
      </c>
      <c r="I769" t="str">
        <f>ToJsonArray(supplementary_offering_legacyid__4[[#This Row],[semilla04]],supplementary_offering_legacyid__4[[#This Row],[json]])</f>
        <v>{"100101-02":{"offeringid":"910010102","name":"Voz - OnNet - Regalo 1_910010102","mode":"N"}}</v>
      </c>
    </row>
    <row r="770" spans="1:9" x14ac:dyDescent="0.25">
      <c r="A770" s="60" t="s">
        <v>4419</v>
      </c>
      <c r="B770" s="60" t="str">
        <f>findKey(supplementary_offering_legacyid__4[[#This Row],[PRODUCCION]])</f>
        <v>100101-04</v>
      </c>
      <c r="C770" s="61" t="s">
        <v>4420</v>
      </c>
      <c r="D770" t="s">
        <v>4421</v>
      </c>
      <c r="E770" t="s">
        <v>2329</v>
      </c>
      <c r="F770" s="61"/>
      <c r="H770" t="str">
        <f>ToJsonArray(supplementary_offering_legacyid__4[[#Headers],[offeringid]:[json]],supplementary_offering_legacyid__4[[#This Row],[offeringid]:[ignore]])</f>
        <v>{"offeringid":"910010104","name":"Voz - OnNet - Regalo 2_910010104","mode":"N"}</v>
      </c>
      <c r="I770" t="str">
        <f>ToJsonArray(supplementary_offering_legacyid__4[[#This Row],[semilla04]],supplementary_offering_legacyid__4[[#This Row],[json]])</f>
        <v>{"100101-04":{"offeringid":"910010104","name":"Voz - OnNet - Regalo 2_910010104","mode":"N"}}</v>
      </c>
    </row>
    <row r="771" spans="1:9" x14ac:dyDescent="0.25">
      <c r="A771" s="60" t="s">
        <v>4422</v>
      </c>
      <c r="B771" s="60" t="str">
        <f>findKey(supplementary_offering_legacyid__4[[#This Row],[PRODUCCION]])</f>
        <v>100102-01</v>
      </c>
      <c r="C771" s="61" t="s">
        <v>4423</v>
      </c>
      <c r="D771" t="s">
        <v>4424</v>
      </c>
      <c r="E771" t="s">
        <v>2329</v>
      </c>
      <c r="F771" s="61"/>
      <c r="H771" t="str">
        <f>ToJsonArray(supplementary_offering_legacyid__4[[#Headers],[offeringid]:[json]],supplementary_offering_legacyid__4[[#This Row],[offeringid]:[ignore]])</f>
        <v>{"offeringid":"910010201","name":"Voz - Todo destino - Regalo 1_910010201","mode":"N"}</v>
      </c>
      <c r="I771" t="str">
        <f>ToJsonArray(supplementary_offering_legacyid__4[[#This Row],[semilla04]],supplementary_offering_legacyid__4[[#This Row],[json]])</f>
        <v>{"100102-01":{"offeringid":"910010201","name":"Voz - Todo destino - Regalo 1_910010201","mode":"N"}}</v>
      </c>
    </row>
    <row r="772" spans="1:9" x14ac:dyDescent="0.25">
      <c r="A772" s="60" t="s">
        <v>4425</v>
      </c>
      <c r="B772" s="60" t="str">
        <f>findKey(supplementary_offering_legacyid__4[[#This Row],[PRODUCCION]])</f>
        <v>100102-02</v>
      </c>
      <c r="C772" s="61" t="s">
        <v>4426</v>
      </c>
      <c r="D772" t="s">
        <v>4427</v>
      </c>
      <c r="E772" t="s">
        <v>2329</v>
      </c>
      <c r="F772" s="61"/>
      <c r="H772" t="str">
        <f>ToJsonArray(supplementary_offering_legacyid__4[[#Headers],[offeringid]:[json]],supplementary_offering_legacyid__4[[#This Row],[offeringid]:[ignore]])</f>
        <v>{"offeringid":"910010202","name":"Voz - Todo destino - Regalo 2_910010202","mode":"N"}</v>
      </c>
      <c r="I772" t="str">
        <f>ToJsonArray(supplementary_offering_legacyid__4[[#This Row],[semilla04]],supplementary_offering_legacyid__4[[#This Row],[json]])</f>
        <v>{"100102-02":{"offeringid":"910010202","name":"Voz - Todo destino - Regalo 2_910010202","mode":"N"}}</v>
      </c>
    </row>
    <row r="773" spans="1:9" x14ac:dyDescent="0.25">
      <c r="A773" s="60" t="s">
        <v>4428</v>
      </c>
      <c r="B773" s="60" t="str">
        <f>findKey(supplementary_offering_legacyid__4[[#This Row],[PRODUCCION]])</f>
        <v>200001-01</v>
      </c>
      <c r="C773" s="61" t="s">
        <v>4429</v>
      </c>
      <c r="D773" t="s">
        <v>4430</v>
      </c>
      <c r="E773" t="s">
        <v>2329</v>
      </c>
      <c r="F773" s="61"/>
      <c r="H773" t="str">
        <f>ToJsonArray(supplementary_offering_legacyid__4[[#Headers],[offeringid]:[json]],supplementary_offering_legacyid__4[[#This Row],[offeringid]:[ignore]])</f>
        <v>{"offeringid":"920000101","name":"Data - Bajo 0_920000101","mode":"N"}</v>
      </c>
      <c r="I773" t="str">
        <f>ToJsonArray(supplementary_offering_legacyid__4[[#This Row],[semilla04]],supplementary_offering_legacyid__4[[#This Row],[json]])</f>
        <v>{"200001-01":{"offeringid":"920000101","name":"Data - Bajo 0_920000101","mode":"N"}}</v>
      </c>
    </row>
    <row r="774" spans="1:9" x14ac:dyDescent="0.25">
      <c r="A774" s="60" t="s">
        <v>4431</v>
      </c>
      <c r="B774" s="60" t="str">
        <f>findKey(supplementary_offering_legacyid__4[[#This Row],[PRODUCCION]])</f>
        <v>200001-02</v>
      </c>
      <c r="C774" s="61" t="s">
        <v>4432</v>
      </c>
      <c r="D774" t="s">
        <v>4433</v>
      </c>
      <c r="E774" t="s">
        <v>2329</v>
      </c>
      <c r="F774" s="61"/>
      <c r="H774" t="str">
        <f>ToJsonArray(supplementary_offering_legacyid__4[[#Headers],[offeringid]:[json]],supplementary_offering_legacyid__4[[#This Row],[offeringid]:[ignore]])</f>
        <v>{"offeringid":"920000102","name":"Data - Bajo 1_920000102","mode":"N"}</v>
      </c>
      <c r="I774" t="str">
        <f>ToJsonArray(supplementary_offering_legacyid__4[[#This Row],[semilla04]],supplementary_offering_legacyid__4[[#This Row],[json]])</f>
        <v>{"200001-02":{"offeringid":"920000102","name":"Data - Bajo 1_920000102","mode":"N"}}</v>
      </c>
    </row>
    <row r="775" spans="1:9" x14ac:dyDescent="0.25">
      <c r="A775" s="60" t="s">
        <v>4434</v>
      </c>
      <c r="B775" s="60" t="str">
        <f>findKey(supplementary_offering_legacyid__4[[#This Row],[PRODUCCION]])</f>
        <v>200001-06</v>
      </c>
      <c r="C775" s="61" t="s">
        <v>4435</v>
      </c>
      <c r="D775" t="s">
        <v>4436</v>
      </c>
      <c r="E775" t="s">
        <v>2329</v>
      </c>
      <c r="F775" s="61"/>
      <c r="H775" t="str">
        <f>ToJsonArray(supplementary_offering_legacyid__4[[#Headers],[offeringid]:[json]],supplementary_offering_legacyid__4[[#This Row],[offeringid]:[ignore]])</f>
        <v>{"offeringid":"920000106","name":"Data - Medio 1_920000106","mode":"N"}</v>
      </c>
      <c r="I775" t="str">
        <f>ToJsonArray(supplementary_offering_legacyid__4[[#This Row],[semilla04]],supplementary_offering_legacyid__4[[#This Row],[json]])</f>
        <v>{"200001-06":{"offeringid":"920000106","name":"Data - Medio 1_920000106","mode":"N"}}</v>
      </c>
    </row>
    <row r="776" spans="1:9" x14ac:dyDescent="0.25">
      <c r="A776" s="60" t="s">
        <v>4437</v>
      </c>
      <c r="B776" s="60" t="str">
        <f>findKey(supplementary_offering_legacyid__4[[#This Row],[PRODUCCION]])</f>
        <v>200001-07</v>
      </c>
      <c r="C776" s="61" t="s">
        <v>4438</v>
      </c>
      <c r="D776" t="s">
        <v>4439</v>
      </c>
      <c r="E776" t="s">
        <v>2329</v>
      </c>
      <c r="F776" s="61"/>
      <c r="H776" t="str">
        <f>ToJsonArray(supplementary_offering_legacyid__4[[#Headers],[offeringid]:[json]],supplementary_offering_legacyid__4[[#This Row],[offeringid]:[ignore]])</f>
        <v>{"offeringid":"920000107","name":"Data - Medio 2_920000107","mode":"N"}</v>
      </c>
      <c r="I776" t="str">
        <f>ToJsonArray(supplementary_offering_legacyid__4[[#This Row],[semilla04]],supplementary_offering_legacyid__4[[#This Row],[json]])</f>
        <v>{"200001-07":{"offeringid":"920000107","name":"Data - Medio 2_920000107","mode":"N"}}</v>
      </c>
    </row>
    <row r="777" spans="1:9" x14ac:dyDescent="0.25">
      <c r="A777" s="60" t="s">
        <v>4440</v>
      </c>
      <c r="B777" s="60" t="str">
        <f>findKey(supplementary_offering_legacyid__4[[#This Row],[PRODUCCION]])</f>
        <v>200001-11</v>
      </c>
      <c r="C777" s="61" t="s">
        <v>4441</v>
      </c>
      <c r="D777" t="s">
        <v>4442</v>
      </c>
      <c r="E777" t="s">
        <v>2329</v>
      </c>
      <c r="F777" s="61"/>
      <c r="H777" t="str">
        <f>ToJsonArray(supplementary_offering_legacyid__4[[#Headers],[offeringid]:[json]],supplementary_offering_legacyid__4[[#This Row],[offeringid]:[ignore]])</f>
        <v>{"offeringid":"920000111","name":"Data - Bajo 0_920000111","mode":"N"}</v>
      </c>
      <c r="I777" t="str">
        <f>ToJsonArray(supplementary_offering_legacyid__4[[#This Row],[semilla04]],supplementary_offering_legacyid__4[[#This Row],[json]])</f>
        <v>{"200001-11":{"offeringid":"920000111","name":"Data - Bajo 0_920000111","mode":"N"}}</v>
      </c>
    </row>
    <row r="778" spans="1:9" x14ac:dyDescent="0.25">
      <c r="A778" s="60" t="s">
        <v>4443</v>
      </c>
      <c r="B778" s="60" t="str">
        <f>findKey(supplementary_offering_legacyid__4[[#This Row],[PRODUCCION]])</f>
        <v>200001-12</v>
      </c>
      <c r="C778" s="61" t="s">
        <v>4444</v>
      </c>
      <c r="D778" t="s">
        <v>4445</v>
      </c>
      <c r="E778" t="s">
        <v>2329</v>
      </c>
      <c r="F778" s="61"/>
      <c r="H778" t="str">
        <f>ToJsonArray(supplementary_offering_legacyid__4[[#Headers],[offeringid]:[json]],supplementary_offering_legacyid__4[[#This Row],[offeringid]:[ignore]])</f>
        <v>{"offeringid":"920000112","name":"Data 3Gb_920000112","mode":"N"}</v>
      </c>
      <c r="I778" t="str">
        <f>ToJsonArray(supplementary_offering_legacyid__4[[#This Row],[semilla04]],supplementary_offering_legacyid__4[[#This Row],[json]])</f>
        <v>{"200001-12":{"offeringid":"920000112","name":"Data 3Gb_920000112","mode":"N"}}</v>
      </c>
    </row>
    <row r="779" spans="1:9" x14ac:dyDescent="0.25">
      <c r="A779" s="60" t="s">
        <v>4446</v>
      </c>
      <c r="B779" s="60" t="str">
        <f>findKey(supplementary_offering_legacyid__4[[#This Row],[PRODUCCION]])</f>
        <v>200001-13</v>
      </c>
      <c r="C779" s="61" t="s">
        <v>4447</v>
      </c>
      <c r="D779" t="s">
        <v>4448</v>
      </c>
      <c r="E779" t="s">
        <v>2329</v>
      </c>
      <c r="F779" s="61"/>
      <c r="H779" t="str">
        <f>ToJsonArray(supplementary_offering_legacyid__4[[#Headers],[offeringid]:[json]],supplementary_offering_legacyid__4[[#This Row],[offeringid]:[ignore]])</f>
        <v>{"offeringid":"920000113","name":"Data 4Gb_920000113","mode":"N"}</v>
      </c>
      <c r="I779" t="str">
        <f>ToJsonArray(supplementary_offering_legacyid__4[[#This Row],[semilla04]],supplementary_offering_legacyid__4[[#This Row],[json]])</f>
        <v>{"200001-13":{"offeringid":"920000113","name":"Data 4Gb_920000113","mode":"N"}}</v>
      </c>
    </row>
    <row r="780" spans="1:9" x14ac:dyDescent="0.25">
      <c r="A780" s="60" t="s">
        <v>4449</v>
      </c>
      <c r="B780" s="60" t="str">
        <f>findKey(supplementary_offering_legacyid__4[[#This Row],[PRODUCCION]])</f>
        <v>200001-15</v>
      </c>
      <c r="C780" s="61" t="s">
        <v>4450</v>
      </c>
      <c r="D780" t="s">
        <v>4451</v>
      </c>
      <c r="E780" t="s">
        <v>2329</v>
      </c>
      <c r="F780" s="61"/>
      <c r="H780" t="str">
        <f>ToJsonArray(supplementary_offering_legacyid__4[[#Headers],[offeringid]:[json]],supplementary_offering_legacyid__4[[#This Row],[offeringid]:[ignore]])</f>
        <v>{"offeringid":"920000115","name":"Data 6Gb_920000115","mode":"N"}</v>
      </c>
      <c r="I780" t="str">
        <f>ToJsonArray(supplementary_offering_legacyid__4[[#This Row],[semilla04]],supplementary_offering_legacyid__4[[#This Row],[json]])</f>
        <v>{"200001-15":{"offeringid":"920000115","name":"Data 6Gb_920000115","mode":"N"}}</v>
      </c>
    </row>
    <row r="781" spans="1:9" x14ac:dyDescent="0.25">
      <c r="A781" s="60" t="s">
        <v>4452</v>
      </c>
      <c r="B781" s="60" t="str">
        <f>findKey(supplementary_offering_legacyid__4[[#This Row],[PRODUCCION]])</f>
        <v>200001-17</v>
      </c>
      <c r="C781" s="61" t="s">
        <v>4453</v>
      </c>
      <c r="D781" t="s">
        <v>4454</v>
      </c>
      <c r="E781" t="s">
        <v>2329</v>
      </c>
      <c r="F781" s="61"/>
      <c r="H781" t="str">
        <f>ToJsonArray(supplementary_offering_legacyid__4[[#Headers],[offeringid]:[json]],supplementary_offering_legacyid__4[[#This Row],[offeringid]:[ignore]])</f>
        <v>{"offeringid":"920000117","name":"Data 750MB_920000117","mode":"N"}</v>
      </c>
      <c r="I781" t="str">
        <f>ToJsonArray(supplementary_offering_legacyid__4[[#This Row],[semilla04]],supplementary_offering_legacyid__4[[#This Row],[json]])</f>
        <v>{"200001-17":{"offeringid":"920000117","name":"Data 750MB_920000117","mode":"N"}}</v>
      </c>
    </row>
    <row r="782" spans="1:9" x14ac:dyDescent="0.25">
      <c r="A782" s="60" t="s">
        <v>4455</v>
      </c>
      <c r="B782" s="60" t="str">
        <f>findKey(supplementary_offering_legacyid__4[[#This Row],[PRODUCCION]])</f>
        <v>200001-18</v>
      </c>
      <c r="C782" s="61" t="s">
        <v>4456</v>
      </c>
      <c r="D782" t="s">
        <v>4457</v>
      </c>
      <c r="E782" t="s">
        <v>2329</v>
      </c>
      <c r="F782" s="61"/>
      <c r="H782" t="str">
        <f>ToJsonArray(supplementary_offering_legacyid__4[[#Headers],[offeringid]:[json]],supplementary_offering_legacyid__4[[#This Row],[offeringid]:[ignore]])</f>
        <v>{"offeringid":"920000118","name":"Data 1Gb_920000118","mode":"N"}</v>
      </c>
      <c r="I782" t="str">
        <f>ToJsonArray(supplementary_offering_legacyid__4[[#This Row],[semilla04]],supplementary_offering_legacyid__4[[#This Row],[json]])</f>
        <v>{"200001-18":{"offeringid":"920000118","name":"Data 1Gb_920000118","mode":"N"}}</v>
      </c>
    </row>
    <row r="783" spans="1:9" x14ac:dyDescent="0.25">
      <c r="A783" s="60" t="s">
        <v>4458</v>
      </c>
      <c r="B783" s="60" t="str">
        <f>findKey(supplementary_offering_legacyid__4[[#This Row],[PRODUCCION]])</f>
        <v>200001-19</v>
      </c>
      <c r="C783" s="61" t="s">
        <v>4459</v>
      </c>
      <c r="D783" t="s">
        <v>4460</v>
      </c>
      <c r="E783" t="s">
        <v>2329</v>
      </c>
      <c r="F783" s="61"/>
      <c r="H783" t="str">
        <f>ToJsonArray(supplementary_offering_legacyid__4[[#Headers],[offeringid]:[json]],supplementary_offering_legacyid__4[[#This Row],[offeringid]:[ignore]])</f>
        <v>{"offeringid":"920000119","name":"Data 2Gb_920000119","mode":"N"}</v>
      </c>
      <c r="I783" t="str">
        <f>ToJsonArray(supplementary_offering_legacyid__4[[#This Row],[semilla04]],supplementary_offering_legacyid__4[[#This Row],[json]])</f>
        <v>{"200001-19":{"offeringid":"920000119","name":"Data 2Gb_920000119","mode":"N"}}</v>
      </c>
    </row>
    <row r="784" spans="1:9" x14ac:dyDescent="0.25">
      <c r="A784" s="60" t="s">
        <v>4461</v>
      </c>
      <c r="B784" s="60" t="str">
        <f>findKey(supplementary_offering_legacyid__4[[#This Row],[PRODUCCION]])</f>
        <v>200001-25</v>
      </c>
      <c r="C784" s="61" t="s">
        <v>4462</v>
      </c>
      <c r="D784" t="s">
        <v>4463</v>
      </c>
      <c r="E784" t="s">
        <v>2329</v>
      </c>
      <c r="F784" s="61"/>
      <c r="H784" t="str">
        <f>ToJsonArray(supplementary_offering_legacyid__4[[#Headers],[offeringid]:[json]],supplementary_offering_legacyid__4[[#This Row],[offeringid]:[ignore]])</f>
        <v>{"offeringid":"920000125","name":"Data 12Gb_920000125","mode":"N"}</v>
      </c>
      <c r="I784" t="str">
        <f>ToJsonArray(supplementary_offering_legacyid__4[[#This Row],[semilla04]],supplementary_offering_legacyid__4[[#This Row],[json]])</f>
        <v>{"200001-25":{"offeringid":"920000125","name":"Data 12Gb_920000125","mode":"N"}}</v>
      </c>
    </row>
    <row r="785" spans="1:9" x14ac:dyDescent="0.25">
      <c r="A785" s="60" t="s">
        <v>4464</v>
      </c>
      <c r="B785" s="60" t="str">
        <f>findKey(supplementary_offering_legacyid__4[[#This Row],[PRODUCCION]])</f>
        <v>200001-26</v>
      </c>
      <c r="C785" s="61" t="s">
        <v>4465</v>
      </c>
      <c r="D785" t="s">
        <v>4466</v>
      </c>
      <c r="E785" t="s">
        <v>2329</v>
      </c>
      <c r="F785" s="61"/>
      <c r="H785" t="str">
        <f>ToJsonArray(supplementary_offering_legacyid__4[[#Headers],[offeringid]:[json]],supplementary_offering_legacyid__4[[#This Row],[offeringid]:[ignore]])</f>
        <v>{"offeringid":"920000126","name":"Data 15Gb_920000126","mode":"N"}</v>
      </c>
      <c r="I785" t="str">
        <f>ToJsonArray(supplementary_offering_legacyid__4[[#This Row],[semilla04]],supplementary_offering_legacyid__4[[#This Row],[json]])</f>
        <v>{"200001-26":{"offeringid":"920000126","name":"Data 15Gb_920000126","mode":"N"}}</v>
      </c>
    </row>
    <row r="786" spans="1:9" x14ac:dyDescent="0.25">
      <c r="A786" s="60" t="s">
        <v>4467</v>
      </c>
      <c r="B786" s="60" t="str">
        <f>findKey(supplementary_offering_legacyid__4[[#This Row],[PRODUCCION]])</f>
        <v>200001-27</v>
      </c>
      <c r="C786" s="61" t="s">
        <v>4468</v>
      </c>
      <c r="D786" t="s">
        <v>4469</v>
      </c>
      <c r="E786" t="s">
        <v>2329</v>
      </c>
      <c r="F786" s="61"/>
      <c r="H786" t="str">
        <f>ToJsonArray(supplementary_offering_legacyid__4[[#Headers],[offeringid]:[json]],supplementary_offering_legacyid__4[[#This Row],[offeringid]:[ignore]])</f>
        <v>{"offeringid":"920000127","name":"Data 750MB_920000127","mode":"N"}</v>
      </c>
      <c r="I786" t="str">
        <f>ToJsonArray(supplementary_offering_legacyid__4[[#This Row],[semilla04]],supplementary_offering_legacyid__4[[#This Row],[json]])</f>
        <v>{"200001-27":{"offeringid":"920000127","name":"Data 750MB_920000127","mode":"N"}}</v>
      </c>
    </row>
    <row r="787" spans="1:9" x14ac:dyDescent="0.25">
      <c r="A787" s="60" t="s">
        <v>4470</v>
      </c>
      <c r="B787" s="60" t="str">
        <f>findKey(supplementary_offering_legacyid__4[[#This Row],[PRODUCCION]])</f>
        <v>200001-33</v>
      </c>
      <c r="C787" s="61" t="s">
        <v>4471</v>
      </c>
      <c r="D787" t="s">
        <v>4472</v>
      </c>
      <c r="E787" t="s">
        <v>2329</v>
      </c>
      <c r="F787" s="61"/>
      <c r="H787" t="str">
        <f>ToJsonArray(supplementary_offering_legacyid__4[[#Headers],[offeringid]:[json]],supplementary_offering_legacyid__4[[#This Row],[offeringid]:[ignore]])</f>
        <v>{"offeringid":"920000133","name":"Data 2.6GB_920000133","mode":"N"}</v>
      </c>
      <c r="I787" t="str">
        <f>ToJsonArray(supplementary_offering_legacyid__4[[#This Row],[semilla04]],supplementary_offering_legacyid__4[[#This Row],[json]])</f>
        <v>{"200001-33":{"offeringid":"920000133","name":"Data 2.6GB_920000133","mode":"N"}}</v>
      </c>
    </row>
    <row r="788" spans="1:9" x14ac:dyDescent="0.25">
      <c r="A788" s="60" t="s">
        <v>4473</v>
      </c>
      <c r="B788" s="60" t="str">
        <f>findKey(supplementary_offering_legacyid__4[[#This Row],[PRODUCCION]])</f>
        <v>200001-38</v>
      </c>
      <c r="C788" s="61" t="s">
        <v>4474</v>
      </c>
      <c r="D788" t="s">
        <v>4475</v>
      </c>
      <c r="E788" t="s">
        <v>2329</v>
      </c>
      <c r="F788" s="61"/>
      <c r="H788" t="str">
        <f>ToJsonArray(supplementary_offering_legacyid__4[[#Headers],[offeringid]:[json]],supplementary_offering_legacyid__4[[#This Row],[offeringid]:[ignore]])</f>
        <v>{"offeringid":"920000138","name":"Data 2 GB_920000138","mode":"N"}</v>
      </c>
      <c r="I788" t="str">
        <f>ToJsonArray(supplementary_offering_legacyid__4[[#This Row],[semilla04]],supplementary_offering_legacyid__4[[#This Row],[json]])</f>
        <v>{"200001-38":{"offeringid":"920000138","name":"Data 2 GB_920000138","mode":"N"}}</v>
      </c>
    </row>
    <row r="789" spans="1:9" x14ac:dyDescent="0.25">
      <c r="A789" s="60" t="s">
        <v>4476</v>
      </c>
      <c r="B789" s="60" t="str">
        <f>findKey(supplementary_offering_legacyid__4[[#This Row],[PRODUCCION]])</f>
        <v>200001-39</v>
      </c>
      <c r="C789" s="61" t="s">
        <v>4477</v>
      </c>
      <c r="D789" t="s">
        <v>4478</v>
      </c>
      <c r="E789" t="s">
        <v>2329</v>
      </c>
      <c r="F789" s="61"/>
      <c r="H789" t="str">
        <f>ToJsonArray(supplementary_offering_legacyid__4[[#Headers],[offeringid]:[json]],supplementary_offering_legacyid__4[[#This Row],[offeringid]:[ignore]])</f>
        <v>{"offeringid":"920000139","name":"Data 2.5 GB_920000139","mode":"N"}</v>
      </c>
      <c r="I789" t="str">
        <f>ToJsonArray(supplementary_offering_legacyid__4[[#This Row],[semilla04]],supplementary_offering_legacyid__4[[#This Row],[json]])</f>
        <v>{"200001-39":{"offeringid":"920000139","name":"Data 2.5 GB_920000139","mode":"N"}}</v>
      </c>
    </row>
    <row r="790" spans="1:9" x14ac:dyDescent="0.25">
      <c r="A790" s="60" t="s">
        <v>4479</v>
      </c>
      <c r="B790" s="60" t="str">
        <f>findKey(supplementary_offering_legacyid__4[[#This Row],[PRODUCCION]])</f>
        <v>200001-40</v>
      </c>
      <c r="C790" s="61" t="s">
        <v>4480</v>
      </c>
      <c r="D790" t="s">
        <v>4481</v>
      </c>
      <c r="E790" t="s">
        <v>2329</v>
      </c>
      <c r="F790" s="61"/>
      <c r="H790" t="str">
        <f>ToJsonArray(supplementary_offering_legacyid__4[[#Headers],[offeringid]:[json]],supplementary_offering_legacyid__4[[#This Row],[offeringid]:[ignore]])</f>
        <v>{"offeringid":"920000140","name":"Data 3 GB_920000140","mode":"N"}</v>
      </c>
      <c r="I790" t="str">
        <f>ToJsonArray(supplementary_offering_legacyid__4[[#This Row],[semilla04]],supplementary_offering_legacyid__4[[#This Row],[json]])</f>
        <v>{"200001-40":{"offeringid":"920000140","name":"Data 3 GB_920000140","mode":"N"}}</v>
      </c>
    </row>
    <row r="791" spans="1:9" x14ac:dyDescent="0.25">
      <c r="A791" s="60" t="s">
        <v>4482</v>
      </c>
      <c r="B791" s="60" t="str">
        <f>findKey(supplementary_offering_legacyid__4[[#This Row],[PRODUCCION]])</f>
        <v>200001-42</v>
      </c>
      <c r="C791" s="61" t="s">
        <v>4483</v>
      </c>
      <c r="D791" t="s">
        <v>4484</v>
      </c>
      <c r="E791" t="s">
        <v>2329</v>
      </c>
      <c r="F791" s="61"/>
      <c r="H791" t="str">
        <f>ToJsonArray(supplementary_offering_legacyid__4[[#Headers],[offeringid]:[json]],supplementary_offering_legacyid__4[[#This Row],[offeringid]:[ignore]])</f>
        <v>{"offeringid":"920000142","name":"Data 4 GB_920000142","mode":"N"}</v>
      </c>
      <c r="I791" t="str">
        <f>ToJsonArray(supplementary_offering_legacyid__4[[#This Row],[semilla04]],supplementary_offering_legacyid__4[[#This Row],[json]])</f>
        <v>{"200001-42":{"offeringid":"920000142","name":"Data 4 GB_920000142","mode":"N"}}</v>
      </c>
    </row>
    <row r="792" spans="1:9" x14ac:dyDescent="0.25">
      <c r="A792" s="60" t="s">
        <v>4485</v>
      </c>
      <c r="B792" s="60" t="str">
        <f>findKey(supplementary_offering_legacyid__4[[#This Row],[PRODUCCION]])</f>
        <v>200001-43</v>
      </c>
      <c r="C792" s="61" t="s">
        <v>4486</v>
      </c>
      <c r="D792" t="s">
        <v>4487</v>
      </c>
      <c r="E792" t="s">
        <v>2329</v>
      </c>
      <c r="F792" s="61"/>
      <c r="H792" t="str">
        <f>ToJsonArray(supplementary_offering_legacyid__4[[#Headers],[offeringid]:[json]],supplementary_offering_legacyid__4[[#This Row],[offeringid]:[ignore]])</f>
        <v>{"offeringid":"920000143","name":"Data 5 GB_920000143","mode":"N"}</v>
      </c>
      <c r="I792" t="str">
        <f>ToJsonArray(supplementary_offering_legacyid__4[[#This Row],[semilla04]],supplementary_offering_legacyid__4[[#This Row],[json]])</f>
        <v>{"200001-43":{"offeringid":"920000143","name":"Data 5 GB_920000143","mode":"N"}}</v>
      </c>
    </row>
    <row r="793" spans="1:9" x14ac:dyDescent="0.25">
      <c r="A793" s="60" t="s">
        <v>4488</v>
      </c>
      <c r="B793" s="60" t="str">
        <f>findKey(supplementary_offering_legacyid__4[[#This Row],[PRODUCCION]])</f>
        <v>200001-51</v>
      </c>
      <c r="C793" s="61" t="s">
        <v>4489</v>
      </c>
      <c r="D793" t="s">
        <v>4490</v>
      </c>
      <c r="E793" t="s">
        <v>2329</v>
      </c>
      <c r="F793" s="61"/>
      <c r="H793" t="str">
        <f>ToJsonArray(supplementary_offering_legacyid__4[[#Headers],[offeringid]:[json]],supplementary_offering_legacyid__4[[#This Row],[offeringid]:[ignore]])</f>
        <v>{"offeringid":"920000151","name":"Data 500 MB_920000151","mode":"N"}</v>
      </c>
      <c r="I793" t="str">
        <f>ToJsonArray(supplementary_offering_legacyid__4[[#This Row],[semilla04]],supplementary_offering_legacyid__4[[#This Row],[json]])</f>
        <v>{"200001-51":{"offeringid":"920000151","name":"Data 500 MB_920000151","mode":"N"}}</v>
      </c>
    </row>
    <row r="794" spans="1:9" x14ac:dyDescent="0.25">
      <c r="A794" s="60" t="s">
        <v>4491</v>
      </c>
      <c r="B794" s="60" t="str">
        <f>findKey(supplementary_offering_legacyid__4[[#This Row],[PRODUCCION]])</f>
        <v>200001-53</v>
      </c>
      <c r="C794" s="61" t="s">
        <v>4492</v>
      </c>
      <c r="D794" t="s">
        <v>4493</v>
      </c>
      <c r="E794" t="s">
        <v>2329</v>
      </c>
      <c r="F794" s="61"/>
      <c r="H794" t="str">
        <f>ToJsonArray(supplementary_offering_legacyid__4[[#Headers],[offeringid]:[json]],supplementary_offering_legacyid__4[[#This Row],[offeringid]:[ignore]])</f>
        <v>{"offeringid":"920000153","name":"Data 800 MB_920000153","mode":"N"}</v>
      </c>
      <c r="I794" t="str">
        <f>ToJsonArray(supplementary_offering_legacyid__4[[#This Row],[semilla04]],supplementary_offering_legacyid__4[[#This Row],[json]])</f>
        <v>{"200001-53":{"offeringid":"920000153","name":"Data 800 MB_920000153","mode":"N"}}</v>
      </c>
    </row>
    <row r="795" spans="1:9" x14ac:dyDescent="0.25">
      <c r="A795" s="60" t="s">
        <v>4494</v>
      </c>
      <c r="B795" s="60" t="str">
        <f>findKey(supplementary_offering_legacyid__4[[#This Row],[PRODUCCION]])</f>
        <v>200001-57</v>
      </c>
      <c r="C795" s="61" t="s">
        <v>4495</v>
      </c>
      <c r="D795" t="s">
        <v>4496</v>
      </c>
      <c r="E795" t="s">
        <v>2329</v>
      </c>
      <c r="F795" s="61"/>
      <c r="H795" t="str">
        <f>ToJsonArray(supplementary_offering_legacyid__4[[#Headers],[offeringid]:[json]],supplementary_offering_legacyid__4[[#This Row],[offeringid]:[ignore]])</f>
        <v>{"offeringid":"920000157","name":"Data 1.5GB_920000157","mode":"N"}</v>
      </c>
      <c r="I795" t="str">
        <f>ToJsonArray(supplementary_offering_legacyid__4[[#This Row],[semilla04]],supplementary_offering_legacyid__4[[#This Row],[json]])</f>
        <v>{"200001-57":{"offeringid":"920000157","name":"Data 1.5GB_920000157","mode":"N"}}</v>
      </c>
    </row>
    <row r="796" spans="1:9" x14ac:dyDescent="0.25">
      <c r="A796" s="60" t="s">
        <v>4497</v>
      </c>
      <c r="B796" s="60" t="str">
        <f>findKey(supplementary_offering_legacyid__4[[#This Row],[PRODUCCION]])</f>
        <v>200001-59</v>
      </c>
      <c r="C796" s="61" t="s">
        <v>4498</v>
      </c>
      <c r="D796" t="s">
        <v>4499</v>
      </c>
      <c r="E796" t="s">
        <v>2329</v>
      </c>
      <c r="F796" s="61"/>
      <c r="H796" t="str">
        <f>ToJsonArray(supplementary_offering_legacyid__4[[#Headers],[offeringid]:[json]],supplementary_offering_legacyid__4[[#This Row],[offeringid]:[ignore]])</f>
        <v>{"offeringid":"920000159","name":"Data 2GB_920000159","mode":"N"}</v>
      </c>
      <c r="I796" t="str">
        <f>ToJsonArray(supplementary_offering_legacyid__4[[#This Row],[semilla04]],supplementary_offering_legacyid__4[[#This Row],[json]])</f>
        <v>{"200001-59":{"offeringid":"920000159","name":"Data 2GB_920000159","mode":"N"}}</v>
      </c>
    </row>
    <row r="797" spans="1:9" x14ac:dyDescent="0.25">
      <c r="A797" s="60" t="s">
        <v>4500</v>
      </c>
      <c r="B797" s="60" t="str">
        <f>findKey(supplementary_offering_legacyid__4[[#This Row],[PRODUCCION]])</f>
        <v>200001-63</v>
      </c>
      <c r="C797" s="61" t="s">
        <v>4501</v>
      </c>
      <c r="D797" t="s">
        <v>4502</v>
      </c>
      <c r="E797" t="s">
        <v>2329</v>
      </c>
      <c r="F797" s="61"/>
      <c r="H797" t="str">
        <f>ToJsonArray(supplementary_offering_legacyid__4[[#Headers],[offeringid]:[json]],supplementary_offering_legacyid__4[[#This Row],[offeringid]:[ignore]])</f>
        <v>{"offeringid":"920000163","name":"Data 2.5GB_920000163","mode":"N"}</v>
      </c>
      <c r="I797" t="str">
        <f>ToJsonArray(supplementary_offering_legacyid__4[[#This Row],[semilla04]],supplementary_offering_legacyid__4[[#This Row],[json]])</f>
        <v>{"200001-63":{"offeringid":"920000163","name":"Data 2.5GB_920000163","mode":"N"}}</v>
      </c>
    </row>
    <row r="798" spans="1:9" x14ac:dyDescent="0.25">
      <c r="A798" s="60" t="s">
        <v>4503</v>
      </c>
      <c r="B798" s="60" t="str">
        <f>findKey(supplementary_offering_legacyid__4[[#This Row],[PRODUCCION]])</f>
        <v>200001-64</v>
      </c>
      <c r="C798" s="61" t="s">
        <v>4504</v>
      </c>
      <c r="D798" t="s">
        <v>4505</v>
      </c>
      <c r="E798" t="s">
        <v>2329</v>
      </c>
      <c r="F798" s="61"/>
      <c r="H798" t="str">
        <f>ToJsonArray(supplementary_offering_legacyid__4[[#Headers],[offeringid]:[json]],supplementary_offering_legacyid__4[[#This Row],[offeringid]:[ignore]])</f>
        <v>{"offeringid":"920000164","name":"Data 3GB_920000164","mode":"N"}</v>
      </c>
      <c r="I798" t="str">
        <f>ToJsonArray(supplementary_offering_legacyid__4[[#This Row],[semilla04]],supplementary_offering_legacyid__4[[#This Row],[json]])</f>
        <v>{"200001-64":{"offeringid":"920000164","name":"Data 3GB_920000164","mode":"N"}}</v>
      </c>
    </row>
    <row r="799" spans="1:9" x14ac:dyDescent="0.25">
      <c r="A799" s="60" t="s">
        <v>4506</v>
      </c>
      <c r="B799" s="60" t="str">
        <f>findKey(supplementary_offering_legacyid__4[[#This Row],[PRODUCCION]])</f>
        <v>200001-67</v>
      </c>
      <c r="C799" s="61" t="s">
        <v>4507</v>
      </c>
      <c r="D799" t="s">
        <v>4508</v>
      </c>
      <c r="E799" t="s">
        <v>2329</v>
      </c>
      <c r="F799" s="61"/>
      <c r="H799" t="str">
        <f>ToJsonArray(supplementary_offering_legacyid__4[[#Headers],[offeringid]:[json]],supplementary_offering_legacyid__4[[#This Row],[offeringid]:[ignore]])</f>
        <v>{"offeringid":"920000167","name":"Data 4GB_920000167","mode":"N"}</v>
      </c>
      <c r="I799" t="str">
        <f>ToJsonArray(supplementary_offering_legacyid__4[[#This Row],[semilla04]],supplementary_offering_legacyid__4[[#This Row],[json]])</f>
        <v>{"200001-67":{"offeringid":"920000167","name":"Data 4GB_920000167","mode":"N"}}</v>
      </c>
    </row>
    <row r="800" spans="1:9" x14ac:dyDescent="0.25">
      <c r="A800" s="60" t="s">
        <v>4509</v>
      </c>
      <c r="B800" s="60" t="str">
        <f>findKey(supplementary_offering_legacyid__4[[#This Row],[PRODUCCION]])</f>
        <v>200001-84</v>
      </c>
      <c r="C800" s="61" t="s">
        <v>4510</v>
      </c>
      <c r="D800" t="s">
        <v>4511</v>
      </c>
      <c r="E800" t="s">
        <v>2329</v>
      </c>
      <c r="F800" s="61"/>
      <c r="H800" t="str">
        <f>ToJsonArray(supplementary_offering_legacyid__4[[#Headers],[offeringid]:[json]],supplementary_offering_legacyid__4[[#This Row],[offeringid]:[ignore]])</f>
        <v>{"offeringid":"920000184","name":"Data 1.3GB_920000184","mode":"N"}</v>
      </c>
      <c r="I800" t="str">
        <f>ToJsonArray(supplementary_offering_legacyid__4[[#This Row],[semilla04]],supplementary_offering_legacyid__4[[#This Row],[json]])</f>
        <v>{"200001-84":{"offeringid":"920000184","name":"Data 1.3GB_920000184","mode":"N"}}</v>
      </c>
    </row>
    <row r="801" spans="1:9" x14ac:dyDescent="0.25">
      <c r="A801" s="60" t="s">
        <v>4512</v>
      </c>
      <c r="B801" s="60" t="str">
        <f>findKey(supplementary_offering_legacyid__4[[#This Row],[PRODUCCION]])</f>
        <v>200001-86</v>
      </c>
      <c r="C801" s="61" t="s">
        <v>4513</v>
      </c>
      <c r="D801" t="s">
        <v>4514</v>
      </c>
      <c r="E801" t="s">
        <v>2329</v>
      </c>
      <c r="F801" s="61"/>
      <c r="H801" t="str">
        <f>ToJsonArray(supplementary_offering_legacyid__4[[#Headers],[offeringid]:[json]],supplementary_offering_legacyid__4[[#This Row],[offeringid]:[ignore]])</f>
        <v>{"offeringid":"920000186","name":"Data 2GB_920000186","mode":"N"}</v>
      </c>
      <c r="I801" t="str">
        <f>ToJsonArray(supplementary_offering_legacyid__4[[#This Row],[semilla04]],supplementary_offering_legacyid__4[[#This Row],[json]])</f>
        <v>{"200001-86":{"offeringid":"920000186","name":"Data 2GB_920000186","mode":"N"}}</v>
      </c>
    </row>
    <row r="802" spans="1:9" x14ac:dyDescent="0.25">
      <c r="A802" s="60" t="s">
        <v>4515</v>
      </c>
      <c r="B802" s="60" t="str">
        <f>findKey(supplementary_offering_legacyid__4[[#This Row],[PRODUCCION]])</f>
        <v>200003-00</v>
      </c>
      <c r="C802" s="61" t="s">
        <v>4516</v>
      </c>
      <c r="D802" t="s">
        <v>4517</v>
      </c>
      <c r="E802" t="s">
        <v>2329</v>
      </c>
      <c r="F802" s="61"/>
      <c r="H802" t="str">
        <f>ToJsonArray(supplementary_offering_legacyid__4[[#Headers],[offeringid]:[json]],supplementary_offering_legacyid__4[[#This Row],[offeringid]:[ignore]])</f>
        <v>{"offeringid":"920000300","name":"Blackberry Total_920000300","mode":"N"}</v>
      </c>
      <c r="I802" t="str">
        <f>ToJsonArray(supplementary_offering_legacyid__4[[#This Row],[semilla04]],supplementary_offering_legacyid__4[[#This Row],[json]])</f>
        <v>{"200003-00":{"offeringid":"920000300","name":"Blackberry Total_920000300","mode":"N"}}</v>
      </c>
    </row>
    <row r="803" spans="1:9" x14ac:dyDescent="0.25">
      <c r="A803" s="60" t="s">
        <v>4518</v>
      </c>
      <c r="B803" s="60" t="str">
        <f>findKey(supplementary_offering_legacyid__4[[#This Row],[PRODUCCION]])</f>
        <v>200003-02</v>
      </c>
      <c r="C803" s="61" t="s">
        <v>4519</v>
      </c>
      <c r="D803" t="s">
        <v>4520</v>
      </c>
      <c r="E803" t="s">
        <v>2329</v>
      </c>
      <c r="F803" s="61"/>
      <c r="H803" t="str">
        <f>ToJsonArray(supplementary_offering_legacyid__4[[#Headers],[offeringid]:[json]],supplementary_offering_legacyid__4[[#This Row],[offeringid]:[ignore]])</f>
        <v>{"offeringid":"920000302","name":"BlackBerry 2 - 2G_920000302","mode":"N"}</v>
      </c>
      <c r="I803" t="str">
        <f>ToJsonArray(supplementary_offering_legacyid__4[[#This Row],[semilla04]],supplementary_offering_legacyid__4[[#This Row],[json]])</f>
        <v>{"200003-02":{"offeringid":"920000302","name":"BlackBerry 2 - 2G_920000302","mode":"N"}}</v>
      </c>
    </row>
    <row r="804" spans="1:9" x14ac:dyDescent="0.25">
      <c r="A804" s="60" t="s">
        <v>4521</v>
      </c>
      <c r="B804" s="60" t="str">
        <f>findKey(supplementary_offering_legacyid__4[[#This Row],[PRODUCCION]])</f>
        <v>200003-08</v>
      </c>
      <c r="C804" s="61" t="s">
        <v>4522</v>
      </c>
      <c r="D804" t="s">
        <v>4523</v>
      </c>
      <c r="E804" t="s">
        <v>2329</v>
      </c>
      <c r="F804" s="61"/>
      <c r="H804" t="str">
        <f>ToJsonArray(supplementary_offering_legacyid__4[[#Headers],[offeringid]:[json]],supplementary_offering_legacyid__4[[#This Row],[offeringid]:[ignore]])</f>
        <v>{"offeringid":"920000308","name":"BlackBerry Social_920000308","mode":"N"}</v>
      </c>
      <c r="I804" t="str">
        <f>ToJsonArray(supplementary_offering_legacyid__4[[#This Row],[semilla04]],supplementary_offering_legacyid__4[[#This Row],[json]])</f>
        <v>{"200003-08":{"offeringid":"920000308","name":"BlackBerry Social_920000308","mode":"N"}}</v>
      </c>
    </row>
    <row r="805" spans="1:9" x14ac:dyDescent="0.25">
      <c r="A805" s="60" t="s">
        <v>4524</v>
      </c>
      <c r="B805" s="60" t="str">
        <f>findKey(supplementary_offering_legacyid__4[[#This Row],[PRODUCCION]])</f>
        <v>200005-01</v>
      </c>
      <c r="C805" s="61" t="s">
        <v>4525</v>
      </c>
      <c r="D805" t="s">
        <v>4526</v>
      </c>
      <c r="E805" t="s">
        <v>2329</v>
      </c>
      <c r="F805" s="61"/>
      <c r="H805" t="str">
        <f>ToJsonArray(supplementary_offering_legacyid__4[[#Headers],[offeringid]:[json]],supplementary_offering_legacyid__4[[#This Row],[offeringid]:[ignore]])</f>
        <v>{"offeringid":"920000501","name":"DPI Mail_920000501","mode":"N"}</v>
      </c>
      <c r="I805" t="str">
        <f>ToJsonArray(supplementary_offering_legacyid__4[[#This Row],[semilla04]],supplementary_offering_legacyid__4[[#This Row],[json]])</f>
        <v>{"200005-01":{"offeringid":"920000501","name":"DPI Mail_920000501","mode":"N"}}</v>
      </c>
    </row>
    <row r="806" spans="1:9" x14ac:dyDescent="0.25">
      <c r="A806" s="60" t="s">
        <v>4527</v>
      </c>
      <c r="B806" s="60" t="str">
        <f>findKey(supplementary_offering_legacyid__4[[#This Row],[PRODUCCION]])</f>
        <v>200007-01</v>
      </c>
      <c r="C806" s="61" t="s">
        <v>4528</v>
      </c>
      <c r="D806" t="s">
        <v>4529</v>
      </c>
      <c r="E806" t="s">
        <v>2329</v>
      </c>
      <c r="F806" s="61"/>
      <c r="H806" t="str">
        <f>ToJsonArray(supplementary_offering_legacyid__4[[#Headers],[offeringid]:[json]],supplementary_offering_legacyid__4[[#This Row],[offeringid]:[ignore]])</f>
        <v>{"offeringid":"920000701","name":"Deezer 750 Mb_920000701","mode":"N"}</v>
      </c>
      <c r="I806" t="str">
        <f>ToJsonArray(supplementary_offering_legacyid__4[[#This Row],[semilla04]],supplementary_offering_legacyid__4[[#This Row],[json]])</f>
        <v>{"200007-01":{"offeringid":"920000701","name":"Deezer 750 Mb_920000701","mode":"N"}}</v>
      </c>
    </row>
    <row r="807" spans="1:9" x14ac:dyDescent="0.25">
      <c r="A807" s="60" t="s">
        <v>4530</v>
      </c>
      <c r="B807" s="60" t="str">
        <f>findKey(supplementary_offering_legacyid__4[[#This Row],[PRODUCCION]])</f>
        <v>200007-03</v>
      </c>
      <c r="C807" s="61" t="s">
        <v>4531</v>
      </c>
      <c r="D807" t="s">
        <v>4532</v>
      </c>
      <c r="E807" t="s">
        <v>2329</v>
      </c>
      <c r="F807" s="61"/>
      <c r="H807" t="str">
        <f>ToJsonArray(supplementary_offering_legacyid__4[[#Headers],[offeringid]:[json]],supplementary_offering_legacyid__4[[#This Row],[offeringid]:[ignore]])</f>
        <v>{"offeringid":"920000703","name":"Deezer 1.5 Gb_920000703","mode":"N"}</v>
      </c>
      <c r="I807" t="str">
        <f>ToJsonArray(supplementary_offering_legacyid__4[[#This Row],[semilla04]],supplementary_offering_legacyid__4[[#This Row],[json]])</f>
        <v>{"200007-03":{"offeringid":"920000703","name":"Deezer 1.5 Gb_920000703","mode":"N"}}</v>
      </c>
    </row>
    <row r="808" spans="1:9" x14ac:dyDescent="0.25">
      <c r="A808" s="60" t="s">
        <v>4533</v>
      </c>
      <c r="B808" s="60" t="str">
        <f>findKey(supplementary_offering_legacyid__4[[#This Row],[PRODUCCION]])</f>
        <v>200007-05</v>
      </c>
      <c r="C808" s="61" t="s">
        <v>4534</v>
      </c>
      <c r="D808" t="s">
        <v>4535</v>
      </c>
      <c r="E808" t="s">
        <v>2329</v>
      </c>
      <c r="F808" s="61"/>
      <c r="H808" t="str">
        <f>ToJsonArray(supplementary_offering_legacyid__4[[#Headers],[offeringid]:[json]],supplementary_offering_legacyid__4[[#This Row],[offeringid]:[ignore]])</f>
        <v>{"offeringid":"920000705","name":"Deezer 2.5 Gb_920000705","mode":"N"}</v>
      </c>
      <c r="I808" t="str">
        <f>ToJsonArray(supplementary_offering_legacyid__4[[#This Row],[semilla04]],supplementary_offering_legacyid__4[[#This Row],[json]])</f>
        <v>{"200007-05":{"offeringid":"920000705","name":"Deezer 2.5 Gb_920000705","mode":"N"}}</v>
      </c>
    </row>
    <row r="809" spans="1:9" x14ac:dyDescent="0.25">
      <c r="A809" s="60" t="s">
        <v>4536</v>
      </c>
      <c r="B809" s="60" t="str">
        <f>findKey(supplementary_offering_legacyid__4[[#This Row],[PRODUCCION]])</f>
        <v>200007-07</v>
      </c>
      <c r="C809" s="61" t="s">
        <v>4537</v>
      </c>
      <c r="D809" t="s">
        <v>4538</v>
      </c>
      <c r="E809" t="s">
        <v>2329</v>
      </c>
      <c r="F809" s="61"/>
      <c r="H809" t="str">
        <f>ToJsonArray(supplementary_offering_legacyid__4[[#Headers],[offeringid]:[json]],supplementary_offering_legacyid__4[[#This Row],[offeringid]:[ignore]])</f>
        <v>{"offeringid":"920000707","name":"Deezer 4 Gb_920000707","mode":"N"}</v>
      </c>
      <c r="I809" t="str">
        <f>ToJsonArray(supplementary_offering_legacyid__4[[#This Row],[semilla04]],supplementary_offering_legacyid__4[[#This Row],[json]])</f>
        <v>{"200007-07":{"offeringid":"920000707","name":"Deezer 4 Gb_920000707","mode":"N"}}</v>
      </c>
    </row>
    <row r="810" spans="1:9" x14ac:dyDescent="0.25">
      <c r="A810" s="60" t="s">
        <v>4539</v>
      </c>
      <c r="B810" s="60" t="str">
        <f>findKey(supplementary_offering_legacyid__4[[#This Row],[PRODUCCION]])</f>
        <v>200008-01</v>
      </c>
      <c r="C810" s="61" t="s">
        <v>4540</v>
      </c>
      <c r="D810" t="s">
        <v>4541</v>
      </c>
      <c r="E810" t="s">
        <v>2329</v>
      </c>
      <c r="F810" s="61"/>
      <c r="H810" t="str">
        <f>ToJsonArray(supplementary_offering_legacyid__4[[#Headers],[offeringid]:[json]],supplementary_offering_legacyid__4[[#This Row],[offeringid]:[ignore]])</f>
        <v>{"offeringid":"920000801","name":"Smart 750MB_920000801","mode":"N"}</v>
      </c>
      <c r="I810" t="str">
        <f>ToJsonArray(supplementary_offering_legacyid__4[[#This Row],[semilla04]],supplementary_offering_legacyid__4[[#This Row],[json]])</f>
        <v>{"200008-01":{"offeringid":"920000801","name":"Smart 750MB_920000801","mode":"N"}}</v>
      </c>
    </row>
    <row r="811" spans="1:9" x14ac:dyDescent="0.25">
      <c r="A811" s="60" t="s">
        <v>4542</v>
      </c>
      <c r="B811" s="60" t="str">
        <f>findKey(supplementary_offering_legacyid__4[[#This Row],[PRODUCCION]])</f>
        <v>200008-02</v>
      </c>
      <c r="C811" s="61" t="s">
        <v>4543</v>
      </c>
      <c r="D811" t="s">
        <v>4544</v>
      </c>
      <c r="E811" t="s">
        <v>2329</v>
      </c>
      <c r="F811" s="61"/>
      <c r="H811" t="str">
        <f>ToJsonArray(supplementary_offering_legacyid__4[[#Headers],[offeringid]:[json]],supplementary_offering_legacyid__4[[#This Row],[offeringid]:[ignore]])</f>
        <v>{"offeringid":"920000802","name":"Smart 1GB_920000802","mode":"N"}</v>
      </c>
      <c r="I811" t="str">
        <f>ToJsonArray(supplementary_offering_legacyid__4[[#This Row],[semilla04]],supplementary_offering_legacyid__4[[#This Row],[json]])</f>
        <v>{"200008-02":{"offeringid":"920000802","name":"Smart 1GB_920000802","mode":"N"}}</v>
      </c>
    </row>
    <row r="812" spans="1:9" x14ac:dyDescent="0.25">
      <c r="A812" s="60" t="s">
        <v>4545</v>
      </c>
      <c r="B812" s="60" t="str">
        <f>findKey(supplementary_offering_legacyid__4[[#This Row],[PRODUCCION]])</f>
        <v>200008-03</v>
      </c>
      <c r="C812" s="61" t="s">
        <v>4546</v>
      </c>
      <c r="D812" t="s">
        <v>4547</v>
      </c>
      <c r="E812" t="s">
        <v>2329</v>
      </c>
      <c r="F812" s="61"/>
      <c r="H812" t="str">
        <f>ToJsonArray(supplementary_offering_legacyid__4[[#Headers],[offeringid]:[json]],supplementary_offering_legacyid__4[[#This Row],[offeringid]:[ignore]])</f>
        <v>{"offeringid":"920000803","name":"Smart 2GB_920000803","mode":"N"}</v>
      </c>
      <c r="I812" t="str">
        <f>ToJsonArray(supplementary_offering_legacyid__4[[#This Row],[semilla04]],supplementary_offering_legacyid__4[[#This Row],[json]])</f>
        <v>{"200008-03":{"offeringid":"920000803","name":"Smart 2GB_920000803","mode":"N"}}</v>
      </c>
    </row>
    <row r="813" spans="1:9" x14ac:dyDescent="0.25">
      <c r="A813" s="60" t="s">
        <v>4548</v>
      </c>
      <c r="B813" s="60" t="str">
        <f>findKey(supplementary_offering_legacyid__4[[#This Row],[PRODUCCION]])</f>
        <v>200008-04</v>
      </c>
      <c r="C813" s="61" t="s">
        <v>4549</v>
      </c>
      <c r="D813" t="s">
        <v>4550</v>
      </c>
      <c r="E813" t="s">
        <v>2329</v>
      </c>
      <c r="F813" s="61"/>
      <c r="H813" t="str">
        <f>ToJsonArray(supplementary_offering_legacyid__4[[#Headers],[offeringid]:[json]],supplementary_offering_legacyid__4[[#This Row],[offeringid]:[ignore]])</f>
        <v>{"offeringid":"920000804","name":"Smart 2.5GB_920000804","mode":"N"}</v>
      </c>
      <c r="I813" t="str">
        <f>ToJsonArray(supplementary_offering_legacyid__4[[#This Row],[semilla04]],supplementary_offering_legacyid__4[[#This Row],[json]])</f>
        <v>{"200008-04":{"offeringid":"920000804","name":"Smart 2.5GB_920000804","mode":"N"}}</v>
      </c>
    </row>
    <row r="814" spans="1:9" x14ac:dyDescent="0.25">
      <c r="A814" s="60" t="s">
        <v>4551</v>
      </c>
      <c r="B814" s="60" t="str">
        <f>findKey(supplementary_offering_legacyid__4[[#This Row],[PRODUCCION]])</f>
        <v>200008-06</v>
      </c>
      <c r="C814" s="61" t="s">
        <v>4552</v>
      </c>
      <c r="D814" t="s">
        <v>4553</v>
      </c>
      <c r="E814" t="s">
        <v>2329</v>
      </c>
      <c r="F814" s="61"/>
      <c r="H814" t="str">
        <f>ToJsonArray(supplementary_offering_legacyid__4[[#Headers],[offeringid]:[json]],supplementary_offering_legacyid__4[[#This Row],[offeringid]:[ignore]])</f>
        <v>{"offeringid":"920000806","name":"Smart 3GB_920000806","mode":"N"}</v>
      </c>
      <c r="I814" t="str">
        <f>ToJsonArray(supplementary_offering_legacyid__4[[#This Row],[semilla04]],supplementary_offering_legacyid__4[[#This Row],[json]])</f>
        <v>{"200008-06":{"offeringid":"920000806","name":"Smart 3GB_920000806","mode":"N"}}</v>
      </c>
    </row>
    <row r="815" spans="1:9" x14ac:dyDescent="0.25">
      <c r="A815" s="60" t="s">
        <v>4554</v>
      </c>
      <c r="B815" s="60" t="str">
        <f>findKey(supplementary_offering_legacyid__4[[#This Row],[PRODUCCION]])</f>
        <v>200008-07</v>
      </c>
      <c r="C815" s="61" t="s">
        <v>4555</v>
      </c>
      <c r="D815" t="s">
        <v>4556</v>
      </c>
      <c r="E815" t="s">
        <v>2329</v>
      </c>
      <c r="F815" s="61"/>
      <c r="H815" t="str">
        <f>ToJsonArray(supplementary_offering_legacyid__4[[#Headers],[offeringid]:[json]],supplementary_offering_legacyid__4[[#This Row],[offeringid]:[ignore]])</f>
        <v>{"offeringid":"920000807","name":"Smart 4GB_920000807","mode":"N"}</v>
      </c>
      <c r="I815" t="str">
        <f>ToJsonArray(supplementary_offering_legacyid__4[[#This Row],[semilla04]],supplementary_offering_legacyid__4[[#This Row],[json]])</f>
        <v>{"200008-07":{"offeringid":"920000807","name":"Smart 4GB_920000807","mode":"N"}}</v>
      </c>
    </row>
    <row r="816" spans="1:9" x14ac:dyDescent="0.25">
      <c r="A816" s="60" t="s">
        <v>4557</v>
      </c>
      <c r="B816" s="60" t="str">
        <f>findKey(supplementary_offering_legacyid__4[[#This Row],[PRODUCCION]])</f>
        <v>200008-09</v>
      </c>
      <c r="C816" s="61" t="s">
        <v>4558</v>
      </c>
      <c r="D816" t="s">
        <v>4559</v>
      </c>
      <c r="E816" t="s">
        <v>2329</v>
      </c>
      <c r="F816" s="61"/>
      <c r="H816" t="str">
        <f>ToJsonArray(supplementary_offering_legacyid__4[[#Headers],[offeringid]:[json]],supplementary_offering_legacyid__4[[#This Row],[offeringid]:[ignore]])</f>
        <v>{"offeringid":"920000809","name":"Smart 6GB_920000809","mode":"N"}</v>
      </c>
      <c r="I816" t="str">
        <f>ToJsonArray(supplementary_offering_legacyid__4[[#This Row],[semilla04]],supplementary_offering_legacyid__4[[#This Row],[json]])</f>
        <v>{"200008-09":{"offeringid":"920000809","name":"Smart 6GB_920000809","mode":"N"}}</v>
      </c>
    </row>
    <row r="817" spans="1:9" x14ac:dyDescent="0.25">
      <c r="A817" s="60" t="s">
        <v>4560</v>
      </c>
      <c r="B817" s="60" t="str">
        <f>findKey(supplementary_offering_legacyid__4[[#This Row],[PRODUCCION]])</f>
        <v>200008-10</v>
      </c>
      <c r="C817" s="61" t="s">
        <v>4561</v>
      </c>
      <c r="D817" t="s">
        <v>4562</v>
      </c>
      <c r="E817" t="s">
        <v>2329</v>
      </c>
      <c r="F817" s="61"/>
      <c r="H817" t="str">
        <f>ToJsonArray(supplementary_offering_legacyid__4[[#Headers],[offeringid]:[json]],supplementary_offering_legacyid__4[[#This Row],[offeringid]:[ignore]])</f>
        <v>{"offeringid":"920000810","name":"Smart 7GB_920000810","mode":"N"}</v>
      </c>
      <c r="I817" t="str">
        <f>ToJsonArray(supplementary_offering_legacyid__4[[#This Row],[semilla04]],supplementary_offering_legacyid__4[[#This Row],[json]])</f>
        <v>{"200008-10":{"offeringid":"920000810","name":"Smart 7GB_920000810","mode":"N"}}</v>
      </c>
    </row>
    <row r="818" spans="1:9" x14ac:dyDescent="0.25">
      <c r="A818" s="60" t="s">
        <v>4563</v>
      </c>
      <c r="B818" s="60" t="str">
        <f>findKey(supplementary_offering_legacyid__4[[#This Row],[PRODUCCION]])</f>
        <v>200008-12</v>
      </c>
      <c r="C818" s="61" t="s">
        <v>4564</v>
      </c>
      <c r="D818" t="s">
        <v>4565</v>
      </c>
      <c r="E818" t="s">
        <v>2329</v>
      </c>
      <c r="F818" s="61"/>
      <c r="H818" t="str">
        <f>ToJsonArray(supplementary_offering_legacyid__4[[#Headers],[offeringid]:[json]],supplementary_offering_legacyid__4[[#This Row],[offeringid]:[ignore]])</f>
        <v>{"offeringid":"920000812","name":"Smart sin datos_920000812","mode":"N"}</v>
      </c>
      <c r="I818" t="str">
        <f>ToJsonArray(supplementary_offering_legacyid__4[[#This Row],[semilla04]],supplementary_offering_legacyid__4[[#This Row],[json]])</f>
        <v>{"200008-12":{"offeringid":"920000812","name":"Smart sin datos_920000812","mode":"N"}}</v>
      </c>
    </row>
    <row r="819" spans="1:9" x14ac:dyDescent="0.25">
      <c r="A819" s="60" t="s">
        <v>4566</v>
      </c>
      <c r="B819" s="60" t="str">
        <f>findKey(supplementary_offering_legacyid__4[[#This Row],[PRODUCCION]])</f>
        <v>200008-13</v>
      </c>
      <c r="C819" s="61" t="s">
        <v>4567</v>
      </c>
      <c r="D819" t="s">
        <v>4568</v>
      </c>
      <c r="E819" t="s">
        <v>2329</v>
      </c>
      <c r="F819" s="61"/>
      <c r="H819" t="str">
        <f>ToJsonArray(supplementary_offering_legacyid__4[[#Headers],[offeringid]:[json]],supplementary_offering_legacyid__4[[#This Row],[offeringid]:[ignore]])</f>
        <v>{"offeringid":"920000813","name":"Smart sin datos_920000813","mode":"N"}</v>
      </c>
      <c r="I819" t="str">
        <f>ToJsonArray(supplementary_offering_legacyid__4[[#This Row],[semilla04]],supplementary_offering_legacyid__4[[#This Row],[json]])</f>
        <v>{"200008-13":{"offeringid":"920000813","name":"Smart sin datos_920000813","mode":"N"}}</v>
      </c>
    </row>
    <row r="820" spans="1:9" x14ac:dyDescent="0.25">
      <c r="A820" s="60" t="s">
        <v>4569</v>
      </c>
      <c r="B820" s="60" t="str">
        <f>findKey(supplementary_offering_legacyid__4[[#This Row],[PRODUCCION]])</f>
        <v>200008-14</v>
      </c>
      <c r="C820" s="61" t="s">
        <v>4570</v>
      </c>
      <c r="D820" t="s">
        <v>4571</v>
      </c>
      <c r="E820" t="s">
        <v>2329</v>
      </c>
      <c r="F820" s="61"/>
      <c r="H820" t="str">
        <f>ToJsonArray(supplementary_offering_legacyid__4[[#Headers],[offeringid]:[json]],supplementary_offering_legacyid__4[[#This Row],[offeringid]:[ignore]])</f>
        <v>{"offeringid":"920000814","name":"Smart sin datos_920000814","mode":"N"}</v>
      </c>
      <c r="I820" t="str">
        <f>ToJsonArray(supplementary_offering_legacyid__4[[#This Row],[semilla04]],supplementary_offering_legacyid__4[[#This Row],[json]])</f>
        <v>{"200008-14":{"offeringid":"920000814","name":"Smart sin datos_920000814","mode":"N"}}</v>
      </c>
    </row>
    <row r="821" spans="1:9" x14ac:dyDescent="0.25">
      <c r="A821" s="60" t="s">
        <v>4572</v>
      </c>
      <c r="B821" s="60" t="str">
        <f>findKey(supplementary_offering_legacyid__4[[#This Row],[PRODUCCION]])</f>
        <v>200011-04</v>
      </c>
      <c r="C821" s="61" t="s">
        <v>4573</v>
      </c>
      <c r="D821" t="s">
        <v>4574</v>
      </c>
      <c r="E821" t="s">
        <v>2329</v>
      </c>
      <c r="F821" s="61"/>
      <c r="H821" t="str">
        <f>ToJsonArray(supplementary_offering_legacyid__4[[#Headers],[offeringid]:[json]],supplementary_offering_legacyid__4[[#This Row],[offeringid]:[ignore]])</f>
        <v>{"offeringid":"920001104","name":"Data 10GB_920001104","mode":"N"}</v>
      </c>
      <c r="I821" t="str">
        <f>ToJsonArray(supplementary_offering_legacyid__4[[#This Row],[semilla04]],supplementary_offering_legacyid__4[[#This Row],[json]])</f>
        <v>{"200011-04":{"offeringid":"920001104","name":"Data 10GB_920001104","mode":"N"}}</v>
      </c>
    </row>
    <row r="822" spans="1:9" x14ac:dyDescent="0.25">
      <c r="A822" s="60" t="s">
        <v>4575</v>
      </c>
      <c r="B822" s="60" t="str">
        <f>findKey(supplementary_offering_legacyid__4[[#This Row],[PRODUCCION]])</f>
        <v>200011-05</v>
      </c>
      <c r="C822" s="61" t="s">
        <v>4576</v>
      </c>
      <c r="D822" t="s">
        <v>4577</v>
      </c>
      <c r="E822" t="s">
        <v>2329</v>
      </c>
      <c r="F822" s="61"/>
      <c r="H822" t="str">
        <f>ToJsonArray(supplementary_offering_legacyid__4[[#Headers],[offeringid]:[json]],supplementary_offering_legacyid__4[[#This Row],[offeringid]:[ignore]])</f>
        <v>{"offeringid":"920001105","name":"Data 12GB_920001105","mode":"N"}</v>
      </c>
      <c r="I822" t="str">
        <f>ToJsonArray(supplementary_offering_legacyid__4[[#This Row],[semilla04]],supplementary_offering_legacyid__4[[#This Row],[json]])</f>
        <v>{"200011-05":{"offeringid":"920001105","name":"Data 12GB_920001105","mode":"N"}}</v>
      </c>
    </row>
    <row r="823" spans="1:9" x14ac:dyDescent="0.25">
      <c r="A823" s="60" t="s">
        <v>4578</v>
      </c>
      <c r="B823" s="60" t="str">
        <f>findKey(supplementary_offering_legacyid__4[[#This Row],[PRODUCCION]])</f>
        <v>200011-64</v>
      </c>
      <c r="C823" s="61" t="s">
        <v>4579</v>
      </c>
      <c r="D823" t="s">
        <v>4580</v>
      </c>
      <c r="E823" t="s">
        <v>2329</v>
      </c>
      <c r="F823" s="61"/>
      <c r="H823" t="str">
        <f>ToJsonArray(supplementary_offering_legacyid__4[[#Headers],[offeringid]:[json]],supplementary_offering_legacyid__4[[#This Row],[offeringid]:[ignore]])</f>
        <v>{"offeringid":"920001164","name":"Data Unlimited_920001164","mode":"N"}</v>
      </c>
      <c r="I823" t="str">
        <f>ToJsonArray(supplementary_offering_legacyid__4[[#This Row],[semilla04]],supplementary_offering_legacyid__4[[#This Row],[json]])</f>
        <v>{"200011-64":{"offeringid":"920001164","name":"Data Unlimited_920001164","mode":"N"}}</v>
      </c>
    </row>
    <row r="824" spans="1:9" x14ac:dyDescent="0.25">
      <c r="A824" s="60" t="s">
        <v>4581</v>
      </c>
      <c r="B824" s="60" t="str">
        <f>findKey(supplementary_offering_legacyid__4[[#This Row],[PRODUCCION]])</f>
        <v>200011-81</v>
      </c>
      <c r="C824" s="61" t="s">
        <v>4582</v>
      </c>
      <c r="D824" t="s">
        <v>4583</v>
      </c>
      <c r="E824" t="s">
        <v>2329</v>
      </c>
      <c r="F824" s="61"/>
      <c r="H824" t="str">
        <f>ToJsonArray(supplementary_offering_legacyid__4[[#Headers],[offeringid]:[json]],supplementary_offering_legacyid__4[[#This Row],[offeringid]:[ignore]])</f>
        <v>{"offeringid":"920001181","name":"Data 16GB_920001181","mode":"N"}</v>
      </c>
      <c r="I824" t="str">
        <f>ToJsonArray(supplementary_offering_legacyid__4[[#This Row],[semilla04]],supplementary_offering_legacyid__4[[#This Row],[json]])</f>
        <v>{"200011-81":{"offeringid":"920001181","name":"Data 16GB_920001181","mode":"N"}}</v>
      </c>
    </row>
    <row r="825" spans="1:9" x14ac:dyDescent="0.25">
      <c r="A825" s="60" t="s">
        <v>4584</v>
      </c>
      <c r="B825" s="60" t="str">
        <f>findKey(supplementary_offering_legacyid__4[[#This Row],[PRODUCCION]])</f>
        <v>200011-82</v>
      </c>
      <c r="C825" s="61" t="s">
        <v>4585</v>
      </c>
      <c r="D825" t="s">
        <v>4586</v>
      </c>
      <c r="E825" t="s">
        <v>2329</v>
      </c>
      <c r="F825" s="61"/>
      <c r="H825" t="str">
        <f>ToJsonArray(supplementary_offering_legacyid__4[[#Headers],[offeringid]:[json]],supplementary_offering_legacyid__4[[#This Row],[offeringid]:[ignore]])</f>
        <v>{"offeringid":"920001182","name":"Data 17GB_920001182","mode":"N"}</v>
      </c>
      <c r="I825" t="str">
        <f>ToJsonArray(supplementary_offering_legacyid__4[[#This Row],[semilla04]],supplementary_offering_legacyid__4[[#This Row],[json]])</f>
        <v>{"200011-82":{"offeringid":"920001182","name":"Data 17GB_920001182","mode":"N"}}</v>
      </c>
    </row>
    <row r="826" spans="1:9" x14ac:dyDescent="0.25">
      <c r="A826" s="60" t="s">
        <v>4587</v>
      </c>
      <c r="B826" s="60" t="str">
        <f>findKey(supplementary_offering_legacyid__4[[#This Row],[PRODUCCION]])</f>
        <v>200011-99</v>
      </c>
      <c r="C826" s="61" t="s">
        <v>4588</v>
      </c>
      <c r="D826" t="s">
        <v>4589</v>
      </c>
      <c r="E826" t="s">
        <v>2329</v>
      </c>
      <c r="F826" s="61"/>
      <c r="H826" t="str">
        <f>ToJsonArray(supplementary_offering_legacyid__4[[#Headers],[offeringid]:[json]],supplementary_offering_legacyid__4[[#This Row],[offeringid]:[ignore]])</f>
        <v>{"offeringid":"920001199","name":"Data 16.5GB_920001199","mode":"N"}</v>
      </c>
      <c r="I826" t="str">
        <f>ToJsonArray(supplementary_offering_legacyid__4[[#This Row],[semilla04]],supplementary_offering_legacyid__4[[#This Row],[json]])</f>
        <v>{"200011-99":{"offeringid":"920001199","name":"Data 16.5GB_920001199","mode":"N"}}</v>
      </c>
    </row>
    <row r="827" spans="1:9" x14ac:dyDescent="0.25">
      <c r="A827" s="60" t="s">
        <v>4590</v>
      </c>
      <c r="B827" s="60" t="str">
        <f>findKey(supplementary_offering_legacyid__4[[#This Row],[PRODUCCION]])</f>
        <v>200021-01</v>
      </c>
      <c r="C827" s="61" t="s">
        <v>4591</v>
      </c>
      <c r="D827" t="s">
        <v>4592</v>
      </c>
      <c r="E827" t="s">
        <v>2329</v>
      </c>
      <c r="F827" s="61"/>
      <c r="H827" t="str">
        <f>ToJsonArray(supplementary_offering_legacyid__4[[#Headers],[offeringid]:[json]],supplementary_offering_legacyid__4[[#This Row],[offeringid]:[ignore]])</f>
        <v>{"offeringid":"920002101","name":"Data 17.5GB_920002101","mode":"N"}</v>
      </c>
      <c r="I827" t="str">
        <f>ToJsonArray(supplementary_offering_legacyid__4[[#This Row],[semilla04]],supplementary_offering_legacyid__4[[#This Row],[json]])</f>
        <v>{"200021-01":{"offeringid":"920002101","name":"Data 17.5GB_920002101","mode":"N"}}</v>
      </c>
    </row>
    <row r="828" spans="1:9" x14ac:dyDescent="0.25">
      <c r="A828" s="60" t="s">
        <v>4593</v>
      </c>
      <c r="B828" s="60" t="str">
        <f>findKey(supplementary_offering_legacyid__4[[#This Row],[PRODUCCION]])</f>
        <v>200021-35</v>
      </c>
      <c r="C828" s="61" t="s">
        <v>4594</v>
      </c>
      <c r="D828" t="s">
        <v>4595</v>
      </c>
      <c r="E828" t="s">
        <v>2329</v>
      </c>
      <c r="F828" s="61"/>
      <c r="H828" t="str">
        <f>ToJsonArray(supplementary_offering_legacyid__4[[#Headers],[offeringid]:[json]],supplementary_offering_legacyid__4[[#This Row],[offeringid]:[ignore]])</f>
        <v>{"offeringid":"920002135","name":"Data 16.5GB_920002135","mode":"N"}</v>
      </c>
      <c r="I828" t="str">
        <f>ToJsonArray(supplementary_offering_legacyid__4[[#This Row],[semilla04]],supplementary_offering_legacyid__4[[#This Row],[json]])</f>
        <v>{"200021-35":{"offeringid":"920002135","name":"Data 16.5GB_920002135","mode":"N"}}</v>
      </c>
    </row>
    <row r="829" spans="1:9" x14ac:dyDescent="0.25">
      <c r="A829" s="60" t="s">
        <v>4596</v>
      </c>
      <c r="B829" s="60" t="str">
        <f>findKey(supplementary_offering_legacyid__4[[#This Row],[PRODUCCION]])</f>
        <v>200021-36</v>
      </c>
      <c r="C829" s="61" t="s">
        <v>4597</v>
      </c>
      <c r="D829" t="s">
        <v>4598</v>
      </c>
      <c r="E829" t="s">
        <v>2329</v>
      </c>
      <c r="F829" s="61"/>
      <c r="H829" t="str">
        <f>ToJsonArray(supplementary_offering_legacyid__4[[#Headers],[offeringid]:[json]],supplementary_offering_legacyid__4[[#This Row],[offeringid]:[ignore]])</f>
        <v>{"offeringid":"920002136","name":"Data 17.5GB_920002136","mode":"N"}</v>
      </c>
      <c r="I829" t="str">
        <f>ToJsonArray(supplementary_offering_legacyid__4[[#This Row],[semilla04]],supplementary_offering_legacyid__4[[#This Row],[json]])</f>
        <v>{"200021-36":{"offeringid":"920002136","name":"Data 17.5GB_920002136","mode":"N"}}</v>
      </c>
    </row>
    <row r="830" spans="1:9" x14ac:dyDescent="0.25">
      <c r="A830" s="60" t="s">
        <v>4599</v>
      </c>
      <c r="B830" s="60" t="str">
        <f>findKey(supplementary_offering_legacyid__4[[#This Row],[PRODUCCION]])</f>
        <v>200021-37</v>
      </c>
      <c r="C830" s="61" t="s">
        <v>4600</v>
      </c>
      <c r="D830" t="s">
        <v>4601</v>
      </c>
      <c r="E830" t="s">
        <v>2329</v>
      </c>
      <c r="F830" s="61"/>
      <c r="H830" t="str">
        <f>ToJsonArray(supplementary_offering_legacyid__4[[#Headers],[offeringid]:[json]],supplementary_offering_legacyid__4[[#This Row],[offeringid]:[ignore]])</f>
        <v>{"offeringid":"920002137","name":"Data 18.5GB_920002137","mode":"N"}</v>
      </c>
      <c r="I830" t="str">
        <f>ToJsonArray(supplementary_offering_legacyid__4[[#This Row],[semilla04]],supplementary_offering_legacyid__4[[#This Row],[json]])</f>
        <v>{"200021-37":{"offeringid":"920002137","name":"Data 18.5GB_920002137","mode":"N"}}</v>
      </c>
    </row>
    <row r="831" spans="1:9" x14ac:dyDescent="0.25">
      <c r="A831" s="60" t="s">
        <v>4602</v>
      </c>
      <c r="B831" s="60" t="str">
        <f>findKey(supplementary_offering_legacyid__4[[#This Row],[PRODUCCION]])</f>
        <v>200021-38</v>
      </c>
      <c r="C831" s="61" t="s">
        <v>4603</v>
      </c>
      <c r="D831" t="s">
        <v>4604</v>
      </c>
      <c r="E831" t="s">
        <v>2329</v>
      </c>
      <c r="F831" s="61"/>
      <c r="H831" t="str">
        <f>ToJsonArray(supplementary_offering_legacyid__4[[#Headers],[offeringid]:[json]],supplementary_offering_legacyid__4[[#This Row],[offeringid]:[ignore]])</f>
        <v>{"offeringid":"920002138","name":"Data 23.5GB_920002138","mode":"N"}</v>
      </c>
      <c r="I831" t="str">
        <f>ToJsonArray(supplementary_offering_legacyid__4[[#This Row],[semilla04]],supplementary_offering_legacyid__4[[#This Row],[json]])</f>
        <v>{"200021-38":{"offeringid":"920002138","name":"Data 23.5GB_920002138","mode":"N"}}</v>
      </c>
    </row>
    <row r="832" spans="1:9" x14ac:dyDescent="0.25">
      <c r="A832" s="60" t="s">
        <v>4605</v>
      </c>
      <c r="B832" s="60" t="str">
        <f>findKey(supplementary_offering_legacyid__4[[#This Row],[PRODUCCION]])</f>
        <v>200021-39</v>
      </c>
      <c r="C832" s="61" t="s">
        <v>4606</v>
      </c>
      <c r="D832" t="s">
        <v>4607</v>
      </c>
      <c r="E832" t="s">
        <v>2329</v>
      </c>
      <c r="F832" s="61"/>
      <c r="H832" t="str">
        <f>ToJsonArray(supplementary_offering_legacyid__4[[#Headers],[offeringid]:[json]],supplementary_offering_legacyid__4[[#This Row],[offeringid]:[ignore]])</f>
        <v>{"offeringid":"920002139","name":"Data 0.5GB_920002139","mode":"N"}</v>
      </c>
      <c r="I832" t="str">
        <f>ToJsonArray(supplementary_offering_legacyid__4[[#This Row],[semilla04]],supplementary_offering_legacyid__4[[#This Row],[json]])</f>
        <v>{"200021-39":{"offeringid":"920002139","name":"Data 0.5GB_920002139","mode":"N"}}</v>
      </c>
    </row>
    <row r="833" spans="1:9" x14ac:dyDescent="0.25">
      <c r="A833" s="60" t="s">
        <v>4608</v>
      </c>
      <c r="B833" s="60" t="str">
        <f>findKey(supplementary_offering_legacyid__4[[#This Row],[PRODUCCION]])</f>
        <v>200021-40</v>
      </c>
      <c r="C833" s="61" t="s">
        <v>4609</v>
      </c>
      <c r="D833" t="s">
        <v>4610</v>
      </c>
      <c r="E833" t="s">
        <v>2329</v>
      </c>
      <c r="F833" s="61"/>
      <c r="H833" t="str">
        <f>ToJsonArray(supplementary_offering_legacyid__4[[#Headers],[offeringid]:[json]],supplementary_offering_legacyid__4[[#This Row],[offeringid]:[ignore]])</f>
        <v>{"offeringid":"920002140","name":"Data 0.8GB_920002140","mode":"N"}</v>
      </c>
      <c r="I833" t="str">
        <f>ToJsonArray(supplementary_offering_legacyid__4[[#This Row],[semilla04]],supplementary_offering_legacyid__4[[#This Row],[json]])</f>
        <v>{"200021-40":{"offeringid":"920002140","name":"Data 0.8GB_920002140","mode":"N"}}</v>
      </c>
    </row>
    <row r="834" spans="1:9" x14ac:dyDescent="0.25">
      <c r="A834" s="60" t="s">
        <v>4611</v>
      </c>
      <c r="B834" s="60" t="str">
        <f>findKey(supplementary_offering_legacyid__4[[#This Row],[PRODUCCION]])</f>
        <v>200021-41</v>
      </c>
      <c r="C834" s="61" t="s">
        <v>4612</v>
      </c>
      <c r="D834" t="s">
        <v>4613</v>
      </c>
      <c r="E834" t="s">
        <v>2329</v>
      </c>
      <c r="F834" s="61"/>
      <c r="H834" t="str">
        <f>ToJsonArray(supplementary_offering_legacyid__4[[#Headers],[offeringid]:[json]],supplementary_offering_legacyid__4[[#This Row],[offeringid]:[ignore]])</f>
        <v>{"offeringid":"920002141","name":"Data 1GB_920002141","mode":"N"}</v>
      </c>
      <c r="I834" t="str">
        <f>ToJsonArray(supplementary_offering_legacyid__4[[#This Row],[semilla04]],supplementary_offering_legacyid__4[[#This Row],[json]])</f>
        <v>{"200021-41":{"offeringid":"920002141","name":"Data 1GB_920002141","mode":"N"}}</v>
      </c>
    </row>
    <row r="835" spans="1:9" x14ac:dyDescent="0.25">
      <c r="A835" s="60" t="s">
        <v>4614</v>
      </c>
      <c r="B835" s="60" t="str">
        <f>findKey(supplementary_offering_legacyid__4[[#This Row],[PRODUCCION]])</f>
        <v>300301-01</v>
      </c>
      <c r="C835" s="61" t="s">
        <v>4615</v>
      </c>
      <c r="D835" t="s">
        <v>4616</v>
      </c>
      <c r="E835" t="s">
        <v>2329</v>
      </c>
      <c r="F835" s="61"/>
      <c r="H835" t="str">
        <f>ToJsonArray(supplementary_offering_legacyid__4[[#Headers],[offeringid]:[json]],supplementary_offering_legacyid__4[[#This Row],[offeringid]:[ignore]])</f>
        <v>{"offeringid":"930030101","name":"Sms - OnNet - Bajo_930030101","mode":"N"}</v>
      </c>
      <c r="I835" t="str">
        <f>ToJsonArray(supplementary_offering_legacyid__4[[#This Row],[semilla04]],supplementary_offering_legacyid__4[[#This Row],[json]])</f>
        <v>{"300301-01":{"offeringid":"930030101","name":"Sms - OnNet - Bajo_930030101","mode":"N"}}</v>
      </c>
    </row>
    <row r="836" spans="1:9" x14ac:dyDescent="0.25">
      <c r="A836" s="60" t="s">
        <v>4617</v>
      </c>
      <c r="B836" s="60" t="str">
        <f>findKey(supplementary_offering_legacyid__4[[#This Row],[PRODUCCION]])</f>
        <v>300301-03</v>
      </c>
      <c r="C836" s="61" t="s">
        <v>4618</v>
      </c>
      <c r="D836" t="s">
        <v>4619</v>
      </c>
      <c r="E836" t="s">
        <v>2329</v>
      </c>
      <c r="F836" s="61"/>
      <c r="H836" t="str">
        <f>ToJsonArray(supplementary_offering_legacyid__4[[#Headers],[offeringid]:[json]],supplementary_offering_legacyid__4[[#This Row],[offeringid]:[ignore]])</f>
        <v>{"offeringid":"930030103","name":"Sms - OnNet - Medio_930030103","mode":"N"}</v>
      </c>
      <c r="I836" t="str">
        <f>ToJsonArray(supplementary_offering_legacyid__4[[#This Row],[semilla04]],supplementary_offering_legacyid__4[[#This Row],[json]])</f>
        <v>{"300301-03":{"offeringid":"930030103","name":"Sms - OnNet - Medio_930030103","mode":"N"}}</v>
      </c>
    </row>
    <row r="837" spans="1:9" x14ac:dyDescent="0.25">
      <c r="A837" s="60" t="s">
        <v>4620</v>
      </c>
      <c r="B837" s="60" t="str">
        <f>findKey(supplementary_offering_legacyid__4[[#This Row],[PRODUCCION]])</f>
        <v>300301-04</v>
      </c>
      <c r="C837" s="61" t="s">
        <v>4621</v>
      </c>
      <c r="D837" t="s">
        <v>4622</v>
      </c>
      <c r="E837" t="s">
        <v>2329</v>
      </c>
      <c r="F837" s="61"/>
      <c r="H837" t="str">
        <f>ToJsonArray(supplementary_offering_legacyid__4[[#Headers],[offeringid]:[json]],supplementary_offering_legacyid__4[[#This Row],[offeringid]:[ignore]])</f>
        <v>{"offeringid":"930030104","name":"Sms-OnNet-1000_930030104","mode":"N"}</v>
      </c>
      <c r="I837" t="str">
        <f>ToJsonArray(supplementary_offering_legacyid__4[[#This Row],[semilla04]],supplementary_offering_legacyid__4[[#This Row],[json]])</f>
        <v>{"300301-04":{"offeringid":"930030104","name":"Sms-OnNet-1000_930030104","mode":"N"}}</v>
      </c>
    </row>
    <row r="838" spans="1:9" x14ac:dyDescent="0.25">
      <c r="A838" s="60" t="s">
        <v>4623</v>
      </c>
      <c r="B838" s="60" t="str">
        <f>findKey(supplementary_offering_legacyid__4[[#This Row],[PRODUCCION]])</f>
        <v>300301-08</v>
      </c>
      <c r="C838" s="61" t="s">
        <v>4624</v>
      </c>
      <c r="D838" t="s">
        <v>4625</v>
      </c>
      <c r="E838" t="s">
        <v>2329</v>
      </c>
      <c r="F838" s="61"/>
      <c r="H838" t="str">
        <f>ToJsonArray(supplementary_offering_legacyid__4[[#Headers],[offeringid]:[json]],supplementary_offering_legacyid__4[[#This Row],[offeringid]:[ignore]])</f>
        <v>{"offeringid":"930030108","name":"Sms-OnNet-100s_930030108","mode":"N"}</v>
      </c>
      <c r="I838" t="str">
        <f>ToJsonArray(supplementary_offering_legacyid__4[[#This Row],[semilla04]],supplementary_offering_legacyid__4[[#This Row],[json]])</f>
        <v>{"300301-08":{"offeringid":"930030108","name":"Sms-OnNet-100s_930030108","mode":"N"}}</v>
      </c>
    </row>
    <row r="839" spans="1:9" x14ac:dyDescent="0.25">
      <c r="A839" s="60" t="s">
        <v>4626</v>
      </c>
      <c r="B839" s="60" t="str">
        <f>findKey(supplementary_offering_legacyid__4[[#This Row],[PRODUCCION]])</f>
        <v>300302-00</v>
      </c>
      <c r="C839" s="61" t="s">
        <v>4627</v>
      </c>
      <c r="D839" t="s">
        <v>4628</v>
      </c>
      <c r="E839" t="s">
        <v>2329</v>
      </c>
      <c r="F839" s="61"/>
      <c r="H839" t="str">
        <f>ToJsonArray(supplementary_offering_legacyid__4[[#Headers],[offeringid]:[json]],supplementary_offering_legacyid__4[[#This Row],[offeringid]:[ignore]])</f>
        <v>{"offeringid":"930030200","name":"Sms - Todo destino - Bajo 0_930030200","mode":"N"}</v>
      </c>
      <c r="I839" t="str">
        <f>ToJsonArray(supplementary_offering_legacyid__4[[#This Row],[semilla04]],supplementary_offering_legacyid__4[[#This Row],[json]])</f>
        <v>{"300302-00":{"offeringid":"930030200","name":"Sms - Todo destino - Bajo 0_930030200","mode":"N"}}</v>
      </c>
    </row>
    <row r="840" spans="1:9" x14ac:dyDescent="0.25">
      <c r="A840" s="60" t="s">
        <v>4629</v>
      </c>
      <c r="B840" s="60" t="str">
        <f>findKey(supplementary_offering_legacyid__4[[#This Row],[PRODUCCION]])</f>
        <v>300302-01</v>
      </c>
      <c r="C840" s="61" t="s">
        <v>4630</v>
      </c>
      <c r="D840" t="s">
        <v>4631</v>
      </c>
      <c r="E840" t="s">
        <v>2329</v>
      </c>
      <c r="F840" s="61"/>
      <c r="H840" t="str">
        <f>ToJsonArray(supplementary_offering_legacyid__4[[#Headers],[offeringid]:[json]],supplementary_offering_legacyid__4[[#This Row],[offeringid]:[ignore]])</f>
        <v>{"offeringid":"930030201","name":"Sms - Todo destino - Bajo 1_930030201","mode":"N"}</v>
      </c>
      <c r="I840" t="str">
        <f>ToJsonArray(supplementary_offering_legacyid__4[[#This Row],[semilla04]],supplementary_offering_legacyid__4[[#This Row],[json]])</f>
        <v>{"300302-01":{"offeringid":"930030201","name":"Sms - Todo destino - Bajo 1_930030201","mode":"N"}}</v>
      </c>
    </row>
    <row r="841" spans="1:9" x14ac:dyDescent="0.25">
      <c r="A841" s="60" t="s">
        <v>4632</v>
      </c>
      <c r="B841" s="60" t="str">
        <f>findKey(supplementary_offering_legacyid__4[[#This Row],[PRODUCCION]])</f>
        <v>300302-02</v>
      </c>
      <c r="C841" s="61" t="s">
        <v>4633</v>
      </c>
      <c r="D841" t="s">
        <v>4634</v>
      </c>
      <c r="E841" t="s">
        <v>2329</v>
      </c>
      <c r="F841" s="61"/>
      <c r="H841" t="str">
        <f>ToJsonArray(supplementary_offering_legacyid__4[[#Headers],[offeringid]:[json]],supplementary_offering_legacyid__4[[#This Row],[offeringid]:[ignore]])</f>
        <v>{"offeringid":"930030202","name":"Sms-TD-Bajo 2-50sms_930030202","mode":"N"}</v>
      </c>
      <c r="I841" t="str">
        <f>ToJsonArray(supplementary_offering_legacyid__4[[#This Row],[semilla04]],supplementary_offering_legacyid__4[[#This Row],[json]])</f>
        <v>{"300302-02":{"offeringid":"930030202","name":"Sms-TD-Bajo 2-50sms_930030202","mode":"N"}}</v>
      </c>
    </row>
    <row r="842" spans="1:9" x14ac:dyDescent="0.25">
      <c r="A842" s="60" t="s">
        <v>4635</v>
      </c>
      <c r="B842" s="60" t="str">
        <f>findKey(supplementary_offering_legacyid__4[[#This Row],[PRODUCCION]])</f>
        <v>300302-04</v>
      </c>
      <c r="C842" s="61" t="s">
        <v>4636</v>
      </c>
      <c r="D842" t="s">
        <v>4637</v>
      </c>
      <c r="E842" t="s">
        <v>2329</v>
      </c>
      <c r="F842" s="61"/>
      <c r="H842" t="str">
        <f>ToJsonArray(supplementary_offering_legacyid__4[[#Headers],[offeringid]:[json]],supplementary_offering_legacyid__4[[#This Row],[offeringid]:[ignore]])</f>
        <v>{"offeringid":"930030204","name":"Sms-TD-Medio 2-100sms_930030204","mode":"N"}</v>
      </c>
      <c r="I842" t="str">
        <f>ToJsonArray(supplementary_offering_legacyid__4[[#This Row],[semilla04]],supplementary_offering_legacyid__4[[#This Row],[json]])</f>
        <v>{"300302-04":{"offeringid":"930030204","name":"Sms-TD-Medio 2-100sms_930030204","mode":"N"}}</v>
      </c>
    </row>
    <row r="843" spans="1:9" x14ac:dyDescent="0.25">
      <c r="A843" s="60" t="s">
        <v>4638</v>
      </c>
      <c r="B843" s="60" t="str">
        <f>findKey(supplementary_offering_legacyid__4[[#This Row],[PRODUCCION]])</f>
        <v>300302-06</v>
      </c>
      <c r="C843" s="61" t="s">
        <v>4639</v>
      </c>
      <c r="D843" t="s">
        <v>4640</v>
      </c>
      <c r="E843" t="s">
        <v>2329</v>
      </c>
      <c r="F843" s="61"/>
      <c r="H843" t="str">
        <f>ToJsonArray(supplementary_offering_legacyid__4[[#Headers],[offeringid]:[json]],supplementary_offering_legacyid__4[[#This Row],[offeringid]:[ignore]])</f>
        <v>{"offeringid":"930030206","name":"Sms-TD-10s_930030206","mode":"N"}</v>
      </c>
      <c r="I843" t="str">
        <f>ToJsonArray(supplementary_offering_legacyid__4[[#This Row],[semilla04]],supplementary_offering_legacyid__4[[#This Row],[json]])</f>
        <v>{"300302-06":{"offeringid":"930030206","name":"Sms-TD-10s_930030206","mode":"N"}}</v>
      </c>
    </row>
    <row r="844" spans="1:9" x14ac:dyDescent="0.25">
      <c r="A844" s="60" t="s">
        <v>4641</v>
      </c>
      <c r="B844" s="60" t="str">
        <f>findKey(supplementary_offering_legacyid__4[[#This Row],[PRODUCCION]])</f>
        <v>300302-07</v>
      </c>
      <c r="C844" s="61" t="s">
        <v>4642</v>
      </c>
      <c r="D844" t="s">
        <v>4643</v>
      </c>
      <c r="E844" t="s">
        <v>2329</v>
      </c>
      <c r="F844" s="61"/>
      <c r="H844" t="str">
        <f>ToJsonArray(supplementary_offering_legacyid__4[[#Headers],[offeringid]:[json]],supplementary_offering_legacyid__4[[#This Row],[offeringid]:[ignore]])</f>
        <v>{"offeringid":"930030207","name":"Sms-TD-20s_930030207","mode":"N"}</v>
      </c>
      <c r="I844" t="str">
        <f>ToJsonArray(supplementary_offering_legacyid__4[[#This Row],[semilla04]],supplementary_offering_legacyid__4[[#This Row],[json]])</f>
        <v>{"300302-07":{"offeringid":"930030207","name":"Sms-TD-20s_930030207","mode":"N"}}</v>
      </c>
    </row>
    <row r="845" spans="1:9" x14ac:dyDescent="0.25">
      <c r="A845" s="60" t="s">
        <v>4644</v>
      </c>
      <c r="B845" s="60" t="str">
        <f>findKey(supplementary_offering_legacyid__4[[#This Row],[PRODUCCION]])</f>
        <v>300302-08</v>
      </c>
      <c r="C845" s="61" t="s">
        <v>4645</v>
      </c>
      <c r="D845" t="s">
        <v>4646</v>
      </c>
      <c r="E845" t="s">
        <v>2329</v>
      </c>
      <c r="F845" s="61"/>
      <c r="H845" t="str">
        <f>ToJsonArray(supplementary_offering_legacyid__4[[#Headers],[offeringid]:[json]],supplementary_offering_legacyid__4[[#This Row],[offeringid]:[ignore]])</f>
        <v>{"offeringid":"930030208","name":"Sms-TD-40s_930030208","mode":"N"}</v>
      </c>
      <c r="I845" t="str">
        <f>ToJsonArray(supplementary_offering_legacyid__4[[#This Row],[semilla04]],supplementary_offering_legacyid__4[[#This Row],[json]])</f>
        <v>{"300302-08":{"offeringid":"930030208","name":"Sms-TD-40s_930030208","mode":"N"}}</v>
      </c>
    </row>
    <row r="846" spans="1:9" x14ac:dyDescent="0.25">
      <c r="A846" s="60" t="s">
        <v>4647</v>
      </c>
      <c r="B846" s="60" t="str">
        <f>findKey(supplementary_offering_legacyid__4[[#This Row],[PRODUCCION]])</f>
        <v>300302-09</v>
      </c>
      <c r="C846" s="61" t="s">
        <v>4648</v>
      </c>
      <c r="D846" t="s">
        <v>4649</v>
      </c>
      <c r="E846" t="s">
        <v>2329</v>
      </c>
      <c r="F846" s="61"/>
      <c r="H846" t="str">
        <f>ToJsonArray(supplementary_offering_legacyid__4[[#Headers],[offeringid]:[json]],supplementary_offering_legacyid__4[[#This Row],[offeringid]:[ignore]])</f>
        <v>{"offeringid":"930030209","name":"Sms-TD-60s_930030209","mode":"N"}</v>
      </c>
      <c r="I846" t="str">
        <f>ToJsonArray(supplementary_offering_legacyid__4[[#This Row],[semilla04]],supplementary_offering_legacyid__4[[#This Row],[json]])</f>
        <v>{"300302-09":{"offeringid":"930030209","name":"Sms-TD-60s_930030209","mode":"N"}}</v>
      </c>
    </row>
    <row r="847" spans="1:9" x14ac:dyDescent="0.25">
      <c r="A847" s="60" t="s">
        <v>4650</v>
      </c>
      <c r="B847" s="60" t="str">
        <f>findKey(supplementary_offering_legacyid__4[[#This Row],[PRODUCCION]])</f>
        <v>300302-19</v>
      </c>
      <c r="C847" s="61" t="s">
        <v>4651</v>
      </c>
      <c r="D847" t="s">
        <v>4652</v>
      </c>
      <c r="E847" t="s">
        <v>2329</v>
      </c>
      <c r="F847" s="61"/>
      <c r="H847" t="str">
        <f>ToJsonArray(supplementary_offering_legacyid__4[[#Headers],[offeringid]:[json]],supplementary_offering_legacyid__4[[#This Row],[offeringid]:[ignore]])</f>
        <v>{"offeringid":"930030219","name":"Sms-TD-200_930030219","mode":"N"}</v>
      </c>
      <c r="I847" t="str">
        <f>ToJsonArray(supplementary_offering_legacyid__4[[#This Row],[semilla04]],supplementary_offering_legacyid__4[[#This Row],[json]])</f>
        <v>{"300302-19":{"offeringid":"930030219","name":"Sms-TD-200_930030219","mode":"N"}}</v>
      </c>
    </row>
    <row r="848" spans="1:9" x14ac:dyDescent="0.25">
      <c r="A848" s="60" t="s">
        <v>4653</v>
      </c>
      <c r="B848" s="60" t="str">
        <f>findKey(supplementary_offering_legacyid__4[[#This Row],[PRODUCCION]])</f>
        <v>300302-20</v>
      </c>
      <c r="C848" s="61" t="s">
        <v>4654</v>
      </c>
      <c r="D848" t="s">
        <v>4655</v>
      </c>
      <c r="E848" t="s">
        <v>2329</v>
      </c>
      <c r="F848" s="61"/>
      <c r="H848" t="str">
        <f>ToJsonArray(supplementary_offering_legacyid__4[[#Headers],[offeringid]:[json]],supplementary_offering_legacyid__4[[#This Row],[offeringid]:[ignore]])</f>
        <v>{"offeringid":"930030220","name":"Sms-TD-20_930030220","mode":"N"}</v>
      </c>
      <c r="I848" t="str">
        <f>ToJsonArray(supplementary_offering_legacyid__4[[#This Row],[semilla04]],supplementary_offering_legacyid__4[[#This Row],[json]])</f>
        <v>{"300302-20":{"offeringid":"930030220","name":"Sms-TD-20_930030220","mode":"N"}}</v>
      </c>
    </row>
    <row r="849" spans="1:9" x14ac:dyDescent="0.25">
      <c r="A849" s="60" t="s">
        <v>4656</v>
      </c>
      <c r="B849" s="60" t="str">
        <f>findKey(supplementary_offering_legacyid__4[[#This Row],[PRODUCCION]])</f>
        <v>300302-22</v>
      </c>
      <c r="C849" s="61" t="s">
        <v>4657</v>
      </c>
      <c r="D849" t="s">
        <v>4658</v>
      </c>
      <c r="E849" t="s">
        <v>2329</v>
      </c>
      <c r="F849" s="61"/>
      <c r="H849" t="str">
        <f>ToJsonArray(supplementary_offering_legacyid__4[[#Headers],[offeringid]:[json]],supplementary_offering_legacyid__4[[#This Row],[offeringid]:[ignore]])</f>
        <v>{"offeringid":"930030222","name":"Sms-TD-50_930030222","mode":"N"}</v>
      </c>
      <c r="I849" t="str">
        <f>ToJsonArray(supplementary_offering_legacyid__4[[#This Row],[semilla04]],supplementary_offering_legacyid__4[[#This Row],[json]])</f>
        <v>{"300302-22":{"offeringid":"930030222","name":"Sms-TD-50_930030222","mode":"N"}}</v>
      </c>
    </row>
    <row r="850" spans="1:9" x14ac:dyDescent="0.25">
      <c r="A850" s="60" t="s">
        <v>4659</v>
      </c>
      <c r="B850" s="60" t="str">
        <f>findKey(supplementary_offering_legacyid__4[[#This Row],[PRODUCCION]])</f>
        <v>300302-24</v>
      </c>
      <c r="C850" s="61" t="s">
        <v>4660</v>
      </c>
      <c r="D850" t="s">
        <v>4661</v>
      </c>
      <c r="E850" t="s">
        <v>2329</v>
      </c>
      <c r="F850" s="61"/>
      <c r="H850" t="str">
        <f>ToJsonArray(supplementary_offering_legacyid__4[[#Headers],[offeringid]:[json]],supplementary_offering_legacyid__4[[#This Row],[offeringid]:[ignore]])</f>
        <v>{"offeringid":"930030224","name":"Sms-TD-100_930030224","mode":"N"}</v>
      </c>
      <c r="I850" t="str">
        <f>ToJsonArray(supplementary_offering_legacyid__4[[#This Row],[semilla04]],supplementary_offering_legacyid__4[[#This Row],[json]])</f>
        <v>{"300302-24":{"offeringid":"930030224","name":"Sms-TD-100_930030224","mode":"N"}}</v>
      </c>
    </row>
    <row r="851" spans="1:9" x14ac:dyDescent="0.25">
      <c r="A851" s="60" t="s">
        <v>4662</v>
      </c>
      <c r="B851" s="60" t="str">
        <f>findKey(supplementary_offering_legacyid__4[[#This Row],[PRODUCCION]])</f>
        <v>300302-27</v>
      </c>
      <c r="C851" s="61" t="s">
        <v>4663</v>
      </c>
      <c r="D851" t="s">
        <v>4664</v>
      </c>
      <c r="E851" t="s">
        <v>2329</v>
      </c>
      <c r="F851" s="61"/>
      <c r="H851" t="str">
        <f>ToJsonArray(supplementary_offering_legacyid__4[[#Headers],[offeringid]:[json]],supplementary_offering_legacyid__4[[#This Row],[offeringid]:[ignore]])</f>
        <v>{"offeringid":"930030227","name":"Sms-TD-Ilimitado_930030227","mode":"N"}</v>
      </c>
      <c r="I851" t="str">
        <f>ToJsonArray(supplementary_offering_legacyid__4[[#This Row],[semilla04]],supplementary_offering_legacyid__4[[#This Row],[json]])</f>
        <v>{"300302-27":{"offeringid":"930030227","name":"Sms-TD-Ilimitado_930030227","mode":"N"}}</v>
      </c>
    </row>
    <row r="852" spans="1:9" x14ac:dyDescent="0.25">
      <c r="A852" s="60" t="s">
        <v>4665</v>
      </c>
      <c r="B852" s="60" t="str">
        <f>findKey(supplementary_offering_legacyid__4[[#This Row],[PRODUCCION]])</f>
        <v>300302-31</v>
      </c>
      <c r="C852" s="61" t="s">
        <v>4666</v>
      </c>
      <c r="D852" t="s">
        <v>4667</v>
      </c>
      <c r="E852" t="s">
        <v>2329</v>
      </c>
      <c r="F852" s="61"/>
      <c r="H852" t="str">
        <f>ToJsonArray(supplementary_offering_legacyid__4[[#Headers],[offeringid]:[json]],supplementary_offering_legacyid__4[[#This Row],[offeringid]:[ignore]])</f>
        <v>{"offeringid":"930030231","name":"Sms-TD-Ilimitado_930030231","mode":"N"}</v>
      </c>
      <c r="I852" t="str">
        <f>ToJsonArray(supplementary_offering_legacyid__4[[#This Row],[semilla04]],supplementary_offering_legacyid__4[[#This Row],[json]])</f>
        <v>{"300302-31":{"offeringid":"930030231","name":"Sms-TD-Ilimitado_930030231","mode":"N"}}</v>
      </c>
    </row>
    <row r="853" spans="1:9" x14ac:dyDescent="0.25">
      <c r="A853" s="60" t="s">
        <v>4668</v>
      </c>
      <c r="B853" s="60" t="str">
        <f>findKey(supplementary_offering_legacyid__4[[#This Row],[PRODUCCION]])</f>
        <v>301302-03</v>
      </c>
      <c r="C853" s="61" t="s">
        <v>4669</v>
      </c>
      <c r="D853" t="s">
        <v>4670</v>
      </c>
      <c r="E853" t="s">
        <v>2329</v>
      </c>
      <c r="F853" s="61"/>
      <c r="H853" t="str">
        <f>ToJsonArray(supplementary_offering_legacyid__4[[#Headers],[offeringid]:[json]],supplementary_offering_legacyid__4[[#This Row],[offeringid]:[ignore]])</f>
        <v>{"offeringid":"930130203","name":"Sms - Todo destino - Regalo 1_930130203","mode":"N"}</v>
      </c>
      <c r="I853" t="str">
        <f>ToJsonArray(supplementary_offering_legacyid__4[[#This Row],[semilla04]],supplementary_offering_legacyid__4[[#This Row],[json]])</f>
        <v>{"301302-03":{"offeringid":"930130203","name":"Sms - Todo destino - Regalo 1_930130203","mode":"N"}}</v>
      </c>
    </row>
    <row r="854" spans="1:9" x14ac:dyDescent="0.25">
      <c r="A854" s="60" t="s">
        <v>4671</v>
      </c>
      <c r="B854" s="60" t="str">
        <f>findKey(supplementary_offering_legacyid__4[[#This Row],[PRODUCCION]])</f>
        <v>500000-01</v>
      </c>
      <c r="C854" s="61" t="s">
        <v>4672</v>
      </c>
      <c r="D854" t="s">
        <v>4673</v>
      </c>
      <c r="E854" t="s">
        <v>2329</v>
      </c>
      <c r="F854" s="61"/>
      <c r="H854" t="str">
        <f>ToJsonArray(supplementary_offering_legacyid__4[[#Headers],[offeringid]:[json]],supplementary_offering_legacyid__4[[#This Row],[offeringid]:[ignore]])</f>
        <v>{"offeringid":"950000001","name":"Favorito 1_950000001","mode":"N"}</v>
      </c>
      <c r="I854" t="str">
        <f>ToJsonArray(supplementary_offering_legacyid__4[[#This Row],[semilla04]],supplementary_offering_legacyid__4[[#This Row],[json]])</f>
        <v>{"500000-01":{"offeringid":"950000001","name":"Favorito 1_950000001","mode":"N"}}</v>
      </c>
    </row>
    <row r="855" spans="1:9" x14ac:dyDescent="0.25">
      <c r="A855" s="60" t="s">
        <v>4674</v>
      </c>
      <c r="B855" s="60" t="str">
        <f>findKey(supplementary_offering_legacyid__4[[#This Row],[PRODUCCION]])</f>
        <v>500000-02</v>
      </c>
      <c r="C855" s="61" t="s">
        <v>4675</v>
      </c>
      <c r="D855" t="s">
        <v>4676</v>
      </c>
      <c r="E855" t="s">
        <v>2329</v>
      </c>
      <c r="F855" s="61"/>
      <c r="H855" t="str">
        <f>ToJsonArray(supplementary_offering_legacyid__4[[#Headers],[offeringid]:[json]],supplementary_offering_legacyid__4[[#This Row],[offeringid]:[ignore]])</f>
        <v>{"offeringid":"950000002","name":"Favorito 2_950000002","mode":"N"}</v>
      </c>
      <c r="I855" t="str">
        <f>ToJsonArray(supplementary_offering_legacyid__4[[#This Row],[semilla04]],supplementary_offering_legacyid__4[[#This Row],[json]])</f>
        <v>{"500000-02":{"offeringid":"950000002","name":"Favorito 2_950000002","mode":"N"}}</v>
      </c>
    </row>
    <row r="856" spans="1:9" x14ac:dyDescent="0.25">
      <c r="A856" s="60" t="s">
        <v>4677</v>
      </c>
      <c r="B856" s="60" t="str">
        <f>findKey(supplementary_offering_legacyid__4[[#This Row],[PRODUCCION]])</f>
        <v>500000-03</v>
      </c>
      <c r="C856" s="61" t="s">
        <v>4678</v>
      </c>
      <c r="D856" t="s">
        <v>4679</v>
      </c>
      <c r="E856" t="s">
        <v>2329</v>
      </c>
      <c r="F856" s="61"/>
      <c r="H856" t="str">
        <f>ToJsonArray(supplementary_offering_legacyid__4[[#Headers],[offeringid]:[json]],supplementary_offering_legacyid__4[[#This Row],[offeringid]:[ignore]])</f>
        <v>{"offeringid":"950000003","name":"Favorito 3_950000003","mode":"N"}</v>
      </c>
      <c r="I856" t="str">
        <f>ToJsonArray(supplementary_offering_legacyid__4[[#This Row],[semilla04]],supplementary_offering_legacyid__4[[#This Row],[json]])</f>
        <v>{"500000-03":{"offeringid":"950000003","name":"Favorito 3_950000003","mode":"N"}}</v>
      </c>
    </row>
    <row r="857" spans="1:9" x14ac:dyDescent="0.25">
      <c r="A857" s="60" t="s">
        <v>4680</v>
      </c>
      <c r="B857" s="60" t="str">
        <f>findKey(supplementary_offering_legacyid__4[[#This Row],[PRODUCCION]])</f>
        <v>500000-05</v>
      </c>
      <c r="C857" s="61" t="s">
        <v>4681</v>
      </c>
      <c r="D857" t="s">
        <v>4682</v>
      </c>
      <c r="E857" t="s">
        <v>2329</v>
      </c>
      <c r="F857" s="61"/>
      <c r="H857" t="str">
        <f>ToJsonArray(supplementary_offering_legacyid__4[[#Headers],[offeringid]:[json]],supplementary_offering_legacyid__4[[#This Row],[offeringid]:[ignore]])</f>
        <v>{"offeringid":"950000005","name":"Favorito 5_950000005","mode":"N"}</v>
      </c>
      <c r="I857" t="str">
        <f>ToJsonArray(supplementary_offering_legacyid__4[[#This Row],[semilla04]],supplementary_offering_legacyid__4[[#This Row],[json]])</f>
        <v>{"500000-05":{"offeringid":"950000005","name":"Favorito 5_950000005","mode":"N"}}</v>
      </c>
    </row>
    <row r="858" spans="1:9" x14ac:dyDescent="0.25">
      <c r="A858" s="60" t="s">
        <v>4683</v>
      </c>
      <c r="B858" s="60" t="str">
        <f>findKey(supplementary_offering_legacyid__4[[#This Row],[PRODUCCION]])</f>
        <v>500000-22</v>
      </c>
      <c r="C858" s="61" t="s">
        <v>4684</v>
      </c>
      <c r="D858" t="s">
        <v>4685</v>
      </c>
      <c r="E858" t="s">
        <v>2329</v>
      </c>
      <c r="F858" s="61"/>
      <c r="H858" t="str">
        <f>ToJsonArray(supplementary_offering_legacyid__4[[#Headers],[offeringid]:[json]],supplementary_offering_legacyid__4[[#This Row],[offeringid]:[ignore]])</f>
        <v>{"offeringid":"950000022","name":"Favorito 2b_950000022","mode":"N"}</v>
      </c>
      <c r="I858" t="str">
        <f>ToJsonArray(supplementary_offering_legacyid__4[[#This Row],[semilla04]],supplementary_offering_legacyid__4[[#This Row],[json]])</f>
        <v>{"500000-22":{"offeringid":"950000022","name":"Favorito 2b_950000022","mode":"N"}}</v>
      </c>
    </row>
    <row r="859" spans="1:9" x14ac:dyDescent="0.25">
      <c r="A859" s="60" t="s">
        <v>4686</v>
      </c>
      <c r="B859" s="60" t="str">
        <f>findKey(supplementary_offering_legacyid__4[[#This Row],[PRODUCCION]])</f>
        <v>500000-29</v>
      </c>
      <c r="C859" s="61" t="s">
        <v>4687</v>
      </c>
      <c r="D859" t="s">
        <v>4688</v>
      </c>
      <c r="E859" t="s">
        <v>2329</v>
      </c>
      <c r="F859" s="61"/>
      <c r="H859" t="str">
        <f>ToJsonArray(supplementary_offering_legacyid__4[[#Headers],[offeringid]:[json]],supplementary_offering_legacyid__4[[#This Row],[offeringid]:[ignore]])</f>
        <v>{"offeringid":"950000029","name":"Favorito 2b 0_950000029","mode":"N"}</v>
      </c>
      <c r="I859" t="str">
        <f>ToJsonArray(supplementary_offering_legacyid__4[[#This Row],[semilla04]],supplementary_offering_legacyid__4[[#This Row],[json]])</f>
        <v>{"500000-29":{"offeringid":"950000029","name":"Favorito 2b 0_950000029","mode":"N"}}</v>
      </c>
    </row>
    <row r="860" spans="1:9" x14ac:dyDescent="0.25">
      <c r="A860" s="60" t="s">
        <v>4689</v>
      </c>
      <c r="B860" s="60" t="str">
        <f>findKey(supplementary_offering_legacyid__4[[#This Row],[PRODUCCION]])</f>
        <v>500000-30</v>
      </c>
      <c r="C860" s="61" t="s">
        <v>4690</v>
      </c>
      <c r="D860" t="s">
        <v>4691</v>
      </c>
      <c r="E860" t="s">
        <v>2329</v>
      </c>
      <c r="F860" s="61"/>
      <c r="H860" t="str">
        <f>ToJsonArray(supplementary_offering_legacyid__4[[#Headers],[offeringid]:[json]],supplementary_offering_legacyid__4[[#This Row],[offeringid]:[ignore]])</f>
        <v>{"offeringid":"950000030","name":"Favorito 30_950000030","mode":"N"}</v>
      </c>
      <c r="I860" t="str">
        <f>ToJsonArray(supplementary_offering_legacyid__4[[#This Row],[semilla04]],supplementary_offering_legacyid__4[[#This Row],[json]])</f>
        <v>{"500000-30":{"offeringid":"950000030","name":"Favorito 30_950000030","mode":"N"}}</v>
      </c>
    </row>
    <row r="861" spans="1:9" x14ac:dyDescent="0.25">
      <c r="A861" s="60" t="s">
        <v>4692</v>
      </c>
      <c r="B861" s="60" t="str">
        <f>findKey(supplementary_offering_legacyid__4[[#This Row],[PRODUCCION]])</f>
        <v>500000-31</v>
      </c>
      <c r="C861" s="61" t="s">
        <v>4693</v>
      </c>
      <c r="D861" t="s">
        <v>4694</v>
      </c>
      <c r="E861" t="s">
        <v>2329</v>
      </c>
      <c r="F861" s="61"/>
      <c r="H861" t="str">
        <f>ToJsonArray(supplementary_offering_legacyid__4[[#Headers],[offeringid]:[json]],supplementary_offering_legacyid__4[[#This Row],[offeringid]:[ignore]])</f>
        <v>{"offeringid":"950000031","name":"Favorito 31_950000031","mode":"N"}</v>
      </c>
      <c r="I861" t="str">
        <f>ToJsonArray(supplementary_offering_legacyid__4[[#This Row],[semilla04]],supplementary_offering_legacyid__4[[#This Row],[json]])</f>
        <v>{"500000-31":{"offeringid":"950000031","name":"Favorito 31_950000031","mode":"N"}}</v>
      </c>
    </row>
    <row r="862" spans="1:9" x14ac:dyDescent="0.25">
      <c r="A862" s="60" t="s">
        <v>4695</v>
      </c>
      <c r="B862" s="60" t="str">
        <f>findKey(supplementary_offering_legacyid__4[[#This Row],[PRODUCCION]])</f>
        <v>500000-32</v>
      </c>
      <c r="C862" s="61" t="s">
        <v>4696</v>
      </c>
      <c r="D862" t="s">
        <v>4697</v>
      </c>
      <c r="E862" t="s">
        <v>2329</v>
      </c>
      <c r="F862" s="61"/>
      <c r="H862" t="str">
        <f>ToJsonArray(supplementary_offering_legacyid__4[[#Headers],[offeringid]:[json]],supplementary_offering_legacyid__4[[#This Row],[offeringid]:[ignore]])</f>
        <v>{"offeringid":"950000032","name":"Favorito 32_950000032","mode":"N"}</v>
      </c>
      <c r="I862" t="str">
        <f>ToJsonArray(supplementary_offering_legacyid__4[[#This Row],[semilla04]],supplementary_offering_legacyid__4[[#This Row],[json]])</f>
        <v>{"500000-32":{"offeringid":"950000032","name":"Favorito 32_950000032","mode":"N"}}</v>
      </c>
    </row>
    <row r="863" spans="1:9" x14ac:dyDescent="0.25">
      <c r="A863" s="60" t="s">
        <v>4698</v>
      </c>
      <c r="B863" s="60" t="str">
        <f>findKey(supplementary_offering_legacyid__4[[#This Row],[PRODUCCION]])</f>
        <v>500000-35</v>
      </c>
      <c r="C863" s="61" t="s">
        <v>4699</v>
      </c>
      <c r="D863" t="s">
        <v>4700</v>
      </c>
      <c r="E863" t="s">
        <v>2329</v>
      </c>
      <c r="F863" s="61"/>
      <c r="H863" t="str">
        <f>ToJsonArray(supplementary_offering_legacyid__4[[#Headers],[offeringid]:[json]],supplementary_offering_legacyid__4[[#This Row],[offeringid]:[ignore]])</f>
        <v>{"offeringid":"950000035","name":"Favorito 35_950000035","mode":"N"}</v>
      </c>
      <c r="I863" t="str">
        <f>ToJsonArray(supplementary_offering_legacyid__4[[#This Row],[semilla04]],supplementary_offering_legacyid__4[[#This Row],[json]])</f>
        <v>{"500000-35":{"offeringid":"950000035","name":"Favorito 35_950000035","mode":"N"}}</v>
      </c>
    </row>
    <row r="864" spans="1:9" x14ac:dyDescent="0.25">
      <c r="A864" s="60" t="s">
        <v>4701</v>
      </c>
      <c r="B864" s="60" t="str">
        <f>findKey(supplementary_offering_legacyid__4[[#This Row],[PRODUCCION]])</f>
        <v>500000-37</v>
      </c>
      <c r="C864" s="61" t="s">
        <v>4702</v>
      </c>
      <c r="D864" t="s">
        <v>4703</v>
      </c>
      <c r="E864" t="s">
        <v>2329</v>
      </c>
      <c r="F864" s="61"/>
      <c r="H864" t="str">
        <f>ToJsonArray(supplementary_offering_legacyid__4[[#Headers],[offeringid]:[json]],supplementary_offering_legacyid__4[[#This Row],[offeringid]:[ignore]])</f>
        <v>{"offeringid":"950000037","name":"Favorito 37_950000037","mode":"N"}</v>
      </c>
      <c r="I864" t="str">
        <f>ToJsonArray(supplementary_offering_legacyid__4[[#This Row],[semilla04]],supplementary_offering_legacyid__4[[#This Row],[json]])</f>
        <v>{"500000-37":{"offeringid":"950000037","name":"Favorito 37_950000037","mode":"N"}}</v>
      </c>
    </row>
    <row r="865" spans="1:9" x14ac:dyDescent="0.25">
      <c r="A865" s="60" t="s">
        <v>4704</v>
      </c>
      <c r="B865" s="60" t="str">
        <f>findKey(supplementary_offering_legacyid__4[[#This Row],[PRODUCCION]])</f>
        <v>500000-39</v>
      </c>
      <c r="C865" s="61" t="s">
        <v>4705</v>
      </c>
      <c r="D865" t="s">
        <v>4706</v>
      </c>
      <c r="E865" t="s">
        <v>2329</v>
      </c>
      <c r="F865" s="61"/>
      <c r="H865" t="str">
        <f>ToJsonArray(supplementary_offering_legacyid__4[[#Headers],[offeringid]:[json]],supplementary_offering_legacyid__4[[#This Row],[offeringid]:[ignore]])</f>
        <v>{"offeringid":"950000039","name":"Favorito 39_950000039","mode":"N"}</v>
      </c>
      <c r="I865" t="str">
        <f>ToJsonArray(supplementary_offering_legacyid__4[[#This Row],[semilla04]],supplementary_offering_legacyid__4[[#This Row],[json]])</f>
        <v>{"500000-39":{"offeringid":"950000039","name":"Favorito 39_950000039","mode":"N"}}</v>
      </c>
    </row>
    <row r="866" spans="1:9" x14ac:dyDescent="0.25">
      <c r="A866" s="60" t="s">
        <v>4707</v>
      </c>
      <c r="B866" s="60" t="str">
        <f>findKey(supplementary_offering_legacyid__4[[#This Row],[PRODUCCION]])</f>
        <v>500000-40</v>
      </c>
      <c r="C866" s="61" t="s">
        <v>4708</v>
      </c>
      <c r="D866" t="s">
        <v>4709</v>
      </c>
      <c r="E866" t="s">
        <v>2329</v>
      </c>
      <c r="F866" s="61"/>
      <c r="H866" t="str">
        <f>ToJsonArray(supplementary_offering_legacyid__4[[#Headers],[offeringid]:[json]],supplementary_offering_legacyid__4[[#This Row],[offeringid]:[ignore]])</f>
        <v>{"offeringid":"950000040","name":"Favorito 40_950000040","mode":"N"}</v>
      </c>
      <c r="I866" t="str">
        <f>ToJsonArray(supplementary_offering_legacyid__4[[#This Row],[semilla04]],supplementary_offering_legacyid__4[[#This Row],[json]])</f>
        <v>{"500000-40":{"offeringid":"950000040","name":"Favorito 40_950000040","mode":"N"}}</v>
      </c>
    </row>
    <row r="867" spans="1:9" x14ac:dyDescent="0.25">
      <c r="A867" s="60" t="s">
        <v>4710</v>
      </c>
      <c r="B867" s="60" t="str">
        <f>findKey(supplementary_offering_legacyid__4[[#This Row],[PRODUCCION]])</f>
        <v>500000-42</v>
      </c>
      <c r="C867" s="61" t="s">
        <v>4711</v>
      </c>
      <c r="D867" t="s">
        <v>4712</v>
      </c>
      <c r="E867" t="s">
        <v>2329</v>
      </c>
      <c r="F867" s="61"/>
      <c r="H867" t="str">
        <f>ToJsonArray(supplementary_offering_legacyid__4[[#Headers],[offeringid]:[json]],supplementary_offering_legacyid__4[[#This Row],[offeringid]:[ignore]])</f>
        <v>{"offeringid":"950000042","name":"Favorito 42_950000042","mode":"N"}</v>
      </c>
      <c r="I867" t="str">
        <f>ToJsonArray(supplementary_offering_legacyid__4[[#This Row],[semilla04]],supplementary_offering_legacyid__4[[#This Row],[json]])</f>
        <v>{"500000-42":{"offeringid":"950000042","name":"Favorito 42_950000042","mode":"N"}}</v>
      </c>
    </row>
    <row r="868" spans="1:9" x14ac:dyDescent="0.25">
      <c r="A868" s="60" t="s">
        <v>4713</v>
      </c>
      <c r="B868" s="60" t="str">
        <f>findKey(supplementary_offering_legacyid__4[[#This Row],[PRODUCCION]])</f>
        <v>500000-44</v>
      </c>
      <c r="C868" s="61" t="s">
        <v>4714</v>
      </c>
      <c r="D868" t="s">
        <v>4715</v>
      </c>
      <c r="E868" t="s">
        <v>2329</v>
      </c>
      <c r="F868" s="61"/>
      <c r="H868" t="str">
        <f>ToJsonArray(supplementary_offering_legacyid__4[[#Headers],[offeringid]:[json]],supplementary_offering_legacyid__4[[#This Row],[offeringid]:[ignore]])</f>
        <v>{"offeringid":"950000044","name":"Favorito 44_950000044","mode":"N"}</v>
      </c>
      <c r="I868" t="str">
        <f>ToJsonArray(supplementary_offering_legacyid__4[[#This Row],[semilla04]],supplementary_offering_legacyid__4[[#This Row],[json]])</f>
        <v>{"500000-44":{"offeringid":"950000044","name":"Favorito 44_950000044","mode":"N"}}</v>
      </c>
    </row>
    <row r="869" spans="1:9" x14ac:dyDescent="0.25">
      <c r="A869" s="60" t="s">
        <v>4716</v>
      </c>
      <c r="B869" s="60" t="str">
        <f>findKey(supplementary_offering_legacyid__4[[#This Row],[PRODUCCION]])</f>
        <v>500000-48</v>
      </c>
      <c r="C869" s="61" t="s">
        <v>4717</v>
      </c>
      <c r="D869" t="s">
        <v>4718</v>
      </c>
      <c r="E869" t="s">
        <v>2329</v>
      </c>
      <c r="F869" s="61"/>
      <c r="H869" t="str">
        <f>ToJsonArray(supplementary_offering_legacyid__4[[#Headers],[offeringid]:[json]],supplementary_offering_legacyid__4[[#This Row],[offeringid]:[ignore]])</f>
        <v>{"offeringid":"950000048","name":"Favorito 48_950000048","mode":"N"}</v>
      </c>
      <c r="I869" t="str">
        <f>ToJsonArray(supplementary_offering_legacyid__4[[#This Row],[semilla04]],supplementary_offering_legacyid__4[[#This Row],[json]])</f>
        <v>{"500000-48":{"offeringid":"950000048","name":"Favorito 48_950000048","mode":"N"}}</v>
      </c>
    </row>
    <row r="870" spans="1:9" x14ac:dyDescent="0.25">
      <c r="A870" s="60" t="s">
        <v>4719</v>
      </c>
      <c r="B870" s="60" t="str">
        <f>findKey(supplementary_offering_legacyid__4[[#This Row],[PRODUCCION]])</f>
        <v>500000-49</v>
      </c>
      <c r="C870" s="61" t="s">
        <v>4720</v>
      </c>
      <c r="D870" t="s">
        <v>4721</v>
      </c>
      <c r="E870" t="s">
        <v>2329</v>
      </c>
      <c r="F870" s="61"/>
      <c r="H870" t="str">
        <f>ToJsonArray(supplementary_offering_legacyid__4[[#Headers],[offeringid]:[json]],supplementary_offering_legacyid__4[[#This Row],[offeringid]:[ignore]])</f>
        <v>{"offeringid":"950000049","name":"Favorito 49_950000049","mode":"N"}</v>
      </c>
      <c r="I870" t="str">
        <f>ToJsonArray(supplementary_offering_legacyid__4[[#This Row],[semilla04]],supplementary_offering_legacyid__4[[#This Row],[json]])</f>
        <v>{"500000-49":{"offeringid":"950000049","name":"Favorito 49_950000049","mode":"N"}}</v>
      </c>
    </row>
    <row r="871" spans="1:9" x14ac:dyDescent="0.25">
      <c r="A871" s="60" t="s">
        <v>4722</v>
      </c>
      <c r="B871" s="60" t="str">
        <f>findKey(supplementary_offering_legacyid__4[[#This Row],[PRODUCCION]])</f>
        <v>500000-50</v>
      </c>
      <c r="C871" s="61" t="s">
        <v>4723</v>
      </c>
      <c r="D871" t="s">
        <v>4724</v>
      </c>
      <c r="E871" t="s">
        <v>2329</v>
      </c>
      <c r="F871" s="61"/>
      <c r="H871" t="str">
        <f>ToJsonArray(supplementary_offering_legacyid__4[[#Headers],[offeringid]:[json]],supplementary_offering_legacyid__4[[#This Row],[offeringid]:[ignore]])</f>
        <v>{"offeringid":"950000050","name":"Favorito 50_950000050","mode":"N"}</v>
      </c>
      <c r="I871" t="str">
        <f>ToJsonArray(supplementary_offering_legacyid__4[[#This Row],[semilla04]],supplementary_offering_legacyid__4[[#This Row],[json]])</f>
        <v>{"500000-50":{"offeringid":"950000050","name":"Favorito 50_950000050","mode":"N"}}</v>
      </c>
    </row>
    <row r="872" spans="1:9" x14ac:dyDescent="0.25">
      <c r="A872" s="60" t="s">
        <v>4725</v>
      </c>
      <c r="B872" s="60" t="str">
        <f>findKey(supplementary_offering_legacyid__4[[#This Row],[PRODUCCION]])</f>
        <v>500000-51</v>
      </c>
      <c r="C872" s="61" t="s">
        <v>4726</v>
      </c>
      <c r="D872" t="s">
        <v>4727</v>
      </c>
      <c r="E872" t="s">
        <v>2329</v>
      </c>
      <c r="F872" s="61"/>
      <c r="H872" t="str">
        <f>ToJsonArray(supplementary_offering_legacyid__4[[#Headers],[offeringid]:[json]],supplementary_offering_legacyid__4[[#This Row],[offeringid]:[ignore]])</f>
        <v>{"offeringid":"950000051","name":"Favorito 51_950000051","mode":"N"}</v>
      </c>
      <c r="I872" t="str">
        <f>ToJsonArray(supplementary_offering_legacyid__4[[#This Row],[semilla04]],supplementary_offering_legacyid__4[[#This Row],[json]])</f>
        <v>{"500000-51":{"offeringid":"950000051","name":"Favorito 51_950000051","mode":"N"}}</v>
      </c>
    </row>
    <row r="873" spans="1:9" x14ac:dyDescent="0.25">
      <c r="A873" s="60" t="s">
        <v>4728</v>
      </c>
      <c r="B873" s="60" t="str">
        <f>findKey(supplementary_offering_legacyid__4[[#This Row],[PRODUCCION]])</f>
        <v>500000-52</v>
      </c>
      <c r="C873" s="61" t="s">
        <v>4729</v>
      </c>
      <c r="D873" t="s">
        <v>4730</v>
      </c>
      <c r="E873" t="s">
        <v>2329</v>
      </c>
      <c r="F873" s="61"/>
      <c r="H873" t="str">
        <f>ToJsonArray(supplementary_offering_legacyid__4[[#Headers],[offeringid]:[json]],supplementary_offering_legacyid__4[[#This Row],[offeringid]:[ignore]])</f>
        <v>{"offeringid":"950000052","name":"Favorito 52_950000052","mode":"N"}</v>
      </c>
      <c r="I873" t="str">
        <f>ToJsonArray(supplementary_offering_legacyid__4[[#This Row],[semilla04]],supplementary_offering_legacyid__4[[#This Row],[json]])</f>
        <v>{"500000-52":{"offeringid":"950000052","name":"Favorito 52_950000052","mode":"N"}}</v>
      </c>
    </row>
    <row r="874" spans="1:9" x14ac:dyDescent="0.25">
      <c r="A874" s="60" t="s">
        <v>4731</v>
      </c>
      <c r="B874" s="60" t="str">
        <f>findKey(supplementary_offering_legacyid__4[[#This Row],[PRODUCCION]])</f>
        <v>500000-53</v>
      </c>
      <c r="C874" s="61" t="s">
        <v>4732</v>
      </c>
      <c r="D874" t="s">
        <v>4733</v>
      </c>
      <c r="E874" t="s">
        <v>2329</v>
      </c>
      <c r="F874" s="61"/>
      <c r="H874" t="str">
        <f>ToJsonArray(supplementary_offering_legacyid__4[[#Headers],[offeringid]:[json]],supplementary_offering_legacyid__4[[#This Row],[offeringid]:[ignore]])</f>
        <v>{"offeringid":"950000053","name":"Favorito 53_950000053","mode":"N"}</v>
      </c>
      <c r="I874" t="str">
        <f>ToJsonArray(supplementary_offering_legacyid__4[[#This Row],[semilla04]],supplementary_offering_legacyid__4[[#This Row],[json]])</f>
        <v>{"500000-53":{"offeringid":"950000053","name":"Favorito 53_950000053","mode":"N"}}</v>
      </c>
    </row>
    <row r="875" spans="1:9" x14ac:dyDescent="0.25">
      <c r="A875" s="60" t="s">
        <v>4734</v>
      </c>
      <c r="B875" s="60" t="str">
        <f>findKey(supplementary_offering_legacyid__4[[#This Row],[PRODUCCION]])</f>
        <v>500000-54</v>
      </c>
      <c r="C875" s="61" t="s">
        <v>4735</v>
      </c>
      <c r="D875" t="s">
        <v>4736</v>
      </c>
      <c r="E875" t="s">
        <v>2329</v>
      </c>
      <c r="F875" s="61"/>
      <c r="H875" t="str">
        <f>ToJsonArray(supplementary_offering_legacyid__4[[#Headers],[offeringid]:[json]],supplementary_offering_legacyid__4[[#This Row],[offeringid]:[ignore]])</f>
        <v>{"offeringid":"950000054","name":"Favorito 54_950000054","mode":"N"}</v>
      </c>
      <c r="I875" t="str">
        <f>ToJsonArray(supplementary_offering_legacyid__4[[#This Row],[semilla04]],supplementary_offering_legacyid__4[[#This Row],[json]])</f>
        <v>{"500000-54":{"offeringid":"950000054","name":"Favorito 54_950000054","mode":"N"}}</v>
      </c>
    </row>
    <row r="876" spans="1:9" x14ac:dyDescent="0.25">
      <c r="A876" s="60" t="s">
        <v>4737</v>
      </c>
      <c r="B876" s="60" t="str">
        <f>findKey(supplementary_offering_legacyid__4[[#This Row],[PRODUCCION]])</f>
        <v>500000-66</v>
      </c>
      <c r="C876" s="61" t="s">
        <v>4738</v>
      </c>
      <c r="D876" t="s">
        <v>4739</v>
      </c>
      <c r="E876" t="s">
        <v>2329</v>
      </c>
      <c r="F876" s="61"/>
      <c r="H876" t="str">
        <f>ToJsonArray(supplementary_offering_legacyid__4[[#Headers],[offeringid]:[json]],supplementary_offering_legacyid__4[[#This Row],[offeringid]:[ignore]])</f>
        <v>{"offeringid":"950000066","name":"Favorito 66_950000066","mode":"N"}</v>
      </c>
      <c r="I876" t="str">
        <f>ToJsonArray(supplementary_offering_legacyid__4[[#This Row],[semilla04]],supplementary_offering_legacyid__4[[#This Row],[json]])</f>
        <v>{"500000-66":{"offeringid":"950000066","name":"Favorito 66_950000066","mode":"N"}}</v>
      </c>
    </row>
    <row r="877" spans="1:9" x14ac:dyDescent="0.25">
      <c r="A877" s="60" t="s">
        <v>4740</v>
      </c>
      <c r="B877" s="60" t="str">
        <f>findKey(supplementary_offering_legacyid__4[[#This Row],[PRODUCCION]])</f>
        <v>500000-74</v>
      </c>
      <c r="C877" s="61" t="s">
        <v>4741</v>
      </c>
      <c r="D877" t="s">
        <v>4742</v>
      </c>
      <c r="E877" t="s">
        <v>2329</v>
      </c>
      <c r="F877" s="61"/>
      <c r="H877" t="str">
        <f>ToJsonArray(supplementary_offering_legacyid__4[[#Headers],[offeringid]:[json]],supplementary_offering_legacyid__4[[#This Row],[offeringid]:[ignore]])</f>
        <v>{"offeringid":"950000074","name":"Favorito 74_950000074","mode":"N"}</v>
      </c>
      <c r="I877" t="str">
        <f>ToJsonArray(supplementary_offering_legacyid__4[[#This Row],[semilla04]],supplementary_offering_legacyid__4[[#This Row],[json]])</f>
        <v>{"500000-74":{"offeringid":"950000074","name":"Favorito 74_950000074","mode":"N"}}</v>
      </c>
    </row>
    <row r="878" spans="1:9" x14ac:dyDescent="0.25">
      <c r="A878" s="60" t="s">
        <v>4743</v>
      </c>
      <c r="B878" s="60" t="str">
        <f>findKey(supplementary_offering_legacyid__4[[#This Row],[PRODUCCION]])</f>
        <v>500000-76</v>
      </c>
      <c r="C878" s="61" t="s">
        <v>4744</v>
      </c>
      <c r="D878" t="s">
        <v>4745</v>
      </c>
      <c r="E878" t="s">
        <v>2329</v>
      </c>
      <c r="F878" s="61"/>
      <c r="H878" t="str">
        <f>ToJsonArray(supplementary_offering_legacyid__4[[#Headers],[offeringid]:[json]],supplementary_offering_legacyid__4[[#This Row],[offeringid]:[ignore]])</f>
        <v>{"offeringid":"950000076","name":"Favorito 76_950000076","mode":"N"}</v>
      </c>
      <c r="I878" t="str">
        <f>ToJsonArray(supplementary_offering_legacyid__4[[#This Row],[semilla04]],supplementary_offering_legacyid__4[[#This Row],[json]])</f>
        <v>{"500000-76":{"offeringid":"950000076","name":"Favorito 76_950000076","mode":"N"}}</v>
      </c>
    </row>
    <row r="879" spans="1:9" x14ac:dyDescent="0.25">
      <c r="A879" s="60" t="s">
        <v>4746</v>
      </c>
      <c r="B879" s="60" t="str">
        <f>findKey(supplementary_offering_legacyid__4[[#This Row],[PRODUCCION]])</f>
        <v>500000-79</v>
      </c>
      <c r="C879" s="61" t="s">
        <v>4747</v>
      </c>
      <c r="D879" t="s">
        <v>4748</v>
      </c>
      <c r="E879" t="s">
        <v>2329</v>
      </c>
      <c r="F879" s="61"/>
      <c r="H879" t="str">
        <f>ToJsonArray(supplementary_offering_legacyid__4[[#Headers],[offeringid]:[json]],supplementary_offering_legacyid__4[[#This Row],[offeringid]:[ignore]])</f>
        <v>{"offeringid":"950000079","name":"Favorito 79_950000079","mode":"N"}</v>
      </c>
      <c r="I879" t="str">
        <f>ToJsonArray(supplementary_offering_legacyid__4[[#This Row],[semilla04]],supplementary_offering_legacyid__4[[#This Row],[json]])</f>
        <v>{"500000-79":{"offeringid":"950000079","name":"Favorito 79_950000079","mode":"N"}}</v>
      </c>
    </row>
    <row r="880" spans="1:9" x14ac:dyDescent="0.25">
      <c r="A880" s="60" t="s">
        <v>4749</v>
      </c>
      <c r="B880" s="60" t="str">
        <f>findKey(supplementary_offering_legacyid__4[[#This Row],[PRODUCCION]])</f>
        <v>500000-80</v>
      </c>
      <c r="C880" s="61" t="s">
        <v>4750</v>
      </c>
      <c r="D880" t="s">
        <v>4751</v>
      </c>
      <c r="E880" t="s">
        <v>2329</v>
      </c>
      <c r="F880" s="61"/>
      <c r="H880" t="str">
        <f>ToJsonArray(supplementary_offering_legacyid__4[[#Headers],[offeringid]:[json]],supplementary_offering_legacyid__4[[#This Row],[offeringid]:[ignore]])</f>
        <v>{"offeringid":"950000080","name":"Favorito 80_950000080","mode":"N"}</v>
      </c>
      <c r="I880" t="str">
        <f>ToJsonArray(supplementary_offering_legacyid__4[[#This Row],[semilla04]],supplementary_offering_legacyid__4[[#This Row],[json]])</f>
        <v>{"500000-80":{"offeringid":"950000080","name":"Favorito 80_950000080","mode":"N"}}</v>
      </c>
    </row>
    <row r="881" spans="1:9" x14ac:dyDescent="0.25">
      <c r="A881" s="60" t="s">
        <v>4752</v>
      </c>
      <c r="B881" s="60" t="str">
        <f>findKey(supplementary_offering_legacyid__4[[#This Row],[PRODUCCION]])</f>
        <v>500000-83</v>
      </c>
      <c r="C881" s="61" t="s">
        <v>4753</v>
      </c>
      <c r="D881" t="s">
        <v>4754</v>
      </c>
      <c r="E881" t="s">
        <v>2329</v>
      </c>
      <c r="F881" s="61"/>
      <c r="H881" t="str">
        <f>ToJsonArray(supplementary_offering_legacyid__4[[#Headers],[offeringid]:[json]],supplementary_offering_legacyid__4[[#This Row],[offeringid]:[ignore]])</f>
        <v>{"offeringid":"950000083","name":"Favorito 83_950000083","mode":"N"}</v>
      </c>
      <c r="I881" t="str">
        <f>ToJsonArray(supplementary_offering_legacyid__4[[#This Row],[semilla04]],supplementary_offering_legacyid__4[[#This Row],[json]])</f>
        <v>{"500000-83":{"offeringid":"950000083","name":"Favorito 83_950000083","mode":"N"}}</v>
      </c>
    </row>
    <row r="882" spans="1:9" x14ac:dyDescent="0.25">
      <c r="A882" s="60" t="s">
        <v>4755</v>
      </c>
      <c r="B882" s="60" t="str">
        <f>findKey(supplementary_offering_legacyid__4[[#This Row],[PRODUCCION]])</f>
        <v>500001-67</v>
      </c>
      <c r="C882" s="61" t="s">
        <v>4756</v>
      </c>
      <c r="D882" t="s">
        <v>4757</v>
      </c>
      <c r="E882" t="s">
        <v>2329</v>
      </c>
      <c r="F882" s="61"/>
      <c r="H882" t="str">
        <f>ToJsonArray(supplementary_offering_legacyid__4[[#Headers],[offeringid]:[json]],supplementary_offering_legacyid__4[[#This Row],[offeringid]:[ignore]])</f>
        <v>{"offeringid":"950000167","name":"Voz-TD-42000s_950000167","mode":"N"}</v>
      </c>
      <c r="I882" t="str">
        <f>ToJsonArray(supplementary_offering_legacyid__4[[#This Row],[semilla04]],supplementary_offering_legacyid__4[[#This Row],[json]])</f>
        <v>{"500001-67":{"offeringid":"950000167","name":"Voz-TD-42000s_950000167","mode":"N"}}</v>
      </c>
    </row>
    <row r="883" spans="1:9" x14ac:dyDescent="0.25">
      <c r="A883" s="60" t="s">
        <v>4758</v>
      </c>
      <c r="B883" s="60" t="str">
        <f>findKey(supplementary_offering_legacyid__4[[#This Row],[PRODUCCION]])</f>
        <v>500001-69</v>
      </c>
      <c r="C883" s="61" t="s">
        <v>4759</v>
      </c>
      <c r="D883" t="s">
        <v>4760</v>
      </c>
      <c r="E883" t="s">
        <v>2329</v>
      </c>
      <c r="F883" s="61"/>
      <c r="H883" t="str">
        <f>ToJsonArray(supplementary_offering_legacyid__4[[#Headers],[offeringid]:[json]],supplementary_offering_legacyid__4[[#This Row],[offeringid]:[ignore]])</f>
        <v>{"offeringid":"950000169","name":"Voz-TD-30000s_950000169","mode":"N"}</v>
      </c>
      <c r="I883" t="str">
        <f>ToJsonArray(supplementary_offering_legacyid__4[[#This Row],[semilla04]],supplementary_offering_legacyid__4[[#This Row],[json]])</f>
        <v>{"500001-69":{"offeringid":"950000169","name":"Voz-TD-30000s_950000169","mode":"N"}}</v>
      </c>
    </row>
    <row r="884" spans="1:9" x14ac:dyDescent="0.25">
      <c r="A884" s="60" t="s">
        <v>4761</v>
      </c>
      <c r="B884" s="60" t="str">
        <f>findKey(supplementary_offering_legacyid__4[[#This Row],[PRODUCCION]])</f>
        <v>500002-05</v>
      </c>
      <c r="C884" s="61" t="s">
        <v>4762</v>
      </c>
      <c r="D884" t="s">
        <v>4763</v>
      </c>
      <c r="E884" t="s">
        <v>2329</v>
      </c>
      <c r="F884" s="61"/>
      <c r="H884" t="str">
        <f>ToJsonArray(supplementary_offering_legacyid__4[[#Headers],[offeringid]:[json]],supplementary_offering_legacyid__4[[#This Row],[offeringid]:[ignore]])</f>
        <v>{"offeringid":"950000205","name":"Favorito Bolsa 8k_950000205","mode":"N"}</v>
      </c>
      <c r="I884" t="str">
        <f>ToJsonArray(supplementary_offering_legacyid__4[[#This Row],[semilla04]],supplementary_offering_legacyid__4[[#This Row],[json]])</f>
        <v>{"500002-05":{"offeringid":"950000205","name":"Favorito Bolsa 8k_950000205","mode":"N"}}</v>
      </c>
    </row>
    <row r="885" spans="1:9" x14ac:dyDescent="0.25">
      <c r="A885" s="60" t="s">
        <v>4764</v>
      </c>
      <c r="B885" s="60" t="str">
        <f>findKey(supplementary_offering_legacyid__4[[#This Row],[PRODUCCION]])</f>
        <v>500003-07</v>
      </c>
      <c r="C885" s="61" t="s">
        <v>4765</v>
      </c>
      <c r="D885" t="s">
        <v>4766</v>
      </c>
      <c r="E885" t="s">
        <v>2329</v>
      </c>
      <c r="F885" s="61"/>
      <c r="H885" t="str">
        <f>ToJsonArray(supplementary_offering_legacyid__4[[#Headers],[offeringid]:[json]],supplementary_offering_legacyid__4[[#This Row],[offeringid]:[ignore]])</f>
        <v>{"offeringid":"950000307","name":"Favorito Tigo 07_950000307","mode":"N"}</v>
      </c>
      <c r="I885" t="str">
        <f>ToJsonArray(supplementary_offering_legacyid__4[[#This Row],[semilla04]],supplementary_offering_legacyid__4[[#This Row],[json]])</f>
        <v>{"500003-07":{"offeringid":"950000307","name":"Favorito Tigo 07_950000307","mode":"N"}}</v>
      </c>
    </row>
    <row r="886" spans="1:9" x14ac:dyDescent="0.25">
      <c r="A886" s="60" t="s">
        <v>4767</v>
      </c>
      <c r="B886" s="60" t="str">
        <f>findKey(supplementary_offering_legacyid__4[[#This Row],[PRODUCCION]])</f>
        <v>600000-01</v>
      </c>
      <c r="C886" s="61" t="s">
        <v>4768</v>
      </c>
      <c r="D886" t="s">
        <v>4769</v>
      </c>
      <c r="E886" t="s">
        <v>2329</v>
      </c>
      <c r="F886" s="61"/>
      <c r="H886" t="str">
        <f>ToJsonArray(supplementary_offering_legacyid__4[[#Headers],[offeringid]:[json]],supplementary_offering_legacyid__4[[#This Row],[offeringid]:[ignore]])</f>
        <v>{"offeringid":"960000001","name":"Noticias 1_960000001","mode":"N"}</v>
      </c>
      <c r="I886" t="str">
        <f>ToJsonArray(supplementary_offering_legacyid__4[[#This Row],[semilla04]],supplementary_offering_legacyid__4[[#This Row],[json]])</f>
        <v>{"600000-01":{"offeringid":"960000001","name":"Noticias 1_960000001","mode":"N"}}</v>
      </c>
    </row>
    <row r="887" spans="1:9" x14ac:dyDescent="0.25">
      <c r="A887" s="60" t="s">
        <v>4770</v>
      </c>
      <c r="B887" s="60" t="str">
        <f>findKey(supplementary_offering_legacyid__4[[#This Row],[PRODUCCION]])</f>
        <v>700000-07</v>
      </c>
      <c r="C887" s="61" t="s">
        <v>4771</v>
      </c>
      <c r="D887" t="s">
        <v>4772</v>
      </c>
      <c r="E887" t="s">
        <v>2329</v>
      </c>
      <c r="F887" s="61"/>
      <c r="H887" t="str">
        <f>ToJsonArray(supplementary_offering_legacyid__4[[#Headers],[offeringid]:[json]],supplementary_offering_legacyid__4[[#This Row],[offeringid]:[ignore]])</f>
        <v>{"offeringid":"970000007","name":"Deezer 7.900_970000007","mode":"N"}</v>
      </c>
      <c r="I887" t="str">
        <f>ToJsonArray(supplementary_offering_legacyid__4[[#This Row],[semilla04]],supplementary_offering_legacyid__4[[#This Row],[json]])</f>
        <v>{"700000-07":{"offeringid":"970000007","name":"Deezer 7.900_970000007","mode":"N"}}</v>
      </c>
    </row>
    <row r="888" spans="1:9" x14ac:dyDescent="0.25">
      <c r="A888" s="60" t="s">
        <v>4773</v>
      </c>
      <c r="B888" s="60" t="str">
        <f>findKey(supplementary_offering_legacyid__4[[#This Row],[PRODUCCION]])</f>
        <v>700000-10</v>
      </c>
      <c r="C888" s="61" t="s">
        <v>4774</v>
      </c>
      <c r="D888" t="s">
        <v>4775</v>
      </c>
      <c r="E888" t="s">
        <v>2329</v>
      </c>
      <c r="F888" s="61"/>
      <c r="H888" t="str">
        <f>ToJsonArray(supplementary_offering_legacyid__4[[#Headers],[offeringid]:[json]],supplementary_offering_legacyid__4[[#This Row],[offeringid]:[ignore]])</f>
        <v>{"offeringid":"970000010","name":"Deezer 10.800_970000010","mode":"N"}</v>
      </c>
      <c r="I888" t="str">
        <f>ToJsonArray(supplementary_offering_legacyid__4[[#This Row],[semilla04]],supplementary_offering_legacyid__4[[#This Row],[json]])</f>
        <v>{"700000-10":{"offeringid":"970000010","name":"Deezer 10.800_970000010","mode":"N"}}</v>
      </c>
    </row>
    <row r="889" spans="1:9" x14ac:dyDescent="0.25">
      <c r="A889" s="60" t="s">
        <v>4776</v>
      </c>
      <c r="B889" s="60" t="str">
        <f>findKey(supplementary_offering_legacyid__4[[#This Row],[PRODUCCION]])</f>
        <v>700000-12</v>
      </c>
      <c r="C889" s="61" t="s">
        <v>4777</v>
      </c>
      <c r="D889" t="s">
        <v>4778</v>
      </c>
      <c r="E889" t="s">
        <v>2329</v>
      </c>
      <c r="F889" s="61"/>
      <c r="H889" t="str">
        <f>ToJsonArray(supplementary_offering_legacyid__4[[#Headers],[offeringid]:[json]],supplementary_offering_legacyid__4[[#This Row],[offeringid]:[ignore]])</f>
        <v>{"offeringid":"970000012","name":"Deezer 12.000_970000012","mode":"N"}</v>
      </c>
      <c r="I889" t="str">
        <f>ToJsonArray(supplementary_offering_legacyid__4[[#This Row],[semilla04]],supplementary_offering_legacyid__4[[#This Row],[json]])</f>
        <v>{"700000-12":{"offeringid":"970000012","name":"Deezer 12.000_970000012","mode":"N"}}</v>
      </c>
    </row>
    <row r="890" spans="1:9" x14ac:dyDescent="0.25">
      <c r="A890" s="60" t="s">
        <v>4779</v>
      </c>
      <c r="B890" s="60" t="str">
        <f>findKey(supplementary_offering_legacyid__4[[#This Row],[PRODUCCION]])</f>
        <v>700000-15</v>
      </c>
      <c r="C890" s="61" t="s">
        <v>4780</v>
      </c>
      <c r="D890" t="s">
        <v>4781</v>
      </c>
      <c r="E890" t="s">
        <v>2329</v>
      </c>
      <c r="F890" s="61"/>
      <c r="H890" t="str">
        <f>ToJsonArray(supplementary_offering_legacyid__4[[#Headers],[offeringid]:[json]],supplementary_offering_legacyid__4[[#This Row],[offeringid]:[ignore]])</f>
        <v>{"offeringid":"970000015","name":"Deezer 15.900_970000015","mode":"N"}</v>
      </c>
      <c r="I890" t="str">
        <f>ToJsonArray(supplementary_offering_legacyid__4[[#This Row],[semilla04]],supplementary_offering_legacyid__4[[#This Row],[json]])</f>
        <v>{"700000-15":{"offeringid":"970000015","name":"Deezer 15.900_970000015","mode":"N"}}</v>
      </c>
    </row>
    <row r="891" spans="1:9" x14ac:dyDescent="0.25">
      <c r="A891" s="60" t="s">
        <v>4782</v>
      </c>
      <c r="B891" s="60" t="str">
        <f>findKey(supplementary_offering_legacyid__4[[#This Row],[PRODUCCION]])</f>
        <v>700000-23</v>
      </c>
      <c r="C891" s="61" t="s">
        <v>4783</v>
      </c>
      <c r="D891" t="s">
        <v>4784</v>
      </c>
      <c r="E891" t="s">
        <v>2329</v>
      </c>
      <c r="F891" s="61"/>
      <c r="H891" t="str">
        <f>ToJsonArray(supplementary_offering_legacyid__4[[#Headers],[offeringid]:[json]],supplementary_offering_legacyid__4[[#This Row],[offeringid]:[ignore]])</f>
        <v>{"offeringid":"970000023","name":"Deezer2 12.000_970000023","mode":"N"}</v>
      </c>
      <c r="I891" t="str">
        <f>ToJsonArray(supplementary_offering_legacyid__4[[#This Row],[semilla04]],supplementary_offering_legacyid__4[[#This Row],[json]])</f>
        <v>{"700000-23":{"offeringid":"970000023","name":"Deezer2 12.000_970000023","mode":"N"}}</v>
      </c>
    </row>
    <row r="892" spans="1:9" x14ac:dyDescent="0.25">
      <c r="A892" s="60" t="s">
        <v>4785</v>
      </c>
      <c r="B892" s="60" t="str">
        <f>findKey(supplementary_offering_legacyid__4[[#This Row],[PRODUCCION]])</f>
        <v>700000-26</v>
      </c>
      <c r="C892" s="61" t="s">
        <v>4786</v>
      </c>
      <c r="D892" t="s">
        <v>4787</v>
      </c>
      <c r="E892" t="s">
        <v>2329</v>
      </c>
      <c r="F892" s="61"/>
      <c r="H892" t="str">
        <f>ToJsonArray(supplementary_offering_legacyid__4[[#Headers],[offeringid]:[json]],supplementary_offering_legacyid__4[[#This Row],[offeringid]:[ignore]])</f>
        <v>{"offeringid":"970000026","name":"Deezer2 8500_970000026","mode":"N"}</v>
      </c>
      <c r="I892" t="str">
        <f>ToJsonArray(supplementary_offering_legacyid__4[[#This Row],[semilla04]],supplementary_offering_legacyid__4[[#This Row],[json]])</f>
        <v>{"700000-26":{"offeringid":"970000026","name":"Deezer2 8500_970000026","mode":"N"}}</v>
      </c>
    </row>
    <row r="893" spans="1:9" x14ac:dyDescent="0.25">
      <c r="A893" s="60" t="s">
        <v>4788</v>
      </c>
      <c r="B893" s="60" t="str">
        <f>findKey(supplementary_offering_legacyid__4[[#This Row],[PRODUCCION]])</f>
        <v>700000-29</v>
      </c>
      <c r="C893" s="61" t="s">
        <v>4789</v>
      </c>
      <c r="D893" t="s">
        <v>4790</v>
      </c>
      <c r="E893" t="s">
        <v>2329</v>
      </c>
      <c r="F893" s="61"/>
      <c r="H893" t="str">
        <f>ToJsonArray(supplementary_offering_legacyid__4[[#Headers],[offeringid]:[json]],supplementary_offering_legacyid__4[[#This Row],[offeringid]:[ignore]])</f>
        <v>{"offeringid":"970000029","name":"Deezer2 Ilimitado_970000029","mode":"N"}</v>
      </c>
      <c r="I893" t="str">
        <f>ToJsonArray(supplementary_offering_legacyid__4[[#This Row],[semilla04]],supplementary_offering_legacyid__4[[#This Row],[json]])</f>
        <v>{"700000-29":{"offeringid":"970000029","name":"Deezer2 Ilimitado_970000029","mode":"N"}}</v>
      </c>
    </row>
    <row r="894" spans="1:9" x14ac:dyDescent="0.25">
      <c r="A894" s="60" t="s">
        <v>4791</v>
      </c>
      <c r="B894" s="60" t="str">
        <f>findKey(supplementary_offering_legacyid__4[[#This Row],[PRODUCCION]])</f>
        <v>700000-32</v>
      </c>
      <c r="C894" s="61" t="s">
        <v>4792</v>
      </c>
      <c r="D894" t="s">
        <v>4793</v>
      </c>
      <c r="E894" t="s">
        <v>2329</v>
      </c>
      <c r="F894" s="61"/>
      <c r="H894" t="str">
        <f>ToJsonArray(supplementary_offering_legacyid__4[[#Headers],[offeringid]:[json]],supplementary_offering_legacyid__4[[#This Row],[offeringid]:[ignore]])</f>
        <v>{"offeringid":"970000032","name":"Deezer2 11952_970000032","mode":"N"}</v>
      </c>
      <c r="I894" t="str">
        <f>ToJsonArray(supplementary_offering_legacyid__4[[#This Row],[semilla04]],supplementary_offering_legacyid__4[[#This Row],[json]])</f>
        <v>{"700000-32":{"offeringid":"970000032","name":"Deezer2 11952_970000032","mode":"N"}}</v>
      </c>
    </row>
    <row r="895" spans="1:9" x14ac:dyDescent="0.25">
      <c r="A895" s="60" t="s">
        <v>4794</v>
      </c>
      <c r="B895" s="60" t="str">
        <f>findKey(supplementary_offering_legacyid__4[[#This Row],[PRODUCCION]])</f>
        <v>800000-20</v>
      </c>
      <c r="C895" s="61" t="s">
        <v>4795</v>
      </c>
      <c r="D895" t="s">
        <v>4796</v>
      </c>
      <c r="E895" t="s">
        <v>2329</v>
      </c>
      <c r="F895" s="61"/>
      <c r="H895" t="str">
        <f>ToJsonArray(supplementary_offering_legacyid__4[[#Headers],[offeringid]:[json]],supplementary_offering_legacyid__4[[#This Row],[offeringid]:[ignore]])</f>
        <v>{"offeringid":"980000020","name":"SDP 8GB-2D_980000020","mode":"N"}</v>
      </c>
      <c r="I895" t="str">
        <f>ToJsonArray(supplementary_offering_legacyid__4[[#This Row],[semilla04]],supplementary_offering_legacyid__4[[#This Row],[json]])</f>
        <v>{"800000-20":{"offeringid":"980000020","name":"SDP 8GB-2D_980000020","mode":"N"}}</v>
      </c>
    </row>
    <row r="896" spans="1:9" x14ac:dyDescent="0.25">
      <c r="A896" s="60" t="s">
        <v>4797</v>
      </c>
      <c r="B896" s="60" t="str">
        <f>findKey(supplementary_offering_legacyid__4[[#This Row],[PRODUCCION]])</f>
        <v>800000-24</v>
      </c>
      <c r="C896" s="61" t="s">
        <v>4798</v>
      </c>
      <c r="D896" t="s">
        <v>4799</v>
      </c>
      <c r="E896" t="s">
        <v>2329</v>
      </c>
      <c r="F896" s="61"/>
      <c r="H896" t="str">
        <f>ToJsonArray(supplementary_offering_legacyid__4[[#Headers],[offeringid]:[json]],supplementary_offering_legacyid__4[[#This Row],[offeringid]:[ignore]])</f>
        <v>{"offeringid":"980000024","name":"SDP 10GB-5D_980000024","mode":"N"}</v>
      </c>
      <c r="I896" t="str">
        <f>ToJsonArray(supplementary_offering_legacyid__4[[#This Row],[semilla04]],supplementary_offering_legacyid__4[[#This Row],[json]])</f>
        <v>{"800000-24":{"offeringid":"980000024","name":"SDP 10GB-5D_980000024","mode":"N"}}</v>
      </c>
    </row>
    <row r="897" spans="1:9" x14ac:dyDescent="0.25">
      <c r="A897" s="60" t="s">
        <v>4800</v>
      </c>
      <c r="B897" s="60" t="str">
        <f>findKey(supplementary_offering_legacyid__4[[#This Row],[PRODUCCION]])</f>
        <v>800000-25</v>
      </c>
      <c r="C897" s="61" t="s">
        <v>4801</v>
      </c>
      <c r="D897" t="s">
        <v>4802</v>
      </c>
      <c r="E897" t="s">
        <v>2329</v>
      </c>
      <c r="F897" s="61"/>
      <c r="H897" t="str">
        <f>ToJsonArray(supplementary_offering_legacyid__4[[#Headers],[offeringid]:[json]],supplementary_offering_legacyid__4[[#This Row],[offeringid]:[ignore]])</f>
        <v>{"offeringid":"980000025","name":"SDP 6GB-2D_980000025","mode":"N"}</v>
      </c>
      <c r="I897" t="str">
        <f>ToJsonArray(supplementary_offering_legacyid__4[[#This Row],[semilla04]],supplementary_offering_legacyid__4[[#This Row],[json]])</f>
        <v>{"800000-25":{"offeringid":"980000025","name":"SDP 6GB-2D_980000025","mode":"N"}}</v>
      </c>
    </row>
    <row r="898" spans="1:9" x14ac:dyDescent="0.25">
      <c r="A898" s="60" t="s">
        <v>4803</v>
      </c>
      <c r="B898" s="60" t="str">
        <f>findKey(supplementary_offering_legacyid__4[[#This Row],[PRODUCCION]])</f>
        <v>800000-26</v>
      </c>
      <c r="C898" s="61" t="s">
        <v>4804</v>
      </c>
      <c r="D898" t="s">
        <v>4805</v>
      </c>
      <c r="E898" t="s">
        <v>2329</v>
      </c>
      <c r="F898" s="61"/>
      <c r="H898" t="str">
        <f>ToJsonArray(supplementary_offering_legacyid__4[[#Headers],[offeringid]:[json]],supplementary_offering_legacyid__4[[#This Row],[offeringid]:[ignore]])</f>
        <v>{"offeringid":"980000026","name":"SDP 7.5GB-2D_980000026","mode":"N"}</v>
      </c>
      <c r="I898" t="str">
        <f>ToJsonArray(supplementary_offering_legacyid__4[[#This Row],[semilla04]],supplementary_offering_legacyid__4[[#This Row],[json]])</f>
        <v>{"800000-26":{"offeringid":"980000026","name":"SDP 7.5GB-2D_980000026","mode":"N"}}</v>
      </c>
    </row>
    <row r="899" spans="1:9" x14ac:dyDescent="0.25">
      <c r="A899" s="60" t="s">
        <v>4806</v>
      </c>
      <c r="B899" s="60" t="str">
        <f>findKey(supplementary_offering_legacyid__4[[#This Row],[PRODUCCION]])</f>
        <v>800000-27</v>
      </c>
      <c r="C899" s="61" t="s">
        <v>4807</v>
      </c>
      <c r="D899" t="s">
        <v>4808</v>
      </c>
      <c r="E899" t="s">
        <v>2329</v>
      </c>
      <c r="F899" s="61"/>
      <c r="H899" t="str">
        <f>ToJsonArray(supplementary_offering_legacyid__4[[#Headers],[offeringid]:[json]],supplementary_offering_legacyid__4[[#This Row],[offeringid]:[ignore]])</f>
        <v>{"offeringid":"980000027","name":"SDP 9GB-2D_980000027","mode":"N"}</v>
      </c>
      <c r="I899" t="str">
        <f>ToJsonArray(supplementary_offering_legacyid__4[[#This Row],[semilla04]],supplementary_offering_legacyid__4[[#This Row],[json]])</f>
        <v>{"800000-27":{"offeringid":"980000027","name":"SDP 9GB-2D_980000027","mode":"N"}}</v>
      </c>
    </row>
    <row r="900" spans="1:9" x14ac:dyDescent="0.25">
      <c r="A900" s="60" t="s">
        <v>4809</v>
      </c>
      <c r="B900" s="60" t="str">
        <f>findKey(supplementary_offering_legacyid__4[[#This Row],[PRODUCCION]])</f>
        <v>800000-28</v>
      </c>
      <c r="C900" s="61" t="s">
        <v>4810</v>
      </c>
      <c r="D900" t="s">
        <v>4811</v>
      </c>
      <c r="E900" t="s">
        <v>2329</v>
      </c>
      <c r="F900" s="61"/>
      <c r="H900" t="str">
        <f>ToJsonArray(supplementary_offering_legacyid__4[[#Headers],[offeringid]:[json]],supplementary_offering_legacyid__4[[#This Row],[offeringid]:[ignore]])</f>
        <v>{"offeringid":"980000028","name":"SDP 10GB-3D_980000028","mode":"N"}</v>
      </c>
      <c r="I900" t="str">
        <f>ToJsonArray(supplementary_offering_legacyid__4[[#This Row],[semilla04]],supplementary_offering_legacyid__4[[#This Row],[json]])</f>
        <v>{"800000-28":{"offeringid":"980000028","name":"SDP 10GB-3D_980000028","mode":"N"}}</v>
      </c>
    </row>
    <row r="901" spans="1:9" x14ac:dyDescent="0.25">
      <c r="A901" s="60" t="s">
        <v>4812</v>
      </c>
      <c r="B901" s="60" t="str">
        <f>findKey(supplementary_offering_legacyid__4[[#This Row],[PRODUCCION]])</f>
        <v>800000-29</v>
      </c>
      <c r="C901" s="61" t="s">
        <v>4813</v>
      </c>
      <c r="D901" t="s">
        <v>4814</v>
      </c>
      <c r="E901" t="s">
        <v>2329</v>
      </c>
      <c r="F901" s="61"/>
      <c r="H901" t="str">
        <f>ToJsonArray(supplementary_offering_legacyid__4[[#Headers],[offeringid]:[json]],supplementary_offering_legacyid__4[[#This Row],[offeringid]:[ignore]])</f>
        <v>{"offeringid":"980000029","name":"SDP 11GB-3D_980000029","mode":"N"}</v>
      </c>
      <c r="I901" t="str">
        <f>ToJsonArray(supplementary_offering_legacyid__4[[#This Row],[semilla04]],supplementary_offering_legacyid__4[[#This Row],[json]])</f>
        <v>{"800000-29":{"offeringid":"980000029","name":"SDP 11GB-3D_980000029","mode":"N"}}</v>
      </c>
    </row>
    <row r="902" spans="1:9" x14ac:dyDescent="0.25">
      <c r="A902" s="60" t="s">
        <v>4815</v>
      </c>
      <c r="B902" s="60" t="str">
        <f>findKey(supplementary_offering_legacyid__4[[#This Row],[PRODUCCION]])</f>
        <v>800000-30</v>
      </c>
      <c r="C902" s="61" t="s">
        <v>4816</v>
      </c>
      <c r="D902" t="s">
        <v>4817</v>
      </c>
      <c r="E902" t="s">
        <v>2329</v>
      </c>
      <c r="F902" s="61"/>
      <c r="H902" t="str">
        <f>ToJsonArray(supplementary_offering_legacyid__4[[#Headers],[offeringid]:[json]],supplementary_offering_legacyid__4[[#This Row],[offeringid]:[ignore]])</f>
        <v>{"offeringid":"980000030","name":"SDP 14GB-5D_980000030","mode":"N"}</v>
      </c>
      <c r="I902" t="str">
        <f>ToJsonArray(supplementary_offering_legacyid__4[[#This Row],[semilla04]],supplementary_offering_legacyid__4[[#This Row],[json]])</f>
        <v>{"800000-30":{"offeringid":"980000030","name":"SDP 14GB-5D_980000030","mode":"N"}}</v>
      </c>
    </row>
    <row r="903" spans="1:9" x14ac:dyDescent="0.25">
      <c r="A903" s="60" t="s">
        <v>4818</v>
      </c>
      <c r="B903" s="60" t="str">
        <f>findKey(supplementary_offering_legacyid__4[[#This Row],[PRODUCCION]])</f>
        <v>800000-42</v>
      </c>
      <c r="C903" s="61" t="s">
        <v>4819</v>
      </c>
      <c r="D903" t="s">
        <v>4820</v>
      </c>
      <c r="E903" t="s">
        <v>2329</v>
      </c>
      <c r="F903" s="61"/>
      <c r="H903" t="str">
        <f>ToJsonArray(supplementary_offering_legacyid__4[[#Headers],[offeringid]:[json]],supplementary_offering_legacyid__4[[#This Row],[offeringid]:[ignore]])</f>
        <v>{"offeringid":"980000042","name":"SDP 11GB-5D_980000042","mode":"N"}</v>
      </c>
      <c r="I903" t="str">
        <f>ToJsonArray(supplementary_offering_legacyid__4[[#This Row],[semilla04]],supplementary_offering_legacyid__4[[#This Row],[json]])</f>
        <v>{"800000-42":{"offeringid":"980000042","name":"SDP 11GB-5D_980000042","mode":"N"}}</v>
      </c>
    </row>
    <row r="904" spans="1:9" x14ac:dyDescent="0.25">
      <c r="A904" s="60" t="s">
        <v>4821</v>
      </c>
      <c r="B904" s="60" t="str">
        <f>findKey(supplementary_offering_legacyid__4[[#This Row],[PRODUCCION]])</f>
        <v>800000-43</v>
      </c>
      <c r="C904" s="61" t="s">
        <v>4822</v>
      </c>
      <c r="D904" t="s">
        <v>4823</v>
      </c>
      <c r="E904" t="s">
        <v>2329</v>
      </c>
      <c r="F904" s="61"/>
      <c r="H904" t="str">
        <f>ToJsonArray(supplementary_offering_legacyid__4[[#Headers],[offeringid]:[json]],supplementary_offering_legacyid__4[[#This Row],[offeringid]:[ignore]])</f>
        <v>{"offeringid":"980000043","name":"SDP 11GB-6D_980000043","mode":"N"}</v>
      </c>
      <c r="I904" t="str">
        <f>ToJsonArray(supplementary_offering_legacyid__4[[#This Row],[semilla04]],supplementary_offering_legacyid__4[[#This Row],[json]])</f>
        <v>{"800000-43":{"offeringid":"980000043","name":"SDP 11GB-6D_980000043","mode":"N"}}</v>
      </c>
    </row>
    <row r="905" spans="1:9" x14ac:dyDescent="0.25">
      <c r="A905" s="60" t="s">
        <v>4824</v>
      </c>
      <c r="B905" s="60" t="str">
        <f>findKey(supplementary_offering_legacyid__4[[#This Row],[PRODUCCION]])</f>
        <v>800000-54</v>
      </c>
      <c r="C905" s="61" t="s">
        <v>4825</v>
      </c>
      <c r="D905" t="s">
        <v>4826</v>
      </c>
      <c r="E905" t="s">
        <v>2329</v>
      </c>
      <c r="F905" s="61"/>
      <c r="H905" t="str">
        <f>ToJsonArray(supplementary_offering_legacyid__4[[#Headers],[offeringid]:[json]],supplementary_offering_legacyid__4[[#This Row],[offeringid]:[ignore]])</f>
        <v>{"offeringid":"980000054","name":"SDP 20GB-6D_980000054","mode":"N"}</v>
      </c>
      <c r="I905" t="str">
        <f>ToJsonArray(supplementary_offering_legacyid__4[[#This Row],[semilla04]],supplementary_offering_legacyid__4[[#This Row],[json]])</f>
        <v>{"800000-54":{"offeringid":"980000054","name":"SDP 20GB-6D_980000054","mode":"N"}}</v>
      </c>
    </row>
    <row r="906" spans="1:9" x14ac:dyDescent="0.25">
      <c r="A906" s="60" t="s">
        <v>4827</v>
      </c>
      <c r="B906" s="60" t="str">
        <f>findKey(supplementary_offering_legacyid__4[[#This Row],[PRODUCCION]])</f>
        <v>800000-60</v>
      </c>
      <c r="C906" s="61" t="s">
        <v>4828</v>
      </c>
      <c r="D906" t="s">
        <v>4829</v>
      </c>
      <c r="E906" t="s">
        <v>2329</v>
      </c>
      <c r="F906" s="61"/>
      <c r="H906" t="str">
        <f>ToJsonArray(supplementary_offering_legacyid__4[[#Headers],[offeringid]:[json]],supplementary_offering_legacyid__4[[#This Row],[offeringid]:[ignore]])</f>
        <v>{"offeringid":"980000060","name":"SDP 12GB-3D_980000060","mode":"N"}</v>
      </c>
      <c r="I906" t="str">
        <f>ToJsonArray(supplementary_offering_legacyid__4[[#This Row],[semilla04]],supplementary_offering_legacyid__4[[#This Row],[json]])</f>
        <v>{"800000-60":{"offeringid":"980000060","name":"SDP 12GB-3D_980000060","mode":"N"}}</v>
      </c>
    </row>
    <row r="907" spans="1:9" x14ac:dyDescent="0.25">
      <c r="A907" s="60" t="s">
        <v>4830</v>
      </c>
      <c r="B907" s="60" t="str">
        <f>findKey(supplementary_offering_legacyid__4[[#This Row],[PRODUCCION]])</f>
        <v>800000-61</v>
      </c>
      <c r="C907" s="61" t="s">
        <v>4831</v>
      </c>
      <c r="D907" t="s">
        <v>4832</v>
      </c>
      <c r="E907" t="s">
        <v>2329</v>
      </c>
      <c r="F907" s="61"/>
      <c r="H907" t="str">
        <f>ToJsonArray(supplementary_offering_legacyid__4[[#Headers],[offeringid]:[json]],supplementary_offering_legacyid__4[[#This Row],[offeringid]:[ignore]])</f>
        <v>{"offeringid":"980000061","name":"SDP 15GB-3D_980000061","mode":"N"}</v>
      </c>
      <c r="I907" t="str">
        <f>ToJsonArray(supplementary_offering_legacyid__4[[#This Row],[semilla04]],supplementary_offering_legacyid__4[[#This Row],[json]])</f>
        <v>{"800000-61":{"offeringid":"980000061","name":"SDP 15GB-3D_980000061","mode":"N"}}</v>
      </c>
    </row>
    <row r="908" spans="1:9" x14ac:dyDescent="0.25">
      <c r="A908" s="60" t="s">
        <v>4833</v>
      </c>
      <c r="B908" s="60" t="str">
        <f>findKey(supplementary_offering_legacyid__4[[#This Row],[PRODUCCION]])</f>
        <v>800000-67</v>
      </c>
      <c r="C908" s="61" t="s">
        <v>4834</v>
      </c>
      <c r="D908" t="s">
        <v>4835</v>
      </c>
      <c r="E908" t="s">
        <v>2329</v>
      </c>
      <c r="F908" s="61"/>
      <c r="H908" t="str">
        <f>ToJsonArray(supplementary_offering_legacyid__4[[#Headers],[offeringid]:[json]],supplementary_offering_legacyid__4[[#This Row],[offeringid]:[ignore]])</f>
        <v>{"offeringid":"980000067","name":"SDP 6GB-3D_980000067","mode":"N"}</v>
      </c>
      <c r="I908" t="str">
        <f>ToJsonArray(supplementary_offering_legacyid__4[[#This Row],[semilla04]],supplementary_offering_legacyid__4[[#This Row],[json]])</f>
        <v>{"800000-67":{"offeringid":"980000067","name":"SDP 6GB-3D_980000067","mode":"N"}}</v>
      </c>
    </row>
    <row r="909" spans="1:9" x14ac:dyDescent="0.25">
      <c r="A909" s="60" t="s">
        <v>4836</v>
      </c>
      <c r="B909" s="60" t="str">
        <f>findKey(supplementary_offering_legacyid__4[[#This Row],[PRODUCCION]])</f>
        <v>800000-69</v>
      </c>
      <c r="C909" s="61" t="s">
        <v>4837</v>
      </c>
      <c r="D909" t="s">
        <v>4838</v>
      </c>
      <c r="E909" t="s">
        <v>2329</v>
      </c>
      <c r="F909" s="61"/>
      <c r="H909" t="str">
        <f>ToJsonArray(supplementary_offering_legacyid__4[[#Headers],[offeringid]:[json]],supplementary_offering_legacyid__4[[#This Row],[offeringid]:[ignore]])</f>
        <v>{"offeringid":"980000069","name":"SDP 10GB-3D_980000069","mode":"N"}</v>
      </c>
      <c r="I909" t="str">
        <f>ToJsonArray(supplementary_offering_legacyid__4[[#This Row],[semilla04]],supplementary_offering_legacyid__4[[#This Row],[json]])</f>
        <v>{"800000-69":{"offeringid":"980000069","name":"SDP 10GB-3D_980000069","mode":"N"}}</v>
      </c>
    </row>
    <row r="910" spans="1:9" x14ac:dyDescent="0.25">
      <c r="A910" s="60" t="s">
        <v>4839</v>
      </c>
      <c r="B910" s="60" t="str">
        <f>findKey(supplementary_offering_legacyid__4[[#This Row],[PRODUCCION]])</f>
        <v>800000-70</v>
      </c>
      <c r="C910" s="61" t="s">
        <v>4840</v>
      </c>
      <c r="D910" t="s">
        <v>4841</v>
      </c>
      <c r="E910" t="s">
        <v>2329</v>
      </c>
      <c r="F910" s="61"/>
      <c r="H910" t="str">
        <f>ToJsonArray(supplementary_offering_legacyid__4[[#Headers],[offeringid]:[json]],supplementary_offering_legacyid__4[[#This Row],[offeringid]:[ignore]])</f>
        <v>{"offeringid":"980000070","name":"SDP 12GB-3D_980000070","mode":"N"}</v>
      </c>
      <c r="I910" t="str">
        <f>ToJsonArray(supplementary_offering_legacyid__4[[#This Row],[semilla04]],supplementary_offering_legacyid__4[[#This Row],[json]])</f>
        <v>{"800000-70":{"offeringid":"980000070","name":"SDP 12GB-3D_980000070","mode":"N"}}</v>
      </c>
    </row>
    <row r="911" spans="1:9" x14ac:dyDescent="0.25">
      <c r="A911" s="60" t="s">
        <v>4842</v>
      </c>
      <c r="B911" s="60" t="str">
        <f>findKey(supplementary_offering_legacyid__4[[#This Row],[PRODUCCION]])</f>
        <v>800000-72</v>
      </c>
      <c r="C911" s="61" t="s">
        <v>4843</v>
      </c>
      <c r="D911" t="s">
        <v>4844</v>
      </c>
      <c r="E911" t="s">
        <v>2329</v>
      </c>
      <c r="F911" s="61"/>
      <c r="H911" t="str">
        <f>ToJsonArray(supplementary_offering_legacyid__4[[#Headers],[offeringid]:[json]],supplementary_offering_legacyid__4[[#This Row],[offeringid]:[ignore]])</f>
        <v>{"offeringid":"980000072","name":"SDP 10GB-5D_980000072","mode":"N"}</v>
      </c>
      <c r="I911" t="str">
        <f>ToJsonArray(supplementary_offering_legacyid__4[[#This Row],[semilla04]],supplementary_offering_legacyid__4[[#This Row],[json]])</f>
        <v>{"800000-72":{"offeringid":"980000072","name":"SDP 10GB-5D_980000072","mode":"N"}}</v>
      </c>
    </row>
    <row r="912" spans="1:9" x14ac:dyDescent="0.25">
      <c r="A912" s="60" t="s">
        <v>4845</v>
      </c>
      <c r="B912" s="60" t="str">
        <f>findKey(supplementary_offering_legacyid__4[[#This Row],[PRODUCCION]])</f>
        <v>800000-74</v>
      </c>
      <c r="C912" s="61" t="s">
        <v>4846</v>
      </c>
      <c r="D912" t="s">
        <v>4847</v>
      </c>
      <c r="E912" t="s">
        <v>2329</v>
      </c>
      <c r="F912" s="61"/>
      <c r="H912" t="str">
        <f>ToJsonArray(supplementary_offering_legacyid__4[[#Headers],[offeringid]:[json]],supplementary_offering_legacyid__4[[#This Row],[offeringid]:[ignore]])</f>
        <v>{"offeringid":"980000074","name":"SDP 15GB-5D_980000074","mode":"N"}</v>
      </c>
      <c r="I912" t="str">
        <f>ToJsonArray(supplementary_offering_legacyid__4[[#This Row],[semilla04]],supplementary_offering_legacyid__4[[#This Row],[json]])</f>
        <v>{"800000-74":{"offeringid":"980000074","name":"SDP 15GB-5D_980000074","mode":"N"}}</v>
      </c>
    </row>
    <row r="913" spans="1:9" x14ac:dyDescent="0.25">
      <c r="A913" s="60" t="s">
        <v>4848</v>
      </c>
      <c r="B913" s="60" t="str">
        <f>findKey(supplementary_offering_legacyid__4[[#This Row],[PRODUCCION]])</f>
        <v>810001-01</v>
      </c>
      <c r="C913" s="61" t="s">
        <v>4849</v>
      </c>
      <c r="D913" t="s">
        <v>4850</v>
      </c>
      <c r="E913" t="s">
        <v>2329</v>
      </c>
      <c r="F913" s="61"/>
      <c r="H913" t="str">
        <f>ToJsonArray(supplementary_offering_legacyid__4[[#Headers],[offeringid]:[json]],supplementary_offering_legacyid__4[[#This Row],[offeringid]:[ignore]])</f>
        <v>{"offeringid":"981000101","name":"SDP 400TD-2D_981000101","mode":"N"}</v>
      </c>
      <c r="I913" t="str">
        <f>ToJsonArray(supplementary_offering_legacyid__4[[#This Row],[semilla04]],supplementary_offering_legacyid__4[[#This Row],[json]])</f>
        <v>{"810001-01":{"offeringid":"981000101","name":"SDP 400TD-2D_981000101","mode":"N"}}</v>
      </c>
    </row>
    <row r="914" spans="1:9" x14ac:dyDescent="0.25">
      <c r="A914" s="60" t="s">
        <v>4851</v>
      </c>
      <c r="B914" s="60" t="str">
        <f>findKey(supplementary_offering_legacyid__4[[#This Row],[PRODUCCION]])</f>
        <v>810001-04</v>
      </c>
      <c r="C914" s="61" t="s">
        <v>4852</v>
      </c>
      <c r="D914" t="s">
        <v>4853</v>
      </c>
      <c r="E914" t="s">
        <v>2329</v>
      </c>
      <c r="F914" s="61"/>
      <c r="H914" t="str">
        <f>ToJsonArray(supplementary_offering_legacyid__4[[#Headers],[offeringid]:[json]],supplementary_offering_legacyid__4[[#This Row],[offeringid]:[ignore]])</f>
        <v>{"offeringid":"981000104","name":"SDP 2000TD-5D_981000104","mode":"N"}</v>
      </c>
      <c r="I914" t="str">
        <f>ToJsonArray(supplementary_offering_legacyid__4[[#This Row],[semilla04]],supplementary_offering_legacyid__4[[#This Row],[json]])</f>
        <v>{"810001-04":{"offeringid":"981000104","name":"SDP 2000TD-5D_981000104","mode":"N"}}</v>
      </c>
    </row>
    <row r="915" spans="1:9" x14ac:dyDescent="0.25">
      <c r="A915" s="60" t="s">
        <v>4854</v>
      </c>
      <c r="B915" s="60" t="str">
        <f>findKey(supplementary_offering_legacyid__4[[#This Row],[PRODUCCION]])</f>
        <v>810003-02</v>
      </c>
      <c r="C915" s="61" t="s">
        <v>4855</v>
      </c>
      <c r="D915" t="s">
        <v>4856</v>
      </c>
      <c r="E915" t="s">
        <v>2329</v>
      </c>
      <c r="F915" s="61"/>
      <c r="H915" t="str">
        <f>ToJsonArray(supplementary_offering_legacyid__4[[#Headers],[offeringid]:[json]],supplementary_offering_legacyid__4[[#This Row],[offeringid]:[ignore]])</f>
        <v>{"offeringid":"981000302","name":"SDP 200SMS-5D_981000302","mode":"N"}</v>
      </c>
      <c r="I915" t="str">
        <f>ToJsonArray(supplementary_offering_legacyid__4[[#This Row],[semilla04]],supplementary_offering_legacyid__4[[#This Row],[json]])</f>
        <v>{"810003-02":{"offeringid":"981000302","name":"SDP 200SMS-5D_981000302","mode":"N"}}</v>
      </c>
    </row>
    <row r="916" spans="1:9" x14ac:dyDescent="0.25">
      <c r="A916" s="60" t="s">
        <v>4857</v>
      </c>
      <c r="B916" s="60" t="str">
        <f>findKey(supplementary_offering_legacyid__4[[#This Row],[PRODUCCION]])</f>
        <v>810004-01</v>
      </c>
      <c r="C916" s="61" t="s">
        <v>4858</v>
      </c>
      <c r="D916" t="s">
        <v>4859</v>
      </c>
      <c r="E916" t="s">
        <v>2329</v>
      </c>
      <c r="F916" s="61"/>
      <c r="H916" t="str">
        <f>ToJsonArray(supplementary_offering_legacyid__4[[#Headers],[offeringid]:[json]],supplementary_offering_legacyid__4[[#This Row],[offeringid]:[ignore]])</f>
        <v>{"offeringid":"981000401","name":"SDP CUGV-2D_981000401","mode":"N"}</v>
      </c>
      <c r="I916" t="str">
        <f>ToJsonArray(supplementary_offering_legacyid__4[[#This Row],[semilla04]],supplementary_offering_legacyid__4[[#This Row],[json]])</f>
        <v>{"810004-01":{"offeringid":"981000401","name":"SDP CUGV-2D_981000401","mode":"N"}}</v>
      </c>
    </row>
    <row r="917" spans="1:9" x14ac:dyDescent="0.25">
      <c r="A917" s="60" t="s">
        <v>4860</v>
      </c>
      <c r="B917" s="60" t="str">
        <f>findKey(supplementary_offering_legacyid__4[[#This Row],[PRODUCCION]])</f>
        <v>810004-05</v>
      </c>
      <c r="C917" s="61" t="s">
        <v>4861</v>
      </c>
      <c r="D917" t="s">
        <v>4862</v>
      </c>
      <c r="E917" t="s">
        <v>2329</v>
      </c>
      <c r="F917" s="61"/>
      <c r="H917" t="str">
        <f>ToJsonArray(supplementary_offering_legacyid__4[[#Headers],[offeringid]:[json]],supplementary_offering_legacyid__4[[#This Row],[offeringid]:[ignore]])</f>
        <v>{"offeringid":"981000405","name":"SDP CUGV-5D_981000405","mode":"N"}</v>
      </c>
      <c r="I917" t="str">
        <f>ToJsonArray(supplementary_offering_legacyid__4[[#This Row],[semilla04]],supplementary_offering_legacyid__4[[#This Row],[json]])</f>
        <v>{"810004-05":{"offeringid":"981000405","name":"SDP CUGV-5D_981000405","mode":"N"}}</v>
      </c>
    </row>
    <row r="918" spans="1:9" x14ac:dyDescent="0.25">
      <c r="A918" s="60" t="s">
        <v>4863</v>
      </c>
      <c r="B918" s="60" t="str">
        <f>findKey(supplementary_offering_legacyid__4[[#This Row],[PRODUCCION]])</f>
        <v>810004-07</v>
      </c>
      <c r="C918" s="61" t="s">
        <v>4864</v>
      </c>
      <c r="D918" t="s">
        <v>4865</v>
      </c>
      <c r="E918" t="s">
        <v>2329</v>
      </c>
      <c r="F918" s="61"/>
      <c r="H918" t="str">
        <f>ToJsonArray(supplementary_offering_legacyid__4[[#Headers],[offeringid]:[json]],supplementary_offering_legacyid__4[[#This Row],[offeringid]:[ignore]])</f>
        <v>{"offeringid":"981000407","name":"SDP CUGV-3D_981000407","mode":"N"}</v>
      </c>
      <c r="I918" t="str">
        <f>ToJsonArray(supplementary_offering_legacyid__4[[#This Row],[semilla04]],supplementary_offering_legacyid__4[[#This Row],[json]])</f>
        <v>{"810004-07":{"offeringid":"981000407","name":"SDP CUGV-3D_981000407","mode":"N"}}</v>
      </c>
    </row>
    <row r="919" spans="1:9" x14ac:dyDescent="0.25">
      <c r="A919" s="60" t="s">
        <v>4866</v>
      </c>
      <c r="B919" s="60" t="str">
        <f>findKey(supplementary_offering_legacyid__4[[#This Row],[PRODUCCION]])</f>
        <v>810004-09</v>
      </c>
      <c r="C919" s="61" t="s">
        <v>4867</v>
      </c>
      <c r="D919" t="s">
        <v>4868</v>
      </c>
      <c r="E919" t="s">
        <v>2329</v>
      </c>
      <c r="F919" s="61"/>
      <c r="H919" t="str">
        <f>ToJsonArray(supplementary_offering_legacyid__4[[#Headers],[offeringid]:[json]],supplementary_offering_legacyid__4[[#This Row],[offeringid]:[ignore]])</f>
        <v>{"offeringid":"981000409","name":"CUG-4D_981000409","mode":"N"}</v>
      </c>
      <c r="I919" t="str">
        <f>ToJsonArray(supplementary_offering_legacyid__4[[#This Row],[semilla04]],supplementary_offering_legacyid__4[[#This Row],[json]])</f>
        <v>{"810004-09":{"offeringid":"981000409","name":"CUG-4D_981000409","mode":"N"}}</v>
      </c>
    </row>
    <row r="920" spans="1:9" x14ac:dyDescent="0.25">
      <c r="A920" s="60" t="s">
        <v>4869</v>
      </c>
      <c r="B920" s="60" t="str">
        <f>findKey(supplementary_offering_legacyid__4[[#This Row],[PRODUCCION]])</f>
        <v>810004-10</v>
      </c>
      <c r="C920" s="61" t="s">
        <v>4870</v>
      </c>
      <c r="D920" t="s">
        <v>4871</v>
      </c>
      <c r="E920" t="s">
        <v>2329</v>
      </c>
      <c r="F920" s="61"/>
      <c r="H920" t="str">
        <f>ToJsonArray(supplementary_offering_legacyid__4[[#Headers],[offeringid]:[json]],supplementary_offering_legacyid__4[[#This Row],[offeringid]:[ignore]])</f>
        <v>{"offeringid":"981000410","name":"CUG-4D_981000410","mode":"N"}</v>
      </c>
      <c r="I920" t="str">
        <f>ToJsonArray(supplementary_offering_legacyid__4[[#This Row],[semilla04]],supplementary_offering_legacyid__4[[#This Row],[json]])</f>
        <v>{"810004-10":{"offeringid":"981000410","name":"CUG-4D_981000410","mode":"N"}}</v>
      </c>
    </row>
    <row r="921" spans="1:9" x14ac:dyDescent="0.25">
      <c r="A921" s="60" t="s">
        <v>4872</v>
      </c>
      <c r="B921" s="60" t="str">
        <f>findKey(supplementary_offering_legacyid__4[[#This Row],[PRODUCCION]])</f>
        <v>810004-12</v>
      </c>
      <c r="C921" s="61" t="s">
        <v>4873</v>
      </c>
      <c r="D921" t="s">
        <v>4874</v>
      </c>
      <c r="E921" t="s">
        <v>2329</v>
      </c>
      <c r="F921" s="61"/>
      <c r="H921" t="str">
        <f>ToJsonArray(supplementary_offering_legacyid__4[[#Headers],[offeringid]:[json]],supplementary_offering_legacyid__4[[#This Row],[offeringid]:[ignore]])</f>
        <v>{"offeringid":"981000412","name":"CUG-3D_981000412","mode":"N"}</v>
      </c>
      <c r="I921" t="str">
        <f>ToJsonArray(supplementary_offering_legacyid__4[[#This Row],[semilla04]],supplementary_offering_legacyid__4[[#This Row],[json]])</f>
        <v>{"810004-12":{"offeringid":"981000412","name":"CUG-3D_981000412","mode":"N"}}</v>
      </c>
    </row>
    <row r="922" spans="1:9" x14ac:dyDescent="0.25">
      <c r="A922" s="60" t="s">
        <v>4875</v>
      </c>
      <c r="B922" s="60" t="str">
        <f>findKey(supplementary_offering_legacyid__4[[#This Row],[PRODUCCION]])</f>
        <v>810004-22</v>
      </c>
      <c r="C922" s="61" t="s">
        <v>4876</v>
      </c>
      <c r="D922" t="s">
        <v>4877</v>
      </c>
      <c r="E922" t="s">
        <v>2329</v>
      </c>
      <c r="F922" s="61"/>
      <c r="H922" t="str">
        <f>ToJsonArray(supplementary_offering_legacyid__4[[#Headers],[offeringid]:[json]],supplementary_offering_legacyid__4[[#This Row],[offeringid]:[ignore]])</f>
        <v>{"offeringid":"981000422","name":"CUG-5D_981000422","mode":"N"}</v>
      </c>
      <c r="I922" t="str">
        <f>ToJsonArray(supplementary_offering_legacyid__4[[#This Row],[semilla04]],supplementary_offering_legacyid__4[[#This Row],[json]])</f>
        <v>{"810004-22":{"offeringid":"981000422","name":"CUG-5D_981000422","mode":"N"}}</v>
      </c>
    </row>
    <row r="923" spans="1:9" x14ac:dyDescent="0.25">
      <c r="A923" s="60" t="s">
        <v>4878</v>
      </c>
      <c r="B923" s="60" t="str">
        <f>findKey(supplementary_offering_legacyid__4[[#This Row],[PRODUCCION]])</f>
        <v>810004-24</v>
      </c>
      <c r="C923" s="61" t="s">
        <v>4879</v>
      </c>
      <c r="D923" t="s">
        <v>4880</v>
      </c>
      <c r="E923" t="s">
        <v>2329</v>
      </c>
      <c r="F923" s="61"/>
      <c r="H923" t="str">
        <f>ToJsonArray(supplementary_offering_legacyid__4[[#Headers],[offeringid]:[json]],supplementary_offering_legacyid__4[[#This Row],[offeringid]:[ignore]])</f>
        <v>{"offeringid":"981000424","name":"CUG-5D_981000424","mode":"N"}</v>
      </c>
      <c r="I923" t="str">
        <f>ToJsonArray(supplementary_offering_legacyid__4[[#This Row],[semilla04]],supplementary_offering_legacyid__4[[#This Row],[json]])</f>
        <v>{"810004-24":{"offeringid":"981000424","name":"CUG-5D_981000424","mode":"N"}}</v>
      </c>
    </row>
    <row r="924" spans="1:9" x14ac:dyDescent="0.25">
      <c r="A924" s="60" t="s">
        <v>4881</v>
      </c>
      <c r="B924" s="60" t="str">
        <f>findKey(supplementary_offering_legacyid__4[[#This Row],[PRODUCCION]])</f>
        <v>810004-25</v>
      </c>
      <c r="C924" s="61" t="s">
        <v>4882</v>
      </c>
      <c r="D924" t="s">
        <v>4883</v>
      </c>
      <c r="E924" t="s">
        <v>2329</v>
      </c>
      <c r="F924" s="61"/>
      <c r="H924" t="str">
        <f>ToJsonArray(supplementary_offering_legacyid__4[[#Headers],[offeringid]:[json]],supplementary_offering_legacyid__4[[#This Row],[offeringid]:[ignore]])</f>
        <v>{"offeringid":"981000425","name":"CUG-5D_981000425","mode":"N"}</v>
      </c>
      <c r="I924" t="str">
        <f>ToJsonArray(supplementary_offering_legacyid__4[[#This Row],[semilla04]],supplementary_offering_legacyid__4[[#This Row],[json]])</f>
        <v>{"810004-25":{"offeringid":"981000425","name":"CUG-5D_981000425","mode":"N"}}</v>
      </c>
    </row>
    <row r="925" spans="1:9" x14ac:dyDescent="0.25">
      <c r="A925" s="60" t="s">
        <v>4884</v>
      </c>
      <c r="B925" s="60" t="str">
        <f>findKey(supplementary_offering_legacyid__4[[#This Row],[PRODUCCION]])</f>
        <v>810004-27</v>
      </c>
      <c r="C925" s="61" t="s">
        <v>4885</v>
      </c>
      <c r="D925" t="s">
        <v>4886</v>
      </c>
      <c r="E925" t="s">
        <v>2329</v>
      </c>
      <c r="F925" s="61"/>
      <c r="H925" t="str">
        <f>ToJsonArray(supplementary_offering_legacyid__4[[#Headers],[offeringid]:[json]],supplementary_offering_legacyid__4[[#This Row],[offeringid]:[ignore]])</f>
        <v>{"offeringid":"981000427","name":"CUG-4D_981000427","mode":"N"}</v>
      </c>
      <c r="I925" t="str">
        <f>ToJsonArray(supplementary_offering_legacyid__4[[#This Row],[semilla04]],supplementary_offering_legacyid__4[[#This Row],[json]])</f>
        <v>{"810004-27":{"offeringid":"981000427","name":"CUG-4D_981000427","mode":"N"}}</v>
      </c>
    </row>
    <row r="926" spans="1:9" x14ac:dyDescent="0.25">
      <c r="A926" s="60" t="s">
        <v>4887</v>
      </c>
      <c r="B926" s="60" t="str">
        <f>findKey(supplementary_offering_legacyid__4[[#This Row],[PRODUCCION]])</f>
        <v>810004-29</v>
      </c>
      <c r="C926" s="61" t="s">
        <v>4888</v>
      </c>
      <c r="D926" t="s">
        <v>4889</v>
      </c>
      <c r="E926" t="s">
        <v>2329</v>
      </c>
      <c r="F926" s="61"/>
      <c r="H926" t="str">
        <f>ToJsonArray(supplementary_offering_legacyid__4[[#Headers],[offeringid]:[json]],supplementary_offering_legacyid__4[[#This Row],[offeringid]:[ignore]])</f>
        <v>{"offeringid":"981000429","name":"CUG-5D_981000429","mode":"N"}</v>
      </c>
      <c r="I926" t="str">
        <f>ToJsonArray(supplementary_offering_legacyid__4[[#This Row],[semilla04]],supplementary_offering_legacyid__4[[#This Row],[json]])</f>
        <v>{"810004-29":{"offeringid":"981000429","name":"CUG-5D_981000429","mode":"N"}}</v>
      </c>
    </row>
    <row r="927" spans="1:9" x14ac:dyDescent="0.25">
      <c r="A927" s="60" t="s">
        <v>4890</v>
      </c>
      <c r="B927" s="60" t="str">
        <f>findKey(supplementary_offering_legacyid__4[[#This Row],[PRODUCCION]])</f>
        <v>830004-01</v>
      </c>
      <c r="C927" s="61" t="s">
        <v>4891</v>
      </c>
      <c r="D927" t="s">
        <v>4892</v>
      </c>
      <c r="E927" t="s">
        <v>2329</v>
      </c>
      <c r="F927" s="61"/>
      <c r="H927" t="str">
        <f>ToJsonArray(supplementary_offering_legacyid__4[[#Headers],[offeringid]:[json]],supplementary_offering_legacyid__4[[#This Row],[offeringid]:[ignore]])</f>
        <v>{"offeringid":"983000401","name":"SDP CUGS-2D_983000401","mode":"N"}</v>
      </c>
      <c r="I927" t="str">
        <f>ToJsonArray(supplementary_offering_legacyid__4[[#This Row],[semilla04]],supplementary_offering_legacyid__4[[#This Row],[json]])</f>
        <v>{"830004-01":{"offeringid":"983000401","name":"SDP CUGS-2D_983000401","mode":"N"}}</v>
      </c>
    </row>
    <row r="928" spans="1:9" x14ac:dyDescent="0.25">
      <c r="A928" s="60" t="s">
        <v>4893</v>
      </c>
      <c r="B928" s="60" t="str">
        <f>findKey(supplementary_offering_legacyid__4[[#This Row],[PRODUCCION]])</f>
        <v>830004-02</v>
      </c>
      <c r="C928" s="61" t="s">
        <v>4894</v>
      </c>
      <c r="D928" t="s">
        <v>4895</v>
      </c>
      <c r="E928" t="s">
        <v>2329</v>
      </c>
      <c r="F928" s="61"/>
      <c r="H928" t="str">
        <f>ToJsonArray(supplementary_offering_legacyid__4[[#Headers],[offeringid]:[json]],supplementary_offering_legacyid__4[[#This Row],[offeringid]:[ignore]])</f>
        <v>{"offeringid":"983000402","name":"SDP CUGS-3D_983000402","mode":"N"}</v>
      </c>
      <c r="I928" t="str">
        <f>ToJsonArray(supplementary_offering_legacyid__4[[#This Row],[semilla04]],supplementary_offering_legacyid__4[[#This Row],[json]])</f>
        <v>{"830004-02":{"offeringid":"983000402","name":"SDP CUGS-3D_983000402","mode":"N"}}</v>
      </c>
    </row>
    <row r="929" spans="1:9" x14ac:dyDescent="0.25">
      <c r="A929" s="60" t="s">
        <v>4896</v>
      </c>
      <c r="B929" s="60" t="str">
        <f>findKey(supplementary_offering_legacyid__4[[#This Row],[PRODUCCION]])</f>
        <v>830004-05</v>
      </c>
      <c r="C929" s="61" t="s">
        <v>4897</v>
      </c>
      <c r="D929" t="s">
        <v>4898</v>
      </c>
      <c r="E929" t="s">
        <v>2329</v>
      </c>
      <c r="F929" s="61"/>
      <c r="H929" t="str">
        <f>ToJsonArray(supplementary_offering_legacyid__4[[#Headers],[offeringid]:[json]],supplementary_offering_legacyid__4[[#This Row],[offeringid]:[ignore]])</f>
        <v>{"offeringid":"983000405","name":"SDP CUGS-5D_983000405","mode":"N"}</v>
      </c>
      <c r="I929" t="str">
        <f>ToJsonArray(supplementary_offering_legacyid__4[[#This Row],[semilla04]],supplementary_offering_legacyid__4[[#This Row],[json]])</f>
        <v>{"830004-05":{"offeringid":"983000405","name":"SDP CUGS-5D_983000405","mode":"N"}}</v>
      </c>
    </row>
    <row r="930" spans="1:9" x14ac:dyDescent="0.25">
      <c r="A930" s="60" t="s">
        <v>4899</v>
      </c>
      <c r="B930" s="60" t="str">
        <f>findKey(supplementary_offering_legacyid__4[[#This Row],[PRODUCCION]])</f>
        <v>VFAV-008</v>
      </c>
      <c r="C930" s="61" t="s">
        <v>4900</v>
      </c>
      <c r="D930" t="s">
        <v>4901</v>
      </c>
      <c r="E930" t="s">
        <v>2329</v>
      </c>
      <c r="F930" s="61"/>
      <c r="H930" t="str">
        <f>ToJsonArray(supplementary_offering_legacyid__4[[#Headers],[offeringid]:[json]],supplementary_offering_legacyid__4[[#This Row],[offeringid]:[ignore]])</f>
        <v>{"offeringid":"990000174","name":"2 Fav Allnet_990000174","mode":"N"}</v>
      </c>
      <c r="I930" t="str">
        <f>ToJsonArray(supplementary_offering_legacyid__4[[#This Row],[semilla04]],supplementary_offering_legacyid__4[[#This Row],[json]])</f>
        <v>{"VFAV-008":{"offeringid":"990000174","name":"2 Fav Allnet_990000174","mode":"N"}}</v>
      </c>
    </row>
    <row r="931" spans="1:9" x14ac:dyDescent="0.25">
      <c r="A931" s="60" t="s">
        <v>4902</v>
      </c>
      <c r="B931" s="60" t="str">
        <f>findKey(supplementary_offering_legacyid__4[[#This Row],[PRODUCCION]])</f>
        <v>VFAV-009</v>
      </c>
      <c r="C931" s="61" t="s">
        <v>4903</v>
      </c>
      <c r="D931" t="s">
        <v>4904</v>
      </c>
      <c r="E931" t="s">
        <v>2329</v>
      </c>
      <c r="F931" s="61"/>
      <c r="H931" t="str">
        <f>ToJsonArray(supplementary_offering_legacyid__4[[#Headers],[offeringid]:[json]],supplementary_offering_legacyid__4[[#This Row],[offeringid]:[ignore]])</f>
        <v>{"offeringid":"990000175","name":"Favorito ilimitado 4_990000175","mode":"N"}</v>
      </c>
      <c r="I931" t="str">
        <f>ToJsonArray(supplementary_offering_legacyid__4[[#This Row],[semilla04]],supplementary_offering_legacyid__4[[#This Row],[json]])</f>
        <v>{"VFAV-009":{"offeringid":"990000175","name":"Favorito ilimitado 4_990000175","mode":"N"}}</v>
      </c>
    </row>
    <row r="932" spans="1:9" x14ac:dyDescent="0.25">
      <c r="A932" s="60" t="s">
        <v>4905</v>
      </c>
      <c r="B932" s="60" t="str">
        <f>findKey(supplementary_offering_legacyid__4[[#This Row],[PRODUCCION]])</f>
        <v>VFAV-010</v>
      </c>
      <c r="C932" s="61" t="s">
        <v>4906</v>
      </c>
      <c r="D932" t="s">
        <v>4907</v>
      </c>
      <c r="E932" t="s">
        <v>2329</v>
      </c>
      <c r="F932" s="61"/>
      <c r="H932" t="str">
        <f>ToJsonArray(supplementary_offering_legacyid__4[[#Headers],[offeringid]:[json]],supplementary_offering_legacyid__4[[#This Row],[offeringid]:[ignore]])</f>
        <v>{"offeringid":"990000176","name":"2 Fav Allnet_990000176","mode":"N"}</v>
      </c>
      <c r="I932" t="str">
        <f>ToJsonArray(supplementary_offering_legacyid__4[[#This Row],[semilla04]],supplementary_offering_legacyid__4[[#This Row],[json]])</f>
        <v>{"VFAV-010":{"offeringid":"990000176","name":"2 Fav Allnet_990000176","mode":"N"}}</v>
      </c>
    </row>
    <row r="933" spans="1:9" x14ac:dyDescent="0.25">
      <c r="A933" s="60" t="s">
        <v>4908</v>
      </c>
      <c r="B933" s="60" t="str">
        <f>findKey(supplementary_offering_legacyid__4[[#This Row],[PRODUCCION]])</f>
        <v>VFAV-011</v>
      </c>
      <c r="C933" s="61" t="s">
        <v>4909</v>
      </c>
      <c r="D933" t="s">
        <v>4910</v>
      </c>
      <c r="E933" t="s">
        <v>2329</v>
      </c>
      <c r="F933" s="61"/>
      <c r="H933" t="str">
        <f>ToJsonArray(supplementary_offering_legacyid__4[[#Headers],[offeringid]:[json]],supplementary_offering_legacyid__4[[#This Row],[offeringid]:[ignore]])</f>
        <v>{"offeringid":"990000177","name":"Favorito ilimitado 4_990000177","mode":"N"}</v>
      </c>
      <c r="I933" t="str">
        <f>ToJsonArray(supplementary_offering_legacyid__4[[#This Row],[semilla04]],supplementary_offering_legacyid__4[[#This Row],[json]])</f>
        <v>{"VFAV-011":{"offeringid":"990000177","name":"Favorito ilimitado 4_990000177","mode":"N"}}</v>
      </c>
    </row>
    <row r="934" spans="1:9" x14ac:dyDescent="0.25">
      <c r="A934" s="60" t="s">
        <v>4911</v>
      </c>
      <c r="B934" s="60" t="str">
        <f>findKey(supplementary_offering_legacyid__4[[#This Row],[PRODUCCION]])</f>
        <v>VFAV-012</v>
      </c>
      <c r="C934" s="61" t="s">
        <v>4912</v>
      </c>
      <c r="D934" t="s">
        <v>4913</v>
      </c>
      <c r="E934" t="s">
        <v>2329</v>
      </c>
      <c r="F934" s="61"/>
      <c r="H934" t="str">
        <f>ToJsonArray(supplementary_offering_legacyid__4[[#Headers],[offeringid]:[json]],supplementary_offering_legacyid__4[[#This Row],[offeringid]:[ignore]])</f>
        <v>{"offeringid":"990000178","name":"2 Fav Allnet_990000178","mode":"N"}</v>
      </c>
      <c r="I934" t="str">
        <f>ToJsonArray(supplementary_offering_legacyid__4[[#This Row],[semilla04]],supplementary_offering_legacyid__4[[#This Row],[json]])</f>
        <v>{"VFAV-012":{"offeringid":"990000178","name":"2 Fav Allnet_990000178","mode":"N"}}</v>
      </c>
    </row>
    <row r="935" spans="1:9" x14ac:dyDescent="0.25">
      <c r="A935" s="60" t="s">
        <v>4914</v>
      </c>
      <c r="B935" s="60" t="str">
        <f>findKey(supplementary_offering_legacyid__4[[#This Row],[PRODUCCION]])</f>
        <v>VFAV-013</v>
      </c>
      <c r="C935" s="61" t="s">
        <v>4915</v>
      </c>
      <c r="D935" t="s">
        <v>4916</v>
      </c>
      <c r="E935" t="s">
        <v>2329</v>
      </c>
      <c r="F935" s="61"/>
      <c r="H935" t="str">
        <f>ToJsonArray(supplementary_offering_legacyid__4[[#Headers],[offeringid]:[json]],supplementary_offering_legacyid__4[[#This Row],[offeringid]:[ignore]])</f>
        <v>{"offeringid":"990000179","name":"Favorito ilimitado 5_990000179","mode":"N"}</v>
      </c>
      <c r="I935" t="str">
        <f>ToJsonArray(supplementary_offering_legacyid__4[[#This Row],[semilla04]],supplementary_offering_legacyid__4[[#This Row],[json]])</f>
        <v>{"VFAV-013":{"offeringid":"990000179","name":"Favorito ilimitado 5_990000179","mode":"N"}}</v>
      </c>
    </row>
    <row r="936" spans="1:9" x14ac:dyDescent="0.25">
      <c r="A936" s="60" t="s">
        <v>4917</v>
      </c>
      <c r="B936" s="60" t="str">
        <f>findKey(supplementary_offering_legacyid__4[[#This Row],[PRODUCCION]])</f>
        <v>VFAV-014</v>
      </c>
      <c r="C936" s="61" t="s">
        <v>4918</v>
      </c>
      <c r="D936" t="s">
        <v>4919</v>
      </c>
      <c r="E936" t="s">
        <v>2329</v>
      </c>
      <c r="F936" s="61"/>
      <c r="H936" t="str">
        <f>ToJsonArray(supplementary_offering_legacyid__4[[#Headers],[offeringid]:[json]],supplementary_offering_legacyid__4[[#This Row],[offeringid]:[ignore]])</f>
        <v>{"offeringid":"990000180","name":"2 Fav Allnet_990000180","mode":"N"}</v>
      </c>
      <c r="I936" t="str">
        <f>ToJsonArray(supplementary_offering_legacyid__4[[#This Row],[semilla04]],supplementary_offering_legacyid__4[[#This Row],[json]])</f>
        <v>{"VFAV-014":{"offeringid":"990000180","name":"2 Fav Allnet_990000180","mode":"N"}}</v>
      </c>
    </row>
    <row r="937" spans="1:9" x14ac:dyDescent="0.25">
      <c r="A937" s="60" t="s">
        <v>4920</v>
      </c>
      <c r="B937" s="60" t="str">
        <f>findKey(supplementary_offering_legacyid__4[[#This Row],[PRODUCCION]])</f>
        <v>VFAV-017</v>
      </c>
      <c r="C937" s="61" t="s">
        <v>4921</v>
      </c>
      <c r="D937" t="s">
        <v>4922</v>
      </c>
      <c r="E937" t="s">
        <v>2329</v>
      </c>
      <c r="F937" s="61"/>
      <c r="H937" t="str">
        <f>ToJsonArray(supplementary_offering_legacyid__4[[#Headers],[offeringid]:[json]],supplementary_offering_legacyid__4[[#This Row],[offeringid]:[ignore]])</f>
        <v>{"offeringid":"990000181","name":"Favorito ilimitado 5_990000181","mode":"N"}</v>
      </c>
      <c r="I937" t="str">
        <f>ToJsonArray(supplementary_offering_legacyid__4[[#This Row],[semilla04]],supplementary_offering_legacyid__4[[#This Row],[json]])</f>
        <v>{"VFAV-017":{"offeringid":"990000181","name":"Favorito ilimitado 5_990000181","mode":"N"}}</v>
      </c>
    </row>
    <row r="938" spans="1:9" x14ac:dyDescent="0.25">
      <c r="A938" s="60" t="s">
        <v>4923</v>
      </c>
      <c r="B938" s="60" t="str">
        <f>findKey(supplementary_offering_legacyid__4[[#This Row],[PRODUCCION]])</f>
        <v>VFAV-018</v>
      </c>
      <c r="C938" s="61" t="s">
        <v>4924</v>
      </c>
      <c r="D938" t="s">
        <v>4925</v>
      </c>
      <c r="E938" t="s">
        <v>2329</v>
      </c>
      <c r="F938" s="61"/>
      <c r="H938" t="str">
        <f>ToJsonArray(supplementary_offering_legacyid__4[[#Headers],[offeringid]:[json]],supplementary_offering_legacyid__4[[#This Row],[offeringid]:[ignore]])</f>
        <v>{"offeringid":"990000182","name":"3 Fav Allnet_990000182","mode":"N"}</v>
      </c>
      <c r="I938" t="str">
        <f>ToJsonArray(supplementary_offering_legacyid__4[[#This Row],[semilla04]],supplementary_offering_legacyid__4[[#This Row],[json]])</f>
        <v>{"VFAV-018":{"offeringid":"990000182","name":"3 Fav Allnet_990000182","mode":"N"}}</v>
      </c>
    </row>
    <row r="939" spans="1:9" x14ac:dyDescent="0.25">
      <c r="A939" s="60" t="s">
        <v>4926</v>
      </c>
      <c r="B939" s="60" t="str">
        <f>findKey(supplementary_offering_legacyid__4[[#This Row],[PRODUCCION]])</f>
        <v>VFAV-020</v>
      </c>
      <c r="C939" s="61" t="s">
        <v>4927</v>
      </c>
      <c r="D939" t="s">
        <v>4928</v>
      </c>
      <c r="E939" t="s">
        <v>2329</v>
      </c>
      <c r="F939" s="61"/>
      <c r="H939" t="str">
        <f>ToJsonArray(supplementary_offering_legacyid__4[[#Headers],[offeringid]:[json]],supplementary_offering_legacyid__4[[#This Row],[offeringid]:[ignore]])</f>
        <v>{"offeringid":"990000183","name":"3 Fav Allnet_990000183","mode":"N"}</v>
      </c>
      <c r="I939" t="str">
        <f>ToJsonArray(supplementary_offering_legacyid__4[[#This Row],[semilla04]],supplementary_offering_legacyid__4[[#This Row],[json]])</f>
        <v>{"VFAV-020":{"offeringid":"990000183","name":"3 Fav Allnet_990000183","mode":"N"}}</v>
      </c>
    </row>
    <row r="940" spans="1:9" x14ac:dyDescent="0.25">
      <c r="A940" s="60" t="s">
        <v>4929</v>
      </c>
      <c r="B940" s="60" t="str">
        <f>findKey(supplementary_offering_legacyid__4[[#This Row],[PRODUCCION]])</f>
        <v>VFAV-023</v>
      </c>
      <c r="C940" s="61" t="s">
        <v>4930</v>
      </c>
      <c r="D940" t="s">
        <v>4931</v>
      </c>
      <c r="E940" t="s">
        <v>2329</v>
      </c>
      <c r="F940" s="61"/>
      <c r="H940" t="str">
        <f>ToJsonArray(supplementary_offering_legacyid__4[[#Headers],[offeringid]:[json]],supplementary_offering_legacyid__4[[#This Row],[offeringid]:[ignore]])</f>
        <v>{"offeringid":"990000184","name":"Favorito ilimitado 5_990000184","mode":"N"}</v>
      </c>
      <c r="I940" t="str">
        <f>ToJsonArray(supplementary_offering_legacyid__4[[#This Row],[semilla04]],supplementary_offering_legacyid__4[[#This Row],[json]])</f>
        <v>{"VFAV-023":{"offeringid":"990000184","name":"Favorito ilimitado 5_990000184","mode":"N"}}</v>
      </c>
    </row>
    <row r="941" spans="1:9" x14ac:dyDescent="0.25">
      <c r="A941" s="60" t="s">
        <v>4932</v>
      </c>
      <c r="B941" s="60" t="str">
        <f>findKey(supplementary_offering_legacyid__4[[#This Row],[PRODUCCION]])</f>
        <v>VFAV-026</v>
      </c>
      <c r="C941" s="61" t="s">
        <v>4933</v>
      </c>
      <c r="D941" t="s">
        <v>4934</v>
      </c>
      <c r="E941" t="s">
        <v>2329</v>
      </c>
      <c r="F941" s="61"/>
      <c r="H941" t="str">
        <f>ToJsonArray(supplementary_offering_legacyid__4[[#Headers],[offeringid]:[json]],supplementary_offering_legacyid__4[[#This Row],[offeringid]:[ignore]])</f>
        <v>{"offeringid":"990000185","name":"4 Fav Allnet_990000185","mode":"N"}</v>
      </c>
      <c r="I941" t="str">
        <f>ToJsonArray(supplementary_offering_legacyid__4[[#This Row],[semilla04]],supplementary_offering_legacyid__4[[#This Row],[json]])</f>
        <v>{"VFAV-026":{"offeringid":"990000185","name":"4 Fav Allnet_990000185","mode":"N"}}</v>
      </c>
    </row>
    <row r="942" spans="1:9" x14ac:dyDescent="0.25">
      <c r="A942" s="60" t="s">
        <v>4935</v>
      </c>
      <c r="B942" s="60" t="str">
        <f>findKey(supplementary_offering_legacyid__4[[#This Row],[PRODUCCION]])</f>
        <v>VFAV-027</v>
      </c>
      <c r="C942" s="61" t="s">
        <v>4936</v>
      </c>
      <c r="D942" t="s">
        <v>4937</v>
      </c>
      <c r="E942" t="s">
        <v>2329</v>
      </c>
      <c r="F942" s="61"/>
      <c r="H942" t="str">
        <f>ToJsonArray(supplementary_offering_legacyid__4[[#Headers],[offeringid]:[json]],supplementary_offering_legacyid__4[[#This Row],[offeringid]:[ignore]])</f>
        <v>{"offeringid":"990000186","name":"Favorito ilimitado 6_990000186","mode":"N"}</v>
      </c>
      <c r="I942" t="str">
        <f>ToJsonArray(supplementary_offering_legacyid__4[[#This Row],[semilla04]],supplementary_offering_legacyid__4[[#This Row],[json]])</f>
        <v>{"VFAV-027":{"offeringid":"990000186","name":"Favorito ilimitado 6_990000186","mode":"N"}}</v>
      </c>
    </row>
    <row r="943" spans="1:9" x14ac:dyDescent="0.25">
      <c r="A943" s="60" t="s">
        <v>4938</v>
      </c>
      <c r="B943" s="60" t="str">
        <f>findKey(supplementary_offering_legacyid__4[[#This Row],[PRODUCCION]])</f>
        <v>VFAV-029</v>
      </c>
      <c r="C943" s="61" t="s">
        <v>4939</v>
      </c>
      <c r="D943" t="s">
        <v>4940</v>
      </c>
      <c r="E943" t="s">
        <v>2329</v>
      </c>
      <c r="F943" s="61"/>
      <c r="H943" t="str">
        <f>ToJsonArray(supplementary_offering_legacyid__4[[#Headers],[offeringid]:[json]],supplementary_offering_legacyid__4[[#This Row],[offeringid]:[ignore]])</f>
        <v>{"offeringid":"990000187","name":"Favorito ilimitado 7_990000187","mode":"N"}</v>
      </c>
      <c r="I943" t="str">
        <f>ToJsonArray(supplementary_offering_legacyid__4[[#This Row],[semilla04]],supplementary_offering_legacyid__4[[#This Row],[json]])</f>
        <v>{"VFAV-029":{"offeringid":"990000187","name":"Favorito ilimitado 7_990000187","mode":"N"}}</v>
      </c>
    </row>
    <row r="944" spans="1:9" x14ac:dyDescent="0.25">
      <c r="A944" s="60" t="s">
        <v>4941</v>
      </c>
      <c r="B944" s="60" t="str">
        <f>findKey(supplementary_offering_legacyid__4[[#This Row],[PRODUCCION]])</f>
        <v>VFAV-030</v>
      </c>
      <c r="C944" s="61" t="s">
        <v>4942</v>
      </c>
      <c r="D944" t="s">
        <v>4943</v>
      </c>
      <c r="E944" t="s">
        <v>2329</v>
      </c>
      <c r="F944" s="61"/>
      <c r="H944" t="str">
        <f>ToJsonArray(supplementary_offering_legacyid__4[[#Headers],[offeringid]:[json]],supplementary_offering_legacyid__4[[#This Row],[offeringid]:[ignore]])</f>
        <v>{"offeringid":"990000188","name":"5 Fav Allnet_990000188","mode":"N"}</v>
      </c>
      <c r="I944" t="str">
        <f>ToJsonArray(supplementary_offering_legacyid__4[[#This Row],[semilla04]],supplementary_offering_legacyid__4[[#This Row],[json]])</f>
        <v>{"VFAV-030":{"offeringid":"990000188","name":"5 Fav Allnet_990000188","mode":"N"}}</v>
      </c>
    </row>
    <row r="945" spans="1:9" x14ac:dyDescent="0.25">
      <c r="A945" s="60" t="s">
        <v>4944</v>
      </c>
      <c r="B945" s="60" t="str">
        <f>findKey(supplementary_offering_legacyid__4[[#This Row],[PRODUCCION]])</f>
        <v>VTD-013</v>
      </c>
      <c r="C945" s="61" t="s">
        <v>4945</v>
      </c>
      <c r="D945" t="s">
        <v>4946</v>
      </c>
      <c r="E945" t="s">
        <v>2329</v>
      </c>
      <c r="F945" s="61"/>
      <c r="H945" t="str">
        <f>ToJsonArray(supplementary_offering_legacyid__4[[#Headers],[offeringid]:[json]],supplementary_offering_legacyid__4[[#This Row],[offeringid]:[ignore]])</f>
        <v>{"offeringid":"990000189","name":"Voz-TD_Sec-280m_990000189","mode":"N"}</v>
      </c>
      <c r="I945" t="str">
        <f>ToJsonArray(supplementary_offering_legacyid__4[[#This Row],[semilla04]],supplementary_offering_legacyid__4[[#This Row],[json]])</f>
        <v>{"VTD-013":{"offeringid":"990000189","name":"Voz-TD_Sec-280m_990000189","mode":"N"}}</v>
      </c>
    </row>
    <row r="946" spans="1:9" x14ac:dyDescent="0.25">
      <c r="A946" s="60" t="s">
        <v>4947</v>
      </c>
      <c r="B946" s="60" t="str">
        <f>findKey(supplementary_offering_legacyid__4[[#This Row],[PRODUCCION]])</f>
        <v>VTD-014</v>
      </c>
      <c r="C946" s="61" t="s">
        <v>4948</v>
      </c>
      <c r="D946" t="s">
        <v>4949</v>
      </c>
      <c r="E946" t="s">
        <v>2329</v>
      </c>
      <c r="F946" s="61"/>
      <c r="H946" t="str">
        <f>ToJsonArray(supplementary_offering_legacyid__4[[#Headers],[offeringid]:[json]],supplementary_offering_legacyid__4[[#This Row],[offeringid]:[ignore]])</f>
        <v>{"offeringid":"990000190","name":"Voz-TD_Sec-340m_990000190","mode":"N"}</v>
      </c>
      <c r="I946" t="str">
        <f>ToJsonArray(supplementary_offering_legacyid__4[[#This Row],[semilla04]],supplementary_offering_legacyid__4[[#This Row],[json]])</f>
        <v>{"VTD-014":{"offeringid":"990000190","name":"Voz-TD_Sec-340m_990000190","mode":"N"}}</v>
      </c>
    </row>
    <row r="947" spans="1:9" x14ac:dyDescent="0.25">
      <c r="A947" s="60" t="s">
        <v>4950</v>
      </c>
      <c r="B947" s="60" t="str">
        <f>findKey(supplementary_offering_legacyid__4[[#This Row],[PRODUCCION]])</f>
        <v>VTD-015</v>
      </c>
      <c r="C947" s="61" t="s">
        <v>4951</v>
      </c>
      <c r="D947" t="s">
        <v>4952</v>
      </c>
      <c r="E947" t="s">
        <v>2329</v>
      </c>
      <c r="F947" s="61"/>
      <c r="H947" t="str">
        <f>ToJsonArray(supplementary_offering_legacyid__4[[#Headers],[offeringid]:[json]],supplementary_offering_legacyid__4[[#This Row],[offeringid]:[ignore]])</f>
        <v>{"offeringid":"990000191","name":"Voz-TD_Seg-390m_990000191","mode":"N"}</v>
      </c>
      <c r="I947" t="str">
        <f>ToJsonArray(supplementary_offering_legacyid__4[[#This Row],[semilla04]],supplementary_offering_legacyid__4[[#This Row],[json]])</f>
        <v>{"VTD-015":{"offeringid":"990000191","name":"Voz-TD_Seg-390m_990000191","mode":"N"}}</v>
      </c>
    </row>
    <row r="948" spans="1:9" x14ac:dyDescent="0.25">
      <c r="A948" s="60" t="s">
        <v>4953</v>
      </c>
      <c r="B948" s="60" t="str">
        <f>findKey(supplementary_offering_legacyid__4[[#This Row],[PRODUCCION]])</f>
        <v>VTD-017</v>
      </c>
      <c r="C948" s="61" t="s">
        <v>4954</v>
      </c>
      <c r="D948" t="s">
        <v>4955</v>
      </c>
      <c r="E948" t="s">
        <v>2329</v>
      </c>
      <c r="F948" s="61"/>
      <c r="H948" t="str">
        <f>ToJsonArray(supplementary_offering_legacyid__4[[#Headers],[offeringid]:[json]],supplementary_offering_legacyid__4[[#This Row],[offeringid]:[ignore]])</f>
        <v>{"offeringid":"990000192","name":"Voz-TD_Seg-600m_990000192","mode":"N"}</v>
      </c>
      <c r="I948" t="str">
        <f>ToJsonArray(supplementary_offering_legacyid__4[[#This Row],[semilla04]],supplementary_offering_legacyid__4[[#This Row],[json]])</f>
        <v>{"VTD-017":{"offeringid":"990000192","name":"Voz-TD_Seg-600m_990000192","mode":"N"}}</v>
      </c>
    </row>
    <row r="949" spans="1:9" x14ac:dyDescent="0.25">
      <c r="A949" s="60" t="s">
        <v>4956</v>
      </c>
      <c r="B949" s="60" t="str">
        <f>findKey(supplementary_offering_legacyid__4[[#This Row],[PRODUCCION]])</f>
        <v>VTD-018</v>
      </c>
      <c r="C949" s="61" t="s">
        <v>4957</v>
      </c>
      <c r="D949" t="s">
        <v>4958</v>
      </c>
      <c r="E949" t="s">
        <v>2329</v>
      </c>
      <c r="F949" s="61"/>
      <c r="H949" t="str">
        <f>ToJsonArray(supplementary_offering_legacyid__4[[#Headers],[offeringid]:[json]],supplementary_offering_legacyid__4[[#This Row],[offeringid]:[ignore]])</f>
        <v>{"offeringid":"990000193","name":"Voz-TD_Seg-650m_990000193","mode":"N"}</v>
      </c>
      <c r="I949" t="str">
        <f>ToJsonArray(supplementary_offering_legacyid__4[[#This Row],[semilla04]],supplementary_offering_legacyid__4[[#This Row],[json]])</f>
        <v>{"VTD-018":{"offeringid":"990000193","name":"Voz-TD_Seg-650m_990000193","mode":"N"}}</v>
      </c>
    </row>
    <row r="950" spans="1:9" x14ac:dyDescent="0.25">
      <c r="A950" s="60" t="s">
        <v>4959</v>
      </c>
      <c r="B950" s="60" t="str">
        <f>findKey(supplementary_offering_legacyid__4[[#This Row],[PRODUCCION]])</f>
        <v>VTD-020</v>
      </c>
      <c r="C950" s="61" t="s">
        <v>4960</v>
      </c>
      <c r="D950" t="s">
        <v>4961</v>
      </c>
      <c r="E950" t="s">
        <v>2329</v>
      </c>
      <c r="F950" s="61"/>
      <c r="H950" t="str">
        <f>ToJsonArray(supplementary_offering_legacyid__4[[#Headers],[offeringid]:[json]],supplementary_offering_legacyid__4[[#This Row],[offeringid]:[ignore]])</f>
        <v>{"offeringid":"990000194","name":"Voz-TD_Seg-800m_990000194","mode":"N"}</v>
      </c>
      <c r="I950" t="str">
        <f>ToJsonArray(supplementary_offering_legacyid__4[[#This Row],[semilla04]],supplementary_offering_legacyid__4[[#This Row],[json]])</f>
        <v>{"VTD-020":{"offeringid":"990000194","name":"Voz-TD_Seg-800m_990000194","mode":"N"}}</v>
      </c>
    </row>
    <row r="951" spans="1:9" x14ac:dyDescent="0.25">
      <c r="A951" s="60" t="s">
        <v>4962</v>
      </c>
      <c r="B951" s="60" t="str">
        <f>findKey(supplementary_offering_legacyid__4[[#This Row],[PRODUCCION]])</f>
        <v>VTD-021</v>
      </c>
      <c r="C951" s="61" t="s">
        <v>4963</v>
      </c>
      <c r="D951" t="s">
        <v>4964</v>
      </c>
      <c r="E951" t="s">
        <v>2329</v>
      </c>
      <c r="F951" s="61"/>
      <c r="H951" t="str">
        <f>ToJsonArray(supplementary_offering_legacyid__4[[#Headers],[offeringid]:[json]],supplementary_offering_legacyid__4[[#This Row],[offeringid]:[ignore]])</f>
        <v>{"offeringid":"990000195","name":"Voz-TD_Seg-1000m_990000195","mode":"N"}</v>
      </c>
      <c r="I951" t="str">
        <f>ToJsonArray(supplementary_offering_legacyid__4[[#This Row],[semilla04]],supplementary_offering_legacyid__4[[#This Row],[json]])</f>
        <v>{"VTD-021":{"offeringid":"990000195","name":"Voz-TD_Seg-1000m_990000195","mode":"N"}}</v>
      </c>
    </row>
    <row r="952" spans="1:9" x14ac:dyDescent="0.25">
      <c r="A952" s="60" t="s">
        <v>4965</v>
      </c>
      <c r="B952" s="60" t="str">
        <f>findKey(supplementary_offering_legacyid__4[[#This Row],[PRODUCCION]])</f>
        <v>VTD-022</v>
      </c>
      <c r="C952" s="61" t="s">
        <v>4966</v>
      </c>
      <c r="D952" t="s">
        <v>4967</v>
      </c>
      <c r="E952" t="s">
        <v>2329</v>
      </c>
      <c r="F952" s="61"/>
      <c r="H952" t="str">
        <f>ToJsonArray(supplementary_offering_legacyid__4[[#Headers],[offeringid]:[json]],supplementary_offering_legacyid__4[[#This Row],[offeringid]:[ignore]])</f>
        <v>{"offeringid":"990000196","name":"Voz-TD_Seg-1300m_990000196","mode":"N"}</v>
      </c>
      <c r="I952" t="str">
        <f>ToJsonArray(supplementary_offering_legacyid__4[[#This Row],[semilla04]],supplementary_offering_legacyid__4[[#This Row],[json]])</f>
        <v>{"VTD-022":{"offeringid":"990000196","name":"Voz-TD_Seg-1300m_990000196","mode":"N"}}</v>
      </c>
    </row>
    <row r="953" spans="1:9" x14ac:dyDescent="0.25">
      <c r="A953" s="60" t="s">
        <v>4968</v>
      </c>
      <c r="B953" s="60" t="str">
        <f>findKey(supplementary_offering_legacyid__4[[#This Row],[PRODUCCION]])</f>
        <v>VTD-023</v>
      </c>
      <c r="C953" s="61" t="s">
        <v>4969</v>
      </c>
      <c r="D953" t="s">
        <v>4970</v>
      </c>
      <c r="E953" t="s">
        <v>2329</v>
      </c>
      <c r="F953" s="61"/>
      <c r="H953" t="str">
        <f>ToJsonArray(supplementary_offering_legacyid__4[[#Headers],[offeringid]:[json]],supplementary_offering_legacyid__4[[#This Row],[offeringid]:[ignore]])</f>
        <v>{"offeringid":"990000197","name":"Voz-TD_Seg-1500m_990000197","mode":"N"}</v>
      </c>
      <c r="I953" t="str">
        <f>ToJsonArray(supplementary_offering_legacyid__4[[#This Row],[semilla04]],supplementary_offering_legacyid__4[[#This Row],[json]])</f>
        <v>{"VTD-023":{"offeringid":"990000197","name":"Voz-TD_Seg-1500m_990000197","mode":"N"}}</v>
      </c>
    </row>
    <row r="954" spans="1:9" x14ac:dyDescent="0.25">
      <c r="A954" s="60" t="s">
        <v>4971</v>
      </c>
      <c r="B954" s="60" t="str">
        <f>findKey(supplementary_offering_legacyid__4[[#This Row],[PRODUCCION]])</f>
        <v>VTD-024</v>
      </c>
      <c r="C954" s="61" t="s">
        <v>4972</v>
      </c>
      <c r="D954" t="s">
        <v>4973</v>
      </c>
      <c r="E954" t="s">
        <v>2329</v>
      </c>
      <c r="F954" s="61"/>
      <c r="H954" t="str">
        <f>ToJsonArray(supplementary_offering_legacyid__4[[#Headers],[offeringid]:[json]],supplementary_offering_legacyid__4[[#This Row],[offeringid]:[ignore]])</f>
        <v>{"offeringid":"990000198","name":"Voz-TD_Seg-1700m_990000198","mode":"N"}</v>
      </c>
      <c r="I954" t="str">
        <f>ToJsonArray(supplementary_offering_legacyid__4[[#This Row],[semilla04]],supplementary_offering_legacyid__4[[#This Row],[json]])</f>
        <v>{"VTD-024":{"offeringid":"990000198","name":"Voz-TD_Seg-1700m_990000198","mode":"N"}}</v>
      </c>
    </row>
    <row r="955" spans="1:9" x14ac:dyDescent="0.25">
      <c r="A955" s="60" t="s">
        <v>4974</v>
      </c>
      <c r="B955" s="60" t="str">
        <f>findKey(supplementary_offering_legacyid__4[[#This Row],[PRODUCCION]])</f>
        <v>VTD-025</v>
      </c>
      <c r="C955" s="61" t="s">
        <v>4975</v>
      </c>
      <c r="D955" t="s">
        <v>4976</v>
      </c>
      <c r="E955" t="s">
        <v>2329</v>
      </c>
      <c r="F955" s="61"/>
      <c r="H955" t="str">
        <f>ToJsonArray(supplementary_offering_legacyid__4[[#Headers],[offeringid]:[json]],supplementary_offering_legacyid__4[[#This Row],[offeringid]:[ignore]])</f>
        <v>{"offeringid":"990000199","name":"Voz-TD_Seg-3000m_990000199","mode":"N"}</v>
      </c>
      <c r="I955" t="str">
        <f>ToJsonArray(supplementary_offering_legacyid__4[[#This Row],[semilla04]],supplementary_offering_legacyid__4[[#This Row],[json]])</f>
        <v>{"VTD-025":{"offeringid":"990000199","name":"Voz-TD_Seg-3000m_990000199","mode":"N"}}</v>
      </c>
    </row>
    <row r="956" spans="1:9" x14ac:dyDescent="0.25">
      <c r="A956" s="60" t="s">
        <v>4977</v>
      </c>
      <c r="B956" s="60" t="str">
        <f>findKey(supplementary_offering_legacyid__4[[#This Row],[PRODUCCION]])</f>
        <v>VTD-030</v>
      </c>
      <c r="C956" s="61" t="s">
        <v>4978</v>
      </c>
      <c r="D956" t="s">
        <v>4979</v>
      </c>
      <c r="E956" t="s">
        <v>2329</v>
      </c>
      <c r="F956" s="61"/>
      <c r="H956" t="str">
        <f>ToJsonArray(supplementary_offering_legacyid__4[[#Headers],[offeringid]:[json]],supplementary_offering_legacyid__4[[#This Row],[offeringid]:[ignore]])</f>
        <v>{"offeringid":"990000200","name":"Voz-TD-Ilimitado_990000200","mode":"N"}</v>
      </c>
      <c r="I956" t="str">
        <f>ToJsonArray(supplementary_offering_legacyid__4[[#This Row],[semilla04]],supplementary_offering_legacyid__4[[#This Row],[json]])</f>
        <v>{"VTD-030":{"offeringid":"990000200","name":"Voz-TD-Ilimitado_990000200","mode":"N"}}</v>
      </c>
    </row>
    <row r="957" spans="1:9" x14ac:dyDescent="0.25">
      <c r="A957" s="60" t="s">
        <v>4980</v>
      </c>
      <c r="B957" s="60" t="str">
        <f>findKey(supplementary_offering_legacyid__4[[#This Row],[PRODUCCION]])</f>
        <v>VTD-040</v>
      </c>
      <c r="C957" s="61" t="s">
        <v>4981</v>
      </c>
      <c r="D957" t="s">
        <v>4982</v>
      </c>
      <c r="E957" t="s">
        <v>2329</v>
      </c>
      <c r="F957" s="61"/>
      <c r="H957" t="str">
        <f>ToJsonArray(supplementary_offering_legacyid__4[[#Headers],[offeringid]:[json]],supplementary_offering_legacyid__4[[#This Row],[offeringid]:[ignore]])</f>
        <v>{"offeringid":"990000201","name":"Voz-TD-24000 seg_990000201","mode":"N"}</v>
      </c>
      <c r="I957" t="str">
        <f>ToJsonArray(supplementary_offering_legacyid__4[[#This Row],[semilla04]],supplementary_offering_legacyid__4[[#This Row],[json]])</f>
        <v>{"VTD-040":{"offeringid":"990000201","name":"Voz-TD-24000 seg_990000201","mode":"N"}}</v>
      </c>
    </row>
    <row r="958" spans="1:9" x14ac:dyDescent="0.25">
      <c r="A958" s="60" t="s">
        <v>4983</v>
      </c>
      <c r="B958" s="60" t="str">
        <f>findKey(supplementary_offering_legacyid__4[[#This Row],[PRODUCCION]])</f>
        <v>VTD-047</v>
      </c>
      <c r="C958" s="61" t="s">
        <v>4984</v>
      </c>
      <c r="D958" t="s">
        <v>4985</v>
      </c>
      <c r="E958" t="s">
        <v>2329</v>
      </c>
      <c r="F958" s="61"/>
      <c r="H958" t="str">
        <f>ToJsonArray(supplementary_offering_legacyid__4[[#Headers],[offeringid]:[json]],supplementary_offering_legacyid__4[[#This Row],[offeringid]:[ignore]])</f>
        <v>{"offeringid":"990000202","name":"Voz-TD-30000 seg_990000202","mode":"N"}</v>
      </c>
      <c r="I958" t="str">
        <f>ToJsonArray(supplementary_offering_legacyid__4[[#This Row],[semilla04]],supplementary_offering_legacyid__4[[#This Row],[json]])</f>
        <v>{"VTD-047":{"offeringid":"990000202","name":"Voz-TD-30000 seg_990000202","mode":"N"}}</v>
      </c>
    </row>
    <row r="959" spans="1:9" x14ac:dyDescent="0.25">
      <c r="A959" s="60" t="s">
        <v>4986</v>
      </c>
      <c r="B959" s="60" t="str">
        <f>findKey(supplementary_offering_legacyid__4[[#This Row],[PRODUCCION]])</f>
        <v>VTD-052</v>
      </c>
      <c r="C959" s="61" t="s">
        <v>4987</v>
      </c>
      <c r="D959" t="s">
        <v>4988</v>
      </c>
      <c r="E959" t="s">
        <v>2329</v>
      </c>
      <c r="F959" s="61"/>
      <c r="H959" t="str">
        <f>ToJsonArray(supplementary_offering_legacyid__4[[#Headers],[offeringid]:[json]],supplementary_offering_legacyid__4[[#This Row],[offeringid]:[ignore]])</f>
        <v>{"offeringid":"990000203","name":"Voz-TD-30000 seg_990000203","mode":"N"}</v>
      </c>
      <c r="I959" t="str">
        <f>ToJsonArray(supplementary_offering_legacyid__4[[#This Row],[semilla04]],supplementary_offering_legacyid__4[[#This Row],[json]])</f>
        <v>{"VTD-052":{"offeringid":"990000203","name":"Voz-TD-30000 seg_990000203","mode":"N"}}</v>
      </c>
    </row>
    <row r="960" spans="1:9" x14ac:dyDescent="0.25">
      <c r="A960" s="60" t="s">
        <v>4989</v>
      </c>
      <c r="B960" s="60" t="str">
        <f>findKey(supplementary_offering_legacyid__4[[#This Row],[PRODUCCION]])</f>
        <v>VTD-053</v>
      </c>
      <c r="C960" s="61" t="s">
        <v>4990</v>
      </c>
      <c r="D960" t="s">
        <v>4991</v>
      </c>
      <c r="E960" t="s">
        <v>2329</v>
      </c>
      <c r="F960" s="61"/>
      <c r="H960" t="str">
        <f>ToJsonArray(supplementary_offering_legacyid__4[[#Headers],[offeringid]:[json]],supplementary_offering_legacyid__4[[#This Row],[offeringid]:[ignore]])</f>
        <v>{"offeringid":"990000204","name":"Voz-TD-48000 seg_990000204","mode":"N"}</v>
      </c>
      <c r="I960" t="str">
        <f>ToJsonArray(supplementary_offering_legacyid__4[[#This Row],[semilla04]],supplementary_offering_legacyid__4[[#This Row],[json]])</f>
        <v>{"VTD-053":{"offeringid":"990000204","name":"Voz-TD-48000 seg_990000204","mode":"N"}}</v>
      </c>
    </row>
    <row r="961" spans="1:9" x14ac:dyDescent="0.25">
      <c r="A961" s="60" t="s">
        <v>4992</v>
      </c>
      <c r="B961" s="60" t="str">
        <f>findKey(supplementary_offering_legacyid__4[[#This Row],[PRODUCCION]])</f>
        <v>VTD-056</v>
      </c>
      <c r="C961" s="61" t="s">
        <v>4993</v>
      </c>
      <c r="D961" t="s">
        <v>4994</v>
      </c>
      <c r="E961" t="s">
        <v>2329</v>
      </c>
      <c r="F961" s="61"/>
      <c r="H961" t="str">
        <f>ToJsonArray(supplementary_offering_legacyid__4[[#Headers],[offeringid]:[json]],supplementary_offering_legacyid__4[[#This Row],[offeringid]:[ignore]])</f>
        <v>{"offeringid":"990000205","name":"Voz-TD-54000 seg_990000205","mode":"N"}</v>
      </c>
      <c r="I961" t="str">
        <f>ToJsonArray(supplementary_offering_legacyid__4[[#This Row],[semilla04]],supplementary_offering_legacyid__4[[#This Row],[json]])</f>
        <v>{"VTD-056":{"offeringid":"990000205","name":"Voz-TD-54000 seg_990000205","mode":"N"}}</v>
      </c>
    </row>
    <row r="962" spans="1:9" x14ac:dyDescent="0.25">
      <c r="A962" s="60" t="s">
        <v>4995</v>
      </c>
      <c r="B962" s="60" t="str">
        <f>findKey(supplementary_offering_legacyid__4[[#This Row],[PRODUCCION]])</f>
        <v>VTD-058</v>
      </c>
      <c r="C962" s="61" t="s">
        <v>4996</v>
      </c>
      <c r="D962" t="s">
        <v>4997</v>
      </c>
      <c r="E962" t="s">
        <v>2329</v>
      </c>
      <c r="F962" s="61"/>
      <c r="H962" t="str">
        <f>ToJsonArray(supplementary_offering_legacyid__4[[#Headers],[offeringid]:[json]],supplementary_offering_legacyid__4[[#This Row],[offeringid]:[ignore]])</f>
        <v>{"offeringid":"990000206","name":"Voz-TD-60000 seg_990000206","mode":"N"}</v>
      </c>
      <c r="I962" t="str">
        <f>ToJsonArray(supplementary_offering_legacyid__4[[#This Row],[semilla04]],supplementary_offering_legacyid__4[[#This Row],[json]])</f>
        <v>{"VTD-058":{"offeringid":"990000206","name":"Voz-TD-60000 seg_990000206","mode":"N"}}</v>
      </c>
    </row>
    <row r="963" spans="1:9" x14ac:dyDescent="0.25">
      <c r="A963" s="60" t="s">
        <v>4998</v>
      </c>
      <c r="B963" s="60" t="str">
        <f>findKey(supplementary_offering_legacyid__4[[#This Row],[PRODUCCION]])</f>
        <v>VTIG-008</v>
      </c>
      <c r="C963" s="61" t="s">
        <v>4999</v>
      </c>
      <c r="D963" t="s">
        <v>5000</v>
      </c>
      <c r="E963" t="s">
        <v>2329</v>
      </c>
      <c r="F963" s="61"/>
      <c r="H963" t="str">
        <f>ToJsonArray(supplementary_offering_legacyid__4[[#Headers],[offeringid]:[json]],supplementary_offering_legacyid__4[[#This Row],[offeringid]:[ignore]])</f>
        <v>{"offeringid":"990000207","name":"Voz-OnNet-Ilimitado_990000207","mode":"N"}</v>
      </c>
      <c r="I963" t="str">
        <f>ToJsonArray(supplementary_offering_legacyid__4[[#This Row],[semilla04]],supplementary_offering_legacyid__4[[#This Row],[json]])</f>
        <v>{"VTIG-008":{"offeringid":"990000207","name":"Voz-OnNet-Ilimitado_990000207","mode":"N"}}</v>
      </c>
    </row>
    <row r="964" spans="1:9" x14ac:dyDescent="0.25">
      <c r="A964" s="60" t="s">
        <v>5001</v>
      </c>
      <c r="B964" s="60" t="str">
        <f>findKey(supplementary_offering_legacyid__4[[#This Row],[PRODUCCION]])</f>
        <v>100022-13</v>
      </c>
      <c r="C964" s="61" t="s">
        <v>5002</v>
      </c>
      <c r="D964" t="s">
        <v>5003</v>
      </c>
      <c r="E964" t="s">
        <v>2329</v>
      </c>
      <c r="F964" s="61"/>
      <c r="H964" t="str">
        <f>ToJsonArray(supplementary_offering_legacyid__4[[#Headers],[offeringid]:[json]],supplementary_offering_legacyid__4[[#This Row],[offeringid]:[ignore]])</f>
        <v>{"offeringid":"910002213","name":"Voz-TD-2678400s_910002213","mode":"N"}</v>
      </c>
      <c r="I964" t="str">
        <f>ToJsonArray(supplementary_offering_legacyid__4[[#This Row],[semilla04]],supplementary_offering_legacyid__4[[#This Row],[json]])</f>
        <v>{"100022-13":{"offeringid":"910002213","name":"Voz-TD-2678400s_910002213","mode":"N"}}</v>
      </c>
    </row>
    <row r="965" spans="1:9" x14ac:dyDescent="0.25">
      <c r="A965" s="60" t="s">
        <v>5004</v>
      </c>
      <c r="B965" s="60" t="str">
        <f>findKey(supplementary_offering_legacyid__4[[#This Row],[PRODUCCION]])</f>
        <v>100022-14</v>
      </c>
      <c r="C965" s="61" t="s">
        <v>5005</v>
      </c>
      <c r="D965" t="s">
        <v>5006</v>
      </c>
      <c r="E965" t="s">
        <v>2329</v>
      </c>
      <c r="F965" s="61"/>
      <c r="H965" t="str">
        <f>ToJsonArray(supplementary_offering_legacyid__4[[#Headers],[offeringid]:[json]],supplementary_offering_legacyid__4[[#This Row],[offeringid]:[ignore]])</f>
        <v>{"offeringid":"910002214","name":"Voz-TD-2678400s_910002214","mode":"N"}</v>
      </c>
      <c r="I965" t="str">
        <f>ToJsonArray(supplementary_offering_legacyid__4[[#This Row],[semilla04]],supplementary_offering_legacyid__4[[#This Row],[json]])</f>
        <v>{"100022-14":{"offeringid":"910002214","name":"Voz-TD-2678400s_910002214","mode":"N"}}</v>
      </c>
    </row>
    <row r="966" spans="1:9" x14ac:dyDescent="0.25">
      <c r="A966" s="60" t="s">
        <v>5007</v>
      </c>
      <c r="B966" s="60" t="str">
        <f>findKey(supplementary_offering_legacyid__4[[#This Row],[PRODUCCION]])</f>
        <v>200008-69</v>
      </c>
      <c r="C966" s="61" t="s">
        <v>5008</v>
      </c>
      <c r="D966" t="s">
        <v>5009</v>
      </c>
      <c r="E966" t="s">
        <v>2329</v>
      </c>
      <c r="F966" s="61"/>
      <c r="H966" t="str">
        <f>ToJsonArray(supplementary_offering_legacyid__4[[#Headers],[offeringid]:[json]],supplementary_offering_legacyid__4[[#This Row],[offeringid]:[ignore]])</f>
        <v>{"offeringid":"920000869","name":"Smart sin navegacion_920000869","mode":"N"}</v>
      </c>
      <c r="I966" t="str">
        <f>ToJsonArray(supplementary_offering_legacyid__4[[#This Row],[semilla04]],supplementary_offering_legacyid__4[[#This Row],[json]])</f>
        <v>{"200008-69":{"offeringid":"920000869","name":"Smart sin navegacion_920000869","mode":"N"}}</v>
      </c>
    </row>
    <row r="967" spans="1:9" x14ac:dyDescent="0.25">
      <c r="A967" s="60" t="s">
        <v>5010</v>
      </c>
      <c r="B967" s="60" t="str">
        <f>findKey(supplementary_offering_legacyid__4[[#This Row],[PRODUCCION]])</f>
        <v>200008-70</v>
      </c>
      <c r="C967" s="61" t="s">
        <v>5011</v>
      </c>
      <c r="D967" t="s">
        <v>5012</v>
      </c>
      <c r="E967" t="s">
        <v>2329</v>
      </c>
      <c r="F967" s="61"/>
      <c r="H967" t="str">
        <f>ToJsonArray(supplementary_offering_legacyid__4[[#Headers],[offeringid]:[json]],supplementary_offering_legacyid__4[[#This Row],[offeringid]:[ignore]])</f>
        <v>{"offeringid":"920000870","name":"Smart sin navegacion_920000870","mode":"N"}</v>
      </c>
      <c r="I967" t="str">
        <f>ToJsonArray(supplementary_offering_legacyid__4[[#This Row],[semilla04]],supplementary_offering_legacyid__4[[#This Row],[json]])</f>
        <v>{"200008-70":{"offeringid":"920000870","name":"Smart sin navegacion_920000870","mode":"N"}}</v>
      </c>
    </row>
    <row r="968" spans="1:9" x14ac:dyDescent="0.25">
      <c r="A968" s="60" t="s">
        <v>5013</v>
      </c>
      <c r="B968" s="60" t="str">
        <f>findKey(supplementary_offering_legacyid__4[[#This Row],[PRODUCCION]])</f>
        <v>200021-83</v>
      </c>
      <c r="C968" s="61" t="s">
        <v>5014</v>
      </c>
      <c r="D968" t="s">
        <v>5015</v>
      </c>
      <c r="E968" t="s">
        <v>2329</v>
      </c>
      <c r="F968" s="61"/>
      <c r="H968" t="str">
        <f>ToJsonArray(supplementary_offering_legacyid__4[[#Headers],[offeringid]:[json]],supplementary_offering_legacyid__4[[#This Row],[offeringid]:[ignore]])</f>
        <v>{"offeringid":"920002183","name":"Data 3.5GB_920002183","mode":"N"}</v>
      </c>
      <c r="I968" t="str">
        <f>ToJsonArray(supplementary_offering_legacyid__4[[#This Row],[semilla04]],supplementary_offering_legacyid__4[[#This Row],[json]])</f>
        <v>{"200021-83":{"offeringid":"920002183","name":"Data 3.5GB_920002183","mode":"N"}}</v>
      </c>
    </row>
    <row r="969" spans="1:9" x14ac:dyDescent="0.25">
      <c r="A969" s="60" t="s">
        <v>5016</v>
      </c>
      <c r="B969" s="60" t="str">
        <f>findKey(supplementary_offering_legacyid__4[[#This Row],[PRODUCCION]])</f>
        <v>300302-98</v>
      </c>
      <c r="C969" s="61" t="s">
        <v>5017</v>
      </c>
      <c r="D969" t="s">
        <v>5018</v>
      </c>
      <c r="E969" t="s">
        <v>2329</v>
      </c>
      <c r="F969" s="61"/>
      <c r="H969" t="str">
        <f>ToJsonArray(supplementary_offering_legacyid__4[[#Headers],[offeringid]:[json]],supplementary_offering_legacyid__4[[#This Row],[offeringid]:[ignore]])</f>
        <v>{"offeringid":"930030298","name":"Sms-TD-Ilimitado_930030298","mode":"N"}</v>
      </c>
      <c r="I969" t="str">
        <f>ToJsonArray(supplementary_offering_legacyid__4[[#This Row],[semilla04]],supplementary_offering_legacyid__4[[#This Row],[json]])</f>
        <v>{"300302-98":{"offeringid":"930030298","name":"Sms-TD-Ilimitado_930030298","mode":"N"}}</v>
      </c>
    </row>
    <row r="970" spans="1:9" x14ac:dyDescent="0.25">
      <c r="A970" s="60" t="s">
        <v>5019</v>
      </c>
      <c r="B970" s="60" t="str">
        <f>findKey(supplementary_offering_legacyid__4[[#This Row],[PRODUCCION]])</f>
        <v>300302-99</v>
      </c>
      <c r="C970" s="61" t="s">
        <v>5020</v>
      </c>
      <c r="D970" t="s">
        <v>5021</v>
      </c>
      <c r="E970" t="s">
        <v>2329</v>
      </c>
      <c r="F970" s="61"/>
      <c r="H970" t="str">
        <f>ToJsonArray(supplementary_offering_legacyid__4[[#Headers],[offeringid]:[json]],supplementary_offering_legacyid__4[[#This Row],[offeringid]:[ignore]])</f>
        <v>{"offeringid":"930030299","name":"Sms-TD-Ilimitado_930030299","mode":"N"}</v>
      </c>
      <c r="I970" t="str">
        <f>ToJsonArray(supplementary_offering_legacyid__4[[#This Row],[semilla04]],supplementary_offering_legacyid__4[[#This Row],[json]])</f>
        <v>{"300302-99":{"offeringid":"930030299","name":"Sms-TD-Ilimitado_930030299","mode":"N"}}</v>
      </c>
    </row>
    <row r="971" spans="1:9" x14ac:dyDescent="0.25">
      <c r="A971" s="60" t="s">
        <v>5022</v>
      </c>
      <c r="B971" s="60" t="str">
        <f>findKey(supplementary_offering_legacyid__4[[#This Row],[PRODUCCION]])</f>
        <v>200021-84</v>
      </c>
      <c r="C971" s="61" t="s">
        <v>5023</v>
      </c>
      <c r="D971" t="s">
        <v>5024</v>
      </c>
      <c r="E971" t="s">
        <v>2329</v>
      </c>
      <c r="F971" s="61"/>
      <c r="H971" t="str">
        <f>ToJsonArray(supplementary_offering_legacyid__4[[#Headers],[offeringid]:[json]],supplementary_offering_legacyid__4[[#This Row],[offeringid]:[ignore]])</f>
        <v>{"offeringid":"920002184","name":"Data 4GB_920002184","mode":"N"}</v>
      </c>
      <c r="I971" t="str">
        <f>ToJsonArray(supplementary_offering_legacyid__4[[#This Row],[semilla04]],supplementary_offering_legacyid__4[[#This Row],[json]])</f>
        <v>{"200021-84":{"offeringid":"920002184","name":"Data 4GB_920002184","mode":"N"}}</v>
      </c>
    </row>
    <row r="972" spans="1:9" x14ac:dyDescent="0.25">
      <c r="A972" s="60" t="s">
        <v>5025</v>
      </c>
      <c r="B972" s="60" t="str">
        <f>findKey(supplementary_offering_legacyid__4[[#This Row],[PRODUCCION]])</f>
        <v>810004-88</v>
      </c>
      <c r="C972" s="61" t="s">
        <v>5026</v>
      </c>
      <c r="D972" t="s">
        <v>5027</v>
      </c>
      <c r="E972" t="s">
        <v>2329</v>
      </c>
      <c r="F972" s="61"/>
      <c r="H972" t="str">
        <f>ToJsonArray(supplementary_offering_legacyid__4[[#Headers],[offeringid]:[json]],supplementary_offering_legacyid__4[[#This Row],[offeringid]:[ignore]])</f>
        <v>{"offeringid":"981000488","name":"CUG-4Fav_981000488","mode":"N"}</v>
      </c>
      <c r="I972" t="str">
        <f>ToJsonArray(supplementary_offering_legacyid__4[[#This Row],[semilla04]],supplementary_offering_legacyid__4[[#This Row],[json]])</f>
        <v>{"810004-88":{"offeringid":"981000488","name":"CUG-4Fav_981000488","mode":"N"}}</v>
      </c>
    </row>
    <row r="973" spans="1:9" x14ac:dyDescent="0.25">
      <c r="A973" s="60" t="s">
        <v>5028</v>
      </c>
      <c r="B973" s="60" t="str">
        <f>findKey(supplementary_offering_legacyid__4[[#This Row],[PRODUCCION]])</f>
        <v>810004-89</v>
      </c>
      <c r="C973" s="61" t="s">
        <v>5029</v>
      </c>
      <c r="D973" t="s">
        <v>5030</v>
      </c>
      <c r="E973" t="s">
        <v>2329</v>
      </c>
      <c r="F973" s="61"/>
      <c r="H973" t="str">
        <f>ToJsonArray(supplementary_offering_legacyid__4[[#Headers],[offeringid]:[json]],supplementary_offering_legacyid__4[[#This Row],[offeringid]:[ignore]])</f>
        <v>{"offeringid":"981000489","name":"CUG-4Fav_981000489","mode":"N"}</v>
      </c>
      <c r="I973" t="str">
        <f>ToJsonArray(supplementary_offering_legacyid__4[[#This Row],[semilla04]],supplementary_offering_legacyid__4[[#This Row],[json]])</f>
        <v>{"810004-89":{"offeringid":"981000489","name":"CUG-4Fav_981000489","mode":"N"}}</v>
      </c>
    </row>
    <row r="974" spans="1:9" x14ac:dyDescent="0.25">
      <c r="A974" s="60" t="s">
        <v>5031</v>
      </c>
      <c r="B974" s="60" t="str">
        <f>findKey(supplementary_offering_legacyid__4[[#This Row],[PRODUCCION]])</f>
        <v>99999990</v>
      </c>
      <c r="C974" s="61" t="s">
        <v>5032</v>
      </c>
      <c r="D974" t="s">
        <v>2170</v>
      </c>
      <c r="E974" t="s">
        <v>2329</v>
      </c>
      <c r="F974" s="61"/>
      <c r="H974" t="str">
        <f>ToJsonArray(supplementary_offering_legacyid__4[[#Headers],[offeringid]:[json]],supplementary_offering_legacyid__4[[#This Row],[offeringid]:[ignore]])</f>
        <v>{"offeringid":"990000163","name":"workarround-favorite0","mode":"N"}</v>
      </c>
      <c r="I974" t="str">
        <f>ToJsonArray(supplementary_offering_legacyid__4[[#This Row],[semilla04]],supplementary_offering_legacyid__4[[#This Row],[json]])</f>
        <v>{"99999990":{"offeringid":"990000163","name":"workarround-favorite0","mode":"N"}}</v>
      </c>
    </row>
    <row r="975" spans="1:9" x14ac:dyDescent="0.25">
      <c r="A975" s="60" t="s">
        <v>5033</v>
      </c>
      <c r="B975" s="60" t="str">
        <f>findKey(supplementary_offering_legacyid__4[[#This Row],[PRODUCCION]])</f>
        <v>99999991</v>
      </c>
      <c r="C975" s="61" t="s">
        <v>5034</v>
      </c>
      <c r="D975" t="s">
        <v>2171</v>
      </c>
      <c r="E975" t="s">
        <v>2329</v>
      </c>
      <c r="F975" s="61"/>
      <c r="H975" t="str">
        <f>ToJsonArray(supplementary_offering_legacyid__4[[#Headers],[offeringid]:[json]],supplementary_offering_legacyid__4[[#This Row],[offeringid]:[ignore]])</f>
        <v>{"offeringid":"990000162","name":"workarround-favorite1","mode":"N"}</v>
      </c>
      <c r="I975" t="str">
        <f>ToJsonArray(supplementary_offering_legacyid__4[[#This Row],[semilla04]],supplementary_offering_legacyid__4[[#This Row],[json]])</f>
        <v>{"99999991":{"offeringid":"990000162","name":"workarround-favorite1","mode":"N"}}</v>
      </c>
    </row>
    <row r="976" spans="1:9" x14ac:dyDescent="0.25">
      <c r="A976" s="60" t="s">
        <v>5035</v>
      </c>
      <c r="B976" s="60" t="str">
        <f>findKey(supplementary_offering_legacyid__4[[#This Row],[PRODUCCION]])</f>
        <v>99999993</v>
      </c>
      <c r="C976" s="61" t="s">
        <v>5036</v>
      </c>
      <c r="D976" t="s">
        <v>2172</v>
      </c>
      <c r="E976" t="s">
        <v>2329</v>
      </c>
      <c r="F976" s="61"/>
      <c r="H976" t="str">
        <f>ToJsonArray(supplementary_offering_legacyid__4[[#Headers],[offeringid]:[json]],supplementary_offering_legacyid__4[[#This Row],[offeringid]:[ignore]])</f>
        <v>{"offeringid":"990000161","name":"workarround-cug","mode":"N"}</v>
      </c>
      <c r="I976" t="str">
        <f>ToJsonArray(supplementary_offering_legacyid__4[[#This Row],[semilla04]],supplementary_offering_legacyid__4[[#This Row],[json]])</f>
        <v>{"99999993":{"offeringid":"990000161","name":"workarround-cug","mode":"N"}}</v>
      </c>
    </row>
    <row r="977" spans="1:9" x14ac:dyDescent="0.25">
      <c r="A977" s="60" t="s">
        <v>5037</v>
      </c>
      <c r="B977" s="60" t="str">
        <f>findKey(supplementary_offering_legacyid__4[[#This Row],[PRODUCCION]])</f>
        <v>200001-24</v>
      </c>
      <c r="C977" s="61" t="s">
        <v>5038</v>
      </c>
      <c r="D977" t="s">
        <v>5039</v>
      </c>
      <c r="E977" t="s">
        <v>2329</v>
      </c>
      <c r="F977" s="61"/>
      <c r="H977" t="str">
        <f>ToJsonArray(supplementary_offering_legacyid__4[[#Headers],[offeringid]:[json]],supplementary_offering_legacyid__4[[#This Row],[offeringid]:[ignore]])</f>
        <v>{"offeringid":"920000124","name":"Data 10Gb_920000124","mode":"N"}</v>
      </c>
      <c r="I977" t="str">
        <f>ToJsonArray(supplementary_offering_legacyid__4[[#This Row],[semilla04]],supplementary_offering_legacyid__4[[#This Row],[json]])</f>
        <v>{"200001-24":{"offeringid":"920000124","name":"Data 10Gb_920000124","mode":"N"}}</v>
      </c>
    </row>
    <row r="978" spans="1:9" x14ac:dyDescent="0.25">
      <c r="A978" s="60" t="s">
        <v>5040</v>
      </c>
      <c r="B978" s="60" t="str">
        <f>findKey(supplementary_offering_legacyid__4[[#This Row],[PRODUCCION]])</f>
        <v>17088899638</v>
      </c>
      <c r="C978" s="61" t="s">
        <v>5041</v>
      </c>
      <c r="D978" t="s">
        <v>234</v>
      </c>
      <c r="E978" t="s">
        <v>2189</v>
      </c>
      <c r="F978" s="61"/>
      <c r="H978" t="str">
        <f>ToJsonArray(supplementary_offering_legacyid__4[[#Headers],[offeringid]:[json]],supplementary_offering_legacyid__4[[#This Row],[offeringid]:[ignore]])</f>
        <v>{"offeringid":"990000216","name":"Paquete SMS 5.3","mode":"I"}</v>
      </c>
      <c r="I978" t="str">
        <f>ToJsonArray(supplementary_offering_legacyid__4[[#This Row],[semilla04]],supplementary_offering_legacyid__4[[#This Row],[json]])</f>
        <v>{"17088899638":{"offeringid":"990000216","name":"Paquete SMS 5.3","mode":"I"}}</v>
      </c>
    </row>
    <row r="979" spans="1:9" x14ac:dyDescent="0.25">
      <c r="A979" s="60" t="s">
        <v>5042</v>
      </c>
      <c r="B979" s="60" t="str">
        <f>findKey(supplementary_offering_legacyid__4[[#This Row],[PRODUCCION]])</f>
        <v>17088898006</v>
      </c>
      <c r="C979" s="61" t="s">
        <v>5043</v>
      </c>
      <c r="D979" t="s">
        <v>237</v>
      </c>
      <c r="E979" t="s">
        <v>2189</v>
      </c>
      <c r="F979" s="61"/>
      <c r="H979" t="str">
        <f>ToJsonArray(supplementary_offering_legacyid__4[[#Headers],[offeringid]:[json]],supplementary_offering_legacyid__4[[#This Row],[offeringid]:[ignore]])</f>
        <v>{"offeringid":"990000217","name":"Paquete Datos 5.3","mode":"I"}</v>
      </c>
      <c r="I979" t="str">
        <f>ToJsonArray(supplementary_offering_legacyid__4[[#This Row],[semilla04]],supplementary_offering_legacyid__4[[#This Row],[json]])</f>
        <v>{"17088898006":{"offeringid":"990000217","name":"Paquete Datos 5.3","mode":"I"}}</v>
      </c>
    </row>
    <row r="980" spans="1:9" x14ac:dyDescent="0.25">
      <c r="A980" s="60" t="s">
        <v>5044</v>
      </c>
      <c r="B980" s="60" t="str">
        <f>findKey(supplementary_offering_legacyid__4[[#This Row],[PRODUCCION]])</f>
        <v>17098060109</v>
      </c>
      <c r="C980" s="61" t="s">
        <v>5045</v>
      </c>
      <c r="D980" t="s">
        <v>1362</v>
      </c>
      <c r="E980" t="s">
        <v>2189</v>
      </c>
      <c r="F980" s="61"/>
      <c r="H980" t="str">
        <f>ToJsonArray(supplementary_offering_legacyid__4[[#Headers],[offeringid]:[json]],supplementary_offering_legacyid__4[[#This Row],[offeringid]:[ignore]])</f>
        <v>{"offeringid":"990000245","name":"Paquete Datos 5.11","mode":"I"}</v>
      </c>
      <c r="I980" t="str">
        <f>ToJsonArray(supplementary_offering_legacyid__4[[#This Row],[semilla04]],supplementary_offering_legacyid__4[[#This Row],[json]])</f>
        <v>{"17098060109":{"offeringid":"990000245","name":"Paquete Datos 5.11","mode":"I"}}</v>
      </c>
    </row>
    <row r="981" spans="1:9" x14ac:dyDescent="0.25">
      <c r="A981" s="60" t="s">
        <v>5046</v>
      </c>
      <c r="B981" s="60" t="str">
        <f>findKey(supplementary_offering_legacyid__4[[#This Row],[PRODUCCION]])</f>
        <v>17098063181</v>
      </c>
      <c r="C981" s="61" t="s">
        <v>5047</v>
      </c>
      <c r="D981" t="s">
        <v>1363</v>
      </c>
      <c r="E981" t="s">
        <v>2189</v>
      </c>
      <c r="F981" s="61"/>
      <c r="H981" t="str">
        <f>ToJsonArray(supplementary_offering_legacyid__4[[#Headers],[offeringid]:[json]],supplementary_offering_legacyid__4[[#This Row],[offeringid]:[ignore]])</f>
        <v>{"offeringid":"990000244","name":"Paquete SMS 5.11","mode":"I"}</v>
      </c>
      <c r="I981" t="str">
        <f>ToJsonArray(supplementary_offering_legacyid__4[[#This Row],[semilla04]],supplementary_offering_legacyid__4[[#This Row],[json]])</f>
        <v>{"17098063181":{"offeringid":"990000244","name":"Paquete SMS 5.11","mode":"I"}}</v>
      </c>
    </row>
    <row r="982" spans="1:9" x14ac:dyDescent="0.25">
      <c r="A982" s="60" t="s">
        <v>5048</v>
      </c>
      <c r="B982" s="60" t="str">
        <f>findKey(supplementary_offering_legacyid__4[[#This Row],[PRODUCCION]])</f>
        <v>380247871014</v>
      </c>
      <c r="C982" s="61" t="s">
        <v>5049</v>
      </c>
      <c r="D982" t="s">
        <v>2162</v>
      </c>
      <c r="E982" t="s">
        <v>2189</v>
      </c>
      <c r="F982" s="61"/>
      <c r="H982" t="str">
        <f>ToJsonArray(supplementary_offering_legacyid__4[[#Headers],[offeringid]:[json]],supplementary_offering_legacyid__4[[#This Row],[offeringid]:[ignore]])</f>
        <v>{"offeringid":"990000246","name":"Paquete SMS Fidelizacion Pospago 5.0","mode":"I"}</v>
      </c>
      <c r="I982" t="str">
        <f>ToJsonArray(supplementary_offering_legacyid__4[[#This Row],[semilla04]],supplementary_offering_legacyid__4[[#This Row],[json]])</f>
        <v>{"380247871014":{"offeringid":"990000246","name":"Paquete SMS Fidelizacion Pospago 5.0","mode":"I"}}</v>
      </c>
    </row>
    <row r="983" spans="1:9" x14ac:dyDescent="0.25">
      <c r="A983" s="60" t="s">
        <v>5050</v>
      </c>
      <c r="B983" s="60" t="str">
        <f>findKey(supplementary_offering_legacyid__4[[#This Row],[PRODUCCION]])</f>
        <v>380247869382</v>
      </c>
      <c r="C983" s="61" t="s">
        <v>5051</v>
      </c>
      <c r="D983" t="s">
        <v>2158</v>
      </c>
      <c r="E983" t="s">
        <v>2189</v>
      </c>
      <c r="F983" s="61"/>
      <c r="H983" t="str">
        <f>ToJsonArray(supplementary_offering_legacyid__4[[#Headers],[offeringid]:[json]],supplementary_offering_legacyid__4[[#This Row],[offeringid]:[ignore]])</f>
        <v>{"offeringid":"990000247","name":"Paquete Datos Fidelizacion Pospago 5.0","mode":"I"}</v>
      </c>
      <c r="I983" t="str">
        <f>ToJsonArray(supplementary_offering_legacyid__4[[#This Row],[semilla04]],supplementary_offering_legacyid__4[[#This Row],[json]])</f>
        <v>{"380247869382":{"offeringid":"990000247","name":"Paquete Datos Fidelizacion Pospago 5.0","mode":"I"}}</v>
      </c>
    </row>
    <row r="984" spans="1:9" x14ac:dyDescent="0.25">
      <c r="A984" s="60" t="s">
        <v>5052</v>
      </c>
      <c r="B984" s="60" t="str">
        <f>findKey(supplementary_offering_legacyid__4[[#This Row],[PRODUCCION]])</f>
        <v>380247867942</v>
      </c>
      <c r="C984" s="61" t="s">
        <v>5053</v>
      </c>
      <c r="D984" t="s">
        <v>2160</v>
      </c>
      <c r="E984" t="s">
        <v>2189</v>
      </c>
      <c r="F984" s="61"/>
      <c r="H984" t="str">
        <f>ToJsonArray(supplementary_offering_legacyid__4[[#Headers],[offeringid]:[json]],supplementary_offering_legacyid__4[[#This Row],[offeringid]:[ignore]])</f>
        <v>{"offeringid":"990000248","name":"Paquete SMS Pospago 5.3 con Descuento","mode":"I"}</v>
      </c>
      <c r="I984" t="str">
        <f>ToJsonArray(supplementary_offering_legacyid__4[[#This Row],[semilla04]],supplementary_offering_legacyid__4[[#This Row],[json]])</f>
        <v>{"380247867942":{"offeringid":"990000248","name":"Paquete SMS Pospago 5.3 con Descuento","mode":"I"}}</v>
      </c>
    </row>
    <row r="985" spans="1:9" x14ac:dyDescent="0.25">
      <c r="A985" s="60" t="s">
        <v>5054</v>
      </c>
      <c r="B985" s="60" t="str">
        <f>findKey(supplementary_offering_legacyid__4[[#This Row],[PRODUCCION]])</f>
        <v>380247869478</v>
      </c>
      <c r="C985" s="61" t="s">
        <v>5055</v>
      </c>
      <c r="D985" t="s">
        <v>2156</v>
      </c>
      <c r="E985" t="s">
        <v>2189</v>
      </c>
      <c r="F985" s="61"/>
      <c r="H985" t="str">
        <f>ToJsonArray(supplementary_offering_legacyid__4[[#Headers],[offeringid]:[json]],supplementary_offering_legacyid__4[[#This Row],[offeringid]:[ignore]])</f>
        <v>{"offeringid":"990000249","name":"Paquete Datos Pospago 5.3 con Descuento","mode":"I"}</v>
      </c>
      <c r="I985" t="str">
        <f>ToJsonArray(supplementary_offering_legacyid__4[[#This Row],[semilla04]],supplementary_offering_legacyid__4[[#This Row],[json]])</f>
        <v>{"380247869478":{"offeringid":"990000249","name":"Paquete Datos Pospago 5.3 con Descuento","mode":"I"}}</v>
      </c>
    </row>
    <row r="986" spans="1:9" x14ac:dyDescent="0.25">
      <c r="A986" s="60" t="s">
        <v>5056</v>
      </c>
      <c r="B986" s="60" t="str">
        <f>findKey(supplementary_offering_legacyid__4[[#This Row],[PRODUCCION]])</f>
        <v>17094296271</v>
      </c>
      <c r="C986" s="61" t="s">
        <v>5057</v>
      </c>
      <c r="D986" t="s">
        <v>1361</v>
      </c>
      <c r="E986" t="s">
        <v>2189</v>
      </c>
      <c r="F986" s="61"/>
      <c r="H986" t="str">
        <f>ToJsonArray(supplementary_offering_legacyid__4[[#Headers],[offeringid]:[json]],supplementary_offering_legacyid__4[[#This Row],[offeringid]:[ignore]])</f>
        <v>{"offeringid":"990000222","name":"Addon Amazon Video","mode":"I"}</v>
      </c>
      <c r="I986" t="str">
        <f>ToJsonArray(supplementary_offering_legacyid__4[[#This Row],[semilla04]],supplementary_offering_legacyid__4[[#This Row],[json]])</f>
        <v>{"17094296271":{"offeringid":"990000222","name":"Addon Amazon Video","mode":"I"}}</v>
      </c>
    </row>
    <row r="987" spans="1:9" x14ac:dyDescent="0.25">
      <c r="A987" s="60" t="s">
        <v>5058</v>
      </c>
      <c r="B987" s="60" t="str">
        <f>findKey(supplementary_offering_legacyid__4[[#This Row],[PRODUCCION]])</f>
        <v>17094296399</v>
      </c>
      <c r="C987" s="61" t="s">
        <v>5059</v>
      </c>
      <c r="D987" t="s">
        <v>1357</v>
      </c>
      <c r="E987" t="s">
        <v>2189</v>
      </c>
      <c r="F987" s="61"/>
      <c r="H987" t="str">
        <f>ToJsonArray(supplementary_offering_legacyid__4[[#Headers],[offeringid]:[json]],supplementary_offering_legacyid__4[[#This Row],[offeringid]:[ignore]])</f>
        <v>{"offeringid":"990000223","name":"Addon Amazon Video (Incluido)","mode":"I"}</v>
      </c>
      <c r="I987" t="str">
        <f>ToJsonArray(supplementary_offering_legacyid__4[[#This Row],[semilla04]],supplementary_offering_legacyid__4[[#This Row],[json]])</f>
        <v>{"17094296399":{"offeringid":"990000223","name":"Addon Amazon Video (Incluido)","mode":"I"}}</v>
      </c>
    </row>
    <row r="988" spans="1:9" x14ac:dyDescent="0.25">
      <c r="A988" s="60" t="s">
        <v>5060</v>
      </c>
      <c r="B988" s="60" t="str">
        <f>findKey(supplementary_offering_legacyid__4[[#This Row],[PRODUCCION]])</f>
        <v>17094299471</v>
      </c>
      <c r="C988" s="61" t="s">
        <v>5061</v>
      </c>
      <c r="D988" t="s">
        <v>1359</v>
      </c>
      <c r="E988" t="s">
        <v>2189</v>
      </c>
      <c r="F988" s="61"/>
      <c r="H988" t="str">
        <f>ToJsonArray(supplementary_offering_legacyid__4[[#Headers],[offeringid]:[json]],supplementary_offering_legacyid__4[[#This Row],[offeringid]:[ignore]])</f>
        <v>{"offeringid":"990000224","name":"Addon Amazon Video (Promocion)","mode":"I"}</v>
      </c>
      <c r="I988" t="str">
        <f>ToJsonArray(supplementary_offering_legacyid__4[[#This Row],[semilla04]],supplementary_offering_legacyid__4[[#This Row],[json]])</f>
        <v>{"17094299471":{"offeringid":"990000224","name":"Addon Amazon Video (Promocion)","mode":"I"}}</v>
      </c>
    </row>
    <row r="989" spans="1:9" x14ac:dyDescent="0.25">
      <c r="A989" s="60" t="s">
        <v>5062</v>
      </c>
      <c r="B989" s="60" t="str">
        <f>findKey(supplementary_offering_legacyid__4[[#This Row],[PRODUCCION]])</f>
        <v>17094297039</v>
      </c>
      <c r="C989" s="61" t="s">
        <v>5063</v>
      </c>
      <c r="D989" t="s">
        <v>1355</v>
      </c>
      <c r="E989" t="s">
        <v>2189</v>
      </c>
      <c r="F989" s="61"/>
      <c r="H989" t="str">
        <f>ToJsonArray(supplementary_offering_legacyid__4[[#Headers],[offeringid]:[json]],supplementary_offering_legacyid__4[[#This Row],[offeringid]:[ignore]])</f>
        <v>{"offeringid":"990000225","name":"Addon Amazon Music","mode":"I"}</v>
      </c>
      <c r="I989" t="str">
        <f>ToJsonArray(supplementary_offering_legacyid__4[[#This Row],[semilla04]],supplementary_offering_legacyid__4[[#This Row],[json]])</f>
        <v>{"17094297039":{"offeringid":"990000225","name":"Addon Amazon Music","mode":"I"}}</v>
      </c>
    </row>
    <row r="990" spans="1:9" x14ac:dyDescent="0.25">
      <c r="A990" s="60" t="s">
        <v>5064</v>
      </c>
      <c r="B990" s="60" t="str">
        <f>findKey(supplementary_offering_legacyid__4[[#This Row],[PRODUCCION]])</f>
        <v>17094295599</v>
      </c>
      <c r="C990" s="61" t="s">
        <v>5065</v>
      </c>
      <c r="D990" t="s">
        <v>1349</v>
      </c>
      <c r="E990" t="s">
        <v>2189</v>
      </c>
      <c r="F990" s="61"/>
      <c r="H990" t="str">
        <f>ToJsonArray(supplementary_offering_legacyid__4[[#Headers],[offeringid]:[json]],supplementary_offering_legacyid__4[[#This Row],[offeringid]:[ignore]])</f>
        <v>{"offeringid":"990000226","name":"Addon Deezer","mode":"I"}</v>
      </c>
      <c r="I990" t="str">
        <f>ToJsonArray(supplementary_offering_legacyid__4[[#This Row],[semilla04]],supplementary_offering_legacyid__4[[#This Row],[json]])</f>
        <v>{"17094295599":{"offeringid":"990000226","name":"Addon Deezer","mode":"I"}}</v>
      </c>
    </row>
    <row r="991" spans="1:9" x14ac:dyDescent="0.25">
      <c r="A991" s="60" t="s">
        <v>5066</v>
      </c>
      <c r="B991" s="60" t="str">
        <f>findKey(supplementary_offering_legacyid__4[[#This Row],[PRODUCCION]])</f>
        <v>17094298575</v>
      </c>
      <c r="C991" s="61" t="s">
        <v>5067</v>
      </c>
      <c r="D991" t="s">
        <v>1351</v>
      </c>
      <c r="E991" t="s">
        <v>2189</v>
      </c>
      <c r="F991" s="61"/>
      <c r="H991" t="str">
        <f>ToJsonArray(supplementary_offering_legacyid__4[[#Headers],[offeringid]:[json]],supplementary_offering_legacyid__4[[#This Row],[offeringid]:[ignore]])</f>
        <v>{"offeringid":"990000227","name":"Addon Deezer (incluido)","mode":"I"}</v>
      </c>
      <c r="I991" t="str">
        <f>ToJsonArray(supplementary_offering_legacyid__4[[#This Row],[semilla04]],supplementary_offering_legacyid__4[[#This Row],[json]])</f>
        <v>{"17094298575":{"offeringid":"990000227","name":"Addon Deezer (incluido)","mode":"I"}}</v>
      </c>
    </row>
    <row r="992" spans="1:9" x14ac:dyDescent="0.25">
      <c r="A992" s="60" t="s">
        <v>5068</v>
      </c>
      <c r="B992" s="60" t="str">
        <f>findKey(supplementary_offering_legacyid__4[[#This Row],[PRODUCCION]])</f>
        <v>17094299343</v>
      </c>
      <c r="C992" s="61" t="s">
        <v>5069</v>
      </c>
      <c r="D992" t="s">
        <v>1353</v>
      </c>
      <c r="E992" t="s">
        <v>2189</v>
      </c>
      <c r="F992" s="61"/>
      <c r="H992" t="str">
        <f>ToJsonArray(supplementary_offering_legacyid__4[[#Headers],[offeringid]:[json]],supplementary_offering_legacyid__4[[#This Row],[offeringid]:[ignore]])</f>
        <v>{"offeringid":"990000228","name":"Addon Amazon Music (Incluido)","mode":"I"}</v>
      </c>
      <c r="I992" t="str">
        <f>ToJsonArray(supplementary_offering_legacyid__4[[#This Row],[semilla04]],supplementary_offering_legacyid__4[[#This Row],[json]])</f>
        <v>{"17094299343":{"offeringid":"990000228","name":"Addon Amazon Music (Incluido)","mode":"I"}}</v>
      </c>
    </row>
    <row r="993" spans="1:9" x14ac:dyDescent="0.25">
      <c r="A993" s="60" t="s">
        <v>5070</v>
      </c>
      <c r="B993" s="60" t="str">
        <f>findKey(supplementary_offering_legacyid__4[[#This Row],[PRODUCCION]])</f>
        <v>17101192360</v>
      </c>
      <c r="C993" s="61" t="s">
        <v>5071</v>
      </c>
      <c r="D993" t="s">
        <v>5072</v>
      </c>
      <c r="E993" t="s">
        <v>2189</v>
      </c>
      <c r="F993" s="61"/>
      <c r="H993" t="str">
        <f>ToJsonArray(supplementary_offering_legacyid__4[[#Headers],[offeringid]:[json]],supplementary_offering_legacyid__4[[#This Row],[offeringid]:[ignore]])</f>
        <v>{"offeringid":"990000295","name":"Addon Deezer (Promocion)","mode":"I"}</v>
      </c>
      <c r="I993" t="str">
        <f>ToJsonArray(supplementary_offering_legacyid__4[[#This Row],[semilla04]],supplementary_offering_legacyid__4[[#This Row],[json]])</f>
        <v>{"17101192360":{"offeringid":"990000295","name":"Addon Deezer (Promocion)","mode":"I"}}</v>
      </c>
    </row>
    <row r="994" spans="1:9" x14ac:dyDescent="0.25">
      <c r="A994" s="60" t="s">
        <v>5073</v>
      </c>
      <c r="B994" s="60" t="str">
        <f>findKey(supplementary_offering_legacyid__4[[#This Row],[PRODUCCION]])</f>
        <v>17099252530</v>
      </c>
      <c r="C994" s="61" t="s">
        <v>5074</v>
      </c>
      <c r="D994" t="s">
        <v>5075</v>
      </c>
      <c r="E994" t="s">
        <v>2189</v>
      </c>
      <c r="F994" s="61"/>
      <c r="H994" t="str">
        <f>ToJsonArray(supplementary_offering_legacyid__4[[#Headers],[offeringid]:[json]],supplementary_offering_legacyid__4[[#This Row],[offeringid]:[ignore]])</f>
        <v>{"offeringid":"990000294","name":"Addon Amazon Music (Promocion)","mode":"I"}</v>
      </c>
      <c r="I994" t="str">
        <f>ToJsonArray(supplementary_offering_legacyid__4[[#This Row],[semilla04]],supplementary_offering_legacyid__4[[#This Row],[json]])</f>
        <v>{"17099252530":{"offeringid":"990000294","name":"Addon Amazon Music (Promocion)","mode":"I"}}</v>
      </c>
    </row>
    <row r="995" spans="1:9" x14ac:dyDescent="0.25">
      <c r="A995" s="60" t="s">
        <v>5076</v>
      </c>
      <c r="B995" s="60" t="str">
        <f>findKey(supplementary_offering_legacyid__4[[#This Row],[PRODUCCION]])</f>
        <v>17083125246</v>
      </c>
      <c r="C995" s="61" t="s">
        <v>5077</v>
      </c>
      <c r="D995" t="s">
        <v>818</v>
      </c>
      <c r="E995" t="s">
        <v>2189</v>
      </c>
      <c r="F995" s="61"/>
      <c r="H995" t="str">
        <f>ToJsonArray(supplementary_offering_legacyid__4[[#Headers],[offeringid]:[json]],supplementary_offering_legacyid__4[[#This Row],[offeringid]:[ignore]])</f>
        <v>{"offeringid":"990000401","name":"PQT Corp Localizacion Movil LBS PR1","mode":"I"}</v>
      </c>
      <c r="I995" t="str">
        <f>ToJsonArray(supplementary_offering_legacyid__4[[#This Row],[semilla04]],supplementary_offering_legacyid__4[[#This Row],[json]])</f>
        <v>{"17083125246":{"offeringid":"990000401","name":"PQT Corp Localizacion Movil LBS PR1","mode":"I"}}</v>
      </c>
    </row>
    <row r="996" spans="1:9" x14ac:dyDescent="0.25">
      <c r="A996" s="60" t="s">
        <v>5078</v>
      </c>
      <c r="B996" s="60" t="str">
        <f>findKey(supplementary_offering_legacyid__4[[#This Row],[PRODUCCION]])</f>
        <v>17083125545</v>
      </c>
      <c r="C996" s="61" t="s">
        <v>5079</v>
      </c>
      <c r="D996" t="s">
        <v>819</v>
      </c>
      <c r="E996" t="s">
        <v>2189</v>
      </c>
      <c r="F996" s="61"/>
      <c r="H996" t="str">
        <f>ToJsonArray(supplementary_offering_legacyid__4[[#Headers],[offeringid]:[json]],supplementary_offering_legacyid__4[[#This Row],[offeringid]:[ignore]])</f>
        <v>{"offeringid":"990000403","name":"PQT Corp Localizacion Movil LBS PR3","mode":"I"}</v>
      </c>
      <c r="I996" t="str">
        <f>ToJsonArray(supplementary_offering_legacyid__4[[#This Row],[semilla04]],supplementary_offering_legacyid__4[[#This Row],[json]])</f>
        <v>{"17083125545":{"offeringid":"990000403","name":"PQT Corp Localizacion Movil LBS PR3","mode":"I"}}</v>
      </c>
    </row>
    <row r="997" spans="1:9" x14ac:dyDescent="0.25">
      <c r="A997" s="60" t="s">
        <v>5080</v>
      </c>
      <c r="B997" s="60" t="str">
        <f>findKey(supplementary_offering_legacyid__4[[#This Row],[PRODUCCION]])</f>
        <v>17083122174</v>
      </c>
      <c r="C997" s="61" t="s">
        <v>5081</v>
      </c>
      <c r="D997" t="s">
        <v>820</v>
      </c>
      <c r="E997" t="s">
        <v>2189</v>
      </c>
      <c r="F997" s="61"/>
      <c r="H997" t="str">
        <f>ToJsonArray(supplementary_offering_legacyid__4[[#Headers],[offeringid]:[json]],supplementary_offering_legacyid__4[[#This Row],[offeringid]:[ignore]])</f>
        <v>{"offeringid":"990000405","name":"PQT Corp Localizacion Movil LBS PR10","mode":"I"}</v>
      </c>
      <c r="I997" t="str">
        <f>ToJsonArray(supplementary_offering_legacyid__4[[#This Row],[semilla04]],supplementary_offering_legacyid__4[[#This Row],[json]])</f>
        <v>{"17083122174":{"offeringid":"990000405","name":"PQT Corp Localizacion Movil LBS PR10","mode":"I"}}</v>
      </c>
    </row>
    <row r="998" spans="1:9" x14ac:dyDescent="0.25">
      <c r="A998" s="60" t="s">
        <v>5082</v>
      </c>
      <c r="B998" s="60" t="str">
        <f>findKey(supplementary_offering_legacyid__4[[#This Row],[PRODUCCION]])</f>
        <v>17083124478</v>
      </c>
      <c r="C998" s="61" t="s">
        <v>5083</v>
      </c>
      <c r="D998" t="s">
        <v>821</v>
      </c>
      <c r="E998" t="s">
        <v>2189</v>
      </c>
      <c r="F998" s="61"/>
      <c r="H998" t="str">
        <f>ToJsonArray(supplementary_offering_legacyid__4[[#Headers],[offeringid]:[json]],supplementary_offering_legacyid__4[[#This Row],[offeringid]:[ignore]])</f>
        <v>{"offeringid":"990000407","name":"PQT Corp Localizacion Movil LBS PR20","mode":"I"}</v>
      </c>
      <c r="I998" t="str">
        <f>ToJsonArray(supplementary_offering_legacyid__4[[#This Row],[semilla04]],supplementary_offering_legacyid__4[[#This Row],[json]])</f>
        <v>{"17083124478":{"offeringid":"990000407","name":"PQT Corp Localizacion Movil LBS PR20","mode":"I"}}</v>
      </c>
    </row>
    <row r="999" spans="1:9" x14ac:dyDescent="0.25">
      <c r="A999" s="60" t="s">
        <v>5084</v>
      </c>
      <c r="B999" s="60" t="str">
        <f>findKey(supplementary_offering_legacyid__4[[#This Row],[PRODUCCION]])</f>
        <v>Plan CRM 525 - Activity</v>
      </c>
      <c r="C999" s="61" t="s">
        <v>5085</v>
      </c>
      <c r="D999" t="s">
        <v>5086</v>
      </c>
      <c r="E999" t="s">
        <v>2189</v>
      </c>
      <c r="F999" s="61"/>
      <c r="H999" t="str">
        <f>ToJsonArray(supplementary_offering_legacyid__4[[#Headers],[offeringid]:[json]],supplementary_offering_legacyid__4[[#This Row],[offeringid]:[ignore]])</f>
        <v>{"offeringid":"990000411","name":"SMS Flexy plan Basic","mode":"I"}</v>
      </c>
      <c r="I999" t="str">
        <f>ToJsonArray(supplementary_offering_legacyid__4[[#This Row],[semilla04]],supplementary_offering_legacyid__4[[#This Row],[json]])</f>
        <v>{"Plan CRM 525 - Activity":{"offeringid":"990000411","name":"SMS Flexy plan Basic","mode":"I"}}</v>
      </c>
    </row>
    <row r="1000" spans="1:9" x14ac:dyDescent="0.25">
      <c r="A1000" s="60" t="s">
        <v>5087</v>
      </c>
      <c r="B1000" s="60" t="str">
        <f>findKey(supplementary_offering_legacyid__4[[#This Row],[PRODUCCION]])</f>
        <v>Plan CRM 526 - Activity</v>
      </c>
      <c r="C1000" s="61" t="s">
        <v>5088</v>
      </c>
      <c r="D1000" t="s">
        <v>5089</v>
      </c>
      <c r="E1000" t="s">
        <v>2189</v>
      </c>
      <c r="F1000" s="61"/>
      <c r="H1000" t="str">
        <f>ToJsonArray(supplementary_offering_legacyid__4[[#Headers],[offeringid]:[json]],supplementary_offering_legacyid__4[[#This Row],[offeringid]:[ignore]])</f>
        <v>{"offeringid":"990000412","name":"SMS Flexy plan Plus","mode":"I"}</v>
      </c>
      <c r="I1000" t="str">
        <f>ToJsonArray(supplementary_offering_legacyid__4[[#This Row],[semilla04]],supplementary_offering_legacyid__4[[#This Row],[json]])</f>
        <v>{"Plan CRM 526 - Activity":{"offeringid":"990000412","name":"SMS Flexy plan Plus","mode":"I"}}</v>
      </c>
    </row>
    <row r="1001" spans="1:9" x14ac:dyDescent="0.25">
      <c r="A1001" s="60" t="s">
        <v>5090</v>
      </c>
      <c r="B1001" s="60" t="str">
        <f>findKey(supplementary_offering_legacyid__4[[#This Row],[PRODUCCION]])</f>
        <v>17083123936</v>
      </c>
      <c r="C1001" s="61" t="s">
        <v>5091</v>
      </c>
      <c r="D1001" t="s">
        <v>645</v>
      </c>
      <c r="E1001" t="s">
        <v>2189</v>
      </c>
      <c r="F1001" s="61"/>
      <c r="H1001" t="str">
        <f>ToJsonArray(supplementary_offering_legacyid__4[[#Headers],[offeringid]:[json]],supplementary_offering_legacyid__4[[#This Row],[offeringid]:[ignore]])</f>
        <v>{"offeringid":"990000420","name":"PQT Corp TodoDestino 200MIN y Voz a NIT Infinito F2","mode":"I"}</v>
      </c>
      <c r="I1001" t="str">
        <f>ToJsonArray(supplementary_offering_legacyid__4[[#This Row],[semilla04]],supplementary_offering_legacyid__4[[#This Row],[json]])</f>
        <v>{"17083123936":{"offeringid":"990000420","name":"PQT Corp TodoDestino 200MIN y Voz a NIT Infinito F2","mode":"I"}}</v>
      </c>
    </row>
    <row r="1002" spans="1:9" x14ac:dyDescent="0.25">
      <c r="A1002" s="60" t="s">
        <v>5092</v>
      </c>
      <c r="B1002" s="60" t="str">
        <f>findKey(supplementary_offering_legacyid__4[[#This Row],[PRODUCCION]])</f>
        <v>17083657479</v>
      </c>
      <c r="C1002" s="61" t="s">
        <v>5093</v>
      </c>
      <c r="D1002" t="s">
        <v>649</v>
      </c>
      <c r="E1002" t="s">
        <v>2189</v>
      </c>
      <c r="F1002" s="61"/>
      <c r="H1002" t="str">
        <f>ToJsonArray(supplementary_offering_legacyid__4[[#Headers],[offeringid]:[json]],supplementary_offering_legacyid__4[[#This Row],[offeringid]:[ignore]])</f>
        <v>{"offeringid":"990000421","name":"PQT Corp TodoDestino 500MIN y Voz a NIT Infinito F2","mode":"I"}</v>
      </c>
      <c r="I1002" t="str">
        <f>ToJsonArray(supplementary_offering_legacyid__4[[#This Row],[semilla04]],supplementary_offering_legacyid__4[[#This Row],[json]])</f>
        <v>{"17083657479":{"offeringid":"990000421","name":"PQT Corp TodoDestino 500MIN y Voz a NIT Infinito F2","mode":"I"}}</v>
      </c>
    </row>
    <row r="1003" spans="1:9" x14ac:dyDescent="0.25">
      <c r="A1003" s="60" t="s">
        <v>5094</v>
      </c>
      <c r="B1003" s="60" t="str">
        <f>findKey(supplementary_offering_legacyid__4[[#This Row],[PRODUCCION]])</f>
        <v>17083662891</v>
      </c>
      <c r="C1003" s="61" t="s">
        <v>5095</v>
      </c>
      <c r="D1003" t="s">
        <v>672</v>
      </c>
      <c r="E1003" t="s">
        <v>2189</v>
      </c>
      <c r="F1003" s="61" t="s">
        <v>5342</v>
      </c>
      <c r="H1003" t="str">
        <f>ToJsonArray(supplementary_offering_legacyid__4[[#Headers],[offeringid]:[json]],supplementary_offering_legacyid__4[[#This Row],[offeringid]:[ignore]])</f>
        <v>{"offeringid":"990000422","name":"PQT Corp Navegacion 1GB WA + Mail","mode":"I","offeringidATP":"990000537"}</v>
      </c>
      <c r="I1003" t="str">
        <f>ToJsonArray(supplementary_offering_legacyid__4[[#This Row],[semilla04]],supplementary_offering_legacyid__4[[#This Row],[json]])</f>
        <v>{"17083662891":{"offeringid":"990000422","name":"PQT Corp Navegacion 1GB WA + Mail","mode":"I","offeringidATP":"990000537"}}</v>
      </c>
    </row>
    <row r="1004" spans="1:9" x14ac:dyDescent="0.25">
      <c r="A1004" s="60" t="s">
        <v>5096</v>
      </c>
      <c r="B1004" s="60" t="str">
        <f>findKey(supplementary_offering_legacyid__4[[#This Row],[PRODUCCION]])</f>
        <v>17083655495</v>
      </c>
      <c r="C1004" s="61" t="s">
        <v>5097</v>
      </c>
      <c r="D1004" t="s">
        <v>639</v>
      </c>
      <c r="E1004" t="s">
        <v>2189</v>
      </c>
      <c r="F1004" s="61"/>
      <c r="H1004" t="str">
        <f>ToJsonArray(supplementary_offering_legacyid__4[[#Headers],[offeringid]:[json]],supplementary_offering_legacyid__4[[#This Row],[offeringid]:[ignore]])</f>
        <v>{"offeringid":"990000423","name":"PQT Corp TodoDestino 100SMS  F2","mode":"I"}</v>
      </c>
      <c r="I1004" t="str">
        <f>ToJsonArray(supplementary_offering_legacyid__4[[#This Row],[semilla04]],supplementary_offering_legacyid__4[[#This Row],[json]])</f>
        <v>{"17083655495":{"offeringid":"990000423","name":"PQT Corp TodoDestino 100SMS  F2","mode":"I"}}</v>
      </c>
    </row>
    <row r="1005" spans="1:9" x14ac:dyDescent="0.25">
      <c r="A1005" s="60" t="s">
        <v>5098</v>
      </c>
      <c r="B1005" s="60" t="str">
        <f>findKey(supplementary_offering_legacyid__4[[#This Row],[PRODUCCION]])</f>
        <v>17083656327</v>
      </c>
      <c r="C1005" s="61" t="s">
        <v>5099</v>
      </c>
      <c r="D1005" t="s">
        <v>653</v>
      </c>
      <c r="E1005" t="s">
        <v>2189</v>
      </c>
      <c r="F1005" s="61"/>
      <c r="H1005" t="str">
        <f>ToJsonArray(supplementary_offering_legacyid__4[[#Headers],[offeringid]:[json]],supplementary_offering_legacyid__4[[#This Row],[offeringid]:[ignore]])</f>
        <v>{"offeringid":"990000424","name":"PQT Corp TodoDestino 1000MIN y Voz a NIT Infinito F2","mode":"I"}</v>
      </c>
      <c r="I1005" t="str">
        <f>ToJsonArray(supplementary_offering_legacyid__4[[#This Row],[semilla04]],supplementary_offering_legacyid__4[[#This Row],[json]])</f>
        <v>{"17083656327":{"offeringid":"990000424","name":"PQT Corp TodoDestino 1000MIN y Voz a NIT Infinito F2","mode":"I"}}</v>
      </c>
    </row>
    <row r="1006" spans="1:9" x14ac:dyDescent="0.25">
      <c r="A1006" s="60" t="s">
        <v>5100</v>
      </c>
      <c r="B1006" s="60" t="str">
        <f>findKey(supplementary_offering_legacyid__4[[#This Row],[PRODUCCION]])</f>
        <v>17083657287</v>
      </c>
      <c r="C1006" s="61" t="s">
        <v>5101</v>
      </c>
      <c r="D1006" t="s">
        <v>665</v>
      </c>
      <c r="E1006" t="s">
        <v>2189</v>
      </c>
      <c r="F1006" s="61"/>
      <c r="H1006" t="str">
        <f>ToJsonArray(supplementary_offering_legacyid__4[[#Headers],[offeringid]:[json]],supplementary_offering_legacyid__4[[#This Row],[offeringid]:[ignore]])</f>
        <v>{"offeringid":"990000425","name":"PQT Corp TodoDestino Voz Infinitos F2","mode":"I"}</v>
      </c>
      <c r="I1006" t="str">
        <f>ToJsonArray(supplementary_offering_legacyid__4[[#This Row],[semilla04]],supplementary_offering_legacyid__4[[#This Row],[json]])</f>
        <v>{"17083657287":{"offeringid":"990000425","name":"PQT Corp TodoDestino Voz Infinitos F2","mode":"I"}}</v>
      </c>
    </row>
    <row r="1007" spans="1:9" x14ac:dyDescent="0.25">
      <c r="A1007" s="60" t="s">
        <v>5102</v>
      </c>
      <c r="B1007" s="60" t="str">
        <f>findKey(supplementary_offering_legacyid__4[[#This Row],[PRODUCCION]])</f>
        <v>17083657031</v>
      </c>
      <c r="C1007" s="61" t="s">
        <v>5103</v>
      </c>
      <c r="D1007" t="s">
        <v>642</v>
      </c>
      <c r="E1007" t="s">
        <v>2189</v>
      </c>
      <c r="F1007" s="61"/>
      <c r="H1007" t="str">
        <f>ToJsonArray(supplementary_offering_legacyid__4[[#Headers],[offeringid]:[json]],supplementary_offering_legacyid__4[[#This Row],[offeringid]:[ignore]])</f>
        <v>{"offeringid":"990000426","name":"PQT Corp TodoDestino SMS Infinito F2","mode":"I"}</v>
      </c>
      <c r="I1007" t="str">
        <f>ToJsonArray(supplementary_offering_legacyid__4[[#This Row],[semilla04]],supplementary_offering_legacyid__4[[#This Row],[json]])</f>
        <v>{"17083657031":{"offeringid":"990000426","name":"PQT Corp TodoDestino SMS Infinito F2","mode":"I"}}</v>
      </c>
    </row>
    <row r="1008" spans="1:9" x14ac:dyDescent="0.25">
      <c r="A1008" s="60" t="s">
        <v>5104</v>
      </c>
      <c r="B1008" s="60" t="str">
        <f>findKey(supplementary_offering_legacyid__4[[#This Row],[PRODUCCION]])</f>
        <v>17083664619</v>
      </c>
      <c r="C1008" s="61" t="s">
        <v>5105</v>
      </c>
      <c r="D1008" t="s">
        <v>702</v>
      </c>
      <c r="E1008" t="s">
        <v>2189</v>
      </c>
      <c r="F1008" s="61"/>
      <c r="H1008" t="str">
        <f>ToJsonArray(supplementary_offering_legacyid__4[[#Headers],[offeringid]:[json]],supplementary_offering_legacyid__4[[#This Row],[offeringid]:[ignore]])</f>
        <v>{"offeringid":"990000427","name":"PQT Corp Navegacion 25GB WA + Mail","mode":"I"}</v>
      </c>
      <c r="I1008" t="str">
        <f>ToJsonArray(supplementary_offering_legacyid__4[[#This Row],[semilla04]],supplementary_offering_legacyid__4[[#This Row],[json]])</f>
        <v>{"17083664619":{"offeringid":"990000427","name":"PQT Corp Navegacion 25GB WA + Mail","mode":"I"}}</v>
      </c>
    </row>
    <row r="1009" spans="1:9" x14ac:dyDescent="0.25">
      <c r="A1009" s="60" t="s">
        <v>5106</v>
      </c>
      <c r="B1009" s="60" t="str">
        <f>findKey(supplementary_offering_legacyid__4[[#This Row],[PRODUCCION]])</f>
        <v>17083665195</v>
      </c>
      <c r="C1009" s="61" t="s">
        <v>5107</v>
      </c>
      <c r="D1009" t="s">
        <v>678</v>
      </c>
      <c r="E1009" t="s">
        <v>2189</v>
      </c>
      <c r="F1009" s="61"/>
      <c r="H1009" t="str">
        <f>ToJsonArray(supplementary_offering_legacyid__4[[#Headers],[offeringid]:[json]],supplementary_offering_legacyid__4[[#This Row],[offeringid]:[ignore]])</f>
        <v>{"offeringid":"990000428","name":"PQT Corp Navegacion 3,5 GB WA + Mail","mode":"I"}</v>
      </c>
      <c r="I1009" t="str">
        <f>ToJsonArray(supplementary_offering_legacyid__4[[#This Row],[semilla04]],supplementary_offering_legacyid__4[[#This Row],[json]])</f>
        <v>{"17083665195":{"offeringid":"990000428","name":"PQT Corp Navegacion 3,5 GB WA + Mail","mode":"I"}}</v>
      </c>
    </row>
    <row r="1010" spans="1:9" x14ac:dyDescent="0.25">
      <c r="A1010" s="60" t="s">
        <v>5108</v>
      </c>
      <c r="B1010" s="60" t="str">
        <f>findKey(supplementary_offering_legacyid__4[[#This Row],[PRODUCCION]])</f>
        <v>17083665579</v>
      </c>
      <c r="C1010" s="61" t="s">
        <v>5109</v>
      </c>
      <c r="D1010" t="s">
        <v>682</v>
      </c>
      <c r="E1010" t="s">
        <v>2189</v>
      </c>
      <c r="F1010" s="61"/>
      <c r="H1010" t="str">
        <f>ToJsonArray(supplementary_offering_legacyid__4[[#Headers],[offeringid]:[json]],supplementary_offering_legacyid__4[[#This Row],[offeringid]:[ignore]])</f>
        <v>{"offeringid":"990000429","name":"PQT Corp Navegacion 5GB WA + Mail","mode":"I"}</v>
      </c>
      <c r="I1010" t="str">
        <f>ToJsonArray(supplementary_offering_legacyid__4[[#This Row],[semilla04]],supplementary_offering_legacyid__4[[#This Row],[json]])</f>
        <v>{"17083665579":{"offeringid":"990000429","name":"PQT Corp Navegacion 5GB WA + Mail","mode":"I"}}</v>
      </c>
    </row>
    <row r="1011" spans="1:9" x14ac:dyDescent="0.25">
      <c r="A1011" s="60" t="s">
        <v>5110</v>
      </c>
      <c r="B1011" s="60" t="str">
        <f>findKey(supplementary_offering_legacyid__4[[#This Row],[PRODUCCION]])</f>
        <v>17083664811</v>
      </c>
      <c r="C1011" s="61" t="s">
        <v>5111</v>
      </c>
      <c r="D1011" t="s">
        <v>686</v>
      </c>
      <c r="E1011" t="s">
        <v>2189</v>
      </c>
      <c r="F1011" s="61"/>
      <c r="H1011" t="str">
        <f>ToJsonArray(supplementary_offering_legacyid__4[[#Headers],[offeringid]:[json]],supplementary_offering_legacyid__4[[#This Row],[offeringid]:[ignore]])</f>
        <v>{"offeringid":"990000430","name":"PQT Corp Navegacion 7GB WA + Mail","mode":"I"}</v>
      </c>
      <c r="I1011" t="str">
        <f>ToJsonArray(supplementary_offering_legacyid__4[[#This Row],[semilla04]],supplementary_offering_legacyid__4[[#This Row],[json]])</f>
        <v>{"17083664811":{"offeringid":"990000430","name":"PQT Corp Navegacion 7GB WA + Mail","mode":"I"}}</v>
      </c>
    </row>
    <row r="1012" spans="1:9" x14ac:dyDescent="0.25">
      <c r="A1012" s="60" t="s">
        <v>5112</v>
      </c>
      <c r="B1012" s="60" t="str">
        <f>findKey(supplementary_offering_legacyid__4[[#This Row],[PRODUCCION]])</f>
        <v>17083665003</v>
      </c>
      <c r="C1012" s="61" t="s">
        <v>5113</v>
      </c>
      <c r="D1012" t="s">
        <v>694</v>
      </c>
      <c r="E1012" t="s">
        <v>2189</v>
      </c>
      <c r="F1012" s="61"/>
      <c r="H1012" t="str">
        <f>ToJsonArray(supplementary_offering_legacyid__4[[#Headers],[offeringid]:[json]],supplementary_offering_legacyid__4[[#This Row],[offeringid]:[ignore]])</f>
        <v>{"offeringid":"990000431","name":"PQT Corp Navegacion 11GB WA + Mail","mode":"I"}</v>
      </c>
      <c r="I1012" t="str">
        <f>ToJsonArray(supplementary_offering_legacyid__4[[#This Row],[semilla04]],supplementary_offering_legacyid__4[[#This Row],[json]])</f>
        <v>{"17083665003":{"offeringid":"990000431","name":"PQT Corp Navegacion 11GB WA + Mail","mode":"I"}}</v>
      </c>
    </row>
    <row r="1013" spans="1:9" x14ac:dyDescent="0.25">
      <c r="A1013" s="60" t="s">
        <v>5114</v>
      </c>
      <c r="B1013" s="60" t="str">
        <f>findKey(supplementary_offering_legacyid__4[[#This Row],[PRODUCCION]])</f>
        <v>17091810620</v>
      </c>
      <c r="C1013" s="61" t="s">
        <v>5115</v>
      </c>
      <c r="D1013" t="s">
        <v>5116</v>
      </c>
      <c r="E1013" t="s">
        <v>2189</v>
      </c>
      <c r="F1013" s="61"/>
      <c r="H1013" t="str">
        <f>ToJsonArray(supplementary_offering_legacyid__4[[#Headers],[offeringid]:[json]],supplementary_offering_legacyid__4[[#This Row],[offeringid]:[ignore]])</f>
        <v>{"offeringid":"990000432","name":"Combos B2BÂ  Voz y SMS nacional ilimitado + 8 GB P3","mode":"I"}</v>
      </c>
      <c r="I1013" t="str">
        <f>ToJsonArray(supplementary_offering_legacyid__4[[#This Row],[semilla04]],supplementary_offering_legacyid__4[[#This Row],[json]])</f>
        <v>{"17091810620":{"offeringid":"990000432","name":"Combos B2BÂ  Voz y SMS nacional ilimitado + 8 GB P3","mode":"I"}}</v>
      </c>
    </row>
    <row r="1014" spans="1:9" x14ac:dyDescent="0.25">
      <c r="A1014" s="60" t="s">
        <v>5117</v>
      </c>
      <c r="B1014" s="60" t="str">
        <f>findKey(supplementary_offering_legacyid__4[[#This Row],[PRODUCCION]])</f>
        <v>17091809852</v>
      </c>
      <c r="C1014" s="61" t="s">
        <v>5118</v>
      </c>
      <c r="D1014" t="s">
        <v>5119</v>
      </c>
      <c r="E1014" t="s">
        <v>2189</v>
      </c>
      <c r="F1014" s="61"/>
      <c r="H1014" t="str">
        <f>ToJsonArray(supplementary_offering_legacyid__4[[#Headers],[offeringid]:[json]],supplementary_offering_legacyid__4[[#This Row],[offeringid]:[ignore]])</f>
        <v>{"offeringid":"990000433","name":"Combos B2BÂ  Voz y SMS nacional ilimitado + 8 GB P1","mode":"I"}</v>
      </c>
      <c r="I1014" t="str">
        <f>ToJsonArray(supplementary_offering_legacyid__4[[#This Row],[semilla04]],supplementary_offering_legacyid__4[[#This Row],[json]])</f>
        <v>{"17091809852":{"offeringid":"990000433","name":"Combos B2BÂ  Voz y SMS nacional ilimitado + 8 GB P1","mode":"I"}}</v>
      </c>
    </row>
    <row r="1015" spans="1:9" x14ac:dyDescent="0.25">
      <c r="A1015" s="60" t="s">
        <v>5120</v>
      </c>
      <c r="B1015" s="60" t="str">
        <f>findKey(supplementary_offering_legacyid__4[[#This Row],[PRODUCCION]])</f>
        <v>17091812924</v>
      </c>
      <c r="C1015" s="61" t="s">
        <v>5121</v>
      </c>
      <c r="D1015" t="s">
        <v>5122</v>
      </c>
      <c r="E1015" t="s">
        <v>2189</v>
      </c>
      <c r="F1015" s="61"/>
      <c r="H1015" t="str">
        <f>ToJsonArray(supplementary_offering_legacyid__4[[#Headers],[offeringid]:[json]],supplementary_offering_legacyid__4[[#This Row],[offeringid]:[ignore]])</f>
        <v>{"offeringid":"990000434","name":"Combos B2BÂ  Voz y SMS nacional ilimitado + 8 GB P2","mode":"I"}</v>
      </c>
      <c r="I1015" t="str">
        <f>ToJsonArray(supplementary_offering_legacyid__4[[#This Row],[semilla04]],supplementary_offering_legacyid__4[[#This Row],[json]])</f>
        <v>{"17091812924":{"offeringid":"990000434","name":"Combos B2BÂ  Voz y SMS nacional ilimitado + 8 GB P2","mode":"I"}}</v>
      </c>
    </row>
    <row r="1016" spans="1:9" x14ac:dyDescent="0.25">
      <c r="A1016" s="60" t="s">
        <v>5123</v>
      </c>
      <c r="B1016" s="60" t="str">
        <f>findKey(supplementary_offering_legacyid__4[[#This Row],[PRODUCCION]])</f>
        <v>17091810908</v>
      </c>
      <c r="C1016" s="61" t="s">
        <v>5124</v>
      </c>
      <c r="D1016" t="s">
        <v>5125</v>
      </c>
      <c r="E1016" t="s">
        <v>2189</v>
      </c>
      <c r="F1016" s="61"/>
      <c r="H1016" t="str">
        <f>ToJsonArray(supplementary_offering_legacyid__4[[#Headers],[offeringid]:[json]],supplementary_offering_legacyid__4[[#This Row],[offeringid]:[ignore]])</f>
        <v>{"offeringid":"990000435","name":"Combos B2BÂ  Voz y SMS nacional ilimitado + 12 GB P3","mode":"I"}</v>
      </c>
      <c r="I1016" t="str">
        <f>ToJsonArray(supplementary_offering_legacyid__4[[#This Row],[semilla04]],supplementary_offering_legacyid__4[[#This Row],[json]])</f>
        <v>{"17091810908":{"offeringid":"990000435","name":"Combos B2BÂ  Voz y SMS nacional ilimitado + 12 GB P3","mode":"I"}}</v>
      </c>
    </row>
    <row r="1017" spans="1:9" x14ac:dyDescent="0.25">
      <c r="A1017" s="60" t="s">
        <v>5126</v>
      </c>
      <c r="B1017" s="60" t="str">
        <f>findKey(supplementary_offering_legacyid__4[[#This Row],[PRODUCCION]])</f>
        <v>17091809372</v>
      </c>
      <c r="C1017" s="61" t="s">
        <v>5127</v>
      </c>
      <c r="D1017" t="s">
        <v>5128</v>
      </c>
      <c r="E1017" t="s">
        <v>2189</v>
      </c>
      <c r="F1017" s="61"/>
      <c r="H1017" t="str">
        <f>ToJsonArray(supplementary_offering_legacyid__4[[#Headers],[offeringid]:[json]],supplementary_offering_legacyid__4[[#This Row],[offeringid]:[ignore]])</f>
        <v>{"offeringid":"990000436","name":"Combos B2BÂ  Voz y SMS nacional ilimitado + 12 GB P1","mode":"I"}</v>
      </c>
      <c r="I1017" t="str">
        <f>ToJsonArray(supplementary_offering_legacyid__4[[#This Row],[semilla04]],supplementary_offering_legacyid__4[[#This Row],[json]])</f>
        <v>{"17091809372":{"offeringid":"990000436","name":"Combos B2BÂ  Voz y SMS nacional ilimitado + 12 GB P1","mode":"I"}}</v>
      </c>
    </row>
    <row r="1018" spans="1:9" x14ac:dyDescent="0.25">
      <c r="A1018" s="60" t="s">
        <v>5129</v>
      </c>
      <c r="B1018" s="60" t="str">
        <f>findKey(supplementary_offering_legacyid__4[[#This Row],[PRODUCCION]])</f>
        <v>17091812444</v>
      </c>
      <c r="C1018" s="61" t="s">
        <v>5130</v>
      </c>
      <c r="D1018" t="s">
        <v>5131</v>
      </c>
      <c r="E1018" t="s">
        <v>2189</v>
      </c>
      <c r="F1018" s="61"/>
      <c r="H1018" t="str">
        <f>ToJsonArray(supplementary_offering_legacyid__4[[#Headers],[offeringid]:[json]],supplementary_offering_legacyid__4[[#This Row],[offeringid]:[ignore]])</f>
        <v>{"offeringid":"990000437","name":"Combos B2BÂ  Voz y SMS nacional ilimitado + 12 GB P2","mode":"I"}</v>
      </c>
      <c r="I1018" t="str">
        <f>ToJsonArray(supplementary_offering_legacyid__4[[#This Row],[semilla04]],supplementary_offering_legacyid__4[[#This Row],[json]])</f>
        <v>{"17091812444":{"offeringid":"990000437","name":"Combos B2BÂ  Voz y SMS nacional ilimitado + 12 GB P2","mode":"I"}}</v>
      </c>
    </row>
    <row r="1019" spans="1:9" x14ac:dyDescent="0.25">
      <c r="A1019" s="60" t="s">
        <v>5132</v>
      </c>
      <c r="B1019" s="60" t="str">
        <f>findKey(supplementary_offering_legacyid__4[[#This Row],[PRODUCCION]])</f>
        <v>17091810140</v>
      </c>
      <c r="C1019" s="61" t="s">
        <v>5133</v>
      </c>
      <c r="D1019" t="s">
        <v>5134</v>
      </c>
      <c r="E1019" t="s">
        <v>2189</v>
      </c>
      <c r="F1019" s="61"/>
      <c r="H1019" t="str">
        <f>ToJsonArray(supplementary_offering_legacyid__4[[#Headers],[offeringid]:[json]],supplementary_offering_legacyid__4[[#This Row],[offeringid]:[ignore]])</f>
        <v>{"offeringid":"990000438","name":"Combos B2BÂ  Voz y SMS nacional ilimitado + 20 GB P2","mode":"I"}</v>
      </c>
      <c r="I1019" t="str">
        <f>ToJsonArray(supplementary_offering_legacyid__4[[#This Row],[semilla04]],supplementary_offering_legacyid__4[[#This Row],[json]])</f>
        <v>{"17091810140":{"offeringid":"990000438","name":"Combos B2BÂ  Voz y SMS nacional ilimitado + 20 GB P2","mode":"I"}}</v>
      </c>
    </row>
    <row r="1020" spans="1:9" x14ac:dyDescent="0.25">
      <c r="A1020" s="60" t="s">
        <v>5135</v>
      </c>
      <c r="B1020" s="60" t="str">
        <f>findKey(supplementary_offering_legacyid__4[[#This Row],[PRODUCCION]])</f>
        <v>17091813212</v>
      </c>
      <c r="C1020" s="61" t="s">
        <v>5136</v>
      </c>
      <c r="D1020" t="s">
        <v>5137</v>
      </c>
      <c r="E1020" t="s">
        <v>2189</v>
      </c>
      <c r="F1020" s="61"/>
      <c r="H1020" t="str">
        <f>ToJsonArray(supplementary_offering_legacyid__4[[#Headers],[offeringid]:[json]],supplementary_offering_legacyid__4[[#This Row],[offeringid]:[ignore]])</f>
        <v>{"offeringid":"990000439","name":"Combos B2BÂ  Voz y SMS nacional ilimitado + 20 GB P3","mode":"I"}</v>
      </c>
      <c r="I1020" t="str">
        <f>ToJsonArray(supplementary_offering_legacyid__4[[#This Row],[semilla04]],supplementary_offering_legacyid__4[[#This Row],[json]])</f>
        <v>{"17091813212":{"offeringid":"990000439","name":"Combos B2BÂ  Voz y SMS nacional ilimitado + 20 GB P3","mode":"I"}}</v>
      </c>
    </row>
    <row r="1021" spans="1:9" x14ac:dyDescent="0.25">
      <c r="A1021" s="60" t="s">
        <v>5138</v>
      </c>
      <c r="B1021" s="60" t="str">
        <f>findKey(supplementary_offering_legacyid__4[[#This Row],[PRODUCCION]])</f>
        <v>17091811676</v>
      </c>
      <c r="C1021" s="61" t="s">
        <v>5139</v>
      </c>
      <c r="D1021" t="s">
        <v>5140</v>
      </c>
      <c r="E1021" t="s">
        <v>2189</v>
      </c>
      <c r="F1021" s="61"/>
      <c r="H1021" t="str">
        <f>ToJsonArray(supplementary_offering_legacyid__4[[#Headers],[offeringid]:[json]],supplementary_offering_legacyid__4[[#This Row],[offeringid]:[ignore]])</f>
        <v>{"offeringid":"990000440","name":"Combos B2BÂ  Voz y SMS nacional ilimitado + 20 GB P1","mode":"I"}</v>
      </c>
      <c r="I1021" t="str">
        <f>ToJsonArray(supplementary_offering_legacyid__4[[#This Row],[semilla04]],supplementary_offering_legacyid__4[[#This Row],[json]])</f>
        <v>{"17091811676":{"offeringid":"990000440","name":"Combos B2BÂ  Voz y SMS nacional ilimitado + 20 GB P1","mode":"I"}}</v>
      </c>
    </row>
    <row r="1022" spans="1:9" x14ac:dyDescent="0.25">
      <c r="A1022" s="60" t="s">
        <v>5141</v>
      </c>
      <c r="B1022" s="60" t="str">
        <f>findKey(supplementary_offering_legacyid__4[[#This Row],[PRODUCCION]])</f>
        <v>17091810524</v>
      </c>
      <c r="C1022" s="61" t="s">
        <v>5142</v>
      </c>
      <c r="D1022" t="s">
        <v>5143</v>
      </c>
      <c r="E1022" t="s">
        <v>2189</v>
      </c>
      <c r="F1022" s="61"/>
      <c r="H1022" t="str">
        <f>ToJsonArray(supplementary_offering_legacyid__4[[#Headers],[offeringid]:[json]],supplementary_offering_legacyid__4[[#This Row],[offeringid]:[ignore]])</f>
        <v>{"offeringid":"990000441","name":"Combos B2BÂ  Voz y SMS nacional ilimitado + 35 GB P1","mode":"I"}</v>
      </c>
      <c r="I1022" t="str">
        <f>ToJsonArray(supplementary_offering_legacyid__4[[#This Row],[semilla04]],supplementary_offering_legacyid__4[[#This Row],[json]])</f>
        <v>{"17091810524":{"offeringid":"990000441","name":"Combos B2BÂ  Voz y SMS nacional ilimitado + 35 GB P1","mode":"I"}}</v>
      </c>
    </row>
    <row r="1023" spans="1:9" x14ac:dyDescent="0.25">
      <c r="A1023" s="60" t="s">
        <v>5144</v>
      </c>
      <c r="B1023" s="60" t="str">
        <f>findKey(supplementary_offering_legacyid__4[[#This Row],[PRODUCCION]])</f>
        <v>17091809756</v>
      </c>
      <c r="C1023" s="61" t="s">
        <v>5145</v>
      </c>
      <c r="D1023" t="s">
        <v>5146</v>
      </c>
      <c r="E1023" t="s">
        <v>2189</v>
      </c>
      <c r="F1023" s="61"/>
      <c r="H1023" t="str">
        <f>ToJsonArray(supplementary_offering_legacyid__4[[#Headers],[offeringid]:[json]],supplementary_offering_legacyid__4[[#This Row],[offeringid]:[ignore]])</f>
        <v>{"offeringid":"990000442","name":"Combos B2BÂ  Voz y SMS nacional ilimitado + 35 GB P3","mode":"I"}</v>
      </c>
      <c r="I1023" t="str">
        <f>ToJsonArray(supplementary_offering_legacyid__4[[#This Row],[semilla04]],supplementary_offering_legacyid__4[[#This Row],[json]])</f>
        <v>{"17091809756":{"offeringid":"990000442","name":"Combos B2BÂ  Voz y SMS nacional ilimitado + 35 GB P3","mode":"I"}}</v>
      </c>
    </row>
    <row r="1024" spans="1:9" x14ac:dyDescent="0.25">
      <c r="A1024" s="60" t="s">
        <v>5147</v>
      </c>
      <c r="B1024" s="60" t="str">
        <f>findKey(supplementary_offering_legacyid__4[[#This Row],[PRODUCCION]])</f>
        <v>17091812060</v>
      </c>
      <c r="C1024" s="61" t="s">
        <v>5148</v>
      </c>
      <c r="D1024" t="s">
        <v>5149</v>
      </c>
      <c r="E1024" t="s">
        <v>2189</v>
      </c>
      <c r="F1024" s="61"/>
      <c r="H1024" t="str">
        <f>ToJsonArray(supplementary_offering_legacyid__4[[#Headers],[offeringid]:[json]],supplementary_offering_legacyid__4[[#This Row],[offeringid]:[ignore]])</f>
        <v>{"offeringid":"990000443","name":"Combos B2BÂ  Voz y SMS nacional ilimitado + 35 GB P2","mode":"I"}</v>
      </c>
      <c r="I1024" t="str">
        <f>ToJsonArray(supplementary_offering_legacyid__4[[#This Row],[semilla04]],supplementary_offering_legacyid__4[[#This Row],[json]])</f>
        <v>{"17091812060":{"offeringid":"990000443","name":"Combos B2BÂ  Voz y SMS nacional ilimitado + 35 GB P2","mode":"I"}}</v>
      </c>
    </row>
    <row r="1025" spans="1:9" x14ac:dyDescent="0.25">
      <c r="A1025" s="60" t="s">
        <v>5150</v>
      </c>
      <c r="B1025" s="60" t="str">
        <f>findKey(supplementary_offering_legacyid__4[[#This Row],[PRODUCCION]])</f>
        <v>17091811292</v>
      </c>
      <c r="C1025" s="61" t="s">
        <v>5151</v>
      </c>
      <c r="D1025" t="s">
        <v>5152</v>
      </c>
      <c r="E1025" t="s">
        <v>2189</v>
      </c>
      <c r="F1025" s="61"/>
      <c r="H1025" t="str">
        <f>ToJsonArray(supplementary_offering_legacyid__4[[#Headers],[offeringid]:[json]],supplementary_offering_legacyid__4[[#This Row],[offeringid]:[ignore]])</f>
        <v>{"offeringid":"990000444","name":"Combos B2BÂ  Voz y SMS nacional ilimitado + 50 GB P2","mode":"I"}</v>
      </c>
      <c r="I1025" t="str">
        <f>ToJsonArray(supplementary_offering_legacyid__4[[#This Row],[semilla04]],supplementary_offering_legacyid__4[[#This Row],[json]])</f>
        <v>{"17091811292":{"offeringid":"990000444","name":"Combos B2BÂ  Voz y SMS nacional ilimitado + 50 GB P2","mode":"I"}}</v>
      </c>
    </row>
    <row r="1026" spans="1:9" x14ac:dyDescent="0.25">
      <c r="A1026" s="60" t="s">
        <v>5153</v>
      </c>
      <c r="B1026" s="60" t="str">
        <f>findKey(supplementary_offering_legacyid__4[[#This Row],[PRODUCCION]])</f>
        <v>17091812828</v>
      </c>
      <c r="C1026" s="61" t="s">
        <v>5154</v>
      </c>
      <c r="D1026" t="s">
        <v>5155</v>
      </c>
      <c r="E1026" t="s">
        <v>2189</v>
      </c>
      <c r="F1026" s="61"/>
      <c r="H1026" t="str">
        <f>ToJsonArray(supplementary_offering_legacyid__4[[#Headers],[offeringid]:[json]],supplementary_offering_legacyid__4[[#This Row],[offeringid]:[ignore]])</f>
        <v>{"offeringid":"990000445","name":"Combos B2BÂ  Voz y SMS nacional ilimitado + 50 GB P1","mode":"I"}</v>
      </c>
      <c r="I1026" t="str">
        <f>ToJsonArray(supplementary_offering_legacyid__4[[#This Row],[semilla04]],supplementary_offering_legacyid__4[[#This Row],[json]])</f>
        <v>{"17091812828":{"offeringid":"990000445","name":"Combos B2BÂ  Voz y SMS nacional ilimitado + 50 GB P1","mode":"I"}}</v>
      </c>
    </row>
    <row r="1027" spans="1:9" x14ac:dyDescent="0.25">
      <c r="A1027" s="60" t="s">
        <v>5156</v>
      </c>
      <c r="B1027" s="60" t="str">
        <f>findKey(supplementary_offering_legacyid__4[[#This Row],[PRODUCCION]])</f>
        <v>17091811388</v>
      </c>
      <c r="C1027" s="61" t="s">
        <v>5157</v>
      </c>
      <c r="D1027" t="s">
        <v>5158</v>
      </c>
      <c r="E1027" t="s">
        <v>2189</v>
      </c>
      <c r="F1027" s="61"/>
      <c r="H1027" t="str">
        <f>ToJsonArray(supplementary_offering_legacyid__4[[#Headers],[offeringid]:[json]],supplementary_offering_legacyid__4[[#This Row],[offeringid]:[ignore]])</f>
        <v>{"offeringid":"990000446","name":"Combos B2BÂ  Voz y SMS nacional ilimitado + 50 GB P3","mode":"I"}</v>
      </c>
      <c r="I1027" t="str">
        <f>ToJsonArray(supplementary_offering_legacyid__4[[#This Row],[semilla04]],supplementary_offering_legacyid__4[[#This Row],[json]])</f>
        <v>{"17091811388":{"offeringid":"990000446","name":"Combos B2BÂ  Voz y SMS nacional ilimitado + 50 GB P3","mode":"I"}}</v>
      </c>
    </row>
    <row r="1028" spans="1:9" x14ac:dyDescent="0.25">
      <c r="A1028" s="60" t="s">
        <v>5159</v>
      </c>
      <c r="B1028" s="60" t="str">
        <f>findKey(supplementary_offering_legacyid__4[[#This Row],[PRODUCCION]])</f>
        <v>358124951789</v>
      </c>
      <c r="C1028" s="61" t="s">
        <v>5160</v>
      </c>
      <c r="D1028" t="s">
        <v>2014</v>
      </c>
      <c r="E1028" t="s">
        <v>2189</v>
      </c>
      <c r="F1028" s="61"/>
      <c r="H1028" t="str">
        <f>ToJsonArray(supplementary_offering_legacyid__4[[#Headers],[offeringid]:[json]],supplementary_offering_legacyid__4[[#This Row],[offeringid]:[ignore]])</f>
        <v>{"offeringid":"990000447","name":"500MIN TD , SMS TD y Voz a Tigo inf, 5.5 GB, WA+Mail+FB, CUG P1","mode":"I"}</v>
      </c>
      <c r="I1028" t="str">
        <f>ToJsonArray(supplementary_offering_legacyid__4[[#This Row],[semilla04]],supplementary_offering_legacyid__4[[#This Row],[json]])</f>
        <v>{"358124951789":{"offeringid":"990000447","name":"500MIN TD , SMS TD y Voz a Tigo inf, 5.5 GB, WA+Mail+FB, CUG P1","mode":"I"}}</v>
      </c>
    </row>
    <row r="1029" spans="1:9" x14ac:dyDescent="0.25">
      <c r="A1029" s="60" t="s">
        <v>5161</v>
      </c>
      <c r="B1029" s="60" t="str">
        <f>findKey(supplementary_offering_legacyid__4[[#This Row],[PRODUCCION]])</f>
        <v>358124950253</v>
      </c>
      <c r="C1029" s="61" t="s">
        <v>5162</v>
      </c>
      <c r="D1029" t="s">
        <v>2015</v>
      </c>
      <c r="E1029" t="s">
        <v>2189</v>
      </c>
      <c r="F1029" s="61"/>
      <c r="H1029" t="str">
        <f>ToJsonArray(supplementary_offering_legacyid__4[[#Headers],[offeringid]:[json]],supplementary_offering_legacyid__4[[#This Row],[offeringid]:[ignore]])</f>
        <v>{"offeringid":"990000448","name":"500MIN TD , SMS TD y Voz a Tigo inf, 5.5 GB, WA+Mail+FB inf P2","mode":"I"}</v>
      </c>
      <c r="I1029" t="str">
        <f>ToJsonArray(supplementary_offering_legacyid__4[[#This Row],[semilla04]],supplementary_offering_legacyid__4[[#This Row],[json]])</f>
        <v>{"358124950253":{"offeringid":"990000448","name":"500MIN TD , SMS TD y Voz a Tigo inf, 5.5 GB, WA+Mail+FB inf P2","mode":"I"}}</v>
      </c>
    </row>
    <row r="1030" spans="1:9" x14ac:dyDescent="0.25">
      <c r="A1030" s="60" t="s">
        <v>5163</v>
      </c>
      <c r="B1030" s="60" t="str">
        <f>findKey(supplementary_offering_legacyid__4[[#This Row],[PRODUCCION]])</f>
        <v>358124953325</v>
      </c>
      <c r="C1030" s="61" t="s">
        <v>5164</v>
      </c>
      <c r="D1030" t="s">
        <v>2016</v>
      </c>
      <c r="E1030" t="s">
        <v>2189</v>
      </c>
      <c r="F1030" s="61"/>
      <c r="H1030" t="str">
        <f>ToJsonArray(supplementary_offering_legacyid__4[[#Headers],[offeringid]:[json]],supplementary_offering_legacyid__4[[#This Row],[offeringid]:[ignore]])</f>
        <v>{"offeringid":"990000449","name":"500MIN TD, SMS TD y Voz a Tigo inf, 5.5 GB, WA+Mail+FB inf P3","mode":"I"}</v>
      </c>
      <c r="I1030" t="str">
        <f>ToJsonArray(supplementary_offering_legacyid__4[[#This Row],[semilla04]],supplementary_offering_legacyid__4[[#This Row],[json]])</f>
        <v>{"358124953325":{"offeringid":"990000449","name":"500MIN TD, SMS TD y Voz a Tigo inf, 5.5 GB, WA+Mail+FB inf P3","mode":"I"}}</v>
      </c>
    </row>
    <row r="1031" spans="1:9" x14ac:dyDescent="0.25">
      <c r="A1031" s="60" t="s">
        <v>5165</v>
      </c>
      <c r="B1031" s="60" t="str">
        <f>findKey(supplementary_offering_legacyid__4[[#This Row],[PRODUCCION]])</f>
        <v>17083123103</v>
      </c>
      <c r="C1031" s="61" t="s">
        <v>5166</v>
      </c>
      <c r="D1031" t="s">
        <v>324</v>
      </c>
      <c r="E1031" t="s">
        <v>2189</v>
      </c>
      <c r="F1031" s="61"/>
      <c r="H1031" t="str">
        <f>ToJsonArray(supplementary_offering_legacyid__4[[#Headers],[offeringid]:[json]],supplementary_offering_legacyid__4[[#This Row],[offeringid]:[ignore]])</f>
        <v>{"offeringid":"990000450","name":"PQT Corp LDI 50","mode":"I"}</v>
      </c>
      <c r="I1031" t="str">
        <f>ToJsonArray(supplementary_offering_legacyid__4[[#This Row],[semilla04]],supplementary_offering_legacyid__4[[#This Row],[json]])</f>
        <v>{"17083123103":{"offeringid":"990000450","name":"PQT Corp LDI 50","mode":"I"}}</v>
      </c>
    </row>
    <row r="1032" spans="1:9" x14ac:dyDescent="0.25">
      <c r="A1032" s="60" t="s">
        <v>5167</v>
      </c>
      <c r="B1032" s="60" t="str">
        <f>findKey(supplementary_offering_legacyid__4[[#This Row],[PRODUCCION]])</f>
        <v>17083128352</v>
      </c>
      <c r="C1032" s="61" t="s">
        <v>5168</v>
      </c>
      <c r="D1032" t="s">
        <v>326</v>
      </c>
      <c r="E1032" t="s">
        <v>2189</v>
      </c>
      <c r="F1032" s="61"/>
      <c r="H1032" t="str">
        <f>ToJsonArray(supplementary_offering_legacyid__4[[#Headers],[offeringid]:[json]],supplementary_offering_legacyid__4[[#This Row],[offeringid]:[ignore]])</f>
        <v>{"offeringid":"990000451","name":"PQT Corp LDI 100","mode":"I"}</v>
      </c>
      <c r="I1032" t="str">
        <f>ToJsonArray(supplementary_offering_legacyid__4[[#This Row],[semilla04]],supplementary_offering_legacyid__4[[#This Row],[json]])</f>
        <v>{"17083128352":{"offeringid":"990000451","name":"PQT Corp LDI 100","mode":"I"}}</v>
      </c>
    </row>
    <row r="1033" spans="1:9" x14ac:dyDescent="0.25">
      <c r="A1033" s="60" t="s">
        <v>5169</v>
      </c>
      <c r="B1033" s="60" t="str">
        <f>findKey(supplementary_offering_legacyid__4[[#This Row],[PRODUCCION]])</f>
        <v>17083126816</v>
      </c>
      <c r="C1033" s="61" t="s">
        <v>5170</v>
      </c>
      <c r="D1033" t="s">
        <v>327</v>
      </c>
      <c r="E1033" t="s">
        <v>2189</v>
      </c>
      <c r="F1033" s="61"/>
      <c r="H1033" t="str">
        <f>ToJsonArray(supplementary_offering_legacyid__4[[#Headers],[offeringid]:[json]],supplementary_offering_legacyid__4[[#This Row],[offeringid]:[ignore]])</f>
        <v>{"offeringid":"990000452","name":"PQT Corp LDI 180","mode":"I"}</v>
      </c>
      <c r="I1033" t="str">
        <f>ToJsonArray(supplementary_offering_legacyid__4[[#This Row],[semilla04]],supplementary_offering_legacyid__4[[#This Row],[json]])</f>
        <v>{"17083126816":{"offeringid":"990000452","name":"PQT Corp LDI 180","mode":"I"}}</v>
      </c>
    </row>
    <row r="1034" spans="1:9" x14ac:dyDescent="0.25">
      <c r="A1034" s="60" t="s">
        <v>5171</v>
      </c>
      <c r="B1034" s="60" t="str">
        <f>findKey(supplementary_offering_legacyid__4[[#This Row],[PRODUCCION]])</f>
        <v>17083129792</v>
      </c>
      <c r="C1034" s="61" t="s">
        <v>5172</v>
      </c>
      <c r="D1034" t="s">
        <v>328</v>
      </c>
      <c r="E1034" t="s">
        <v>2189</v>
      </c>
      <c r="F1034" s="61"/>
      <c r="H1034" t="str">
        <f>ToJsonArray(supplementary_offering_legacyid__4[[#Headers],[offeringid]:[json]],supplementary_offering_legacyid__4[[#This Row],[offeringid]:[ignore]])</f>
        <v>{"offeringid":"990000453","name":"PQT Corp LDI 330","mode":"I"}</v>
      </c>
      <c r="I1034" t="str">
        <f>ToJsonArray(supplementary_offering_legacyid__4[[#This Row],[semilla04]],supplementary_offering_legacyid__4[[#This Row],[json]])</f>
        <v>{"17083129792":{"offeringid":"990000453","name":"PQT Corp LDI 330","mode":"I"}}</v>
      </c>
    </row>
    <row r="1035" spans="1:9" x14ac:dyDescent="0.25">
      <c r="A1035" s="60" t="s">
        <v>5173</v>
      </c>
      <c r="B1035" s="60" t="str">
        <f>findKey(supplementary_offering_legacyid__4[[#This Row],[PRODUCCION]])</f>
        <v>168771481791</v>
      </c>
      <c r="C1035" s="61" t="s">
        <v>5174</v>
      </c>
      <c r="D1035" t="s">
        <v>2007</v>
      </c>
      <c r="E1035" t="s">
        <v>2189</v>
      </c>
      <c r="F1035" s="61"/>
      <c r="H1035" t="str">
        <f>ToJsonArray(supplementary_offering_legacyid__4[[#Headers],[offeringid]:[json]],supplementary_offering_legacyid__4[[#This Row],[offeringid]:[ignore]])</f>
        <v>{"offeringid":"990000454","name":"1000MIN TD, SMS TD y Voz a Tigo infinito, 3 GB WA+Mail+FB P2","mode":"I"}</v>
      </c>
      <c r="I1035" t="str">
        <f>ToJsonArray(supplementary_offering_legacyid__4[[#This Row],[semilla04]],supplementary_offering_legacyid__4[[#This Row],[json]])</f>
        <v>{"168771481791":{"offeringid":"990000454","name":"1000MIN TD, SMS TD y Voz a Tigo infinito, 3 GB WA+Mail+FB P2","mode":"I"}}</v>
      </c>
    </row>
    <row r="1036" spans="1:9" x14ac:dyDescent="0.25">
      <c r="A1036" s="60" t="s">
        <v>5175</v>
      </c>
      <c r="B1036" s="60" t="str">
        <f>findKey(supplementary_offering_legacyid__4[[#This Row],[PRODUCCION]])</f>
        <v>168771484479</v>
      </c>
      <c r="C1036" s="61" t="s">
        <v>5176</v>
      </c>
      <c r="D1036" t="s">
        <v>2006</v>
      </c>
      <c r="E1036" t="s">
        <v>2189</v>
      </c>
      <c r="F1036" s="61"/>
      <c r="H1036" t="str">
        <f>ToJsonArray(supplementary_offering_legacyid__4[[#Headers],[offeringid]:[json]],supplementary_offering_legacyid__4[[#This Row],[offeringid]:[ignore]])</f>
        <v>{"offeringid":"990000455","name":"1000MIN TD, SMS TD y Voz a Tigo infinito, 3 GB WA+Mail+FB P1","mode":"I"}</v>
      </c>
      <c r="I1036" t="str">
        <f>ToJsonArray(supplementary_offering_legacyid__4[[#This Row],[semilla04]],supplementary_offering_legacyid__4[[#This Row],[json]])</f>
        <v>{"168771484479":{"offeringid":"990000455","name":"1000MIN TD, SMS TD y Voz a Tigo infinito, 3 GB WA+Mail+FB P1","mode":"I"}}</v>
      </c>
    </row>
    <row r="1037" spans="1:9" x14ac:dyDescent="0.25">
      <c r="A1037" s="60" t="s">
        <v>5177</v>
      </c>
      <c r="B1037" s="60" t="str">
        <f>findKey(supplementary_offering_legacyid__4[[#This Row],[PRODUCCION]])</f>
        <v>168771484863</v>
      </c>
      <c r="C1037" s="61" t="s">
        <v>5178</v>
      </c>
      <c r="D1037" t="s">
        <v>2008</v>
      </c>
      <c r="E1037" t="s">
        <v>2189</v>
      </c>
      <c r="F1037" s="61"/>
      <c r="H1037" t="str">
        <f>ToJsonArray(supplementary_offering_legacyid__4[[#Headers],[offeringid]:[json]],supplementary_offering_legacyid__4[[#This Row],[offeringid]:[ignore]])</f>
        <v>{"offeringid":"990000456","name":"1000MIN TD, SMS TD y Voz a Tigo infinito, 3 GB WA+Mail+FB P3","mode":"I"}</v>
      </c>
      <c r="I1037" t="str">
        <f>ToJsonArray(supplementary_offering_legacyid__4[[#This Row],[semilla04]],supplementary_offering_legacyid__4[[#This Row],[json]])</f>
        <v>{"168771484863":{"offeringid":"990000456","name":"1000MIN TD, SMS TD y Voz a Tigo infinito, 3 GB WA+Mail+FB P3","mode":"I"}}</v>
      </c>
    </row>
    <row r="1038" spans="1:9" x14ac:dyDescent="0.25">
      <c r="A1038" s="60" t="s">
        <v>5179</v>
      </c>
      <c r="B1038" s="60" t="str">
        <f>findKey(supplementary_offering_legacyid__4[[#This Row],[PRODUCCION]])</f>
        <v>168771481983</v>
      </c>
      <c r="C1038" s="61" t="s">
        <v>5180</v>
      </c>
      <c r="D1038" t="s">
        <v>2133</v>
      </c>
      <c r="E1038" t="s">
        <v>2189</v>
      </c>
      <c r="F1038" s="61"/>
      <c r="H1038" t="str">
        <f>ToJsonArray(supplementary_offering_legacyid__4[[#Headers],[offeringid]:[json]],supplementary_offering_legacyid__4[[#This Row],[offeringid]:[ignore]])</f>
        <v>{"offeringid":"990000457","name":"400MIN TD, SMS TD y Voz a Tigo infinito, 1 GB WA+Mail+FB P2","mode":"I"}</v>
      </c>
      <c r="I1038" t="str">
        <f>ToJsonArray(supplementary_offering_legacyid__4[[#This Row],[semilla04]],supplementary_offering_legacyid__4[[#This Row],[json]])</f>
        <v>{"168771481983":{"offeringid":"990000457","name":"400MIN TD, SMS TD y Voz a Tigo infinito, 1 GB WA+Mail+FB P2","mode":"I"}}</v>
      </c>
    </row>
    <row r="1039" spans="1:9" x14ac:dyDescent="0.25">
      <c r="A1039" s="60" t="s">
        <v>5181</v>
      </c>
      <c r="B1039" s="60" t="str">
        <f>findKey(supplementary_offering_legacyid__4[[#This Row],[PRODUCCION]])</f>
        <v>168771484287</v>
      </c>
      <c r="C1039" s="61" t="s">
        <v>5182</v>
      </c>
      <c r="D1039" t="s">
        <v>2132</v>
      </c>
      <c r="E1039" t="s">
        <v>2189</v>
      </c>
      <c r="F1039" s="61"/>
      <c r="H1039" t="str">
        <f>ToJsonArray(supplementary_offering_legacyid__4[[#Headers],[offeringid]:[json]],supplementary_offering_legacyid__4[[#This Row],[offeringid]:[ignore]])</f>
        <v>{"offeringid":"990000458","name":"400MIN TD, SMS TD y Voz a Tigo infinito, 1 GB WA+Mail+FB P1","mode":"I"}</v>
      </c>
      <c r="I1039" t="str">
        <f>ToJsonArray(supplementary_offering_legacyid__4[[#This Row],[semilla04]],supplementary_offering_legacyid__4[[#This Row],[json]])</f>
        <v>{"168771484287":{"offeringid":"990000458","name":"400MIN TD, SMS TD y Voz a Tigo infinito, 1 GB WA+Mail+FB P1","mode":"I"}}</v>
      </c>
    </row>
    <row r="1040" spans="1:9" x14ac:dyDescent="0.25">
      <c r="A1040" s="60" t="s">
        <v>5183</v>
      </c>
      <c r="B1040" s="60" t="str">
        <f>findKey(supplementary_offering_legacyid__4[[#This Row],[PRODUCCION]])</f>
        <v>168771485055</v>
      </c>
      <c r="C1040" s="61" t="s">
        <v>5184</v>
      </c>
      <c r="D1040" t="s">
        <v>2134</v>
      </c>
      <c r="E1040" t="s">
        <v>2189</v>
      </c>
      <c r="F1040" s="61"/>
      <c r="H1040" t="str">
        <f>ToJsonArray(supplementary_offering_legacyid__4[[#Headers],[offeringid]:[json]],supplementary_offering_legacyid__4[[#This Row],[offeringid]:[ignore]])</f>
        <v>{"offeringid":"990000459","name":"400MIN TD, SMS TD y Voz a Tigo infinito, 1 GB WA+Mail+FB P3","mode":"I"}</v>
      </c>
      <c r="I1040" t="str">
        <f>ToJsonArray(supplementary_offering_legacyid__4[[#This Row],[semilla04]],supplementary_offering_legacyid__4[[#This Row],[json]])</f>
        <v>{"168771485055":{"offeringid":"990000459","name":"400MIN TD, SMS TD y Voz a Tigo infinito, 1 GB WA+Mail+FB P3","mode":"I"}}</v>
      </c>
    </row>
    <row r="1041" spans="1:9" x14ac:dyDescent="0.25">
      <c r="A1041" s="60" t="s">
        <v>5185</v>
      </c>
      <c r="B1041" s="60" t="str">
        <f>findKey(supplementary_offering_legacyid__4[[#This Row],[PRODUCCION]])</f>
        <v>358124949869</v>
      </c>
      <c r="C1041" s="61" t="s">
        <v>5186</v>
      </c>
      <c r="D1041" t="s">
        <v>2011</v>
      </c>
      <c r="E1041" t="s">
        <v>2189</v>
      </c>
      <c r="F1041" s="61"/>
      <c r="H1041" t="str">
        <f>ToJsonArray(supplementary_offering_legacyid__4[[#Headers],[offeringid]:[json]],supplementary_offering_legacyid__4[[#This Row],[offeringid]:[ignore]])</f>
        <v>{"offeringid":"990000460","name":"1000 MIN TD, SMS y Voz a Tigo inf, 6.5 GB, WA+Mail+FB, CUG P1","mode":"I"}</v>
      </c>
      <c r="I1041" t="str">
        <f>ToJsonArray(supplementary_offering_legacyid__4[[#This Row],[semilla04]],supplementary_offering_legacyid__4[[#This Row],[json]])</f>
        <v>{"358124949869":{"offeringid":"990000460","name":"1000 MIN TD, SMS y Voz a Tigo inf, 6.5 GB, WA+Mail+FB, CUG P1","mode":"I"}}</v>
      </c>
    </row>
    <row r="1042" spans="1:9" x14ac:dyDescent="0.25">
      <c r="A1042" s="60" t="s">
        <v>5187</v>
      </c>
      <c r="B1042" s="60" t="str">
        <f>findKey(supplementary_offering_legacyid__4[[#This Row],[PRODUCCION]])</f>
        <v>358124951405</v>
      </c>
      <c r="C1042" s="61" t="s">
        <v>5188</v>
      </c>
      <c r="D1042" t="s">
        <v>2013</v>
      </c>
      <c r="E1042" t="s">
        <v>2189</v>
      </c>
      <c r="F1042" s="61"/>
      <c r="H1042" t="str">
        <f>ToJsonArray(supplementary_offering_legacyid__4[[#Headers],[offeringid]:[json]],supplementary_offering_legacyid__4[[#This Row],[offeringid]:[ignore]])</f>
        <v>{"offeringid":"990000461","name":"1000 MIN TD, SMS y Voz a Tigo inf, 6.5 GB, WA+Mail+FB inf P3","mode":"I"}</v>
      </c>
      <c r="I1042" t="str">
        <f>ToJsonArray(supplementary_offering_legacyid__4[[#This Row],[semilla04]],supplementary_offering_legacyid__4[[#This Row],[json]])</f>
        <v>{"358124951405":{"offeringid":"990000461","name":"1000 MIN TD, SMS y Voz a Tigo inf, 6.5 GB, WA+Mail+FB inf P3","mode":"I"}}</v>
      </c>
    </row>
    <row r="1043" spans="1:9" x14ac:dyDescent="0.25">
      <c r="A1043" s="60" t="s">
        <v>5189</v>
      </c>
      <c r="B1043" s="60" t="str">
        <f>findKey(supplementary_offering_legacyid__4[[#This Row],[PRODUCCION]])</f>
        <v>358124952941</v>
      </c>
      <c r="C1043" s="61" t="s">
        <v>5190</v>
      </c>
      <c r="D1043" t="s">
        <v>2012</v>
      </c>
      <c r="E1043" t="s">
        <v>2189</v>
      </c>
      <c r="F1043" s="61"/>
      <c r="H1043" t="str">
        <f>ToJsonArray(supplementary_offering_legacyid__4[[#Headers],[offeringid]:[json]],supplementary_offering_legacyid__4[[#This Row],[offeringid]:[ignore]])</f>
        <v>{"offeringid":"990000462","name":"1000 MIN TD, SMS y Voz a Tigo inf, 6.5 GB, WA+Mail+FB inf P2","mode":"I"}</v>
      </c>
      <c r="I1043" t="str">
        <f>ToJsonArray(supplementary_offering_legacyid__4[[#This Row],[semilla04]],supplementary_offering_legacyid__4[[#This Row],[json]])</f>
        <v>{"358124952941":{"offeringid":"990000462","name":"1000 MIN TD, SMS y Voz a Tigo inf, 6.5 GB, WA+Mail+FB inf P2","mode":"I"}}</v>
      </c>
    </row>
    <row r="1044" spans="1:9" x14ac:dyDescent="0.25">
      <c r="A1044" s="60" t="s">
        <v>5191</v>
      </c>
      <c r="B1044" s="60" t="str">
        <f>findKey(supplementary_offering_legacyid__4[[#This Row],[PRODUCCION]])</f>
        <v>168771482559</v>
      </c>
      <c r="C1044" s="61" t="s">
        <v>5192</v>
      </c>
      <c r="D1044" t="s">
        <v>2131</v>
      </c>
      <c r="E1044" t="s">
        <v>2189</v>
      </c>
      <c r="F1044" s="61"/>
      <c r="H1044" t="str">
        <f>ToJsonArray(supplementary_offering_legacyid__4[[#Headers],[offeringid]:[json]],supplementary_offering_legacyid__4[[#This Row],[offeringid]:[ignore]])</f>
        <v>{"offeringid":"990000463","name":"1500MIN TD,SMS TD y Voz a Tigo infinito, 3,5 GB WA+ Mail+FB P3","mode":"I"}</v>
      </c>
      <c r="I1044" t="str">
        <f>ToJsonArray(supplementary_offering_legacyid__4[[#This Row],[semilla04]],supplementary_offering_legacyid__4[[#This Row],[json]])</f>
        <v>{"168771482559":{"offeringid":"990000463","name":"1500MIN TD,SMS TD y Voz a Tigo infinito, 3,5 GB WA+ Mail+FB P3","mode":"I"}}</v>
      </c>
    </row>
    <row r="1045" spans="1:9" x14ac:dyDescent="0.25">
      <c r="A1045" s="60" t="s">
        <v>5193</v>
      </c>
      <c r="B1045" s="60" t="str">
        <f>findKey(supplementary_offering_legacyid__4[[#This Row],[PRODUCCION]])</f>
        <v>168771483327</v>
      </c>
      <c r="C1045" s="61" t="s">
        <v>5194</v>
      </c>
      <c r="D1045" t="s">
        <v>2009</v>
      </c>
      <c r="E1045" t="s">
        <v>2189</v>
      </c>
      <c r="F1045" s="61"/>
      <c r="H1045" t="str">
        <f>ToJsonArray(supplementary_offering_legacyid__4[[#Headers],[offeringid]:[json]],supplementary_offering_legacyid__4[[#This Row],[offeringid]:[ignore]])</f>
        <v>{"offeringid":"990000464","name":"1500MIN TD,SMS TD y Voz a Tigo infinito, 3,5 GB WA+ Mail+FB P1","mode":"I"}</v>
      </c>
      <c r="I1045" t="str">
        <f>ToJsonArray(supplementary_offering_legacyid__4[[#This Row],[semilla04]],supplementary_offering_legacyid__4[[#This Row],[json]])</f>
        <v>{"168771483327":{"offeringid":"990000464","name":"1500MIN TD,SMS TD y Voz a Tigo infinito, 3,5 GB WA+ Mail+FB P1","mode":"I"}}</v>
      </c>
    </row>
    <row r="1046" spans="1:9" x14ac:dyDescent="0.25">
      <c r="A1046" s="60" t="s">
        <v>5195</v>
      </c>
      <c r="B1046" s="60" t="str">
        <f>findKey(supplementary_offering_legacyid__4[[#This Row],[PRODUCCION]])</f>
        <v>168771484095</v>
      </c>
      <c r="C1046" s="61" t="s">
        <v>5196</v>
      </c>
      <c r="D1046" t="s">
        <v>2010</v>
      </c>
      <c r="E1046" t="s">
        <v>2189</v>
      </c>
      <c r="F1046" s="61"/>
      <c r="H1046" t="str">
        <f>ToJsonArray(supplementary_offering_legacyid__4[[#Headers],[offeringid]:[json]],supplementary_offering_legacyid__4[[#This Row],[offeringid]:[ignore]])</f>
        <v>{"offeringid":"990000465","name":"1500MIN TD,SMS TD y Voz a Tigo infinito, 3,5 GB WA+ Mail+FB P2","mode":"I"}</v>
      </c>
      <c r="I1046" t="str">
        <f>ToJsonArray(supplementary_offering_legacyid__4[[#This Row],[semilla04]],supplementary_offering_legacyid__4[[#This Row],[json]])</f>
        <v>{"168771484095":{"offeringid":"990000465","name":"1500MIN TD,SMS TD y Voz a Tigo infinito, 3,5 GB WA+ Mail+FB P2","mode":"I"}}</v>
      </c>
    </row>
    <row r="1047" spans="1:9" x14ac:dyDescent="0.25">
      <c r="A1047" s="60" t="s">
        <v>5197</v>
      </c>
      <c r="B1047" s="60" t="str">
        <f>findKey(supplementary_offering_legacyid__4[[#This Row],[PRODUCCION]])</f>
        <v>168771482367</v>
      </c>
      <c r="C1047" s="61" t="s">
        <v>5198</v>
      </c>
      <c r="D1047" t="s">
        <v>2137</v>
      </c>
      <c r="E1047" t="s">
        <v>2189</v>
      </c>
      <c r="F1047" s="61"/>
      <c r="H1047" t="str">
        <f>ToJsonArray(supplementary_offering_legacyid__4[[#Headers],[offeringid]:[json]],supplementary_offering_legacyid__4[[#This Row],[offeringid]:[ignore]])</f>
        <v>{"offeringid":"990000466","name":"500MIN TD, SMS TD y Voz a Tigo infinito, 1,5 GB WA+Mail+FB P3","mode":"I"}</v>
      </c>
      <c r="I1047" t="str">
        <f>ToJsonArray(supplementary_offering_legacyid__4[[#This Row],[semilla04]],supplementary_offering_legacyid__4[[#This Row],[json]])</f>
        <v>{"168771482367":{"offeringid":"990000466","name":"500MIN TD, SMS TD y Voz a Tigo infinito, 1,5 GB WA+Mail+FB P3","mode":"I"}}</v>
      </c>
    </row>
    <row r="1048" spans="1:9" x14ac:dyDescent="0.25">
      <c r="A1048" s="60" t="s">
        <v>5199</v>
      </c>
      <c r="B1048" s="60" t="str">
        <f>findKey(supplementary_offering_legacyid__4[[#This Row],[PRODUCCION]])</f>
        <v>168771483519</v>
      </c>
      <c r="C1048" s="61" t="s">
        <v>5200</v>
      </c>
      <c r="D1048" t="s">
        <v>2135</v>
      </c>
      <c r="E1048" t="s">
        <v>2189</v>
      </c>
      <c r="F1048" s="61"/>
      <c r="H1048" t="str">
        <f>ToJsonArray(supplementary_offering_legacyid__4[[#Headers],[offeringid]:[json]],supplementary_offering_legacyid__4[[#This Row],[offeringid]:[ignore]])</f>
        <v>{"offeringid":"990000467","name":"500MIN TD, SMS TD y Voz a Tigo infinito, 1,5 GB WA+Mail+FB P1","mode":"I"}</v>
      </c>
      <c r="I1048" t="str">
        <f>ToJsonArray(supplementary_offering_legacyid__4[[#This Row],[semilla04]],supplementary_offering_legacyid__4[[#This Row],[json]])</f>
        <v>{"168771483519":{"offeringid":"990000467","name":"500MIN TD, SMS TD y Voz a Tigo infinito, 1,5 GB WA+Mail+FB P1","mode":"I"}}</v>
      </c>
    </row>
    <row r="1049" spans="1:9" x14ac:dyDescent="0.25">
      <c r="A1049" s="60" t="s">
        <v>5201</v>
      </c>
      <c r="B1049" s="60" t="str">
        <f>findKey(supplementary_offering_legacyid__4[[#This Row],[PRODUCCION]])</f>
        <v>168771483903</v>
      </c>
      <c r="C1049" s="61" t="s">
        <v>5202</v>
      </c>
      <c r="D1049" t="s">
        <v>2136</v>
      </c>
      <c r="E1049" t="s">
        <v>2189</v>
      </c>
      <c r="F1049" s="61"/>
      <c r="H1049" t="str">
        <f>ToJsonArray(supplementary_offering_legacyid__4[[#Headers],[offeringid]:[json]],supplementary_offering_legacyid__4[[#This Row],[offeringid]:[ignore]])</f>
        <v>{"offeringid":"990000468","name":"500MIN TD, SMS TD y Voz a Tigo infinito, 1,5 GB WA+Mail+FB P2","mode":"I"}</v>
      </c>
      <c r="I1049" t="str">
        <f>ToJsonArray(supplementary_offering_legacyid__4[[#This Row],[semilla04]],supplementary_offering_legacyid__4[[#This Row],[json]])</f>
        <v>{"168771483903":{"offeringid":"990000468","name":"500MIN TD, SMS TD y Voz a Tigo infinito, 1,5 GB WA+Mail+FB P2","mode":"I"}}</v>
      </c>
    </row>
    <row r="1050" spans="1:9" x14ac:dyDescent="0.25">
      <c r="A1050" s="60" t="s">
        <v>5203</v>
      </c>
      <c r="B1050" s="60" t="str">
        <f>findKey(supplementary_offering_legacyid__4[[#This Row],[PRODUCCION]])</f>
        <v>168771483135</v>
      </c>
      <c r="C1050" s="61" t="s">
        <v>5204</v>
      </c>
      <c r="D1050" t="s">
        <v>2139</v>
      </c>
      <c r="E1050" t="s">
        <v>2189</v>
      </c>
      <c r="F1050" s="61"/>
      <c r="H1050" t="str">
        <f>ToJsonArray(supplementary_offering_legacyid__4[[#Headers],[offeringid]:[json]],supplementary_offering_legacyid__4[[#This Row],[offeringid]:[ignore]])</f>
        <v>{"offeringid":"990000469","name":"700MIN TD, SMS TD y Voz a Tigo infinito, 2,5 GB WA+Mail+FB P2","mode":"I"}</v>
      </c>
      <c r="I1050" t="str">
        <f>ToJsonArray(supplementary_offering_legacyid__4[[#This Row],[semilla04]],supplementary_offering_legacyid__4[[#This Row],[json]])</f>
        <v>{"168771483135":{"offeringid":"990000469","name":"700MIN TD, SMS TD y Voz a Tigo infinito, 2,5 GB WA+Mail+FB P2","mode":"I"}}</v>
      </c>
    </row>
    <row r="1051" spans="1:9" x14ac:dyDescent="0.25">
      <c r="A1051" s="60" t="s">
        <v>5205</v>
      </c>
      <c r="B1051" s="60" t="str">
        <f>findKey(supplementary_offering_legacyid__4[[#This Row],[PRODUCCION]])</f>
        <v>168771484671</v>
      </c>
      <c r="C1051" s="61" t="s">
        <v>5206</v>
      </c>
      <c r="D1051" t="s">
        <v>2140</v>
      </c>
      <c r="E1051" t="s">
        <v>2189</v>
      </c>
      <c r="F1051" s="61"/>
      <c r="H1051" t="str">
        <f>ToJsonArray(supplementary_offering_legacyid__4[[#Headers],[offeringid]:[json]],supplementary_offering_legacyid__4[[#This Row],[offeringid]:[ignore]])</f>
        <v>{"offeringid":"990000470","name":"700MIN TD, SMS TD y Voz a Tigo infinito, 2,5 GB WA+Mail+FB P3","mode":"I"}</v>
      </c>
      <c r="I1051" t="str">
        <f>ToJsonArray(supplementary_offering_legacyid__4[[#This Row],[semilla04]],supplementary_offering_legacyid__4[[#This Row],[json]])</f>
        <v>{"168771484671":{"offeringid":"990000470","name":"700MIN TD, SMS TD y Voz a Tigo infinito, 2,5 GB WA+Mail+FB P3","mode":"I"}}</v>
      </c>
    </row>
    <row r="1052" spans="1:9" x14ac:dyDescent="0.25">
      <c r="A1052" s="60" t="s">
        <v>5207</v>
      </c>
      <c r="B1052" s="60" t="str">
        <f>findKey(supplementary_offering_legacyid__4[[#This Row],[PRODUCCION]])</f>
        <v>168771485439</v>
      </c>
      <c r="C1052" s="61" t="s">
        <v>5208</v>
      </c>
      <c r="D1052" t="s">
        <v>2138</v>
      </c>
      <c r="E1052" t="s">
        <v>2189</v>
      </c>
      <c r="F1052" s="61"/>
      <c r="H1052" t="str">
        <f>ToJsonArray(supplementary_offering_legacyid__4[[#Headers],[offeringid]:[json]],supplementary_offering_legacyid__4[[#This Row],[offeringid]:[ignore]])</f>
        <v>{"offeringid":"990000471","name":"700MIN TD, SMS TD y Voz a Tigo infinito, 2,5 GB WA+Mail+FB P1","mode":"I"}</v>
      </c>
      <c r="I1052" t="str">
        <f>ToJsonArray(supplementary_offering_legacyid__4[[#This Row],[semilla04]],supplementary_offering_legacyid__4[[#This Row],[json]])</f>
        <v>{"168771485439":{"offeringid":"990000471","name":"700MIN TD, SMS TD y Voz a Tigo infinito, 2,5 GB WA+Mail+FB P1","mode":"I"}}</v>
      </c>
    </row>
    <row r="1053" spans="1:9" x14ac:dyDescent="0.25">
      <c r="A1053" s="60" t="s">
        <v>5209</v>
      </c>
      <c r="B1053" s="60" t="str">
        <f>findKey(supplementary_offering_legacyid__4[[#This Row],[PRODUCCION]])</f>
        <v>17101190600</v>
      </c>
      <c r="C1053" s="61" t="s">
        <v>5210</v>
      </c>
      <c r="D1053" t="s">
        <v>1325</v>
      </c>
      <c r="E1053" t="s">
        <v>2189</v>
      </c>
      <c r="F1053" s="61"/>
      <c r="H1053" t="str">
        <f>ToJsonArray(supplementary_offering_legacyid__4[[#Headers],[offeringid]:[json]],supplementary_offering_legacyid__4[[#This Row],[offeringid]:[ignore]])</f>
        <v>{"offeringid":"990000472","name":"Combo B2B ilimitado 20 GB P3","mode":"I"}</v>
      </c>
      <c r="I1053" t="str">
        <f>ToJsonArray(supplementary_offering_legacyid__4[[#This Row],[semilla04]],supplementary_offering_legacyid__4[[#This Row],[json]])</f>
        <v>{"17101190600":{"offeringid":"990000472","name":"Combo B2B ilimitado 20 GB P3","mode":"I"}}</v>
      </c>
    </row>
    <row r="1054" spans="1:9" x14ac:dyDescent="0.25">
      <c r="A1054" s="60" t="s">
        <v>5211</v>
      </c>
      <c r="B1054" s="60" t="str">
        <f>findKey(supplementary_offering_legacyid__4[[#This Row],[PRODUCCION]])</f>
        <v>17101189832</v>
      </c>
      <c r="C1054" s="61" t="s">
        <v>5212</v>
      </c>
      <c r="D1054" t="s">
        <v>1323</v>
      </c>
      <c r="E1054" t="s">
        <v>2189</v>
      </c>
      <c r="F1054" s="61"/>
      <c r="H1054" t="str">
        <f>ToJsonArray(supplementary_offering_legacyid__4[[#Headers],[offeringid]:[json]],supplementary_offering_legacyid__4[[#This Row],[offeringid]:[ignore]])</f>
        <v>{"offeringid":"990000473","name":"Combo B2B ilimitado 20 GB P1","mode":"I"}</v>
      </c>
      <c r="I1054" t="str">
        <f>ToJsonArray(supplementary_offering_legacyid__4[[#This Row],[semilla04]],supplementary_offering_legacyid__4[[#This Row],[json]])</f>
        <v>{"17101189832":{"offeringid":"990000473","name":"Combo B2B ilimitado 20 GB P1","mode":"I"}}</v>
      </c>
    </row>
    <row r="1055" spans="1:9" x14ac:dyDescent="0.25">
      <c r="A1055" s="60" t="s">
        <v>5213</v>
      </c>
      <c r="B1055" s="60" t="str">
        <f>findKey(supplementary_offering_legacyid__4[[#This Row],[PRODUCCION]])</f>
        <v>17101192904</v>
      </c>
      <c r="C1055" s="61" t="s">
        <v>5214</v>
      </c>
      <c r="D1055" t="s">
        <v>1324</v>
      </c>
      <c r="E1055" t="s">
        <v>2189</v>
      </c>
      <c r="F1055" s="61"/>
      <c r="H1055" t="str">
        <f>ToJsonArray(supplementary_offering_legacyid__4[[#Headers],[offeringid]:[json]],supplementary_offering_legacyid__4[[#This Row],[offeringid]:[ignore]])</f>
        <v>{"offeringid":"990000474","name":"Combo B2B ilimitado 20 GB P2","mode":"I"}</v>
      </c>
      <c r="I1055" t="str">
        <f>ToJsonArray(supplementary_offering_legacyid__4[[#This Row],[semilla04]],supplementary_offering_legacyid__4[[#This Row],[json]])</f>
        <v>{"17101192904":{"offeringid":"990000474","name":"Combo B2B ilimitado 20 GB P2","mode":"I"}}</v>
      </c>
    </row>
    <row r="1056" spans="1:9" x14ac:dyDescent="0.25">
      <c r="A1056" s="60" t="s">
        <v>5215</v>
      </c>
      <c r="B1056" s="60" t="str">
        <f>findKey(supplementary_offering_legacyid__4[[#This Row],[PRODUCCION]])</f>
        <v>17101189160</v>
      </c>
      <c r="C1056" s="61" t="s">
        <v>5216</v>
      </c>
      <c r="D1056" t="s">
        <v>1327</v>
      </c>
      <c r="E1056" t="s">
        <v>2189</v>
      </c>
      <c r="F1056" s="61"/>
      <c r="H1056" t="str">
        <f>ToJsonArray(supplementary_offering_legacyid__4[[#Headers],[offeringid]:[json]],supplementary_offering_legacyid__4[[#This Row],[offeringid]:[ignore]])</f>
        <v>{"offeringid":"990000475","name":"Combo B2B ilimitado 35 GB P2","mode":"I"}</v>
      </c>
      <c r="I1056" t="str">
        <f>ToJsonArray(supplementary_offering_legacyid__4[[#This Row],[semilla04]],supplementary_offering_legacyid__4[[#This Row],[json]])</f>
        <v>{"17101189160":{"offeringid":"990000475","name":"Combo B2B ilimitado 35 GB P2","mode":"I"}}</v>
      </c>
    </row>
    <row r="1057" spans="1:9" x14ac:dyDescent="0.25">
      <c r="A1057" s="60" t="s">
        <v>5217</v>
      </c>
      <c r="B1057" s="60" t="str">
        <f>findKey(supplementary_offering_legacyid__4[[#This Row],[PRODUCCION]])</f>
        <v>17101192232</v>
      </c>
      <c r="C1057" s="61" t="s">
        <v>5218</v>
      </c>
      <c r="D1057" t="s">
        <v>1328</v>
      </c>
      <c r="E1057" t="s">
        <v>2189</v>
      </c>
      <c r="F1057" s="61"/>
      <c r="H1057" t="str">
        <f>ToJsonArray(supplementary_offering_legacyid__4[[#Headers],[offeringid]:[json]],supplementary_offering_legacyid__4[[#This Row],[offeringid]:[ignore]])</f>
        <v>{"offeringid":"990000476","name":"Combo B2B ilimitado 35 GB P3","mode":"I"}</v>
      </c>
      <c r="I1057" t="str">
        <f>ToJsonArray(supplementary_offering_legacyid__4[[#This Row],[semilla04]],supplementary_offering_legacyid__4[[#This Row],[json]])</f>
        <v>{"17101192232":{"offeringid":"990000476","name":"Combo B2B ilimitado 35 GB P3","mode":"I"}}</v>
      </c>
    </row>
    <row r="1058" spans="1:9" x14ac:dyDescent="0.25">
      <c r="A1058" s="60" t="s">
        <v>5219</v>
      </c>
      <c r="B1058" s="60" t="str">
        <f>findKey(supplementary_offering_legacyid__4[[#This Row],[PRODUCCION]])</f>
        <v>17101192136</v>
      </c>
      <c r="C1058" s="61" t="s">
        <v>5220</v>
      </c>
      <c r="D1058" t="s">
        <v>1326</v>
      </c>
      <c r="E1058" t="s">
        <v>2189</v>
      </c>
      <c r="F1058" s="61"/>
      <c r="H1058" t="str">
        <f>ToJsonArray(supplementary_offering_legacyid__4[[#Headers],[offeringid]:[json]],supplementary_offering_legacyid__4[[#This Row],[offeringid]:[ignore]])</f>
        <v>{"offeringid":"990000477","name":"Combo B2B ilimitado 35 GB P1","mode":"I"}</v>
      </c>
      <c r="I1058" t="str">
        <f>ToJsonArray(supplementary_offering_legacyid__4[[#This Row],[semilla04]],supplementary_offering_legacyid__4[[#This Row],[json]])</f>
        <v>{"17101192136":{"offeringid":"990000477","name":"Combo B2B ilimitado 35 GB P1","mode":"I"}}</v>
      </c>
    </row>
    <row r="1059" spans="1:9" x14ac:dyDescent="0.25">
      <c r="A1059" s="60" t="s">
        <v>5221</v>
      </c>
      <c r="B1059" s="60" t="str">
        <f>findKey(supplementary_offering_legacyid__4[[#This Row],[PRODUCCION]])</f>
        <v>17101190696</v>
      </c>
      <c r="C1059" s="61" t="s">
        <v>5222</v>
      </c>
      <c r="D1059" t="s">
        <v>1329</v>
      </c>
      <c r="E1059" t="s">
        <v>2189</v>
      </c>
      <c r="F1059" s="61"/>
      <c r="H1059" t="str">
        <f>ToJsonArray(supplementary_offering_legacyid__4[[#Headers],[offeringid]:[json]],supplementary_offering_legacyid__4[[#This Row],[offeringid]:[ignore]])</f>
        <v>{"offeringid":"990000478","name":"Combo B2B ilimitado 50 GB P1","mode":"I"}</v>
      </c>
      <c r="I1059" t="str">
        <f>ToJsonArray(supplementary_offering_legacyid__4[[#This Row],[semilla04]],supplementary_offering_legacyid__4[[#This Row],[json]])</f>
        <v>{"17101190696":{"offeringid":"990000478","name":"Combo B2B ilimitado 50 GB P1","mode":"I"}}</v>
      </c>
    </row>
    <row r="1060" spans="1:9" x14ac:dyDescent="0.25">
      <c r="A1060" s="60" t="s">
        <v>5223</v>
      </c>
      <c r="B1060" s="60" t="str">
        <f>findKey(supplementary_offering_legacyid__4[[#This Row],[PRODUCCION]])</f>
        <v>17101189928</v>
      </c>
      <c r="C1060" s="61" t="s">
        <v>5224</v>
      </c>
      <c r="D1060" t="s">
        <v>1331</v>
      </c>
      <c r="E1060" t="s">
        <v>2189</v>
      </c>
      <c r="F1060" s="61"/>
      <c r="H1060" t="str">
        <f>ToJsonArray(supplementary_offering_legacyid__4[[#Headers],[offeringid]:[json]],supplementary_offering_legacyid__4[[#This Row],[offeringid]:[ignore]])</f>
        <v>{"offeringid":"990000479","name":"Combo B2B ilimitado 50 GB P3","mode":"I"}</v>
      </c>
      <c r="I1060" t="str">
        <f>ToJsonArray(supplementary_offering_legacyid__4[[#This Row],[semilla04]],supplementary_offering_legacyid__4[[#This Row],[json]])</f>
        <v>{"17101189928":{"offeringid":"990000479","name":"Combo B2B ilimitado 50 GB P3","mode":"I"}}</v>
      </c>
    </row>
    <row r="1061" spans="1:9" x14ac:dyDescent="0.25">
      <c r="A1061" s="60" t="s">
        <v>5225</v>
      </c>
      <c r="B1061" s="60" t="str">
        <f>findKey(supplementary_offering_legacyid__4[[#This Row],[PRODUCCION]])</f>
        <v>17101191464</v>
      </c>
      <c r="C1061" s="61" t="s">
        <v>5226</v>
      </c>
      <c r="D1061" t="s">
        <v>1330</v>
      </c>
      <c r="E1061" t="s">
        <v>2189</v>
      </c>
      <c r="F1061" s="61"/>
      <c r="H1061" t="str">
        <f>ToJsonArray(supplementary_offering_legacyid__4[[#Headers],[offeringid]:[json]],supplementary_offering_legacyid__4[[#This Row],[offeringid]:[ignore]])</f>
        <v>{"offeringid":"990000480","name":"Combo B2B ilimitado 50 GB P2","mode":"I"}</v>
      </c>
      <c r="I1061" t="str">
        <f>ToJsonArray(supplementary_offering_legacyid__4[[#This Row],[semilla04]],supplementary_offering_legacyid__4[[#This Row],[json]])</f>
        <v>{"17101191464":{"offeringid":"990000480","name":"Combo B2B ilimitado 50 GB P2","mode":"I"}}</v>
      </c>
    </row>
    <row r="1062" spans="1:9" x14ac:dyDescent="0.25">
      <c r="A1062" s="60" t="s">
        <v>5227</v>
      </c>
      <c r="B1062" s="60" t="str">
        <f>findKey(supplementary_offering_legacyid__4[[#This Row],[PRODUCCION]])</f>
        <v>17085863626</v>
      </c>
      <c r="C1062" s="61" t="s">
        <v>5228</v>
      </c>
      <c r="D1062" t="s">
        <v>1191</v>
      </c>
      <c r="E1062" t="s">
        <v>2189</v>
      </c>
      <c r="F1062" s="61"/>
      <c r="H1062" t="str">
        <f>ToJsonArray(supplementary_offering_legacyid__4[[#Headers],[offeringid]:[json]],supplementary_offering_legacyid__4[[#This Row],[offeringid]:[ignore]])</f>
        <v>{"offeringid":"990000481","name":"Combo SMS Todo destino Infinito P3","mode":"I"}</v>
      </c>
      <c r="I1062" t="str">
        <f>ToJsonArray(supplementary_offering_legacyid__4[[#This Row],[semilla04]],supplementary_offering_legacyid__4[[#This Row],[json]])</f>
        <v>{"17085863626":{"offeringid":"990000481","name":"Combo SMS Todo destino Infinito P3","mode":"I"}}</v>
      </c>
    </row>
    <row r="1063" spans="1:9" x14ac:dyDescent="0.25">
      <c r="A1063" s="60" t="s">
        <v>5229</v>
      </c>
      <c r="B1063" s="60" t="str">
        <f>findKey(supplementary_offering_legacyid__4[[#This Row],[PRODUCCION]])</f>
        <v>17102546677</v>
      </c>
      <c r="C1063" s="61" t="s">
        <v>5230</v>
      </c>
      <c r="D1063" t="s">
        <v>1314</v>
      </c>
      <c r="E1063" t="s">
        <v>2189</v>
      </c>
      <c r="F1063" s="61"/>
      <c r="H1063" t="str">
        <f>ToJsonArray(supplementary_offering_legacyid__4[[#Headers],[offeringid]:[json]],supplementary_offering_legacyid__4[[#This Row],[offeringid]:[ignore]])</f>
        <v>{"offeringid":"990000482","name":"Combos B2B Voz ilimitado + 8 GB P2","mode":"I"}</v>
      </c>
      <c r="I1063" t="str">
        <f>ToJsonArray(supplementary_offering_legacyid__4[[#This Row],[semilla04]],supplementary_offering_legacyid__4[[#This Row],[json]])</f>
        <v>{"17102546677":{"offeringid":"990000482","name":"Combos B2B Voz ilimitado + 8 GB P2","mode":"I"}}</v>
      </c>
    </row>
    <row r="1064" spans="1:9" x14ac:dyDescent="0.25">
      <c r="A1064" s="60" t="s">
        <v>5231</v>
      </c>
      <c r="B1064" s="60" t="str">
        <f>findKey(supplementary_offering_legacyid__4[[#This Row],[PRODUCCION]])</f>
        <v>368598214742</v>
      </c>
      <c r="C1064" s="61" t="s">
        <v>5232</v>
      </c>
      <c r="D1064" t="s">
        <v>1318</v>
      </c>
      <c r="E1064" t="s">
        <v>2189</v>
      </c>
      <c r="F1064" s="61"/>
      <c r="H1064" t="str">
        <f>ToJsonArray(supplementary_offering_legacyid__4[[#Headers],[offeringid]:[json]],supplementary_offering_legacyid__4[[#This Row],[offeringid]:[ignore]])</f>
        <v>{"offeringid":"990000483","name":"Combos B2B Voz ilimitado + 8 GB P1","mode":"I"}</v>
      </c>
      <c r="I1064" t="str">
        <f>ToJsonArray(supplementary_offering_legacyid__4[[#This Row],[semilla04]],supplementary_offering_legacyid__4[[#This Row],[json]])</f>
        <v>{"368598214742":{"offeringid":"990000483","name":"Combos B2B Voz ilimitado + 8 GB P1","mode":"I"}}</v>
      </c>
    </row>
    <row r="1065" spans="1:9" x14ac:dyDescent="0.25">
      <c r="A1065" s="60" t="s">
        <v>5233</v>
      </c>
      <c r="B1065" s="60" t="str">
        <f>findKey(supplementary_offering_legacyid__4[[#This Row],[PRODUCCION]])</f>
        <v>368598216278</v>
      </c>
      <c r="C1065" s="61" t="s">
        <v>5234</v>
      </c>
      <c r="D1065" t="s">
        <v>1316</v>
      </c>
      <c r="E1065" t="s">
        <v>2189</v>
      </c>
      <c r="F1065" s="61"/>
      <c r="H1065" t="str">
        <f>ToJsonArray(supplementary_offering_legacyid__4[[#Headers],[offeringid]:[json]],supplementary_offering_legacyid__4[[#This Row],[offeringid]:[ignore]])</f>
        <v>{"offeringid":"990000484","name":"Combos B2B Voz ilimitado + 8 GB P3","mode":"I"}</v>
      </c>
      <c r="I1065" t="str">
        <f>ToJsonArray(supplementary_offering_legacyid__4[[#This Row],[semilla04]],supplementary_offering_legacyid__4[[#This Row],[json]])</f>
        <v>{"368598216278":{"offeringid":"990000484","name":"Combos B2B Voz ilimitado + 8 GB P3","mode":"I"}}</v>
      </c>
    </row>
    <row r="1066" spans="1:9" x14ac:dyDescent="0.25">
      <c r="A1066" s="60" t="s">
        <v>5235</v>
      </c>
      <c r="B1066" s="60" t="str">
        <f>findKey(supplementary_offering_legacyid__4[[#This Row],[PRODUCCION]])</f>
        <v>17083126904</v>
      </c>
      <c r="C1066" s="61" t="s">
        <v>5236</v>
      </c>
      <c r="D1066" t="s">
        <v>453</v>
      </c>
      <c r="E1066" t="s">
        <v>2189</v>
      </c>
      <c r="F1066" s="61"/>
      <c r="H1066" t="str">
        <f>ToJsonArray(supplementary_offering_legacyid__4[[#Headers],[offeringid]:[json]],supplementary_offering_legacyid__4[[#This Row],[offeringid]:[ignore]])</f>
        <v>{"offeringid":"990000485","name":"PQT Corp CUG 10000","mode":"I"}</v>
      </c>
      <c r="I1066" t="str">
        <f>ToJsonArray(supplementary_offering_legacyid__4[[#This Row],[semilla04]],supplementary_offering_legacyid__4[[#This Row],[json]])</f>
        <v>{"17083126904":{"offeringid":"990000485","name":"PQT Corp CUG 10000","mode":"I"}}</v>
      </c>
    </row>
    <row r="1067" spans="1:9" x14ac:dyDescent="0.25">
      <c r="A1067" s="60" t="s">
        <v>5237</v>
      </c>
      <c r="B1067" s="60" t="str">
        <f>findKey(supplementary_offering_legacyid__4[[#This Row],[PRODUCCION]])</f>
        <v>17083127560</v>
      </c>
      <c r="C1067" s="61" t="s">
        <v>5238</v>
      </c>
      <c r="D1067" t="s">
        <v>451</v>
      </c>
      <c r="E1067" t="s">
        <v>2189</v>
      </c>
      <c r="F1067" s="61"/>
      <c r="H1067" t="str">
        <f>ToJsonArray(supplementary_offering_legacyid__4[[#Headers],[offeringid]:[json]],supplementary_offering_legacyid__4[[#This Row],[offeringid]:[ignore]])</f>
        <v>{"offeringid":"990000486","name":"PQT Corp CUG 1000","mode":"I"}</v>
      </c>
      <c r="I1067" t="str">
        <f>ToJsonArray(supplementary_offering_legacyid__4[[#This Row],[semilla04]],supplementary_offering_legacyid__4[[#This Row],[json]])</f>
        <v>{"17083127560":{"offeringid":"990000486","name":"PQT Corp CUG 1000","mode":"I"}}</v>
      </c>
    </row>
    <row r="1068" spans="1:9" x14ac:dyDescent="0.25">
      <c r="A1068" s="60" t="s">
        <v>5239</v>
      </c>
      <c r="B1068" s="60" t="str">
        <f>findKey(supplementary_offering_legacyid__4[[#This Row],[PRODUCCION]])</f>
        <v>17083129096</v>
      </c>
      <c r="C1068" s="61" t="s">
        <v>5240</v>
      </c>
      <c r="D1068" t="s">
        <v>452</v>
      </c>
      <c r="E1068" t="s">
        <v>2189</v>
      </c>
      <c r="F1068" s="61"/>
      <c r="H1068" t="str">
        <f>ToJsonArray(supplementary_offering_legacyid__4[[#Headers],[offeringid]:[json]],supplementary_offering_legacyid__4[[#This Row],[offeringid]:[ignore]])</f>
        <v>{"offeringid":"990000487","name":"PQT Corp CUG 5000","mode":"I"}</v>
      </c>
      <c r="I1068" t="str">
        <f>ToJsonArray(supplementary_offering_legacyid__4[[#This Row],[semilla04]],supplementary_offering_legacyid__4[[#This Row],[json]])</f>
        <v>{"17083129096":{"offeringid":"990000487","name":"PQT Corp CUG 5000","mode":"I"}}</v>
      </c>
    </row>
    <row r="1069" spans="1:9" x14ac:dyDescent="0.25">
      <c r="A1069" s="60" t="s">
        <v>5241</v>
      </c>
      <c r="B1069" s="60" t="str">
        <f>findKey(supplementary_offering_legacyid__4[[#This Row],[PRODUCCION]])</f>
        <v>17083129120</v>
      </c>
      <c r="C1069" s="61" t="s">
        <v>5242</v>
      </c>
      <c r="D1069" t="s">
        <v>450</v>
      </c>
      <c r="E1069" t="s">
        <v>2189</v>
      </c>
      <c r="F1069" s="61"/>
      <c r="H1069" t="str">
        <f>ToJsonArray(supplementary_offering_legacyid__4[[#Headers],[offeringid]:[json]],supplementary_offering_legacyid__4[[#This Row],[offeringid]:[ignore]])</f>
        <v>{"offeringid":"990000488","name":"PQT Corp CUG 500","mode":"I"}</v>
      </c>
      <c r="I1069" t="str">
        <f>ToJsonArray(supplementary_offering_legacyid__4[[#This Row],[semilla04]],supplementary_offering_legacyid__4[[#This Row],[json]])</f>
        <v>{"17083129120":{"offeringid":"990000488","name":"PQT Corp CUG 500","mode":"I"}}</v>
      </c>
    </row>
    <row r="1070" spans="1:9" x14ac:dyDescent="0.25">
      <c r="A1070" s="60" t="s">
        <v>5243</v>
      </c>
      <c r="B1070" s="60" t="str">
        <f>findKey(supplementary_offering_legacyid__4[[#This Row],[PRODUCCION]])</f>
        <v>17083665771</v>
      </c>
      <c r="C1070" s="61" t="s">
        <v>5244</v>
      </c>
      <c r="D1070" t="s">
        <v>698</v>
      </c>
      <c r="E1070" t="s">
        <v>2189</v>
      </c>
      <c r="F1070" s="61"/>
      <c r="H1070" t="str">
        <f>ToJsonArray(supplementary_offering_legacyid__4[[#Headers],[offeringid]:[json]],supplementary_offering_legacyid__4[[#This Row],[offeringid]:[ignore]])</f>
        <v>{"offeringid":"990000489","name":"PQT Corp Navegacion 13GB WA + Mail","mode":"I"}</v>
      </c>
      <c r="I1070" t="str">
        <f>ToJsonArray(supplementary_offering_legacyid__4[[#This Row],[semilla04]],supplementary_offering_legacyid__4[[#This Row],[json]])</f>
        <v>{"17083665771":{"offeringid":"990000489","name":"PQT Corp Navegacion 13GB WA + Mail","mode":"I"}}</v>
      </c>
    </row>
    <row r="1071" spans="1:9" x14ac:dyDescent="0.25">
      <c r="A1071" s="60" t="s">
        <v>5245</v>
      </c>
      <c r="B1071" s="60" t="str">
        <f>findKey(supplementary_offering_legacyid__4[[#This Row],[PRODUCCION]])</f>
        <v>17083664427</v>
      </c>
      <c r="C1071" s="61" t="s">
        <v>5246</v>
      </c>
      <c r="D1071" t="s">
        <v>670</v>
      </c>
      <c r="E1071" t="s">
        <v>2189</v>
      </c>
      <c r="F1071" s="61"/>
      <c r="H1071" t="str">
        <f>ToJsonArray(supplementary_offering_legacyid__4[[#Headers],[offeringid]:[json]],supplementary_offering_legacyid__4[[#This Row],[offeringid]:[ignore]])</f>
        <v>{"offeringid":"990000490","name":"PQT Corp Navegacion 1Gb F2","mode":"I"}</v>
      </c>
      <c r="I1071" t="str">
        <f>ToJsonArray(supplementary_offering_legacyid__4[[#This Row],[semilla04]],supplementary_offering_legacyid__4[[#This Row],[json]])</f>
        <v>{"17083664427":{"offeringid":"990000490","name":"PQT Corp Navegacion 1Gb F2","mode":"I"}}</v>
      </c>
    </row>
    <row r="1072" spans="1:9" x14ac:dyDescent="0.25">
      <c r="A1072" s="60" t="s">
        <v>5247</v>
      </c>
      <c r="B1072" s="60" t="str">
        <f>findKey(supplementary_offering_legacyid__4[[#This Row],[PRODUCCION]])</f>
        <v>17083122473</v>
      </c>
      <c r="C1072" s="61" t="s">
        <v>5248</v>
      </c>
      <c r="D1072" t="s">
        <v>802</v>
      </c>
      <c r="E1072" t="s">
        <v>2189</v>
      </c>
      <c r="F1072" s="61"/>
      <c r="H1072" t="str">
        <f>ToJsonArray(supplementary_offering_legacyid__4[[#Headers],[offeringid]:[json]],supplementary_offering_legacyid__4[[#This Row],[offeringid]:[ignore]])</f>
        <v>{"offeringid":"990000491","name":"PQT Corp Navegacion 250Mb","mode":"I"}</v>
      </c>
      <c r="I1072" t="str">
        <f>ToJsonArray(supplementary_offering_legacyid__4[[#This Row],[semilla04]],supplementary_offering_legacyid__4[[#This Row],[json]])</f>
        <v>{"17083122473":{"offeringid":"990000491","name":"PQT Corp Navegacion 250Mb","mode":"I"}}</v>
      </c>
    </row>
    <row r="1073" spans="1:9" x14ac:dyDescent="0.25">
      <c r="A1073" s="60" t="s">
        <v>5249</v>
      </c>
      <c r="B1073" s="60" t="str">
        <f>findKey(supplementary_offering_legacyid__4[[#This Row],[PRODUCCION]])</f>
        <v>17083664331</v>
      </c>
      <c r="C1073" s="61" t="s">
        <v>5250</v>
      </c>
      <c r="D1073" t="s">
        <v>668</v>
      </c>
      <c r="E1073" t="s">
        <v>2189</v>
      </c>
      <c r="F1073" s="61" t="s">
        <v>5364</v>
      </c>
      <c r="H1073" t="str">
        <f>ToJsonArray(supplementary_offering_legacyid__4[[#Headers],[offeringid]:[json]],supplementary_offering_legacyid__4[[#This Row],[offeringid]:[ignore]])</f>
        <v>{"offeringid":"990000492","name":"PQT Corp Navegacion 500MB WA + Mail","mode":"I","offeringidATP":"990000548"}</v>
      </c>
      <c r="I1073" t="str">
        <f>ToJsonArray(supplementary_offering_legacyid__4[[#This Row],[semilla04]],supplementary_offering_legacyid__4[[#This Row],[json]])</f>
        <v>{"17083664331":{"offeringid":"990000492","name":"PQT Corp Navegacion 500MB WA + Mail","mode":"I","offeringidATP":"990000548"}}</v>
      </c>
    </row>
    <row r="1074" spans="1:9" x14ac:dyDescent="0.25">
      <c r="A1074" s="60" t="s">
        <v>5251</v>
      </c>
      <c r="B1074" s="60" t="str">
        <f>findKey(supplementary_offering_legacyid__4[[#This Row],[PRODUCCION]])</f>
        <v>17083666347</v>
      </c>
      <c r="C1074" s="61" t="s">
        <v>5252</v>
      </c>
      <c r="D1074" t="s">
        <v>690</v>
      </c>
      <c r="E1074" t="s">
        <v>2189</v>
      </c>
      <c r="F1074" s="61"/>
      <c r="H1074" t="str">
        <f>ToJsonArray(supplementary_offering_legacyid__4[[#Headers],[offeringid]:[json]],supplementary_offering_legacyid__4[[#This Row],[offeringid]:[ignore]])</f>
        <v>{"offeringid":"990000493","name":"PQT Corp Navegacion 9GB WA + Mail","mode":"I"}</v>
      </c>
      <c r="I1074" t="str">
        <f>ToJsonArray(supplementary_offering_legacyid__4[[#This Row],[semilla04]],supplementary_offering_legacyid__4[[#This Row],[json]])</f>
        <v>{"17083666347":{"offeringid":"990000493","name":"PQT Corp Navegacion 9GB WA + Mail","mode":"I"}}</v>
      </c>
    </row>
    <row r="1075" spans="1:9" x14ac:dyDescent="0.25">
      <c r="A1075" s="60" t="s">
        <v>5253</v>
      </c>
      <c r="B1075" s="60" t="str">
        <f>findKey(supplementary_offering_legacyid__4[[#This Row],[PRODUCCION]])</f>
        <v>17083663083</v>
      </c>
      <c r="C1075" s="61" t="s">
        <v>5254</v>
      </c>
      <c r="D1075" t="s">
        <v>704</v>
      </c>
      <c r="E1075" t="s">
        <v>2189</v>
      </c>
      <c r="F1075" s="61" t="s">
        <v>5250</v>
      </c>
      <c r="H1075" t="str">
        <f>ToJsonArray(supplementary_offering_legacyid__4[[#Headers],[offeringid]:[json]],supplementary_offering_legacyid__4[[#This Row],[offeringid]:[ignore]])</f>
        <v>{"offeringid":"990000494","name":"PQT Corp Navegacion Infinita WA + Mail","mode":"I","offeringidATP":"990000492"}</v>
      </c>
      <c r="I1075" t="str">
        <f>ToJsonArray(supplementary_offering_legacyid__4[[#This Row],[semilla04]],supplementary_offering_legacyid__4[[#This Row],[json]])</f>
        <v>{"17083663083":{"offeringid":"990000494","name":"PQT Corp Navegacion Infinita WA + Mail","mode":"I","offeringidATP":"990000492"}}</v>
      </c>
    </row>
    <row r="1076" spans="1:9" x14ac:dyDescent="0.25">
      <c r="A1076" s="60" t="s">
        <v>5255</v>
      </c>
      <c r="B1076" s="60" t="str">
        <f>findKey(supplementary_offering_legacyid__4[[#This Row],[PRODUCCION]])</f>
        <v>67108981554</v>
      </c>
      <c r="C1076" s="61" t="s">
        <v>5256</v>
      </c>
      <c r="D1076" t="s">
        <v>667</v>
      </c>
      <c r="E1076" t="s">
        <v>2189</v>
      </c>
      <c r="F1076" s="61"/>
      <c r="H1076" t="str">
        <f>ToJsonArray(supplementary_offering_legacyid__4[[#Headers],[offeringid]:[json]],supplementary_offering_legacyid__4[[#This Row],[offeringid]:[ignore]])</f>
        <v>{"offeringid":"990000495","name":"PQT Corp Tigo 100 MIN","mode":"I"}</v>
      </c>
      <c r="I1076" t="str">
        <f>ToJsonArray(supplementary_offering_legacyid__4[[#This Row],[semilla04]],supplementary_offering_legacyid__4[[#This Row],[json]])</f>
        <v>{"67108981554":{"offeringid":"990000495","name":"PQT Corp Tigo 100 MIN","mode":"I"}}</v>
      </c>
    </row>
    <row r="1077" spans="1:9" x14ac:dyDescent="0.25">
      <c r="A1077" s="60" t="s">
        <v>5257</v>
      </c>
      <c r="B1077" s="60" t="str">
        <f>findKey(supplementary_offering_legacyid__4[[#This Row],[PRODUCCION]])</f>
        <v>17083126024</v>
      </c>
      <c r="C1077" s="61" t="s">
        <v>5258</v>
      </c>
      <c r="D1077" t="s">
        <v>455</v>
      </c>
      <c r="E1077" t="s">
        <v>2189</v>
      </c>
      <c r="F1077" s="61"/>
      <c r="H1077" t="str">
        <f>ToJsonArray(supplementary_offering_legacyid__4[[#Headers],[offeringid]:[json]],supplementary_offering_legacyid__4[[#This Row],[offeringid]:[ignore]])</f>
        <v>{"offeringid":"990000496","name":"PQT Corp Tigo 150","mode":"I"}</v>
      </c>
      <c r="I1077" t="str">
        <f>ToJsonArray(supplementary_offering_legacyid__4[[#This Row],[semilla04]],supplementary_offering_legacyid__4[[#This Row],[json]])</f>
        <v>{"17083126024":{"offeringid":"990000496","name":"PQT Corp Tigo 150","mode":"I"}}</v>
      </c>
    </row>
    <row r="1078" spans="1:9" x14ac:dyDescent="0.25">
      <c r="A1078" s="60" t="s">
        <v>5259</v>
      </c>
      <c r="B1078" s="60" t="str">
        <f>findKey(supplementary_offering_legacyid__4[[#This Row],[PRODUCCION]])</f>
        <v>17083126792</v>
      </c>
      <c r="C1078" s="61" t="s">
        <v>5260</v>
      </c>
      <c r="D1078" t="s">
        <v>457</v>
      </c>
      <c r="E1078" t="s">
        <v>2189</v>
      </c>
      <c r="F1078" s="61"/>
      <c r="H1078" t="str">
        <f>ToJsonArray(supplementary_offering_legacyid__4[[#Headers],[offeringid]:[json]],supplementary_offering_legacyid__4[[#This Row],[offeringid]:[ignore]])</f>
        <v>{"offeringid":"990000497","name":"PQT Corp Tigo 500","mode":"I"}</v>
      </c>
      <c r="I1078" t="str">
        <f>ToJsonArray(supplementary_offering_legacyid__4[[#This Row],[semilla04]],supplementary_offering_legacyid__4[[#This Row],[json]])</f>
        <v>{"17083126792":{"offeringid":"990000497","name":"PQT Corp Tigo 500","mode":"I"}}</v>
      </c>
    </row>
    <row r="1079" spans="1:9" x14ac:dyDescent="0.25">
      <c r="A1079" s="60" t="s">
        <v>5261</v>
      </c>
      <c r="B1079" s="60" t="str">
        <f>findKey(supplementary_offering_legacyid__4[[#This Row],[PRODUCCION]])</f>
        <v>17083129840</v>
      </c>
      <c r="C1079" s="61" t="s">
        <v>5262</v>
      </c>
      <c r="D1079" t="s">
        <v>458</v>
      </c>
      <c r="E1079" t="s">
        <v>2189</v>
      </c>
      <c r="F1079" s="61"/>
      <c r="H1079" t="str">
        <f>ToJsonArray(supplementary_offering_legacyid__4[[#Headers],[offeringid]:[json]],supplementary_offering_legacyid__4[[#This Row],[offeringid]:[ignore]])</f>
        <v>{"offeringid":"990000498","name":"PQT Corp Tigo 700","mode":"I"}</v>
      </c>
      <c r="I1079" t="str">
        <f>ToJsonArray(supplementary_offering_legacyid__4[[#This Row],[semilla04]],supplementary_offering_legacyid__4[[#This Row],[json]])</f>
        <v>{"17083129840":{"offeringid":"990000498","name":"PQT Corp Tigo 700","mode":"I"}}</v>
      </c>
    </row>
    <row r="1080" spans="1:9" x14ac:dyDescent="0.25">
      <c r="A1080" s="60" t="s">
        <v>5263</v>
      </c>
      <c r="B1080" s="60" t="str">
        <f>findKey(supplementary_offering_legacyid__4[[#This Row],[PRODUCCION]])</f>
        <v>17083126768</v>
      </c>
      <c r="C1080" s="61" t="s">
        <v>5264</v>
      </c>
      <c r="D1080" t="s">
        <v>459</v>
      </c>
      <c r="E1080" t="s">
        <v>2189</v>
      </c>
      <c r="F1080" s="61" t="s">
        <v>5264</v>
      </c>
      <c r="H1080" t="str">
        <f>ToJsonArray(supplementary_offering_legacyid__4[[#Headers],[offeringid]:[json]],supplementary_offering_legacyid__4[[#This Row],[offeringid]:[ignore]])</f>
        <v>{"offeringid":"990001022","name":"PQT Corp Tigo 900","mode":"I","offeringidATP":"990001022"}</v>
      </c>
      <c r="I1080" t="str">
        <f>ToJsonArray(supplementary_offering_legacyid__4[[#This Row],[semilla04]],supplementary_offering_legacyid__4[[#This Row],[json]])</f>
        <v>{"17083126768":{"offeringid":"990001022","name":"PQT Corp Tigo 900","mode":"I","offeringidATP":"990001022"}}</v>
      </c>
    </row>
    <row r="1081" spans="1:9" x14ac:dyDescent="0.25">
      <c r="A1081" s="60" t="s">
        <v>5265</v>
      </c>
      <c r="B1081" s="60" t="str">
        <f>findKey(supplementary_offering_legacyid__4[[#This Row],[PRODUCCION]])</f>
        <v>168771482079</v>
      </c>
      <c r="C1081" s="61" t="s">
        <v>5266</v>
      </c>
      <c r="D1081" t="s">
        <v>2142</v>
      </c>
      <c r="E1081" t="s">
        <v>2189</v>
      </c>
      <c r="F1081" s="61"/>
      <c r="H1081" t="str">
        <f>ToJsonArray(supplementary_offering_legacyid__4[[#Headers],[offeringid]:[json]],supplementary_offering_legacyid__4[[#This Row],[offeringid]:[ignore]])</f>
        <v>{"offeringid":"990000499","name":"PQTCorp TD 1300MIN Voz OnNet y SMS Infinitos P2","mode":"I"}</v>
      </c>
      <c r="I1081" t="str">
        <f>ToJsonArray(supplementary_offering_legacyid__4[[#This Row],[semilla04]],supplementary_offering_legacyid__4[[#This Row],[json]])</f>
        <v>{"168771482079":{"offeringid":"990000499","name":"PQTCorp TD 1300MIN Voz OnNet y SMS Infinitos P2","mode":"I"}}</v>
      </c>
    </row>
    <row r="1082" spans="1:9" x14ac:dyDescent="0.25">
      <c r="A1082" s="60" t="s">
        <v>5267</v>
      </c>
      <c r="B1082" s="60" t="str">
        <f>findKey(supplementary_offering_legacyid__4[[#This Row],[PRODUCCION]])</f>
        <v>168771484383</v>
      </c>
      <c r="C1082" s="61" t="s">
        <v>5268</v>
      </c>
      <c r="D1082" t="s">
        <v>2141</v>
      </c>
      <c r="E1082" t="s">
        <v>2189</v>
      </c>
      <c r="F1082" s="61"/>
      <c r="H1082" t="str">
        <f>ToJsonArray(supplementary_offering_legacyid__4[[#Headers],[offeringid]:[json]],supplementary_offering_legacyid__4[[#This Row],[offeringid]:[ignore]])</f>
        <v>{"offeringid":"990000500","name":"PQTCorp TD 1300MIN Voz OnNet y SMS Infinitos P1","mode":"I"}</v>
      </c>
      <c r="I1082" t="str">
        <f>ToJsonArray(supplementary_offering_legacyid__4[[#This Row],[semilla04]],supplementary_offering_legacyid__4[[#This Row],[json]])</f>
        <v>{"168771484383":{"offeringid":"990000500","name":"PQTCorp TD 1300MIN Voz OnNet y SMS Infinitos P1","mode":"I"}}</v>
      </c>
    </row>
    <row r="1083" spans="1:9" x14ac:dyDescent="0.25">
      <c r="A1083" s="60" t="s">
        <v>5269</v>
      </c>
      <c r="B1083" s="60" t="str">
        <f>findKey(supplementary_offering_legacyid__4[[#This Row],[PRODUCCION]])</f>
        <v>168771483615</v>
      </c>
      <c r="C1083" s="61" t="s">
        <v>5270</v>
      </c>
      <c r="D1083" t="s">
        <v>2144</v>
      </c>
      <c r="E1083" t="s">
        <v>2189</v>
      </c>
      <c r="F1083" s="61"/>
      <c r="H1083" t="str">
        <f>ToJsonArray(supplementary_offering_legacyid__4[[#Headers],[offeringid]:[json]],supplementary_offering_legacyid__4[[#This Row],[offeringid]:[ignore]])</f>
        <v>{"offeringid":"990000501","name":"PQTCorp TD 2000MIN Voz OnNet y SMS Infinitos P2","mode":"I"}</v>
      </c>
      <c r="I1083" t="str">
        <f>ToJsonArray(supplementary_offering_legacyid__4[[#This Row],[semilla04]],supplementary_offering_legacyid__4[[#This Row],[json]])</f>
        <v>{"168771483615":{"offeringid":"990000501","name":"PQTCorp TD 2000MIN Voz OnNet y SMS Infinitos P2","mode":"I"}}</v>
      </c>
    </row>
    <row r="1084" spans="1:9" x14ac:dyDescent="0.25">
      <c r="A1084" s="60" t="s">
        <v>5271</v>
      </c>
      <c r="B1084" s="60" t="str">
        <f>findKey(supplementary_offering_legacyid__4[[#This Row],[PRODUCCION]])</f>
        <v>168771485151</v>
      </c>
      <c r="C1084" s="61" t="s">
        <v>5272</v>
      </c>
      <c r="D1084" t="s">
        <v>2143</v>
      </c>
      <c r="E1084" t="s">
        <v>2189</v>
      </c>
      <c r="F1084" s="61"/>
      <c r="H1084" t="str">
        <f>ToJsonArray(supplementary_offering_legacyid__4[[#Headers],[offeringid]:[json]],supplementary_offering_legacyid__4[[#This Row],[offeringid]:[ignore]])</f>
        <v>{"offeringid":"990000502","name":"PQTCorp TD 2000MIN Voz OnNet y SMS Infinitos P1","mode":"I"}</v>
      </c>
      <c r="I1084" t="str">
        <f>ToJsonArray(supplementary_offering_legacyid__4[[#This Row],[semilla04]],supplementary_offering_legacyid__4[[#This Row],[json]])</f>
        <v>{"168771485151":{"offeringid":"990000502","name":"PQTCorp TD 2000MIN Voz OnNet y SMS Infinitos P1","mode":"I"}}</v>
      </c>
    </row>
    <row r="1085" spans="1:9" x14ac:dyDescent="0.25">
      <c r="A1085" s="60" t="s">
        <v>5273</v>
      </c>
      <c r="B1085" s="60" t="str">
        <f>findKey(supplementary_offering_legacyid__4[[#This Row],[PRODUCCION]])</f>
        <v>168771482175</v>
      </c>
      <c r="C1085" s="61" t="s">
        <v>5274</v>
      </c>
      <c r="D1085" t="s">
        <v>2147</v>
      </c>
      <c r="E1085" t="s">
        <v>2189</v>
      </c>
      <c r="F1085" s="61"/>
      <c r="H1085" t="str">
        <f>ToJsonArray(supplementary_offering_legacyid__4[[#Headers],[offeringid]:[json]],supplementary_offering_legacyid__4[[#This Row],[offeringid]:[ignore]])</f>
        <v>{"offeringid":"990000503","name":"PQTCorp TD 500MIN 100SMS y Voz a NIT Infinito CUG P2","mode":"I"}</v>
      </c>
      <c r="I1085" t="str">
        <f>ToJsonArray(supplementary_offering_legacyid__4[[#This Row],[semilla04]],supplementary_offering_legacyid__4[[#This Row],[json]])</f>
        <v>{"168771482175":{"offeringid":"990000503","name":"PQTCorp TD 500MIN 100SMS y Voz a NIT Infinito CUG P2","mode":"I"}}</v>
      </c>
    </row>
    <row r="1086" spans="1:9" x14ac:dyDescent="0.25">
      <c r="A1086" s="60" t="s">
        <v>5275</v>
      </c>
      <c r="B1086" s="60" t="str">
        <f>findKey(supplementary_offering_legacyid__4[[#This Row],[PRODUCCION]])</f>
        <v>168771483711</v>
      </c>
      <c r="C1086" s="61" t="s">
        <v>5276</v>
      </c>
      <c r="D1086" t="s">
        <v>2145</v>
      </c>
      <c r="E1086" t="s">
        <v>2189</v>
      </c>
      <c r="F1086" s="61"/>
      <c r="H1086" t="str">
        <f>ToJsonArray(supplementary_offering_legacyid__4[[#Headers],[offeringid]:[json]],supplementary_offering_legacyid__4[[#This Row],[offeringid]:[ignore]])</f>
        <v>{"offeringid":"990000504","name":"PQTCorp TD 500MIN 100SMS y Voz a NIT Infinito CUG P1","mode":"I"}</v>
      </c>
      <c r="I1086" t="str">
        <f>ToJsonArray(supplementary_offering_legacyid__4[[#This Row],[semilla04]],supplementary_offering_legacyid__4[[#This Row],[json]])</f>
        <v>{"168771483711":{"offeringid":"990000504","name":"PQTCorp TD 500MIN 100SMS y Voz a NIT Infinito CUG P1","mode":"I"}}</v>
      </c>
    </row>
    <row r="1087" spans="1:9" x14ac:dyDescent="0.25">
      <c r="A1087" s="60" t="s">
        <v>5277</v>
      </c>
      <c r="B1087" s="60" t="str">
        <f>findKey(supplementary_offering_legacyid__4[[#This Row],[PRODUCCION]])</f>
        <v>168771482943</v>
      </c>
      <c r="C1087" s="61" t="s">
        <v>5278</v>
      </c>
      <c r="D1087" t="s">
        <v>2146</v>
      </c>
      <c r="E1087" t="s">
        <v>2189</v>
      </c>
      <c r="F1087" s="61"/>
      <c r="H1087" t="str">
        <f>ToJsonArray(supplementary_offering_legacyid__4[[#Headers],[offeringid]:[json]],supplementary_offering_legacyid__4[[#This Row],[offeringid]:[ignore]])</f>
        <v>{"offeringid":"990000505","name":"PQTCorp TD 600MIN 100SMS y Voz a NIT Infinito CUG P2","mode":"I"}</v>
      </c>
      <c r="I1087" t="str">
        <f>ToJsonArray(supplementary_offering_legacyid__4[[#This Row],[semilla04]],supplementary_offering_legacyid__4[[#This Row],[json]])</f>
        <v>{"168771482943":{"offeringid":"990000505","name":"PQTCorp TD 600MIN 100SMS y Voz a NIT Infinito CUG P2","mode":"I"}}</v>
      </c>
    </row>
    <row r="1088" spans="1:9" x14ac:dyDescent="0.25">
      <c r="A1088" s="60" t="s">
        <v>5279</v>
      </c>
      <c r="B1088" s="60" t="str">
        <f>findKey(supplementary_offering_legacyid__4[[#This Row],[PRODUCCION]])</f>
        <v>168771485247</v>
      </c>
      <c r="C1088" s="61" t="s">
        <v>5280</v>
      </c>
      <c r="D1088" t="s">
        <v>2148</v>
      </c>
      <c r="E1088" t="s">
        <v>2189</v>
      </c>
      <c r="F1088" s="61"/>
      <c r="H1088" t="str">
        <f>ToJsonArray(supplementary_offering_legacyid__4[[#Headers],[offeringid]:[json]],supplementary_offering_legacyid__4[[#This Row],[offeringid]:[ignore]])</f>
        <v>{"offeringid":"990000506","name":"PQTCorp TD 600MIN 100SMS y Voz a NIT Infinito CUG P1","mode":"I"}</v>
      </c>
      <c r="I1088" t="str">
        <f>ToJsonArray(supplementary_offering_legacyid__4[[#This Row],[semilla04]],supplementary_offering_legacyid__4[[#This Row],[json]])</f>
        <v>{"168771485247":{"offeringid":"990000506","name":"PQTCorp TD 600MIN 100SMS y Voz a NIT Infinito CUG P1","mode":"I"}}</v>
      </c>
    </row>
    <row r="1089" spans="1:9" x14ac:dyDescent="0.25">
      <c r="A1089" s="60" t="s">
        <v>5281</v>
      </c>
      <c r="B1089" s="60" t="str">
        <f>findKey(supplementary_offering_legacyid__4[[#This Row],[PRODUCCION]])</f>
        <v>168771482751</v>
      </c>
      <c r="C1089" s="61" t="s">
        <v>5282</v>
      </c>
      <c r="D1089" t="s">
        <v>185</v>
      </c>
      <c r="E1089" t="s">
        <v>2189</v>
      </c>
      <c r="F1089" s="61"/>
      <c r="H1089" t="str">
        <f>ToJsonArray(supplementary_offering_legacyid__4[[#Headers],[offeringid]:[json]],supplementary_offering_legacyid__4[[#This Row],[offeringid]:[ignore]])</f>
        <v>{"offeringid":"990000507","name":"PQTCorp TD Voz y SMS Infinitos P2","mode":"I"}</v>
      </c>
      <c r="I1089" t="str">
        <f>ToJsonArray(supplementary_offering_legacyid__4[[#This Row],[semilla04]],supplementary_offering_legacyid__4[[#This Row],[json]])</f>
        <v>{"168771482751":{"offeringid":"990000507","name":"PQTCorp TD Voz y SMS Infinitos P2","mode":"I"}}</v>
      </c>
    </row>
    <row r="1090" spans="1:9" x14ac:dyDescent="0.25">
      <c r="A1090" s="60" t="s">
        <v>5283</v>
      </c>
      <c r="B1090" s="60" t="str">
        <f>findKey(supplementary_offering_legacyid__4[[#This Row],[PRODUCCION]])</f>
        <v>168771485631</v>
      </c>
      <c r="C1090" s="61" t="s">
        <v>5284</v>
      </c>
      <c r="D1090" t="s">
        <v>2149</v>
      </c>
      <c r="E1090" t="s">
        <v>2189</v>
      </c>
      <c r="F1090" s="61"/>
      <c r="H1090" t="str">
        <f>ToJsonArray(supplementary_offering_legacyid__4[[#Headers],[offeringid]:[json]],supplementary_offering_legacyid__4[[#This Row],[offeringid]:[ignore]])</f>
        <v>{"offeringid":"990000508","name":"PQTCorp TD Voz y SMS Infinitos P1","mode":"I"}</v>
      </c>
      <c r="I1090" t="str">
        <f>ToJsonArray(supplementary_offering_legacyid__4[[#This Row],[semilla04]],supplementary_offering_legacyid__4[[#This Row],[json]])</f>
        <v>{"168771485631":{"offeringid":"990000508","name":"PQTCorp TD Voz y SMS Infinitos P1","mode":"I"}}</v>
      </c>
    </row>
    <row r="1091" spans="1:9" x14ac:dyDescent="0.25">
      <c r="A1091" s="60" t="s">
        <v>5285</v>
      </c>
      <c r="B1091" s="60" t="str">
        <f>findKey(supplementary_offering_legacyid__4[[#This Row],[PRODUCCION]])</f>
        <v>168771481695</v>
      </c>
      <c r="C1091" s="61" t="s">
        <v>5286</v>
      </c>
      <c r="D1091" t="s">
        <v>194</v>
      </c>
      <c r="E1091" t="s">
        <v>2189</v>
      </c>
      <c r="F1091" s="61"/>
      <c r="H1091" t="str">
        <f>ToJsonArray(supplementary_offering_legacyid__4[[#Headers],[offeringid]:[json]],supplementary_offering_legacyid__4[[#This Row],[offeringid]:[ignore]])</f>
        <v>{"offeringid":"990000509","name":"Prom Voz y SMS TD infinitos, 12 GB WA + Mail + FB P3","mode":"I"}</v>
      </c>
      <c r="I1091" t="str">
        <f>ToJsonArray(supplementary_offering_legacyid__4[[#This Row],[semilla04]],supplementary_offering_legacyid__4[[#This Row],[json]])</f>
        <v>{"168771481695":{"offeringid":"990000509","name":"Prom Voz y SMS TD infinitos, 12 GB WA + Mail + FB P3","mode":"I"}}</v>
      </c>
    </row>
    <row r="1092" spans="1:9" x14ac:dyDescent="0.25">
      <c r="A1092" s="60" t="s">
        <v>5287</v>
      </c>
      <c r="B1092" s="60" t="str">
        <f>findKey(supplementary_offering_legacyid__4[[#This Row],[PRODUCCION]])</f>
        <v>168771483039</v>
      </c>
      <c r="C1092" s="61" t="s">
        <v>5288</v>
      </c>
      <c r="D1092" t="s">
        <v>193</v>
      </c>
      <c r="E1092" t="s">
        <v>2189</v>
      </c>
      <c r="F1092" s="61"/>
      <c r="H1092" t="str">
        <f>ToJsonArray(supplementary_offering_legacyid__4[[#Headers],[offeringid]:[json]],supplementary_offering_legacyid__4[[#This Row],[offeringid]:[ignore]])</f>
        <v>{"offeringid":"990000510","name":"Prom Voz y SMS TD infinitos, 12 GB WA + Mail + FB P1","mode":"I"}</v>
      </c>
      <c r="I1092" t="str">
        <f>ToJsonArray(supplementary_offering_legacyid__4[[#This Row],[semilla04]],supplementary_offering_legacyid__4[[#This Row],[json]])</f>
        <v>{"168771483039":{"offeringid":"990000510","name":"Prom Voz y SMS TD infinitos, 12 GB WA + Mail + FB P1","mode":"I"}}</v>
      </c>
    </row>
    <row r="1093" spans="1:9" x14ac:dyDescent="0.25">
      <c r="A1093" s="60" t="s">
        <v>5289</v>
      </c>
      <c r="B1093" s="60" t="str">
        <f>findKey(supplementary_offering_legacyid__4[[#This Row],[PRODUCCION]])</f>
        <v>168771484575</v>
      </c>
      <c r="C1093" s="61" t="s">
        <v>5290</v>
      </c>
      <c r="D1093" t="s">
        <v>195</v>
      </c>
      <c r="E1093" t="s">
        <v>2189</v>
      </c>
      <c r="F1093" s="61"/>
      <c r="H1093" t="str">
        <f>ToJsonArray(supplementary_offering_legacyid__4[[#Headers],[offeringid]:[json]],supplementary_offering_legacyid__4[[#This Row],[offeringid]:[ignore]])</f>
        <v>{"offeringid":"990000511","name":"Prom Voz y SMS TD infinitos, 12 GB WA + Mail + FB P2","mode":"I"}</v>
      </c>
      <c r="I1093" t="str">
        <f>ToJsonArray(supplementary_offering_legacyid__4[[#This Row],[semilla04]],supplementary_offering_legacyid__4[[#This Row],[json]])</f>
        <v>{"168771484575":{"offeringid":"990000511","name":"Prom Voz y SMS TD infinitos, 12 GB WA + Mail + FB P2","mode":"I"}}</v>
      </c>
    </row>
    <row r="1094" spans="1:9" x14ac:dyDescent="0.25">
      <c r="A1094" s="60" t="s">
        <v>5291</v>
      </c>
      <c r="B1094" s="60" t="str">
        <f>findKey(supplementary_offering_legacyid__4[[#This Row],[PRODUCCION]])</f>
        <v>168771483231</v>
      </c>
      <c r="C1094" s="61" t="s">
        <v>5292</v>
      </c>
      <c r="D1094" t="s">
        <v>197</v>
      </c>
      <c r="E1094" t="s">
        <v>2189</v>
      </c>
      <c r="F1094" s="61"/>
      <c r="H1094" t="str">
        <f>ToJsonArray(supplementary_offering_legacyid__4[[#Headers],[offeringid]:[json]],supplementary_offering_legacyid__4[[#This Row],[offeringid]:[ignore]])</f>
        <v>{"offeringid":"990000512","name":"Prom Voz y SMS TD infinitos, 3,5 GB WA + Mail + FB P2","mode":"I"}</v>
      </c>
      <c r="I1094" t="str">
        <f>ToJsonArray(supplementary_offering_legacyid__4[[#This Row],[semilla04]],supplementary_offering_legacyid__4[[#This Row],[json]])</f>
        <v>{"168771483231":{"offeringid":"990000512","name":"Prom Voz y SMS TD infinitos, 3,5 GB WA + Mail + FB P2","mode":"I"}}</v>
      </c>
    </row>
    <row r="1095" spans="1:9" x14ac:dyDescent="0.25">
      <c r="A1095" s="60" t="s">
        <v>5293</v>
      </c>
      <c r="B1095" s="60" t="str">
        <f>findKey(supplementary_offering_legacyid__4[[#This Row],[PRODUCCION]])</f>
        <v>168771483999</v>
      </c>
      <c r="C1095" s="61" t="s">
        <v>5294</v>
      </c>
      <c r="D1095" t="s">
        <v>198</v>
      </c>
      <c r="E1095" t="s">
        <v>2189</v>
      </c>
      <c r="F1095" s="61"/>
      <c r="H1095" t="str">
        <f>ToJsonArray(supplementary_offering_legacyid__4[[#Headers],[offeringid]:[json]],supplementary_offering_legacyid__4[[#This Row],[offeringid]:[ignore]])</f>
        <v>{"offeringid":"990000513","name":"Prom Voz y SMS TD infinitos, 3,5 GB WA + Mail + FB P3","mode":"I"}</v>
      </c>
      <c r="I1095" t="str">
        <f>ToJsonArray(supplementary_offering_legacyid__4[[#This Row],[semilla04]],supplementary_offering_legacyid__4[[#This Row],[json]])</f>
        <v>{"168771483999":{"offeringid":"990000513","name":"Prom Voz y SMS TD infinitos, 3,5 GB WA + Mail + FB P3","mode":"I"}}</v>
      </c>
    </row>
    <row r="1096" spans="1:9" x14ac:dyDescent="0.25">
      <c r="A1096" s="60" t="s">
        <v>5295</v>
      </c>
      <c r="B1096" s="60" t="str">
        <f>findKey(supplementary_offering_legacyid__4[[#This Row],[PRODUCCION]])</f>
        <v>168771484767</v>
      </c>
      <c r="C1096" s="61" t="s">
        <v>5296</v>
      </c>
      <c r="D1096" t="s">
        <v>196</v>
      </c>
      <c r="E1096" t="s">
        <v>2189</v>
      </c>
      <c r="F1096" s="61"/>
      <c r="H1096" t="str">
        <f>ToJsonArray(supplementary_offering_legacyid__4[[#Headers],[offeringid]:[json]],supplementary_offering_legacyid__4[[#This Row],[offeringid]:[ignore]])</f>
        <v>{"offeringid":"990000514","name":"Prom Voz y SMS TD infinitos, 3,5 GB WA + Mail + FB P1","mode":"I"}</v>
      </c>
      <c r="I1096" t="str">
        <f>ToJsonArray(supplementary_offering_legacyid__4[[#This Row],[semilla04]],supplementary_offering_legacyid__4[[#This Row],[json]])</f>
        <v>{"168771484767":{"offeringid":"990000514","name":"Prom Voz y SMS TD infinitos, 3,5 GB WA + Mail + FB P1","mode":"I"}}</v>
      </c>
    </row>
    <row r="1097" spans="1:9" x14ac:dyDescent="0.25">
      <c r="A1097" s="60" t="s">
        <v>5297</v>
      </c>
      <c r="B1097" s="60" t="str">
        <f>findKey(supplementary_offering_legacyid__4[[#This Row],[PRODUCCION]])</f>
        <v>168771482463</v>
      </c>
      <c r="C1097" s="61" t="s">
        <v>5298</v>
      </c>
      <c r="D1097" t="s">
        <v>199</v>
      </c>
      <c r="E1097" t="s">
        <v>2189</v>
      </c>
      <c r="F1097" s="61"/>
      <c r="H1097" t="str">
        <f>ToJsonArray(supplementary_offering_legacyid__4[[#Headers],[offeringid]:[json]],supplementary_offering_legacyid__4[[#This Row],[offeringid]:[ignore]])</f>
        <v>{"offeringid":"990000515","name":"Prom Voz y SMS TD infinitos, 8 GB WA + Mail FB P1","mode":"I"}</v>
      </c>
      <c r="I1097" t="str">
        <f>ToJsonArray(supplementary_offering_legacyid__4[[#This Row],[semilla04]],supplementary_offering_legacyid__4[[#This Row],[json]])</f>
        <v>{"168771482463":{"offeringid":"990000515","name":"Prom Voz y SMS TD infinitos, 8 GB WA + Mail FB P1","mode":"I"}}</v>
      </c>
    </row>
    <row r="1098" spans="1:9" x14ac:dyDescent="0.25">
      <c r="A1098" s="60" t="s">
        <v>5299</v>
      </c>
      <c r="B1098" s="60" t="str">
        <f>findKey(supplementary_offering_legacyid__4[[#This Row],[PRODUCCION]])</f>
        <v>17101202391</v>
      </c>
      <c r="C1098" s="61" t="s">
        <v>5300</v>
      </c>
      <c r="D1098" t="s">
        <v>201</v>
      </c>
      <c r="E1098" t="s">
        <v>2189</v>
      </c>
      <c r="F1098" s="61"/>
      <c r="H1098" t="str">
        <f>ToJsonArray(supplementary_offering_legacyid__4[[#Headers],[offeringid]:[json]],supplementary_offering_legacyid__4[[#This Row],[offeringid]:[ignore]])</f>
        <v>{"offeringid":"990000516","name":"Prom Voz y SMS TD infinitos, 8 GB WA + Mail FB P3","mode":"I"}</v>
      </c>
      <c r="I1098" t="str">
        <f>ToJsonArray(supplementary_offering_legacyid__4[[#This Row],[semilla04]],supplementary_offering_legacyid__4[[#This Row],[json]])</f>
        <v>{"17101202391":{"offeringid":"990000516","name":"Prom Voz y SMS TD infinitos, 8 GB WA + Mail FB P3","mode":"I"}}</v>
      </c>
    </row>
    <row r="1099" spans="1:9" x14ac:dyDescent="0.25">
      <c r="A1099" s="60" t="s">
        <v>5301</v>
      </c>
      <c r="B1099" s="60" t="str">
        <f>findKey(supplementary_offering_legacyid__4[[#This Row],[PRODUCCION]])</f>
        <v>17101203927</v>
      </c>
      <c r="C1099" s="61" t="s">
        <v>5302</v>
      </c>
      <c r="D1099" t="s">
        <v>200</v>
      </c>
      <c r="E1099" t="s">
        <v>2189</v>
      </c>
      <c r="F1099" s="61"/>
      <c r="H1099" t="str">
        <f>ToJsonArray(supplementary_offering_legacyid__4[[#Headers],[offeringid]:[json]],supplementary_offering_legacyid__4[[#This Row],[offeringid]:[ignore]])</f>
        <v>{"offeringid":"990000517","name":"Prom Voz y SMS TD infinitos, 8 GB WA + Mail FB P2","mode":"I"}</v>
      </c>
      <c r="I1099" t="str">
        <f>ToJsonArray(supplementary_offering_legacyid__4[[#This Row],[semilla04]],supplementary_offering_legacyid__4[[#This Row],[json]])</f>
        <v>{"17101203927":{"offeringid":"990000517","name":"Prom Voz y SMS TD infinitos, 8 GB WA + Mail FB P2","mode":"I"}}</v>
      </c>
    </row>
    <row r="1100" spans="1:9" x14ac:dyDescent="0.25">
      <c r="A1100" s="60" t="s">
        <v>5303</v>
      </c>
      <c r="B1100" s="60" t="str">
        <f>findKey(supplementary_offering_legacyid__4[[#This Row],[PRODUCCION]])</f>
        <v>168771486464</v>
      </c>
      <c r="C1100" s="61" t="s">
        <v>5304</v>
      </c>
      <c r="D1100" t="s">
        <v>202</v>
      </c>
      <c r="E1100" t="s">
        <v>2189</v>
      </c>
      <c r="F1100" s="61"/>
      <c r="H1100" t="str">
        <f>ToJsonArray(supplementary_offering_legacyid__4[[#Headers],[offeringid]:[json]],supplementary_offering_legacyid__4[[#This Row],[offeringid]:[ignore]])</f>
        <v>{"offeringid":"990000518","name":"Voz y SMS TD infinitos, 4 GB WA + Mail + FB P1","mode":"I"}</v>
      </c>
      <c r="I1100" t="str">
        <f>ToJsonArray(supplementary_offering_legacyid__4[[#This Row],[semilla04]],supplementary_offering_legacyid__4[[#This Row],[json]])</f>
        <v>{"168771486464":{"offeringid":"990000518","name":"Voz y SMS TD infinitos, 4 GB WA + Mail + FB P1","mode":"I"}}</v>
      </c>
    </row>
    <row r="1101" spans="1:9" x14ac:dyDescent="0.25">
      <c r="A1101" s="60" t="s">
        <v>5305</v>
      </c>
      <c r="B1101" s="60" t="str">
        <f>findKey(supplementary_offering_legacyid__4[[#This Row],[PRODUCCION]])</f>
        <v>168771488000</v>
      </c>
      <c r="C1101" s="61" t="s">
        <v>5306</v>
      </c>
      <c r="D1101" t="s">
        <v>203</v>
      </c>
      <c r="E1101" t="s">
        <v>2189</v>
      </c>
      <c r="F1101" s="61"/>
      <c r="H1101" t="str">
        <f>ToJsonArray(supplementary_offering_legacyid__4[[#Headers],[offeringid]:[json]],supplementary_offering_legacyid__4[[#This Row],[offeringid]:[ignore]])</f>
        <v>{"offeringid":"990000519","name":"Voz y SMS TD infinitos, 4 GB WA + Mail + FB P2","mode":"I"}</v>
      </c>
      <c r="I1101" t="str">
        <f>ToJsonArray(supplementary_offering_legacyid__4[[#This Row],[semilla04]],supplementary_offering_legacyid__4[[#This Row],[json]])</f>
        <v>{"168771488000":{"offeringid":"990000519","name":"Voz y SMS TD infinitos, 4 GB WA + Mail + FB P2","mode":"I"}}</v>
      </c>
    </row>
    <row r="1102" spans="1:9" x14ac:dyDescent="0.25">
      <c r="A1102" s="60" t="s">
        <v>5307</v>
      </c>
      <c r="B1102" s="60" t="str">
        <f>findKey(supplementary_offering_legacyid__4[[#This Row],[PRODUCCION]])</f>
        <v>168771489536</v>
      </c>
      <c r="C1102" s="61" t="s">
        <v>5308</v>
      </c>
      <c r="D1102" t="s">
        <v>204</v>
      </c>
      <c r="E1102" t="s">
        <v>2189</v>
      </c>
      <c r="F1102" s="61"/>
      <c r="H1102" t="str">
        <f>ToJsonArray(supplementary_offering_legacyid__4[[#Headers],[offeringid]:[json]],supplementary_offering_legacyid__4[[#This Row],[offeringid]:[ignore]])</f>
        <v>{"offeringid":"990000520","name":"Voz y SMS TD infinitos, 4 GB WA + Mail + FB P3","mode":"I"}</v>
      </c>
      <c r="I1102" t="str">
        <f>ToJsonArray(supplementary_offering_legacyid__4[[#This Row],[semilla04]],supplementary_offering_legacyid__4[[#This Row],[json]])</f>
        <v>{"168771489536":{"offeringid":"990000520","name":"Voz y SMS TD infinitos, 4 GB WA + Mail + FB P3","mode":"I"}}</v>
      </c>
    </row>
    <row r="1103" spans="1:9" x14ac:dyDescent="0.25">
      <c r="A1103" s="60" t="s">
        <v>5309</v>
      </c>
      <c r="B1103" s="60" t="str">
        <f>findKey(supplementary_offering_legacyid__4[[#This Row],[PRODUCCION]])</f>
        <v>168771486080</v>
      </c>
      <c r="C1103" s="61" t="s">
        <v>5310</v>
      </c>
      <c r="D1103" t="s">
        <v>207</v>
      </c>
      <c r="E1103" t="s">
        <v>2189</v>
      </c>
      <c r="F1103" s="61"/>
      <c r="H1103" t="str">
        <f>ToJsonArray(supplementary_offering_legacyid__4[[#Headers],[offeringid]:[json]],supplementary_offering_legacyid__4[[#This Row],[offeringid]:[ignore]])</f>
        <v>{"offeringid":"990000521","name":"Voz y SMS TD infinitos, 5 GB WA + Mail + FB P3","mode":"I"}</v>
      </c>
      <c r="I1103" t="str">
        <f>ToJsonArray(supplementary_offering_legacyid__4[[#This Row],[semilla04]],supplementary_offering_legacyid__4[[#This Row],[json]])</f>
        <v>{"168771486080":{"offeringid":"990000521","name":"Voz y SMS TD infinitos, 5 GB WA + Mail + FB P3","mode":"I"}}</v>
      </c>
    </row>
    <row r="1104" spans="1:9" x14ac:dyDescent="0.25">
      <c r="A1104" s="60" t="s">
        <v>5311</v>
      </c>
      <c r="B1104" s="60" t="str">
        <f>findKey(supplementary_offering_legacyid__4[[#This Row],[PRODUCCION]])</f>
        <v>168771486848</v>
      </c>
      <c r="C1104" s="61" t="s">
        <v>5312</v>
      </c>
      <c r="D1104" t="s">
        <v>205</v>
      </c>
      <c r="E1104" t="s">
        <v>2189</v>
      </c>
      <c r="F1104" s="61"/>
      <c r="H1104" t="str">
        <f>ToJsonArray(supplementary_offering_legacyid__4[[#Headers],[offeringid]:[json]],supplementary_offering_legacyid__4[[#This Row],[offeringid]:[ignore]])</f>
        <v>{"offeringid":"990000522","name":"Voz y SMS TD infinitos, 5 GB WA + Mail + FB P1","mode":"I"}</v>
      </c>
      <c r="I1104" t="str">
        <f>ToJsonArray(supplementary_offering_legacyid__4[[#This Row],[semilla04]],supplementary_offering_legacyid__4[[#This Row],[json]])</f>
        <v>{"168771486848":{"offeringid":"990000522","name":"Voz y SMS TD infinitos, 5 GB WA + Mail + FB P1","mode":"I"}}</v>
      </c>
    </row>
    <row r="1105" spans="1:9" x14ac:dyDescent="0.25">
      <c r="A1105" s="60" t="s">
        <v>5313</v>
      </c>
      <c r="B1105" s="60" t="str">
        <f>findKey(supplementary_offering_legacyid__4[[#This Row],[PRODUCCION]])</f>
        <v>168771488384</v>
      </c>
      <c r="C1105" s="61" t="s">
        <v>5314</v>
      </c>
      <c r="D1105" t="s">
        <v>206</v>
      </c>
      <c r="E1105" t="s">
        <v>2189</v>
      </c>
      <c r="F1105" s="61"/>
      <c r="H1105" t="str">
        <f>ToJsonArray(supplementary_offering_legacyid__4[[#Headers],[offeringid]:[json]],supplementary_offering_legacyid__4[[#This Row],[offeringid]:[ignore]])</f>
        <v>{"offeringid":"990000523","name":"Voz y SMS TD infinitos, 5 GB WA + Mail + FB P2","mode":"I"}</v>
      </c>
      <c r="I1105" t="str">
        <f>ToJsonArray(supplementary_offering_legacyid__4[[#This Row],[semilla04]],supplementary_offering_legacyid__4[[#This Row],[json]])</f>
        <v>{"168771488384":{"offeringid":"990000523","name":"Voz y SMS TD infinitos, 5 GB WA + Mail + FB P2","mode":"I"}}</v>
      </c>
    </row>
    <row r="1106" spans="1:9" x14ac:dyDescent="0.25">
      <c r="A1106" s="60" t="s">
        <v>5315</v>
      </c>
      <c r="B1106" s="60" t="str">
        <f>findKey(supplementary_offering_legacyid__4[[#This Row],[PRODUCCION]])</f>
        <v>168771487616</v>
      </c>
      <c r="C1106" s="61" t="s">
        <v>5316</v>
      </c>
      <c r="D1106" t="s">
        <v>209</v>
      </c>
      <c r="E1106" t="s">
        <v>2189</v>
      </c>
      <c r="F1106" s="61"/>
      <c r="H1106" t="str">
        <f>ToJsonArray(supplementary_offering_legacyid__4[[#Headers],[offeringid]:[json]],supplementary_offering_legacyid__4[[#This Row],[offeringid]:[ignore]])</f>
        <v>{"offeringid":"990000524","name":"Voz y SMS TD infinitos, 6 GB WA + Mail + FB P2","mode":"I"}</v>
      </c>
      <c r="I1106" t="str">
        <f>ToJsonArray(supplementary_offering_legacyid__4[[#This Row],[semilla04]],supplementary_offering_legacyid__4[[#This Row],[json]])</f>
        <v>{"168771487616":{"offeringid":"990000524","name":"Voz y SMS TD infinitos, 6 GB WA + Mail + FB P2","mode":"I"}}</v>
      </c>
    </row>
    <row r="1107" spans="1:9" x14ac:dyDescent="0.25">
      <c r="A1107" s="60" t="s">
        <v>5317</v>
      </c>
      <c r="B1107" s="60" t="str">
        <f>findKey(supplementary_offering_legacyid__4[[#This Row],[PRODUCCION]])</f>
        <v>168771487808</v>
      </c>
      <c r="C1107" s="61" t="s">
        <v>5318</v>
      </c>
      <c r="D1107" t="s">
        <v>210</v>
      </c>
      <c r="E1107" t="s">
        <v>2189</v>
      </c>
      <c r="F1107" s="61"/>
      <c r="H1107" t="str">
        <f>ToJsonArray(supplementary_offering_legacyid__4[[#Headers],[offeringid]:[json]],supplementary_offering_legacyid__4[[#This Row],[offeringid]:[ignore]])</f>
        <v>{"offeringid":"990000525","name":"Voz y SMS TD infinitos, 6 GB WA + Mail + FB P3","mode":"I"}</v>
      </c>
      <c r="I1107" t="str">
        <f>ToJsonArray(supplementary_offering_legacyid__4[[#This Row],[semilla04]],supplementary_offering_legacyid__4[[#This Row],[json]])</f>
        <v>{"168771487808":{"offeringid":"990000525","name":"Voz y SMS TD infinitos, 6 GB WA + Mail + FB P3","mode":"I"}}</v>
      </c>
    </row>
    <row r="1108" spans="1:9" x14ac:dyDescent="0.25">
      <c r="A1108" s="60" t="s">
        <v>5319</v>
      </c>
      <c r="B1108" s="60" t="str">
        <f>findKey(supplementary_offering_legacyid__4[[#This Row],[PRODUCCION]])</f>
        <v>168771489152</v>
      </c>
      <c r="C1108" s="61" t="s">
        <v>5320</v>
      </c>
      <c r="D1108" t="s">
        <v>208</v>
      </c>
      <c r="E1108" t="s">
        <v>2189</v>
      </c>
      <c r="F1108" s="61"/>
      <c r="H1108" t="str">
        <f>ToJsonArray(supplementary_offering_legacyid__4[[#Headers],[offeringid]:[json]],supplementary_offering_legacyid__4[[#This Row],[offeringid]:[ignore]])</f>
        <v>{"offeringid":"990000526","name":"Voz y SMS TD infinitos, 6 GB WA + Mail + FB P1","mode":"I"}</v>
      </c>
      <c r="I1108" t="str">
        <f>ToJsonArray(supplementary_offering_legacyid__4[[#This Row],[semilla04]],supplementary_offering_legacyid__4[[#This Row],[json]])</f>
        <v>{"168771489152":{"offeringid":"990000526","name":"Voz y SMS TD infinitos, 6 GB WA + Mail + FB P1","mode":"I"}}</v>
      </c>
    </row>
    <row r="1109" spans="1:9" x14ac:dyDescent="0.25">
      <c r="A1109" s="60" t="s">
        <v>5321</v>
      </c>
      <c r="B1109" s="60" t="str">
        <f>findKey(supplementary_offering_legacyid__4[[#This Row],[PRODUCCION]])</f>
        <v>168771486272</v>
      </c>
      <c r="C1109" s="61" t="s">
        <v>5322</v>
      </c>
      <c r="D1109" t="s">
        <v>211</v>
      </c>
      <c r="E1109" t="s">
        <v>2189</v>
      </c>
      <c r="F1109" s="61"/>
      <c r="H1109" t="str">
        <f>ToJsonArray(supplementary_offering_legacyid__4[[#Headers],[offeringid]:[json]],supplementary_offering_legacyid__4[[#This Row],[offeringid]:[ignore]])</f>
        <v>{"offeringid":"990000527","name":"Voz y SMS TD infinitos, 7 GB WA + Mail + FB P1","mode":"I"}</v>
      </c>
      <c r="I1109" t="str">
        <f>ToJsonArray(supplementary_offering_legacyid__4[[#This Row],[semilla04]],supplementary_offering_legacyid__4[[#This Row],[json]])</f>
        <v>{"168771486272":{"offeringid":"990000527","name":"Voz y SMS TD infinitos, 7 GB WA + Mail + FB P1","mode":"I"}}</v>
      </c>
    </row>
    <row r="1110" spans="1:9" x14ac:dyDescent="0.25">
      <c r="A1110" s="60" t="s">
        <v>5323</v>
      </c>
      <c r="B1110" s="60" t="str">
        <f>findKey(supplementary_offering_legacyid__4[[#This Row],[PRODUCCION]])</f>
        <v>168771487040</v>
      </c>
      <c r="C1110" s="61" t="s">
        <v>5324</v>
      </c>
      <c r="D1110" t="s">
        <v>213</v>
      </c>
      <c r="E1110" t="s">
        <v>2189</v>
      </c>
      <c r="F1110" s="61"/>
      <c r="H1110" t="str">
        <f>ToJsonArray(supplementary_offering_legacyid__4[[#Headers],[offeringid]:[json]],supplementary_offering_legacyid__4[[#This Row],[offeringid]:[ignore]])</f>
        <v>{"offeringid":"990000528","name":"Voz y SMS TD infinitos, 7 GB WA + Mail + FB P3","mode":"I"}</v>
      </c>
      <c r="I1110" t="str">
        <f>ToJsonArray(supplementary_offering_legacyid__4[[#This Row],[semilla04]],supplementary_offering_legacyid__4[[#This Row],[json]])</f>
        <v>{"168771487040":{"offeringid":"990000528","name":"Voz y SMS TD infinitos, 7 GB WA + Mail + FB P3","mode":"I"}}</v>
      </c>
    </row>
    <row r="1111" spans="1:9" x14ac:dyDescent="0.25">
      <c r="A1111" s="60" t="s">
        <v>5325</v>
      </c>
      <c r="B1111" s="60" t="str">
        <f>findKey(supplementary_offering_legacyid__4[[#This Row],[PRODUCCION]])</f>
        <v>168771489344</v>
      </c>
      <c r="C1111" s="61" t="s">
        <v>5326</v>
      </c>
      <c r="D1111" t="s">
        <v>212</v>
      </c>
      <c r="E1111" t="s">
        <v>2189</v>
      </c>
      <c r="F1111" s="61"/>
      <c r="H1111" t="str">
        <f>ToJsonArray(supplementary_offering_legacyid__4[[#Headers],[offeringid]:[json]],supplementary_offering_legacyid__4[[#This Row],[offeringid]:[ignore]])</f>
        <v>{"offeringid":"990000529","name":"Voz y SMS TD infinitos, 7 GB WA + Mail + FB P2","mode":"I"}</v>
      </c>
      <c r="I1111" t="str">
        <f>ToJsonArray(supplementary_offering_legacyid__4[[#This Row],[semilla04]],supplementary_offering_legacyid__4[[#This Row],[json]])</f>
        <v>{"168771489344":{"offeringid":"990000529","name":"Voz y SMS TD infinitos, 7 GB WA + Mail + FB P2","mode":"I"}}</v>
      </c>
    </row>
    <row r="1112" spans="1:9" x14ac:dyDescent="0.25">
      <c r="A1112" s="60" t="s">
        <v>5327</v>
      </c>
      <c r="B1112" s="60" t="str">
        <f>findKey(supplementary_offering_legacyid__4[[#This Row],[PRODUCCION]])</f>
        <v>358124950637</v>
      </c>
      <c r="C1112" s="61" t="s">
        <v>5328</v>
      </c>
      <c r="D1112" t="s">
        <v>2018</v>
      </c>
      <c r="E1112" t="s">
        <v>2189</v>
      </c>
      <c r="F1112" s="61"/>
      <c r="H1112" t="str">
        <f>ToJsonArray(supplementary_offering_legacyid__4[[#Headers],[offeringid]:[json]],supplementary_offering_legacyid__4[[#This Row],[offeringid]:[ignore]])</f>
        <v>{"offeringid":"990000530","name":"Voz y SMS TD infinitos, 7 GB, WA+Mail+FB P2","mode":"I"}</v>
      </c>
      <c r="I1112" t="str">
        <f>ToJsonArray(supplementary_offering_legacyid__4[[#This Row],[semilla04]],supplementary_offering_legacyid__4[[#This Row],[json]])</f>
        <v>{"358124950637":{"offeringid":"990000530","name":"Voz y SMS TD infinitos, 7 GB, WA+Mail+FB P2","mode":"I"}}</v>
      </c>
    </row>
    <row r="1113" spans="1:9" x14ac:dyDescent="0.25">
      <c r="A1113" s="60" t="s">
        <v>5329</v>
      </c>
      <c r="B1113" s="60" t="str">
        <f>findKey(supplementary_offering_legacyid__4[[#This Row],[PRODUCCION]])</f>
        <v>358124952173</v>
      </c>
      <c r="C1113" s="61" t="s">
        <v>5330</v>
      </c>
      <c r="D1113" t="s">
        <v>2019</v>
      </c>
      <c r="E1113" t="s">
        <v>2189</v>
      </c>
      <c r="F1113" s="61"/>
      <c r="H1113" t="str">
        <f>ToJsonArray(supplementary_offering_legacyid__4[[#Headers],[offeringid]:[json]],supplementary_offering_legacyid__4[[#This Row],[offeringid]:[ignore]])</f>
        <v>{"offeringid":"990000531","name":"Voz y SMS TD infinitos, 7 GB, WA+Mail+FB P3","mode":"I"}</v>
      </c>
      <c r="I1113" t="str">
        <f>ToJsonArray(supplementary_offering_legacyid__4[[#This Row],[semilla04]],supplementary_offering_legacyid__4[[#This Row],[json]])</f>
        <v>{"358124952173":{"offeringid":"990000531","name":"Voz y SMS TD infinitos, 7 GB, WA+Mail+FB P3","mode":"I"}}</v>
      </c>
    </row>
    <row r="1114" spans="1:9" x14ac:dyDescent="0.25">
      <c r="A1114" s="60" t="s">
        <v>5331</v>
      </c>
      <c r="B1114" s="60" t="str">
        <f>findKey(supplementary_offering_legacyid__4[[#This Row],[PRODUCCION]])</f>
        <v>358124953517</v>
      </c>
      <c r="C1114" s="61" t="s">
        <v>5332</v>
      </c>
      <c r="D1114" t="s">
        <v>2017</v>
      </c>
      <c r="E1114" t="s">
        <v>2189</v>
      </c>
      <c r="F1114" s="61"/>
      <c r="H1114" t="str">
        <f>ToJsonArray(supplementary_offering_legacyid__4[[#Headers],[offeringid]:[json]],supplementary_offering_legacyid__4[[#This Row],[offeringid]:[ignore]])</f>
        <v>{"offeringid":"990000532","name":"Voz y SMS TD infinitos, 7 GB, WA+Mail+FB CUG P1","mode":"I"}</v>
      </c>
      <c r="I1114" t="str">
        <f>ToJsonArray(supplementary_offering_legacyid__4[[#This Row],[semilla04]],supplementary_offering_legacyid__4[[#This Row],[json]])</f>
        <v>{"358124953517":{"offeringid":"990000532","name":"Voz y SMS TD infinitos, 7 GB, WA+Mail+FB CUG P1","mode":"I"}}</v>
      </c>
    </row>
    <row r="1115" spans="1:9" x14ac:dyDescent="0.25">
      <c r="A1115" s="60" t="s">
        <v>5333</v>
      </c>
      <c r="B1115" s="60" t="str">
        <f>findKey(supplementary_offering_legacyid__4[[#This Row],[PRODUCCION]])</f>
        <v>168771485888</v>
      </c>
      <c r="C1115" s="61" t="s">
        <v>5334</v>
      </c>
      <c r="D1115" t="s">
        <v>216</v>
      </c>
      <c r="E1115" t="s">
        <v>2189</v>
      </c>
      <c r="F1115" s="61"/>
      <c r="H1115" t="str">
        <f>ToJsonArray(supplementary_offering_legacyid__4[[#Headers],[offeringid]:[json]],supplementary_offering_legacyid__4[[#This Row],[offeringid]:[ignore]])</f>
        <v>{"offeringid":"990000533","name":"Voz y SMS TD infinitos, 8 GB WA + Mail + FB P2","mode":"I"}</v>
      </c>
      <c r="I1115" t="str">
        <f>ToJsonArray(supplementary_offering_legacyid__4[[#This Row],[semilla04]],supplementary_offering_legacyid__4[[#This Row],[json]])</f>
        <v>{"168771485888":{"offeringid":"990000533","name":"Voz y SMS TD infinitos, 8 GB WA + Mail + FB P2","mode":"I"}}</v>
      </c>
    </row>
    <row r="1116" spans="1:9" x14ac:dyDescent="0.25">
      <c r="A1116" s="60" t="s">
        <v>5335</v>
      </c>
      <c r="B1116" s="60" t="str">
        <f>findKey(supplementary_offering_legacyid__4[[#This Row],[PRODUCCION]])</f>
        <v>168771488576</v>
      </c>
      <c r="C1116" s="61" t="s">
        <v>5336</v>
      </c>
      <c r="D1116" t="s">
        <v>214</v>
      </c>
      <c r="E1116" t="s">
        <v>2189</v>
      </c>
      <c r="F1116" s="61"/>
      <c r="H1116" t="str">
        <f>ToJsonArray(supplementary_offering_legacyid__4[[#Headers],[offeringid]:[json]],supplementary_offering_legacyid__4[[#This Row],[offeringid]:[ignore]])</f>
        <v>{"offeringid":"990000534","name":"Voz y SMS TD infinitos, 8 GB WA + Mail + FB P1","mode":"I"}</v>
      </c>
      <c r="I1116" t="str">
        <f>ToJsonArray(supplementary_offering_legacyid__4[[#This Row],[semilla04]],supplementary_offering_legacyid__4[[#This Row],[json]])</f>
        <v>{"168771488576":{"offeringid":"990000534","name":"Voz y SMS TD infinitos, 8 GB WA + Mail + FB P1","mode":"I"}}</v>
      </c>
    </row>
    <row r="1117" spans="1:9" x14ac:dyDescent="0.25">
      <c r="A1117" s="60" t="s">
        <v>5337</v>
      </c>
      <c r="B1117" s="60" t="str">
        <f>findKey(supplementary_offering_legacyid__4[[#This Row],[PRODUCCION]])</f>
        <v>168771488960</v>
      </c>
      <c r="C1117" s="61" t="s">
        <v>5338</v>
      </c>
      <c r="D1117" t="s">
        <v>215</v>
      </c>
      <c r="E1117" t="s">
        <v>2189</v>
      </c>
      <c r="F1117" s="61"/>
      <c r="H1117" t="str">
        <f>ToJsonArray(supplementary_offering_legacyid__4[[#Headers],[offeringid]:[json]],supplementary_offering_legacyid__4[[#This Row],[offeringid]:[ignore]])</f>
        <v>{"offeringid":"990000535","name":"Voz y SMS TD infinitos, 8 GB WA + Mail + FB P3","mode":"I"}</v>
      </c>
      <c r="I1117" t="str">
        <f>ToJsonArray(supplementary_offering_legacyid__4[[#This Row],[semilla04]],supplementary_offering_legacyid__4[[#This Row],[json]])</f>
        <v>{"168771488960":{"offeringid":"990000535","name":"Voz y SMS TD infinitos, 8 GB WA + Mail + FB P3","mode":"I"}}</v>
      </c>
    </row>
    <row r="1118" spans="1:9" x14ac:dyDescent="0.25">
      <c r="A1118" s="60" t="s">
        <v>5339</v>
      </c>
      <c r="B1118" s="60" t="str">
        <f>findKey(supplementary_offering_legacyid__4[[#This Row],[PRODUCCION]])</f>
        <v>17083665387</v>
      </c>
      <c r="C1118" s="61" t="s">
        <v>5340</v>
      </c>
      <c r="D1118" t="s">
        <v>707</v>
      </c>
      <c r="E1118" t="s">
        <v>2189</v>
      </c>
      <c r="F1118" s="61"/>
      <c r="H1118" t="str">
        <f>ToJsonArray(supplementary_offering_legacyid__4[[#Headers],[offeringid]:[json]],supplementary_offering_legacyid__4[[#This Row],[offeringid]:[ignore]])</f>
        <v>{"offeringid":"990000536","name":"WHATSAPP + Mail","mode":"I"}</v>
      </c>
      <c r="I1118" t="str">
        <f>ToJsonArray(supplementary_offering_legacyid__4[[#This Row],[semilla04]],supplementary_offering_legacyid__4[[#This Row],[json]])</f>
        <v>{"17083665387":{"offeringid":"990000536","name":"WHATSAPP + Mail","mode":"I"}}</v>
      </c>
    </row>
    <row r="1119" spans="1:9" x14ac:dyDescent="0.25">
      <c r="A1119" s="60" t="s">
        <v>5341</v>
      </c>
      <c r="B1119" s="60" t="str">
        <f>findKey(supplementary_offering_legacyid__4[[#This Row],[PRODUCCION]])</f>
        <v>17083663851</v>
      </c>
      <c r="C1119" s="61" t="s">
        <v>5342</v>
      </c>
      <c r="D1119" t="s">
        <v>706</v>
      </c>
      <c r="E1119" t="s">
        <v>2189</v>
      </c>
      <c r="F1119" s="61" t="s">
        <v>5252</v>
      </c>
      <c r="H1119" t="str">
        <f>ToJsonArray(supplementary_offering_legacyid__4[[#Headers],[offeringid]:[json]],supplementary_offering_legacyid__4[[#This Row],[offeringid]:[ignore]])</f>
        <v>{"offeringid":"990000537","name":"WHATSAPP","mode":"I","offeringidATP":"990000493"}</v>
      </c>
      <c r="I1119" t="str">
        <f>ToJsonArray(supplementary_offering_legacyid__4[[#This Row],[semilla04]],supplementary_offering_legacyid__4[[#This Row],[json]])</f>
        <v>{"17083663851":{"offeringid":"990000537","name":"WHATSAPP","mode":"I","offeringidATP":"990000493"}}</v>
      </c>
    </row>
    <row r="1120" spans="1:9" x14ac:dyDescent="0.25">
      <c r="A1120" s="60" t="s">
        <v>5343</v>
      </c>
      <c r="B1120" s="60" t="str">
        <f>findKey(supplementary_offering_legacyid__4[[#This Row],[PRODUCCION]])</f>
        <v>17083118079</v>
      </c>
      <c r="C1120" s="61" t="s">
        <v>5344</v>
      </c>
      <c r="D1120" t="s">
        <v>1139</v>
      </c>
      <c r="E1120" t="s">
        <v>2189</v>
      </c>
      <c r="F1120" s="61"/>
      <c r="H1120" t="str">
        <f>ToJsonArray(supplementary_offering_legacyid__4[[#Headers],[offeringid]:[json]],supplementary_offering_legacyid__4[[#This Row],[offeringid]:[ignore]])</f>
        <v>{"offeringid":"990000538","name":"PQT Reventa TodoDestino 1200MIN","mode":"I"}</v>
      </c>
      <c r="I1120" t="str">
        <f>ToJsonArray(supplementary_offering_legacyid__4[[#This Row],[semilla04]],supplementary_offering_legacyid__4[[#This Row],[json]])</f>
        <v>{"17083118079":{"offeringid":"990000538","name":"PQT Reventa TodoDestino 1200MIN","mode":"I"}}</v>
      </c>
    </row>
    <row r="1121" spans="1:9" x14ac:dyDescent="0.25">
      <c r="A1121" s="60" t="s">
        <v>5345</v>
      </c>
      <c r="B1121" s="60" t="str">
        <f>findKey(supplementary_offering_legacyid__4[[#This Row],[PRODUCCION]])</f>
        <v>67111490377</v>
      </c>
      <c r="C1121" s="61" t="s">
        <v>5346</v>
      </c>
      <c r="D1121" t="s">
        <v>2164</v>
      </c>
      <c r="E1121" t="s">
        <v>2189</v>
      </c>
      <c r="F1121" s="61" t="s">
        <v>5396</v>
      </c>
      <c r="H1121" t="str">
        <f>ToJsonArray(supplementary_offering_legacyid__4[[#Headers],[offeringid]:[json]],supplementary_offering_legacyid__4[[#This Row],[offeringid]:[ignore]])</f>
        <v>{"offeringid":"990000539","name":"Combo 1000MIN TD y  Voz a Tigo infinito","mode":"I","offeringidATP":"990000564"}</v>
      </c>
      <c r="I1121" t="str">
        <f>ToJsonArray(supplementary_offering_legacyid__4[[#This Row],[semilla04]],supplementary_offering_legacyid__4[[#This Row],[json]])</f>
        <v>{"67111490377":{"offeringid":"990000539","name":"Combo 1000MIN TD y  Voz a Tigo infinito","mode":"I","offeringidATP":"990000564"}}</v>
      </c>
    </row>
    <row r="1122" spans="1:9" x14ac:dyDescent="0.25">
      <c r="A1122" s="60" t="s">
        <v>5347</v>
      </c>
      <c r="B1122" s="60" t="str">
        <f>findKey(supplementary_offering_legacyid__4[[#This Row],[PRODUCCION]])</f>
        <v>17083125140</v>
      </c>
      <c r="C1122" s="61" t="s">
        <v>5348</v>
      </c>
      <c r="D1122" t="s">
        <v>991</v>
      </c>
      <c r="E1122" t="s">
        <v>2189</v>
      </c>
      <c r="F1122" s="61"/>
      <c r="H1122" t="str">
        <f>ToJsonArray(supplementary_offering_legacyid__4[[#Headers],[offeringid]:[json]],supplementary_offering_legacyid__4[[#This Row],[offeringid]:[ignore]])</f>
        <v>{"offeringid":"990000540","name":"Combo SMS TD infinitos","mode":"I"}</v>
      </c>
      <c r="I1122" t="str">
        <f>ToJsonArray(supplementary_offering_legacyid__4[[#This Row],[semilla04]],supplementary_offering_legacyid__4[[#This Row],[json]])</f>
        <v>{"17083125140":{"offeringid":"990000540","name":"Combo SMS TD infinitos","mode":"I"}}</v>
      </c>
    </row>
    <row r="1123" spans="1:9" x14ac:dyDescent="0.25">
      <c r="A1123" s="60" t="s">
        <v>5349</v>
      </c>
      <c r="B1123" s="60" t="str">
        <f>findKey(supplementary_offering_legacyid__4[[#This Row],[PRODUCCION]])</f>
        <v>17083658875</v>
      </c>
      <c r="C1123" s="61" t="s">
        <v>5350</v>
      </c>
      <c r="D1123" t="s">
        <v>1029</v>
      </c>
      <c r="E1123" t="s">
        <v>2189</v>
      </c>
      <c r="F1123" s="61" t="s">
        <v>5400</v>
      </c>
      <c r="H1123" t="str">
        <f>ToJsonArray(supplementary_offering_legacyid__4[[#Headers],[offeringid]:[json]],supplementary_offering_legacyid__4[[#This Row],[offeringid]:[ignore]])</f>
        <v>{"offeringid":"990000541","name":"Combo datos 3GB WA + Mail   2","mode":"I","offeringidATP":"990000566"}</v>
      </c>
      <c r="I1123" t="str">
        <f>ToJsonArray(supplementary_offering_legacyid__4[[#This Row],[semilla04]],supplementary_offering_legacyid__4[[#This Row],[json]])</f>
        <v>{"17083658875":{"offeringid":"990000541","name":"Combo datos 3GB WA + Mail   2","mode":"I","offeringidATP":"990000566"}}</v>
      </c>
    </row>
    <row r="1124" spans="1:9" x14ac:dyDescent="0.25">
      <c r="A1124" s="60" t="s">
        <v>5351</v>
      </c>
      <c r="B1124" s="60" t="str">
        <f>findKey(supplementary_offering_legacyid__4[[#This Row],[PRODUCCION]])</f>
        <v>20112863810</v>
      </c>
      <c r="C1124" s="61" t="s">
        <v>5352</v>
      </c>
      <c r="D1124" t="s">
        <v>2166</v>
      </c>
      <c r="E1124" t="s">
        <v>2189</v>
      </c>
      <c r="F1124" s="61"/>
      <c r="H1124" t="str">
        <f>ToJsonArray(supplementary_offering_legacyid__4[[#Headers],[offeringid]:[json]],supplementary_offering_legacyid__4[[#This Row],[offeringid]:[ignore]])</f>
        <v>{"offeringid":"990000542","name":"Combo datos 1,2GB WA + Mail 1","mode":"I"}</v>
      </c>
      <c r="I1124" t="str">
        <f>ToJsonArray(supplementary_offering_legacyid__4[[#This Row],[semilla04]],supplementary_offering_legacyid__4[[#This Row],[json]])</f>
        <v>{"20112863810":{"offeringid":"990000542","name":"Combo datos 1,2GB WA + Mail 1","mode":"I"}}</v>
      </c>
    </row>
    <row r="1125" spans="1:9" x14ac:dyDescent="0.25">
      <c r="A1125" s="60" t="s">
        <v>5353</v>
      </c>
      <c r="B1125" s="60" t="str">
        <f>findKey(supplementary_offering_legacyid__4[[#This Row],[PRODUCCION]])</f>
        <v>17083122376</v>
      </c>
      <c r="C1125" s="61" t="s">
        <v>5354</v>
      </c>
      <c r="D1125" t="s">
        <v>993</v>
      </c>
      <c r="E1125" t="s">
        <v>2189</v>
      </c>
      <c r="F1125" s="61"/>
      <c r="H1125" t="str">
        <f>ToJsonArray(supplementary_offering_legacyid__4[[#Headers],[offeringid]:[json]],supplementary_offering_legacyid__4[[#This Row],[offeringid]:[ignore]])</f>
        <v>{"offeringid":"990000543","name":"Combo 100MIN TD  y Voz a Tigo infinito","mode":"I"}</v>
      </c>
      <c r="I1125" t="str">
        <f>ToJsonArray(supplementary_offering_legacyid__4[[#This Row],[semilla04]],supplementary_offering_legacyid__4[[#This Row],[json]])</f>
        <v>{"17083122376":{"offeringid":"990000543","name":"Combo 100MIN TD  y Voz a Tigo infinito","mode":"I"}}</v>
      </c>
    </row>
    <row r="1126" spans="1:9" x14ac:dyDescent="0.25">
      <c r="A1126" s="60" t="s">
        <v>5355</v>
      </c>
      <c r="B1126" s="60" t="str">
        <f>findKey(supplementary_offering_legacyid__4[[#This Row],[PRODUCCION]])</f>
        <v>17085862090</v>
      </c>
      <c r="C1126" s="61" t="s">
        <v>5356</v>
      </c>
      <c r="D1126" t="s">
        <v>1188</v>
      </c>
      <c r="E1126" t="s">
        <v>2189</v>
      </c>
      <c r="F1126" s="61"/>
      <c r="H1126" t="str">
        <f>ToJsonArray(supplementary_offering_legacyid__4[[#Headers],[offeringid]:[json]],supplementary_offering_legacyid__4[[#This Row],[offeringid]:[ignore]])</f>
        <v>{"offeringid":"990000544","name":"Combo 500 Min TD; Min Tigo Infinitos; Min CUG Infinitos P1","mode":"I"}</v>
      </c>
      <c r="I1126" t="str">
        <f>ToJsonArray(supplementary_offering_legacyid__4[[#This Row],[semilla04]],supplementary_offering_legacyid__4[[#This Row],[json]])</f>
        <v>{"17085862090":{"offeringid":"990000544","name":"Combo 500 Min TD; Min Tigo Infinitos; Min CUG Infinitos P1","mode":"I"}}</v>
      </c>
    </row>
    <row r="1127" spans="1:9" x14ac:dyDescent="0.25">
      <c r="A1127" s="60" t="s">
        <v>5357</v>
      </c>
      <c r="B1127" s="60" t="str">
        <f>findKey(supplementary_offering_legacyid__4[[#This Row],[PRODUCCION]])</f>
        <v>17085865162</v>
      </c>
      <c r="C1127" s="61" t="s">
        <v>5358</v>
      </c>
      <c r="D1127" t="s">
        <v>1189</v>
      </c>
      <c r="E1127" t="s">
        <v>2189</v>
      </c>
      <c r="F1127" s="61"/>
      <c r="H1127" t="str">
        <f>ToJsonArray(supplementary_offering_legacyid__4[[#Headers],[offeringid]:[json]],supplementary_offering_legacyid__4[[#This Row],[offeringid]:[ignore]])</f>
        <v>{"offeringid":"990000545","name":"Combo 2.5 GB;WA, Mail y facebook Infinito P2","mode":"I"}</v>
      </c>
      <c r="I1127" t="str">
        <f>ToJsonArray(supplementary_offering_legacyid__4[[#This Row],[semilla04]],supplementary_offering_legacyid__4[[#This Row],[json]])</f>
        <v>{"17085865162":{"offeringid":"990000545","name":"Combo 2.5 GB;WA, Mail y facebook Infinito P2","mode":"I"}}</v>
      </c>
    </row>
    <row r="1128" spans="1:9" x14ac:dyDescent="0.25">
      <c r="A1128" s="60" t="s">
        <v>5359</v>
      </c>
      <c r="B1128" s="60" t="str">
        <f>findKey(supplementary_offering_legacyid__4[[#This Row],[PRODUCCION]])</f>
        <v>17083125122</v>
      </c>
      <c r="C1128" s="61" t="s">
        <v>5360</v>
      </c>
      <c r="D1128" t="s">
        <v>413</v>
      </c>
      <c r="E1128" t="s">
        <v>2189</v>
      </c>
      <c r="F1128" s="61"/>
      <c r="H1128" t="str">
        <f>ToJsonArray(supplementary_offering_legacyid__4[[#Headers],[offeringid]:[json]],supplementary_offering_legacyid__4[[#This Row],[offeringid]:[ignore]])</f>
        <v>{"offeringid":"990000546","name":"PQT Corp SMS Todo Destino 1000","mode":"I"}</v>
      </c>
      <c r="I1128" t="str">
        <f>ToJsonArray(supplementary_offering_legacyid__4[[#This Row],[semilla04]],supplementary_offering_legacyid__4[[#This Row],[json]])</f>
        <v>{"17083125122":{"offeringid":"990000546","name":"PQT Corp SMS Todo Destino 1000","mode":"I"}}</v>
      </c>
    </row>
    <row r="1129" spans="1:9" x14ac:dyDescent="0.25">
      <c r="A1129" s="60" t="s">
        <v>5361</v>
      </c>
      <c r="B1129" s="60" t="str">
        <f>findKey(supplementary_offering_legacyid__4[[#This Row],[PRODUCCION]])</f>
        <v>17083665963</v>
      </c>
      <c r="C1129" s="61" t="s">
        <v>5362</v>
      </c>
      <c r="D1129" t="s">
        <v>674</v>
      </c>
      <c r="E1129" t="s">
        <v>2189</v>
      </c>
      <c r="F1129" s="61"/>
      <c r="H1129" t="str">
        <f>ToJsonArray(supplementary_offering_legacyid__4[[#Headers],[offeringid]:[json]],supplementary_offering_legacyid__4[[#This Row],[offeringid]:[ignore]])</f>
        <v>{"offeringid":"990000547","name":"PQT Corp Navegacion 2,5 GB WA + Mail","mode":"I"}</v>
      </c>
      <c r="I1129" t="str">
        <f>ToJsonArray(supplementary_offering_legacyid__4[[#This Row],[semilla04]],supplementary_offering_legacyid__4[[#This Row],[json]])</f>
        <v>{"17083665963":{"offeringid":"990000547","name":"PQT Corp Navegacion 2,5 GB WA + Mail","mode":"I"}}</v>
      </c>
    </row>
    <row r="1130" spans="1:9" x14ac:dyDescent="0.25">
      <c r="A1130" s="60" t="s">
        <v>5363</v>
      </c>
      <c r="B1130" s="60" t="str">
        <f>findKey(supplementary_offering_legacyid__4[[#This Row],[PRODUCCION]])</f>
        <v>17083663659</v>
      </c>
      <c r="C1130" s="61" t="s">
        <v>5364</v>
      </c>
      <c r="D1130" t="s">
        <v>676</v>
      </c>
      <c r="E1130" t="s">
        <v>2189</v>
      </c>
      <c r="F1130" s="61" t="s">
        <v>5366</v>
      </c>
      <c r="H1130" t="str">
        <f>ToJsonArray(supplementary_offering_legacyid__4[[#Headers],[offeringid]:[json]],supplementary_offering_legacyid__4[[#This Row],[offeringid]:[ignore]])</f>
        <v>{"offeringid":"990000548","name":"PQT Corp Navegacion 2GB WA + Mail","mode":"I","offeringidATP":"990000549"}</v>
      </c>
      <c r="I1130" t="str">
        <f>ToJsonArray(supplementary_offering_legacyid__4[[#This Row],[semilla04]],supplementary_offering_legacyid__4[[#This Row],[json]])</f>
        <v>{"17083663659":{"offeringid":"990000548","name":"PQT Corp Navegacion 2GB WA + Mail","mode":"I","offeringidATP":"990000549"}}</v>
      </c>
    </row>
    <row r="1131" spans="1:9" x14ac:dyDescent="0.25">
      <c r="A1131" s="60" t="s">
        <v>5365</v>
      </c>
      <c r="B1131" s="60" t="str">
        <f>findKey(supplementary_offering_legacyid__4[[#This Row],[PRODUCCION]])</f>
        <v>17083662363</v>
      </c>
      <c r="C1131" s="61" t="s">
        <v>5366</v>
      </c>
      <c r="D1131" t="s">
        <v>226</v>
      </c>
      <c r="E1131" t="s">
        <v>2189</v>
      </c>
      <c r="F1131" s="61" t="s">
        <v>5384</v>
      </c>
      <c r="H1131" t="str">
        <f>ToJsonArray(supplementary_offering_legacyid__4[[#Headers],[offeringid]:[json]],supplementary_offering_legacyid__4[[#This Row],[offeringid]:[ignore]])</f>
        <v>{"offeringid":"990000549","name":"PQT Corp Navegacion 1 Smart -1","mode":"I","offeringidATP":"990000558"}</v>
      </c>
      <c r="I1131" t="str">
        <f>ToJsonArray(supplementary_offering_legacyid__4[[#This Row],[semilla04]],supplementary_offering_legacyid__4[[#This Row],[json]])</f>
        <v>{"17083662363":{"offeringid":"990000549","name":"PQT Corp Navegacion 1 Smart -1","mode":"I","offeringidATP":"990000558"}}</v>
      </c>
    </row>
    <row r="1132" spans="1:9" x14ac:dyDescent="0.25">
      <c r="A1132" s="60" t="s">
        <v>5367</v>
      </c>
      <c r="B1132" s="60" t="str">
        <f>findKey(supplementary_offering_legacyid__4[[#This Row],[PRODUCCION]])</f>
        <v>17083092934</v>
      </c>
      <c r="C1132" s="61" t="s">
        <v>5368</v>
      </c>
      <c r="D1132" t="s">
        <v>416</v>
      </c>
      <c r="E1132" t="s">
        <v>2189</v>
      </c>
      <c r="F1132" s="61"/>
      <c r="H1132" t="str">
        <f>ToJsonArray(supplementary_offering_legacyid__4[[#Headers],[offeringid]:[json]],supplementary_offering_legacyid__4[[#This Row],[offeringid]:[ignore]])</f>
        <v>{"offeringid":"990000550","name":"PQT Corp SMS Tigo 10000","mode":"I"}</v>
      </c>
      <c r="I1132" t="str">
        <f>ToJsonArray(supplementary_offering_legacyid__4[[#This Row],[semilla04]],supplementary_offering_legacyid__4[[#This Row],[json]])</f>
        <v>{"17083092934":{"offeringid":"990000550","name":"PQT Corp SMS Tigo 10000","mode":"I"}}</v>
      </c>
    </row>
    <row r="1133" spans="1:9" x14ac:dyDescent="0.25">
      <c r="A1133" s="60" t="s">
        <v>5369</v>
      </c>
      <c r="B1133" s="60" t="str">
        <f>findKey(supplementary_offering_legacyid__4[[#This Row],[PRODUCCION]])</f>
        <v>17083122448</v>
      </c>
      <c r="C1133" s="61" t="s">
        <v>5370</v>
      </c>
      <c r="D1133" t="s">
        <v>637</v>
      </c>
      <c r="E1133" t="s">
        <v>2189</v>
      </c>
      <c r="F1133" s="61"/>
      <c r="H1133" t="str">
        <f>ToJsonArray(supplementary_offering_legacyid__4[[#Headers],[offeringid]:[json]],supplementary_offering_legacyid__4[[#This Row],[offeringid]:[ignore]])</f>
        <v>{"offeringid":"990000551","name":"PQT Corp TodoDestino 100MIN F2","mode":"I"}</v>
      </c>
      <c r="I1133" t="str">
        <f>ToJsonArray(supplementary_offering_legacyid__4[[#This Row],[semilla04]],supplementary_offering_legacyid__4[[#This Row],[json]])</f>
        <v>{"17083122448":{"offeringid":"990000551","name":"PQT Corp TodoDestino 100MIN F2","mode":"I"}}</v>
      </c>
    </row>
    <row r="1134" spans="1:9" x14ac:dyDescent="0.25">
      <c r="A1134" s="60" t="s">
        <v>5371</v>
      </c>
      <c r="B1134" s="60" t="str">
        <f>findKey(supplementary_offering_legacyid__4[[#This Row],[PRODUCCION]])</f>
        <v>17083125624</v>
      </c>
      <c r="C1134" s="61" t="s">
        <v>5372</v>
      </c>
      <c r="D1134" t="s">
        <v>635</v>
      </c>
      <c r="E1134" t="s">
        <v>2189</v>
      </c>
      <c r="F1134" s="61"/>
      <c r="H1134" t="str">
        <f>ToJsonArray(supplementary_offering_legacyid__4[[#Headers],[offeringid]:[json]],supplementary_offering_legacyid__4[[#This Row],[offeringid]:[ignore]])</f>
        <v>{"offeringid":"990000552","name":"PQT Corp TodoDestino 10SMS F2","mode":"I"}</v>
      </c>
      <c r="I1134" t="str">
        <f>ToJsonArray(supplementary_offering_legacyid__4[[#This Row],[semilla04]],supplementary_offering_legacyid__4[[#This Row],[json]])</f>
        <v>{"17083125624":{"offeringid":"990000552","name":"PQT Corp TodoDestino 10SMS F2","mode":"I"}}</v>
      </c>
    </row>
    <row r="1135" spans="1:9" x14ac:dyDescent="0.25">
      <c r="A1135" s="60" t="s">
        <v>5373</v>
      </c>
      <c r="B1135" s="60" t="str">
        <f>findKey(supplementary_offering_legacyid__4[[#This Row],[PRODUCCION]])</f>
        <v>17083123144</v>
      </c>
      <c r="C1135" s="61" t="s">
        <v>5374</v>
      </c>
      <c r="D1135" t="s">
        <v>551</v>
      </c>
      <c r="E1135" t="s">
        <v>2189</v>
      </c>
      <c r="F1135" s="61"/>
      <c r="H1135" t="str">
        <f>ToJsonArray(supplementary_offering_legacyid__4[[#Headers],[offeringid]:[json]],supplementary_offering_legacyid__4[[#This Row],[offeringid]:[ignore]])</f>
        <v>{"offeringid":"990000553","name":"PQT Corp Todo destino 1300","mode":"I"}</v>
      </c>
      <c r="I1135" t="str">
        <f>ToJsonArray(supplementary_offering_legacyid__4[[#This Row],[semilla04]],supplementary_offering_legacyid__4[[#This Row],[json]])</f>
        <v>{"17083123144":{"offeringid":"990000553","name":"PQT Corp Todo destino 1300","mode":"I"}}</v>
      </c>
    </row>
    <row r="1136" spans="1:9" x14ac:dyDescent="0.25">
      <c r="A1136" s="60" t="s">
        <v>5375</v>
      </c>
      <c r="B1136" s="60" t="str">
        <f>findKey(supplementary_offering_legacyid__4[[#This Row],[PRODUCCION]])</f>
        <v>17083122068</v>
      </c>
      <c r="C1136" s="61" t="s">
        <v>5376</v>
      </c>
      <c r="D1136" t="s">
        <v>552</v>
      </c>
      <c r="E1136" t="s">
        <v>2189</v>
      </c>
      <c r="F1136" s="61"/>
      <c r="H1136" t="str">
        <f>ToJsonArray(supplementary_offering_legacyid__4[[#Headers],[offeringid]:[json]],supplementary_offering_legacyid__4[[#This Row],[offeringid]:[ignore]])</f>
        <v>{"offeringid":"990000554","name":"PQT Corp Todo destino 1300 SMS","mode":"I"}</v>
      </c>
      <c r="I1136" t="str">
        <f>ToJsonArray(supplementary_offering_legacyid__4[[#This Row],[semilla04]],supplementary_offering_legacyid__4[[#This Row],[json]])</f>
        <v>{"17083122068":{"offeringid":"990000554","name":"PQT Corp Todo destino 1300 SMS","mode":"I"}}</v>
      </c>
    </row>
    <row r="1137" spans="1:9" x14ac:dyDescent="0.25">
      <c r="A1137" s="60" t="s">
        <v>5377</v>
      </c>
      <c r="B1137" s="60" t="str">
        <f>findKey(supplementary_offering_legacyid__4[[#This Row],[PRODUCCION]])</f>
        <v>17083657863</v>
      </c>
      <c r="C1137" s="61" t="s">
        <v>5378</v>
      </c>
      <c r="D1137" t="s">
        <v>657</v>
      </c>
      <c r="E1137" t="s">
        <v>2189</v>
      </c>
      <c r="F1137" s="61"/>
      <c r="H1137" t="str">
        <f>ToJsonArray(supplementary_offering_legacyid__4[[#Headers],[offeringid]:[json]],supplementary_offering_legacyid__4[[#This Row],[offeringid]:[ignore]])</f>
        <v>{"offeringid":"990000555","name":"PQT Corp TodoDestino 1500MIN y Voz a Tigo Infinito F2","mode":"I"}</v>
      </c>
      <c r="I1137" t="str">
        <f>ToJsonArray(supplementary_offering_legacyid__4[[#This Row],[semilla04]],supplementary_offering_legacyid__4[[#This Row],[json]])</f>
        <v>{"17083657863":{"offeringid":"990000555","name":"PQT Corp TodoDestino 1500MIN y Voz a Tigo Infinito F2","mode":"I"}}</v>
      </c>
    </row>
    <row r="1138" spans="1:9" x14ac:dyDescent="0.25">
      <c r="A1138" s="60" t="s">
        <v>5379</v>
      </c>
      <c r="B1138" s="60" t="str">
        <f>findKey(supplementary_offering_legacyid__4[[#This Row],[PRODUCCION]])</f>
        <v>17083657095</v>
      </c>
      <c r="C1138" s="61" t="s">
        <v>5380</v>
      </c>
      <c r="D1138" t="s">
        <v>661</v>
      </c>
      <c r="E1138" t="s">
        <v>2189</v>
      </c>
      <c r="F1138" s="61"/>
      <c r="H1138" t="str">
        <f>ToJsonArray(supplementary_offering_legacyid__4[[#Headers],[offeringid]:[json]],supplementary_offering_legacyid__4[[#This Row],[offeringid]:[ignore]])</f>
        <v>{"offeringid":"990000556","name":"PQT Corp TodoDestino 2000MIN y Voz a Tigo Infinito F2","mode":"I"}</v>
      </c>
      <c r="I1138" t="str">
        <f>ToJsonArray(supplementary_offering_legacyid__4[[#This Row],[semilla04]],supplementary_offering_legacyid__4[[#This Row],[json]])</f>
        <v>{"17083657095":{"offeringid":"990000556","name":"PQT Corp TodoDestino 2000MIN y Voz a Tigo Infinito F2","mode":"I"}}</v>
      </c>
    </row>
    <row r="1139" spans="1:9" x14ac:dyDescent="0.25">
      <c r="A1139" s="60" t="s">
        <v>5381</v>
      </c>
      <c r="B1139" s="60" t="str">
        <f>findKey(supplementary_offering_legacyid__4[[#This Row],[PRODUCCION]])</f>
        <v>17083655943</v>
      </c>
      <c r="C1139" s="61" t="s">
        <v>5382</v>
      </c>
      <c r="D1139" t="s">
        <v>651</v>
      </c>
      <c r="E1139" t="s">
        <v>2189</v>
      </c>
      <c r="F1139" s="61"/>
      <c r="H1139" t="str">
        <f>ToJsonArray(supplementary_offering_legacyid__4[[#Headers],[offeringid]:[json]],supplementary_offering_legacyid__4[[#This Row],[offeringid]:[ignore]])</f>
        <v>{"offeringid":"990000557","name":"PQT Corp TodoDestino 800MIN y Voz a NIT Infinito F2","mode":"I"}</v>
      </c>
      <c r="I1139" t="str">
        <f>ToJsonArray(supplementary_offering_legacyid__4[[#This Row],[semilla04]],supplementary_offering_legacyid__4[[#This Row],[json]])</f>
        <v>{"17083655943":{"offeringid":"990000557","name":"PQT Corp TodoDestino 800MIN y Voz a NIT Infinito F2","mode":"I"}}</v>
      </c>
    </row>
    <row r="1140" spans="1:9" x14ac:dyDescent="0.25">
      <c r="A1140" s="60" t="s">
        <v>5383</v>
      </c>
      <c r="B1140" s="60" t="str">
        <f>findKey(supplementary_offering_legacyid__4[[#This Row],[PRODUCCION]])</f>
        <v>67111492841</v>
      </c>
      <c r="C1140" s="61" t="s">
        <v>5384</v>
      </c>
      <c r="D1140" t="s">
        <v>2168</v>
      </c>
      <c r="E1140" t="s">
        <v>2189</v>
      </c>
      <c r="F1140" s="61" t="s">
        <v>5390</v>
      </c>
      <c r="H1140" t="str">
        <f>ToJsonArray(supplementary_offering_legacyid__4[[#Headers],[offeringid]:[json]],supplementary_offering_legacyid__4[[#This Row],[offeringid]:[ignore]])</f>
        <v>{"offeringid":"990000558","name":"Combo datos 10GB WA + Mail 1","mode":"I","offeringidATP":"990000561"}</v>
      </c>
      <c r="I1140" t="str">
        <f>ToJsonArray(supplementary_offering_legacyid__4[[#This Row],[semilla04]],supplementary_offering_legacyid__4[[#This Row],[json]])</f>
        <v>{"67111492841":{"offeringid":"990000558","name":"Combo datos 10GB WA + Mail 1","mode":"I","offeringidATP":"990000561"}}</v>
      </c>
    </row>
    <row r="1141" spans="1:9" x14ac:dyDescent="0.25">
      <c r="A1141" s="60" t="s">
        <v>5385</v>
      </c>
      <c r="B1141" s="60" t="str">
        <f>findKey(supplementary_offering_legacyid__4[[#This Row],[PRODUCCION]])</f>
        <v>17083662299</v>
      </c>
      <c r="C1141" s="61" t="s">
        <v>5386</v>
      </c>
      <c r="D1141" t="s">
        <v>1011</v>
      </c>
      <c r="E1141" t="s">
        <v>2189</v>
      </c>
      <c r="F1141" s="61" t="s">
        <v>5388</v>
      </c>
      <c r="H1141" t="str">
        <f>ToJsonArray(supplementary_offering_legacyid__4[[#Headers],[offeringid]:[json]],supplementary_offering_legacyid__4[[#This Row],[offeringid]:[ignore]])</f>
        <v>{"offeringid":"990000559","name":"Combo Voz Todo Destino infinito 3","mode":"I","offeringidATP":"990000560"}</v>
      </c>
      <c r="I1141" t="str">
        <f>ToJsonArray(supplementary_offering_legacyid__4[[#This Row],[semilla04]],supplementary_offering_legacyid__4[[#This Row],[json]])</f>
        <v>{"17083662299":{"offeringid":"990000559","name":"Combo Voz Todo Destino infinito 3","mode":"I","offeringidATP":"990000560"}}</v>
      </c>
    </row>
    <row r="1142" spans="1:9" x14ac:dyDescent="0.25">
      <c r="A1142" s="60" t="s">
        <v>5387</v>
      </c>
      <c r="B1142" s="60" t="str">
        <f>findKey(supplementary_offering_legacyid__4[[#This Row],[PRODUCCION]])</f>
        <v>17083660859</v>
      </c>
      <c r="C1142" s="61" t="s">
        <v>5388</v>
      </c>
      <c r="D1142" t="s">
        <v>1015</v>
      </c>
      <c r="E1142" t="s">
        <v>2189</v>
      </c>
      <c r="F1142" s="61" t="s">
        <v>5394</v>
      </c>
      <c r="H1142" t="str">
        <f>ToJsonArray(supplementary_offering_legacyid__4[[#Headers],[offeringid]:[json]],supplementary_offering_legacyid__4[[#This Row],[offeringid]:[ignore]])</f>
        <v>{"offeringid":"990000560","name":"Combo Voz Todo Destino infinito 5","mode":"I","offeringidATP":"990000563"}</v>
      </c>
      <c r="I1142" t="str">
        <f>ToJsonArray(supplementary_offering_legacyid__4[[#This Row],[semilla04]],supplementary_offering_legacyid__4[[#This Row],[json]])</f>
        <v>{"17083660859":{"offeringid":"990000560","name":"Combo Voz Todo Destino infinito 5","mode":"I","offeringidATP":"990000563"}}</v>
      </c>
    </row>
    <row r="1143" spans="1:9" x14ac:dyDescent="0.25">
      <c r="A1143" s="60" t="s">
        <v>5389</v>
      </c>
      <c r="B1143" s="60" t="str">
        <f>findKey(supplementary_offering_legacyid__4[[#This Row],[PRODUCCION]])</f>
        <v>17083660795</v>
      </c>
      <c r="C1143" s="61" t="s">
        <v>5390</v>
      </c>
      <c r="D1143" t="s">
        <v>1037</v>
      </c>
      <c r="E1143" t="s">
        <v>2189</v>
      </c>
      <c r="F1143" s="61" t="s">
        <v>5398</v>
      </c>
      <c r="H1143" t="str">
        <f>ToJsonArray(supplementary_offering_legacyid__4[[#Headers],[offeringid]:[json]],supplementary_offering_legacyid__4[[#This Row],[offeringid]:[ignore]])</f>
        <v>{"offeringid":"990000561","name":"Combo datos 11GB WA + Mail","mode":"I","offeringidATP":"990000565"}</v>
      </c>
      <c r="I1143" t="str">
        <f>ToJsonArray(supplementary_offering_legacyid__4[[#This Row],[semilla04]],supplementary_offering_legacyid__4[[#This Row],[json]])</f>
        <v>{"17083660795":{"offeringid":"990000561","name":"Combo datos 11GB WA + Mail","mode":"I","offeringidATP":"990000565"}}</v>
      </c>
    </row>
    <row r="1144" spans="1:9" x14ac:dyDescent="0.25">
      <c r="A1144" s="60" t="s">
        <v>5391</v>
      </c>
      <c r="B1144" s="60" t="str">
        <f>findKey(supplementary_offering_legacyid__4[[#This Row],[PRODUCCION]])</f>
        <v>17083658503</v>
      </c>
      <c r="C1144" s="61" t="s">
        <v>5392</v>
      </c>
      <c r="D1144" t="s">
        <v>221</v>
      </c>
      <c r="E1144" t="s">
        <v>2189</v>
      </c>
      <c r="F1144" s="61" t="s">
        <v>5386</v>
      </c>
      <c r="H1144" t="str">
        <f>ToJsonArray(supplementary_offering_legacyid__4[[#Headers],[offeringid]:[json]],supplementary_offering_legacyid__4[[#This Row],[offeringid]:[ignore]])</f>
        <v>{"offeringid":"990000562","name":"Combo  Smart P1","mode":"I","offeringidATP":"990000559"}</v>
      </c>
      <c r="I1144" t="str">
        <f>ToJsonArray(supplementary_offering_legacyid__4[[#This Row],[semilla04]],supplementary_offering_legacyid__4[[#This Row],[json]])</f>
        <v>{"17083658503":{"offeringid":"990000562","name":"Combo  Smart P1","mode":"I","offeringidATP":"990000559"}}</v>
      </c>
    </row>
    <row r="1145" spans="1:9" x14ac:dyDescent="0.25">
      <c r="A1145" s="60" t="s">
        <v>5393</v>
      </c>
      <c r="B1145" s="60" t="str">
        <f>findKey(supplementary_offering_legacyid__4[[#This Row],[PRODUCCION]])</f>
        <v>17083659259</v>
      </c>
      <c r="C1145" s="61" t="s">
        <v>5394</v>
      </c>
      <c r="D1145" t="s">
        <v>1039</v>
      </c>
      <c r="E1145" t="s">
        <v>2189</v>
      </c>
      <c r="F1145" s="61" t="s">
        <v>5346</v>
      </c>
      <c r="H1145" t="str">
        <f>ToJsonArray(supplementary_offering_legacyid__4[[#Headers],[offeringid]:[json]],supplementary_offering_legacyid__4[[#This Row],[offeringid]:[ignore]])</f>
        <v>{"offeringid":"990000563","name":"Combo datos 12GB WA + Mail","mode":"I","offeringidATP":"990000539"}</v>
      </c>
      <c r="I1145" t="str">
        <f>ToJsonArray(supplementary_offering_legacyid__4[[#This Row],[semilla04]],supplementary_offering_legacyid__4[[#This Row],[json]])</f>
        <v>{"17083659259":{"offeringid":"990000563","name":"Combo datos 12GB WA + Mail","mode":"I","offeringidATP":"990000539"}}</v>
      </c>
    </row>
    <row r="1146" spans="1:9" x14ac:dyDescent="0.25">
      <c r="A1146" s="60" t="s">
        <v>5395</v>
      </c>
      <c r="B1146" s="60" t="str">
        <f>findKey(supplementary_offering_legacyid__4[[#This Row],[PRODUCCION]])</f>
        <v>17083658555</v>
      </c>
      <c r="C1146" s="61" t="s">
        <v>5396</v>
      </c>
      <c r="D1146" t="s">
        <v>1017</v>
      </c>
      <c r="E1146" t="s">
        <v>2189</v>
      </c>
      <c r="F1146" s="61" t="s">
        <v>5254</v>
      </c>
      <c r="H1146" t="str">
        <f>ToJsonArray(supplementary_offering_legacyid__4[[#Headers],[offeringid]:[json]],supplementary_offering_legacyid__4[[#This Row],[offeringid]:[ignore]])</f>
        <v>{"offeringid":"990000564","name":"Combo Voz Todo Destino infinito 6","mode":"I","offeringidATP":"990000494"}</v>
      </c>
      <c r="I1146" t="str">
        <f>ToJsonArray(supplementary_offering_legacyid__4[[#This Row],[semilla04]],supplementary_offering_legacyid__4[[#This Row],[json]])</f>
        <v>{"17083658555":{"offeringid":"990000564","name":"Combo Voz Todo Destino infinito 6","mode":"I","offeringidATP":"990000494"}}</v>
      </c>
    </row>
    <row r="1147" spans="1:9" x14ac:dyDescent="0.25">
      <c r="A1147" s="60" t="s">
        <v>5397</v>
      </c>
      <c r="B1147" s="60" t="str">
        <f>findKey(supplementary_offering_legacyid__4[[#This Row],[PRODUCCION]])</f>
        <v>17083659227</v>
      </c>
      <c r="C1147" s="61" t="s">
        <v>5398</v>
      </c>
      <c r="D1147" t="s">
        <v>1009</v>
      </c>
      <c r="E1147" t="s">
        <v>2189</v>
      </c>
      <c r="F1147" s="61" t="s">
        <v>5350</v>
      </c>
      <c r="H1147" t="str">
        <f>ToJsonArray(supplementary_offering_legacyid__4[[#Headers],[offeringid]:[json]],supplementary_offering_legacyid__4[[#This Row],[offeringid]:[ignore]])</f>
        <v>{"offeringid":"990000565","name":"Combo Voz Todo Destino infinito 2","mode":"I","offeringidATP":"990000541"}</v>
      </c>
      <c r="I1147" t="str">
        <f>ToJsonArray(supplementary_offering_legacyid__4[[#This Row],[semilla04]],supplementary_offering_legacyid__4[[#This Row],[json]])</f>
        <v>{"17083659227":{"offeringid":"990000565","name":"Combo Voz Todo Destino infinito 2","mode":"I","offeringidATP":"990000541"}}</v>
      </c>
    </row>
    <row r="1148" spans="1:9" x14ac:dyDescent="0.25">
      <c r="A1148" s="60" t="s">
        <v>5399</v>
      </c>
      <c r="B1148" s="60" t="str">
        <f>findKey(supplementary_offering_legacyid__4[[#This Row],[PRODUCCION]])</f>
        <v>17083658491</v>
      </c>
      <c r="C1148" s="61" t="s">
        <v>5400</v>
      </c>
      <c r="D1148" t="s">
        <v>1035</v>
      </c>
      <c r="E1148" t="s">
        <v>2189</v>
      </c>
      <c r="F1148" s="61" t="s">
        <v>5095</v>
      </c>
      <c r="H1148" t="str">
        <f>ToJsonArray(supplementary_offering_legacyid__4[[#Headers],[offeringid]:[json]],supplementary_offering_legacyid__4[[#This Row],[offeringid]:[ignore]])</f>
        <v>{"offeringid":"990000566","name":"Combo datos 8GB WA + Mail","mode":"I","offeringidATP":"990000422"}</v>
      </c>
      <c r="I1148" t="str">
        <f>ToJsonArray(supplementary_offering_legacyid__4[[#This Row],[semilla04]],supplementary_offering_legacyid__4[[#This Row],[json]])</f>
        <v>{"17083658491":{"offeringid":"990000566","name":"Combo datos 8GB WA + Mail","mode":"I","offeringidATP":"990000422"}}</v>
      </c>
    </row>
    <row r="1149" spans="1:9" x14ac:dyDescent="0.25">
      <c r="A1149" s="60" t="s">
        <v>5401</v>
      </c>
      <c r="B1149" s="60" t="str">
        <f>findKey(supplementary_offering_legacyid__4[[#This Row],[PRODUCCION]])</f>
        <v>17083089378</v>
      </c>
      <c r="C1149" s="61" t="s">
        <v>5402</v>
      </c>
      <c r="D1149" t="s">
        <v>415</v>
      </c>
      <c r="E1149" t="s">
        <v>2189</v>
      </c>
      <c r="F1149" s="61"/>
      <c r="H1149" t="str">
        <f>ToJsonArray(supplementary_offering_legacyid__4[[#Headers],[offeringid]:[json]],supplementary_offering_legacyid__4[[#This Row],[offeringid]:[ignore]])</f>
        <v>{"offeringid":"990000567","name":"PQT Corp SMS Tigo 150","mode":"I"}</v>
      </c>
      <c r="I1149" t="str">
        <f>ToJsonArray(supplementary_offering_legacyid__4[[#This Row],[semilla04]],supplementary_offering_legacyid__4[[#This Row],[json]])</f>
        <v>{"17083089378":{"offeringid":"990000567","name":"PQT Corp SMS Tigo 150","mode":"I"}}</v>
      </c>
    </row>
    <row r="1150" spans="1:9" x14ac:dyDescent="0.25">
      <c r="A1150" s="60" t="s">
        <v>5403</v>
      </c>
      <c r="B1150" s="60" t="str">
        <f>findKey(supplementary_offering_legacyid__4[[#This Row],[PRODUCCION]])</f>
        <v>17100981942</v>
      </c>
      <c r="C1150" s="61" t="s">
        <v>5404</v>
      </c>
      <c r="D1150" t="s">
        <v>772</v>
      </c>
      <c r="E1150" t="s">
        <v>2189</v>
      </c>
      <c r="F1150" s="61"/>
      <c r="G1150" t="s">
        <v>5762</v>
      </c>
      <c r="H1150" t="str">
        <f>ToJsonArray(supplementary_offering_legacyid__4[[#Headers],[offeringid]:[json]],supplementary_offering_legacyid__4[[#This Row],[offeringid]:[ignore]])</f>
        <v>{"offeringid":"990000569","name":"Paquete Tigo Bolsa Datos 8GB Control","mode":"I","ignore":true}</v>
      </c>
      <c r="I1150" t="str">
        <f>ToJsonArray(supplementary_offering_legacyid__4[[#This Row],[semilla04]],supplementary_offering_legacyid__4[[#This Row],[json]])</f>
        <v>{"17100981942":{"offeringid":"990000569","name":"Paquete Tigo Bolsa Datos 8GB Control","mode":"I","ignore":true}}</v>
      </c>
    </row>
    <row r="1151" spans="1:9" x14ac:dyDescent="0.25">
      <c r="A1151" s="60" t="s">
        <v>5405</v>
      </c>
      <c r="B1151" s="60" t="str">
        <f>findKey(supplementary_offering_legacyid__4[[#This Row],[PRODUCCION]])</f>
        <v>17084994143</v>
      </c>
      <c r="C1151" s="61" t="s">
        <v>5406</v>
      </c>
      <c r="D1151" t="s">
        <v>770</v>
      </c>
      <c r="E1151" t="s">
        <v>2189</v>
      </c>
      <c r="F1151" s="61"/>
      <c r="G1151" t="s">
        <v>5762</v>
      </c>
      <c r="H1151" t="str">
        <f>ToJsonArray(supplementary_offering_legacyid__4[[#Headers],[offeringid]:[json]],supplementary_offering_legacyid__4[[#This Row],[offeringid]:[ignore]])</f>
        <v>{"offeringid":"990000571","name":"Paquete Tigo Bolsa Datos 30GB Control","mode":"I","ignore":true}</v>
      </c>
      <c r="I1151" t="str">
        <f>ToJsonArray(supplementary_offering_legacyid__4[[#This Row],[semilla04]],supplementary_offering_legacyid__4[[#This Row],[json]])</f>
        <v>{"17084994143":{"offeringid":"990000571","name":"Paquete Tigo Bolsa Datos 30GB Control","mode":"I","ignore":true}}</v>
      </c>
    </row>
    <row r="1152" spans="1:9" x14ac:dyDescent="0.25">
      <c r="A1152" s="60" t="s">
        <v>5407</v>
      </c>
      <c r="B1152" s="60" t="str">
        <f>findKey(supplementary_offering_legacyid__4[[#This Row],[PRODUCCION]])</f>
        <v>17085302254</v>
      </c>
      <c r="C1152" s="61" t="s">
        <v>5408</v>
      </c>
      <c r="D1152" t="s">
        <v>888</v>
      </c>
      <c r="E1152" t="s">
        <v>2189</v>
      </c>
      <c r="F1152" s="61"/>
      <c r="H1152" t="str">
        <f>ToJsonArray(supplementary_offering_legacyid__4[[#Headers],[offeringid]:[json]],supplementary_offering_legacyid__4[[#This Row],[offeringid]:[ignore]])</f>
        <v>{"offeringid":"990000572","name":"Plan 6.000 Minutos TD","mode":"I"}</v>
      </c>
      <c r="I1152" t="str">
        <f>ToJsonArray(supplementary_offering_legacyid__4[[#This Row],[semilla04]],supplementary_offering_legacyid__4[[#This Row],[json]])</f>
        <v>{"17085302254":{"offeringid":"990000572","name":"Plan 6.000 Minutos TD","mode":"I"}}</v>
      </c>
    </row>
    <row r="1153" spans="1:9" x14ac:dyDescent="0.25">
      <c r="A1153" s="60" t="s">
        <v>5409</v>
      </c>
      <c r="B1153" s="60" t="str">
        <f>findKey(supplementary_offering_legacyid__4[[#This Row],[PRODUCCION]])</f>
        <v>17085303598</v>
      </c>
      <c r="C1153" s="61" t="s">
        <v>5410</v>
      </c>
      <c r="D1153" t="s">
        <v>890</v>
      </c>
      <c r="E1153" t="s">
        <v>2189</v>
      </c>
      <c r="F1153" s="61"/>
      <c r="H1153" t="str">
        <f>ToJsonArray(supplementary_offering_legacyid__4[[#Headers],[offeringid]:[json]],supplementary_offering_legacyid__4[[#This Row],[offeringid]:[ignore]])</f>
        <v>{"offeringid":"990000573","name":"Plan 10.000 Minutos TD","mode":"I"}</v>
      </c>
      <c r="I1153" t="str">
        <f>ToJsonArray(supplementary_offering_legacyid__4[[#This Row],[semilla04]],supplementary_offering_legacyid__4[[#This Row],[json]])</f>
        <v>{"17085303598":{"offeringid":"990000573","name":"Plan 10.000 Minutos TD","mode":"I"}}</v>
      </c>
    </row>
    <row r="1154" spans="1:9" x14ac:dyDescent="0.25">
      <c r="A1154" s="60" t="s">
        <v>5411</v>
      </c>
      <c r="B1154" s="60" t="str">
        <f>findKey(supplementary_offering_legacyid__4[[#This Row],[PRODUCCION]])</f>
        <v>17085301678</v>
      </c>
      <c r="C1154" s="61" t="s">
        <v>5412</v>
      </c>
      <c r="D1154" t="s">
        <v>896</v>
      </c>
      <c r="E1154" t="s">
        <v>2189</v>
      </c>
      <c r="F1154" s="61"/>
      <c r="H1154" t="str">
        <f>ToJsonArray(supplementary_offering_legacyid__4[[#Headers],[offeringid]:[json]],supplementary_offering_legacyid__4[[#This Row],[offeringid]:[ignore]])</f>
        <v>{"offeringid":"990000574","name":"Plan 20.000 Minutos TD","mode":"I"}</v>
      </c>
      <c r="I1154" t="str">
        <f>ToJsonArray(supplementary_offering_legacyid__4[[#This Row],[semilla04]],supplementary_offering_legacyid__4[[#This Row],[json]])</f>
        <v>{"17085301678":{"offeringid":"990000574","name":"Plan 20.000 Minutos TD","mode":"I"}}</v>
      </c>
    </row>
    <row r="1155" spans="1:9" x14ac:dyDescent="0.25">
      <c r="A1155" s="60" t="s">
        <v>5413</v>
      </c>
      <c r="B1155" s="60" t="str">
        <f>findKey(supplementary_offering_legacyid__4[[#This Row],[PRODUCCION]])</f>
        <v>17085302382</v>
      </c>
      <c r="C1155" s="61" t="s">
        <v>5414</v>
      </c>
      <c r="D1155" t="s">
        <v>904</v>
      </c>
      <c r="E1155" t="s">
        <v>2189</v>
      </c>
      <c r="F1155" s="61"/>
      <c r="H1155" t="str">
        <f>ToJsonArray(supplementary_offering_legacyid__4[[#Headers],[offeringid]:[json]],supplementary_offering_legacyid__4[[#This Row],[offeringid]:[ignore]])</f>
        <v>{"offeringid":"990000575","name":"Plan 30.000 Minutos TD","mode":"I"}</v>
      </c>
      <c r="I1155" t="str">
        <f>ToJsonArray(supplementary_offering_legacyid__4[[#This Row],[semilla04]],supplementary_offering_legacyid__4[[#This Row],[json]])</f>
        <v>{"17085302382":{"offeringid":"990000575","name":"Plan 30.000 Minutos TD","mode":"I"}}</v>
      </c>
    </row>
    <row r="1156" spans="1:9" x14ac:dyDescent="0.25">
      <c r="A1156" s="60" t="s">
        <v>5415</v>
      </c>
      <c r="B1156" s="60" t="str">
        <f>findKey(supplementary_offering_legacyid__4[[#This Row],[PRODUCCION]])</f>
        <v>17085303534</v>
      </c>
      <c r="C1156" s="61" t="s">
        <v>5416</v>
      </c>
      <c r="D1156" t="s">
        <v>906</v>
      </c>
      <c r="E1156" t="s">
        <v>2189</v>
      </c>
      <c r="F1156" s="61"/>
      <c r="H1156" t="str">
        <f>ToJsonArray(supplementary_offering_legacyid__4[[#Headers],[offeringid]:[json]],supplementary_offering_legacyid__4[[#This Row],[offeringid]:[ignore]])</f>
        <v>{"offeringid":"990000576","name":"Plan 50.000 Minutos TD","mode":"I"}</v>
      </c>
      <c r="I1156" t="str">
        <f>ToJsonArray(supplementary_offering_legacyid__4[[#This Row],[semilla04]],supplementary_offering_legacyid__4[[#This Row],[json]])</f>
        <v>{"17085303534":{"offeringid":"990000576","name":"Plan 50.000 Minutos TD","mode":"I"}}</v>
      </c>
    </row>
    <row r="1157" spans="1:9" x14ac:dyDescent="0.25">
      <c r="A1157" s="60" t="s">
        <v>5417</v>
      </c>
      <c r="B1157" s="60" t="str">
        <f>findKey(supplementary_offering_legacyid__4[[#This Row],[PRODUCCION]])</f>
        <v>17085304814</v>
      </c>
      <c r="C1157" s="61" t="s">
        <v>5418</v>
      </c>
      <c r="D1157" t="s">
        <v>908</v>
      </c>
      <c r="E1157" t="s">
        <v>2189</v>
      </c>
      <c r="F1157" s="61"/>
      <c r="H1157" t="str">
        <f>ToJsonArray(supplementary_offering_legacyid__4[[#Headers],[offeringid]:[json]],supplementary_offering_legacyid__4[[#This Row],[offeringid]:[ignore]])</f>
        <v>{"offeringid":"990000577","name":"Plan 80.000 Minutos TD","mode":"I"}</v>
      </c>
      <c r="I1157" t="str">
        <f>ToJsonArray(supplementary_offering_legacyid__4[[#This Row],[semilla04]],supplementary_offering_legacyid__4[[#This Row],[json]])</f>
        <v>{"17085304814":{"offeringid":"990000577","name":"Plan 80.000 Minutos TD","mode":"I"}}</v>
      </c>
    </row>
    <row r="1158" spans="1:9" x14ac:dyDescent="0.25">
      <c r="A1158" s="60" t="s">
        <v>5419</v>
      </c>
      <c r="B1158" s="60" t="str">
        <f>findKey(supplementary_offering_legacyid__4[[#This Row],[PRODUCCION]])</f>
        <v>17085301934</v>
      </c>
      <c r="C1158" s="61" t="s">
        <v>5420</v>
      </c>
      <c r="D1158" t="s">
        <v>892</v>
      </c>
      <c r="E1158" t="s">
        <v>2189</v>
      </c>
      <c r="F1158" s="61"/>
      <c r="H1158" t="str">
        <f>ToJsonArray(supplementary_offering_legacyid__4[[#Headers],[offeringid]:[json]],supplementary_offering_legacyid__4[[#This Row],[offeringid]:[ignore]])</f>
        <v>{"offeringid":"990000578","name":"Plan 100.000 Minutos TD","mode":"I"}</v>
      </c>
      <c r="I1158" t="str">
        <f>ToJsonArray(supplementary_offering_legacyid__4[[#This Row],[semilla04]],supplementary_offering_legacyid__4[[#This Row],[json]])</f>
        <v>{"17085301934":{"offeringid":"990000578","name":"Plan 100.000 Minutos TD","mode":"I"}}</v>
      </c>
    </row>
    <row r="1159" spans="1:9" x14ac:dyDescent="0.25">
      <c r="A1159" s="60" t="s">
        <v>5421</v>
      </c>
      <c r="B1159" s="60" t="str">
        <f>findKey(supplementary_offering_legacyid__4[[#This Row],[PRODUCCION]])</f>
        <v>17085304494</v>
      </c>
      <c r="C1159" s="61" t="s">
        <v>5422</v>
      </c>
      <c r="D1159" t="s">
        <v>894</v>
      </c>
      <c r="E1159" t="s">
        <v>2189</v>
      </c>
      <c r="F1159" s="61"/>
      <c r="H1159" t="str">
        <f>ToJsonArray(supplementary_offering_legacyid__4[[#Headers],[offeringid]:[json]],supplementary_offering_legacyid__4[[#This Row],[offeringid]:[ignore]])</f>
        <v>{"offeringid":"990000579","name":"Plan 150.000 Minutos TD","mode":"I"}</v>
      </c>
      <c r="I1159" t="str">
        <f>ToJsonArray(supplementary_offering_legacyid__4[[#This Row],[semilla04]],supplementary_offering_legacyid__4[[#This Row],[json]])</f>
        <v>{"17085304494":{"offeringid":"990000579","name":"Plan 150.000 Minutos TD","mode":"I"}}</v>
      </c>
    </row>
    <row r="1160" spans="1:9" x14ac:dyDescent="0.25">
      <c r="A1160" s="60" t="s">
        <v>5423</v>
      </c>
      <c r="B1160" s="60" t="str">
        <f>findKey(supplementary_offering_legacyid__4[[#This Row],[PRODUCCION]])</f>
        <v>17085302894</v>
      </c>
      <c r="C1160" s="61" t="s">
        <v>5424</v>
      </c>
      <c r="D1160" t="s">
        <v>898</v>
      </c>
      <c r="E1160" t="s">
        <v>2189</v>
      </c>
      <c r="F1160" s="61"/>
      <c r="H1160" t="str">
        <f>ToJsonArray(supplementary_offering_legacyid__4[[#Headers],[offeringid]:[json]],supplementary_offering_legacyid__4[[#This Row],[offeringid]:[ignore]])</f>
        <v>{"offeringid":"990000580","name":"Plan 200.000 Minutos TD","mode":"I"}</v>
      </c>
      <c r="I1160" t="str">
        <f>ToJsonArray(supplementary_offering_legacyid__4[[#This Row],[semilla04]],supplementary_offering_legacyid__4[[#This Row],[json]])</f>
        <v>{"17085302894":{"offeringid":"990000580","name":"Plan 200.000 Minutos TD","mode":"I"}}</v>
      </c>
    </row>
    <row r="1161" spans="1:9" x14ac:dyDescent="0.25">
      <c r="A1161" s="60" t="s">
        <v>5425</v>
      </c>
      <c r="B1161" s="60" t="str">
        <f>findKey(supplementary_offering_legacyid__4[[#This Row],[PRODUCCION]])</f>
        <v>17085304174</v>
      </c>
      <c r="C1161" s="61" t="s">
        <v>5426</v>
      </c>
      <c r="D1161" t="s">
        <v>902</v>
      </c>
      <c r="E1161" t="s">
        <v>2189</v>
      </c>
      <c r="F1161" s="61"/>
      <c r="H1161" t="str">
        <f>ToJsonArray(supplementary_offering_legacyid__4[[#Headers],[offeringid]:[json]],supplementary_offering_legacyid__4[[#This Row],[offeringid]:[ignore]])</f>
        <v>{"offeringid":"990000581","name":"Plan 300.000 Minutos TD","mode":"I"}</v>
      </c>
      <c r="I1161" t="str">
        <f>ToJsonArray(supplementary_offering_legacyid__4[[#This Row],[semilla04]],supplementary_offering_legacyid__4[[#This Row],[json]])</f>
        <v>{"17085304174":{"offeringid":"990000581","name":"Plan 300.000 Minutos TD","mode":"I"}}</v>
      </c>
    </row>
    <row r="1162" spans="1:9" x14ac:dyDescent="0.25">
      <c r="A1162" s="60" t="s">
        <v>5427</v>
      </c>
      <c r="B1162" s="60" t="str">
        <f>findKey(supplementary_offering_legacyid__4[[#This Row],[PRODUCCION]])</f>
        <v>17085300974</v>
      </c>
      <c r="C1162" s="61" t="s">
        <v>5428</v>
      </c>
      <c r="D1162" t="s">
        <v>900</v>
      </c>
      <c r="E1162" t="s">
        <v>2189</v>
      </c>
      <c r="F1162" s="61"/>
      <c r="H1162" t="str">
        <f>ToJsonArray(supplementary_offering_legacyid__4[[#Headers],[offeringid]:[json]],supplementary_offering_legacyid__4[[#This Row],[offeringid]:[ignore]])</f>
        <v>{"offeringid":"990000582","name":"Plan 400.000 Minutos TD","mode":"I"}</v>
      </c>
      <c r="I1162" t="str">
        <f>ToJsonArray(supplementary_offering_legacyid__4[[#This Row],[semilla04]],supplementary_offering_legacyid__4[[#This Row],[json]])</f>
        <v>{"17085300974":{"offeringid":"990000582","name":"Plan 400.000 Minutos TD","mode":"I"}}</v>
      </c>
    </row>
    <row r="1163" spans="1:9" x14ac:dyDescent="0.25">
      <c r="A1163" s="60" t="s">
        <v>5429</v>
      </c>
      <c r="B1163" s="60" t="str">
        <f>findKey(supplementary_offering_legacyid__4[[#This Row],[PRODUCCION]])</f>
        <v>17085301038</v>
      </c>
      <c r="C1163" s="61" t="s">
        <v>5430</v>
      </c>
      <c r="D1163" t="s">
        <v>886</v>
      </c>
      <c r="E1163" t="s">
        <v>2189</v>
      </c>
      <c r="F1163" s="61"/>
      <c r="H1163" t="str">
        <f>ToJsonArray(supplementary_offering_legacyid__4[[#Headers],[offeringid]:[json]],supplementary_offering_legacyid__4[[#This Row],[offeringid]:[ignore]])</f>
        <v>{"offeringid":"990000583","name":"Plan 500.000 Minutos TD","mode":"I"}</v>
      </c>
      <c r="I1163" t="str">
        <f>ToJsonArray(supplementary_offering_legacyid__4[[#This Row],[semilla04]],supplementary_offering_legacyid__4[[#This Row],[json]])</f>
        <v>{"17085301038":{"offeringid":"990000583","name":"Plan 500.000 Minutos TD","mode":"I"}}</v>
      </c>
    </row>
    <row r="1164" spans="1:9" x14ac:dyDescent="0.25">
      <c r="A1164" s="60" t="s">
        <v>5431</v>
      </c>
      <c r="B1164" s="60" t="str">
        <f>findKey(supplementary_offering_legacyid__4[[#This Row],[PRODUCCION]])</f>
        <v>17085303246</v>
      </c>
      <c r="C1164" s="61" t="s">
        <v>5432</v>
      </c>
      <c r="D1164" t="s">
        <v>880</v>
      </c>
      <c r="E1164" t="s">
        <v>2189</v>
      </c>
      <c r="F1164" s="61"/>
      <c r="H1164" t="str">
        <f>ToJsonArray(supplementary_offering_legacyid__4[[#Headers],[offeringid]:[json]],supplementary_offering_legacyid__4[[#This Row],[offeringid]:[ignore]])</f>
        <v>{"offeringid":"990000584","name":"Plan 1.000.000 Minutos TD","mode":"I"}</v>
      </c>
      <c r="I1164" t="str">
        <f>ToJsonArray(supplementary_offering_legacyid__4[[#This Row],[semilla04]],supplementary_offering_legacyid__4[[#This Row],[json]])</f>
        <v>{"17085303246":{"offeringid":"990000584","name":"Plan 1.000.000 Minutos TD","mode":"I"}}</v>
      </c>
    </row>
    <row r="1165" spans="1:9" x14ac:dyDescent="0.25">
      <c r="A1165" s="60" t="s">
        <v>5433</v>
      </c>
      <c r="B1165" s="60" t="str">
        <f>findKey(supplementary_offering_legacyid__4[[#This Row],[PRODUCCION]])</f>
        <v>17085302734</v>
      </c>
      <c r="C1165" s="61" t="s">
        <v>5434</v>
      </c>
      <c r="D1165" t="s">
        <v>882</v>
      </c>
      <c r="E1165" t="s">
        <v>2189</v>
      </c>
      <c r="F1165" s="61"/>
      <c r="H1165" t="str">
        <f>ToJsonArray(supplementary_offering_legacyid__4[[#Headers],[offeringid]:[json]],supplementary_offering_legacyid__4[[#This Row],[offeringid]:[ignore]])</f>
        <v>{"offeringid":"990000585","name":"Plan 2,000.000 Minutos TD","mode":"I"}</v>
      </c>
      <c r="I1165" t="str">
        <f>ToJsonArray(supplementary_offering_legacyid__4[[#This Row],[semilla04]],supplementary_offering_legacyid__4[[#This Row],[json]])</f>
        <v>{"17085302734":{"offeringid":"990000585","name":"Plan 2,000.000 Minutos TD","mode":"I"}}</v>
      </c>
    </row>
    <row r="1166" spans="1:9" x14ac:dyDescent="0.25">
      <c r="A1166" s="60" t="s">
        <v>5435</v>
      </c>
      <c r="B1166" s="60" t="str">
        <f>findKey(supplementary_offering_legacyid__4[[#This Row],[PRODUCCION]])</f>
        <v>17085303854</v>
      </c>
      <c r="C1166" s="61" t="s">
        <v>5436</v>
      </c>
      <c r="D1166" t="s">
        <v>884</v>
      </c>
      <c r="E1166" t="s">
        <v>2189</v>
      </c>
      <c r="F1166" s="61"/>
      <c r="H1166" t="str">
        <f>ToJsonArray(supplementary_offering_legacyid__4[[#Headers],[offeringid]:[json]],supplementary_offering_legacyid__4[[#This Row],[offeringid]:[ignore]])</f>
        <v>{"offeringid":"990000586","name":"Plan 3,000.000 Minutos TD","mode":"I"}</v>
      </c>
      <c r="I1166" t="str">
        <f>ToJsonArray(supplementary_offering_legacyid__4[[#This Row],[semilla04]],supplementary_offering_legacyid__4[[#This Row],[json]])</f>
        <v>{"17085303854":{"offeringid":"990000586","name":"Plan 3,000.000 Minutos TD","mode":"I"}}</v>
      </c>
    </row>
    <row r="1167" spans="1:9" x14ac:dyDescent="0.25">
      <c r="A1167" s="60" t="s">
        <v>5437</v>
      </c>
      <c r="B1167" s="60" t="str">
        <f>findKey(supplementary_offering_legacyid__4[[#This Row],[PRODUCCION]])</f>
        <v>17085301774</v>
      </c>
      <c r="C1167" s="61" t="s">
        <v>5438</v>
      </c>
      <c r="D1167" t="s">
        <v>858</v>
      </c>
      <c r="E1167" t="s">
        <v>2189</v>
      </c>
      <c r="F1167" s="61"/>
      <c r="H1167" t="str">
        <f>ToJsonArray(supplementary_offering_legacyid__4[[#Headers],[offeringid]:[json]],supplementary_offering_legacyid__4[[#This Row],[offeringid]:[ignore]])</f>
        <v>{"offeringid":"990000587","name":"Plan 500 Minutos LDI1","mode":"I"}</v>
      </c>
      <c r="I1167" t="str">
        <f>ToJsonArray(supplementary_offering_legacyid__4[[#This Row],[semilla04]],supplementary_offering_legacyid__4[[#This Row],[json]])</f>
        <v>{"17085301774":{"offeringid":"990000587","name":"Plan 500 Minutos LDI1","mode":"I"}}</v>
      </c>
    </row>
    <row r="1168" spans="1:9" x14ac:dyDescent="0.25">
      <c r="A1168" s="60" t="s">
        <v>5439</v>
      </c>
      <c r="B1168" s="60" t="str">
        <f>findKey(supplementary_offering_legacyid__4[[#This Row],[PRODUCCION]])</f>
        <v>17085303158</v>
      </c>
      <c r="C1168" s="61" t="s">
        <v>5440</v>
      </c>
      <c r="D1168" t="s">
        <v>848</v>
      </c>
      <c r="E1168" t="s">
        <v>2189</v>
      </c>
      <c r="F1168" s="61"/>
      <c r="H1168" t="str">
        <f>ToJsonArray(supplementary_offering_legacyid__4[[#Headers],[offeringid]:[json]],supplementary_offering_legacyid__4[[#This Row],[offeringid]:[ignore]])</f>
        <v>{"offeringid":"990000588","name":"Plan 1.000 Minutos LDI1","mode":"I"}</v>
      </c>
      <c r="I1168" t="str">
        <f>ToJsonArray(supplementary_offering_legacyid__4[[#This Row],[semilla04]],supplementary_offering_legacyid__4[[#This Row],[json]])</f>
        <v>{"17085303158":{"offeringid":"990000588","name":"Plan 1.000 Minutos LDI1","mode":"I"}}</v>
      </c>
    </row>
    <row r="1169" spans="1:9" x14ac:dyDescent="0.25">
      <c r="A1169" s="60" t="s">
        <v>5441</v>
      </c>
      <c r="B1169" s="60" t="str">
        <f>findKey(supplementary_offering_legacyid__4[[#This Row],[PRODUCCION]])</f>
        <v>17085301238</v>
      </c>
      <c r="C1169" s="61" t="s">
        <v>5442</v>
      </c>
      <c r="D1169" t="s">
        <v>854</v>
      </c>
      <c r="E1169" t="s">
        <v>2189</v>
      </c>
      <c r="F1169" s="61"/>
      <c r="H1169" t="str">
        <f>ToJsonArray(supplementary_offering_legacyid__4[[#Headers],[offeringid]:[json]],supplementary_offering_legacyid__4[[#This Row],[offeringid]:[ignore]])</f>
        <v>{"offeringid":"990000589","name":"Plan 3.000 Minutos LDI1","mode":"I"}</v>
      </c>
      <c r="I1169" t="str">
        <f>ToJsonArray(supplementary_offering_legacyid__4[[#This Row],[semilla04]],supplementary_offering_legacyid__4[[#This Row],[json]])</f>
        <v>{"17085301238":{"offeringid":"990000589","name":"Plan 3.000 Minutos LDI1","mode":"I"}}</v>
      </c>
    </row>
    <row r="1170" spans="1:9" x14ac:dyDescent="0.25">
      <c r="A1170" s="60" t="s">
        <v>5443</v>
      </c>
      <c r="B1170" s="60" t="str">
        <f>findKey(supplementary_offering_legacyid__4[[#This Row],[PRODUCCION]])</f>
        <v>17085301518</v>
      </c>
      <c r="C1170" s="61" t="s">
        <v>5444</v>
      </c>
      <c r="D1170" t="s">
        <v>862</v>
      </c>
      <c r="E1170" t="s">
        <v>2189</v>
      </c>
      <c r="F1170" s="61"/>
      <c r="H1170" t="str">
        <f>ToJsonArray(supplementary_offering_legacyid__4[[#Headers],[offeringid]:[json]],supplementary_offering_legacyid__4[[#This Row],[offeringid]:[ignore]])</f>
        <v>{"offeringid":"990000590","name":"Plan 6.000 Minutos LDI1","mode":"I"}</v>
      </c>
      <c r="I1170" t="str">
        <f>ToJsonArray(supplementary_offering_legacyid__4[[#This Row],[semilla04]],supplementary_offering_legacyid__4[[#This Row],[json]])</f>
        <v>{"17085301518":{"offeringid":"990000590","name":"Plan 6.000 Minutos LDI1","mode":"I"}}</v>
      </c>
    </row>
    <row r="1171" spans="1:9" x14ac:dyDescent="0.25">
      <c r="A1171" s="60" t="s">
        <v>5445</v>
      </c>
      <c r="B1171" s="60" t="str">
        <f>findKey(supplementary_offering_legacyid__4[[#This Row],[PRODUCCION]])</f>
        <v>17085302646</v>
      </c>
      <c r="C1171" s="61" t="s">
        <v>5446</v>
      </c>
      <c r="D1171" t="s">
        <v>850</v>
      </c>
      <c r="E1171" t="s">
        <v>2189</v>
      </c>
      <c r="F1171" s="61"/>
      <c r="H1171" t="str">
        <f>ToJsonArray(supplementary_offering_legacyid__4[[#Headers],[offeringid]:[json]],supplementary_offering_legacyid__4[[#This Row],[offeringid]:[ignore]])</f>
        <v>{"offeringid":"990000591","name":"Plan 10.000 Minutos LDI1","mode":"I"}</v>
      </c>
      <c r="I1171" t="str">
        <f>ToJsonArray(supplementary_offering_legacyid__4[[#This Row],[semilla04]],supplementary_offering_legacyid__4[[#This Row],[json]])</f>
        <v>{"17085302646":{"offeringid":"990000591","name":"Plan 10.000 Minutos LDI1","mode":"I"}}</v>
      </c>
    </row>
    <row r="1172" spans="1:9" x14ac:dyDescent="0.25">
      <c r="A1172" s="60" t="s">
        <v>5447</v>
      </c>
      <c r="B1172" s="60" t="str">
        <f>findKey(supplementary_offering_legacyid__4[[#This Row],[PRODUCCION]])</f>
        <v>17085304054</v>
      </c>
      <c r="C1172" s="61" t="s">
        <v>5448</v>
      </c>
      <c r="D1172" t="s">
        <v>852</v>
      </c>
      <c r="E1172" t="s">
        <v>2189</v>
      </c>
      <c r="F1172" s="61"/>
      <c r="H1172" t="str">
        <f>ToJsonArray(supplementary_offering_legacyid__4[[#Headers],[offeringid]:[json]],supplementary_offering_legacyid__4[[#This Row],[offeringid]:[ignore]])</f>
        <v>{"offeringid":"990000592","name":"Plan 20.000 Minutos LDI1","mode":"I"}</v>
      </c>
      <c r="I1172" t="str">
        <f>ToJsonArray(supplementary_offering_legacyid__4[[#This Row],[semilla04]],supplementary_offering_legacyid__4[[#This Row],[json]])</f>
        <v>{"17085304054":{"offeringid":"990000592","name":"Plan 20.000 Minutos LDI1","mode":"I"}}</v>
      </c>
    </row>
    <row r="1173" spans="1:9" x14ac:dyDescent="0.25">
      <c r="A1173" s="60" t="s">
        <v>5449</v>
      </c>
      <c r="B1173" s="60" t="str">
        <f>findKey(supplementary_offering_legacyid__4[[#This Row],[PRODUCCION]])</f>
        <v>17085303798</v>
      </c>
      <c r="C1173" s="61" t="s">
        <v>5450</v>
      </c>
      <c r="D1173" t="s">
        <v>856</v>
      </c>
      <c r="E1173" t="s">
        <v>2189</v>
      </c>
      <c r="F1173" s="61"/>
      <c r="H1173" t="str">
        <f>ToJsonArray(supplementary_offering_legacyid__4[[#Headers],[offeringid]:[json]],supplementary_offering_legacyid__4[[#This Row],[offeringid]:[ignore]])</f>
        <v>{"offeringid":"990000593","name":"Plan 30.000 Minutos LDI1","mode":"I"}</v>
      </c>
      <c r="I1173" t="str">
        <f>ToJsonArray(supplementary_offering_legacyid__4[[#This Row],[semilla04]],supplementary_offering_legacyid__4[[#This Row],[json]])</f>
        <v>{"17085303798":{"offeringid":"990000593","name":"Plan 30.000 Minutos LDI1","mode":"I"}}</v>
      </c>
    </row>
    <row r="1174" spans="1:9" x14ac:dyDescent="0.25">
      <c r="A1174" s="60" t="s">
        <v>5451</v>
      </c>
      <c r="B1174" s="60" t="str">
        <f>findKey(supplementary_offering_legacyid__4[[#This Row],[PRODUCCION]])</f>
        <v>17085304334</v>
      </c>
      <c r="C1174" s="61" t="s">
        <v>5452</v>
      </c>
      <c r="D1174" t="s">
        <v>860</v>
      </c>
      <c r="E1174" t="s">
        <v>2189</v>
      </c>
      <c r="F1174" s="61"/>
      <c r="H1174" t="str">
        <f>ToJsonArray(supplementary_offering_legacyid__4[[#Headers],[offeringid]:[json]],supplementary_offering_legacyid__4[[#This Row],[offeringid]:[ignore]])</f>
        <v>{"offeringid":"990000594","name":"Plan 50.000 Minutos LDI1","mode":"I"}</v>
      </c>
      <c r="I1174" t="str">
        <f>ToJsonArray(supplementary_offering_legacyid__4[[#This Row],[semilla04]],supplementary_offering_legacyid__4[[#This Row],[json]])</f>
        <v>{"17085304334":{"offeringid":"990000594","name":"Plan 50.000 Minutos LDI1","mode":"I"}}</v>
      </c>
    </row>
    <row r="1175" spans="1:9" x14ac:dyDescent="0.25">
      <c r="A1175" s="60" t="s">
        <v>5453</v>
      </c>
      <c r="B1175" s="60" t="str">
        <f>findKey(supplementary_offering_legacyid__4[[#This Row],[PRODUCCION]])</f>
        <v>17085302094</v>
      </c>
      <c r="C1175" s="61" t="s">
        <v>5454</v>
      </c>
      <c r="D1175" t="s">
        <v>876</v>
      </c>
      <c r="E1175" t="s">
        <v>2189</v>
      </c>
      <c r="F1175" s="61"/>
      <c r="H1175" t="str">
        <f>ToJsonArray(supplementary_offering_legacyid__4[[#Headers],[offeringid]:[json]],supplementary_offering_legacyid__4[[#This Row],[offeringid]:[ignore]])</f>
        <v>{"offeringid":"990000595","name":"Plan 500 Minutos LDI1 y 2","mode":"I"}</v>
      </c>
      <c r="I1175" t="str">
        <f>ToJsonArray(supplementary_offering_legacyid__4[[#This Row],[semilla04]],supplementary_offering_legacyid__4[[#This Row],[json]])</f>
        <v>{"17085302094":{"offeringid":"990000595","name":"Plan 500 Minutos LDI1 y 2","mode":"I"}}</v>
      </c>
    </row>
    <row r="1176" spans="1:9" x14ac:dyDescent="0.25">
      <c r="A1176" s="60" t="s">
        <v>5455</v>
      </c>
      <c r="B1176" s="60" t="str">
        <f>findKey(supplementary_offering_legacyid__4[[#This Row],[PRODUCCION]])</f>
        <v>17085302926</v>
      </c>
      <c r="C1176" s="61" t="s">
        <v>5456</v>
      </c>
      <c r="D1176" t="s">
        <v>864</v>
      </c>
      <c r="E1176" t="s">
        <v>2189</v>
      </c>
      <c r="F1176" s="61"/>
      <c r="H1176" t="str">
        <f>ToJsonArray(supplementary_offering_legacyid__4[[#Headers],[offeringid]:[json]],supplementary_offering_legacyid__4[[#This Row],[offeringid]:[ignore]])</f>
        <v>{"offeringid":"990000596","name":"Plan 1.000 Minutos LDI1 y 2","mode":"I"}</v>
      </c>
      <c r="I1176" t="str">
        <f>ToJsonArray(supplementary_offering_legacyid__4[[#This Row],[semilla04]],supplementary_offering_legacyid__4[[#This Row],[json]])</f>
        <v>{"17085302926":{"offeringid":"990000596","name":"Plan 1.000 Minutos LDI1 y 2","mode":"I"}}</v>
      </c>
    </row>
    <row r="1177" spans="1:9" x14ac:dyDescent="0.25">
      <c r="A1177" s="60" t="s">
        <v>5457</v>
      </c>
      <c r="B1177" s="60" t="str">
        <f>findKey(supplementary_offering_legacyid__4[[#This Row],[PRODUCCION]])</f>
        <v>17085300814</v>
      </c>
      <c r="C1177" s="61" t="s">
        <v>5458</v>
      </c>
      <c r="D1177" t="s">
        <v>870</v>
      </c>
      <c r="E1177" t="s">
        <v>2189</v>
      </c>
      <c r="F1177" s="61"/>
      <c r="H1177" t="str">
        <f>ToJsonArray(supplementary_offering_legacyid__4[[#Headers],[offeringid]:[json]],supplementary_offering_legacyid__4[[#This Row],[offeringid]:[ignore]])</f>
        <v>{"offeringid":"990000597","name":"Plan 3.000 Minutos LDI1 y 2","mode":"I"}</v>
      </c>
      <c r="I1177" t="str">
        <f>ToJsonArray(supplementary_offering_legacyid__4[[#This Row],[semilla04]],supplementary_offering_legacyid__4[[#This Row],[json]])</f>
        <v>{"17085300814":{"offeringid":"990000597","name":"Plan 3.000 Minutos LDI1 y 2","mode":"I"}}</v>
      </c>
    </row>
    <row r="1178" spans="1:9" x14ac:dyDescent="0.25">
      <c r="A1178" s="60" t="s">
        <v>5459</v>
      </c>
      <c r="B1178" s="60" t="str">
        <f>findKey(supplementary_offering_legacyid__4[[#This Row],[PRODUCCION]])</f>
        <v>17085301454</v>
      </c>
      <c r="C1178" s="61" t="s">
        <v>5460</v>
      </c>
      <c r="D1178" t="s">
        <v>878</v>
      </c>
      <c r="E1178" t="s">
        <v>2189</v>
      </c>
      <c r="F1178" s="61"/>
      <c r="H1178" t="str">
        <f>ToJsonArray(supplementary_offering_legacyid__4[[#Headers],[offeringid]:[json]],supplementary_offering_legacyid__4[[#This Row],[offeringid]:[ignore]])</f>
        <v>{"offeringid":"990000598","name":"Plan 6.000 Minutos LDI1 y 2","mode":"I"}</v>
      </c>
      <c r="I1178" t="str">
        <f>ToJsonArray(supplementary_offering_legacyid__4[[#This Row],[semilla04]],supplementary_offering_legacyid__4[[#This Row],[json]])</f>
        <v>{"17085301454":{"offeringid":"990000598","name":"Plan 6.000 Minutos LDI1 y 2","mode":"I"}}</v>
      </c>
    </row>
    <row r="1179" spans="1:9" x14ac:dyDescent="0.25">
      <c r="A1179" s="60" t="s">
        <v>5461</v>
      </c>
      <c r="B1179" s="60" t="str">
        <f>findKey(supplementary_offering_legacyid__4[[#This Row],[PRODUCCION]])</f>
        <v>17085302414</v>
      </c>
      <c r="C1179" s="61" t="s">
        <v>5462</v>
      </c>
      <c r="D1179" t="s">
        <v>866</v>
      </c>
      <c r="E1179" t="s">
        <v>2189</v>
      </c>
      <c r="F1179" s="61"/>
      <c r="H1179" t="str">
        <f>ToJsonArray(supplementary_offering_legacyid__4[[#Headers],[offeringid]:[json]],supplementary_offering_legacyid__4[[#This Row],[offeringid]:[ignore]])</f>
        <v>{"offeringid":"990000599","name":"Plan 10.000 Minutos LDI1 y 2","mode":"I"}</v>
      </c>
      <c r="I1179" t="str">
        <f>ToJsonArray(supplementary_offering_legacyid__4[[#This Row],[semilla04]],supplementary_offering_legacyid__4[[#This Row],[json]])</f>
        <v>{"17085302414":{"offeringid":"990000599","name":"Plan 10.000 Minutos LDI1 y 2","mode":"I"}}</v>
      </c>
    </row>
    <row r="1180" spans="1:9" x14ac:dyDescent="0.25">
      <c r="A1180" s="60" t="s">
        <v>5463</v>
      </c>
      <c r="B1180" s="60" t="str">
        <f>findKey(supplementary_offering_legacyid__4[[#This Row],[PRODUCCION]])</f>
        <v>17085304206</v>
      </c>
      <c r="C1180" s="61" t="s">
        <v>5464</v>
      </c>
      <c r="D1180" t="s">
        <v>868</v>
      </c>
      <c r="E1180" t="s">
        <v>2189</v>
      </c>
      <c r="F1180" s="61"/>
      <c r="H1180" t="str">
        <f>ToJsonArray(supplementary_offering_legacyid__4[[#Headers],[offeringid]:[json]],supplementary_offering_legacyid__4[[#This Row],[offeringid]:[ignore]])</f>
        <v>{"offeringid":"990000600","name":"Plan 20.000 Minutos LDI1 y 2","mode":"I"}</v>
      </c>
      <c r="I1180" t="str">
        <f>ToJsonArray(supplementary_offering_legacyid__4[[#This Row],[semilla04]],supplementary_offering_legacyid__4[[#This Row],[json]])</f>
        <v>{"17085304206":{"offeringid":"990000600","name":"Plan 20.000 Minutos LDI1 y 2","mode":"I"}}</v>
      </c>
    </row>
    <row r="1181" spans="1:9" x14ac:dyDescent="0.25">
      <c r="A1181" s="60" t="s">
        <v>5465</v>
      </c>
      <c r="B1181" s="60" t="str">
        <f>findKey(supplementary_offering_legacyid__4[[#This Row],[PRODUCCION]])</f>
        <v>17085303374</v>
      </c>
      <c r="C1181" s="61" t="s">
        <v>5466</v>
      </c>
      <c r="D1181" t="s">
        <v>872</v>
      </c>
      <c r="E1181" t="s">
        <v>2189</v>
      </c>
      <c r="F1181" s="61"/>
      <c r="H1181" t="str">
        <f>ToJsonArray(supplementary_offering_legacyid__4[[#Headers],[offeringid]:[json]],supplementary_offering_legacyid__4[[#This Row],[offeringid]:[ignore]])</f>
        <v>{"offeringid":"990000601","name":"Plan 30.000 Minutos LDI1 y 2","mode":"I"}</v>
      </c>
      <c r="I1181" t="str">
        <f>ToJsonArray(supplementary_offering_legacyid__4[[#This Row],[semilla04]],supplementary_offering_legacyid__4[[#This Row],[json]])</f>
        <v>{"17085303374":{"offeringid":"990000601","name":"Plan 30.000 Minutos LDI1 y 2","mode":"I"}}</v>
      </c>
    </row>
    <row r="1182" spans="1:9" x14ac:dyDescent="0.25">
      <c r="A1182" s="60" t="s">
        <v>5467</v>
      </c>
      <c r="B1182" s="60" t="str">
        <f>findKey(supplementary_offering_legacyid__4[[#This Row],[PRODUCCION]])</f>
        <v>17085304654</v>
      </c>
      <c r="C1182" s="61" t="s">
        <v>5468</v>
      </c>
      <c r="D1182" t="s">
        <v>874</v>
      </c>
      <c r="E1182" t="s">
        <v>2189</v>
      </c>
      <c r="F1182" s="61"/>
      <c r="H1182" t="str">
        <f>ToJsonArray(supplementary_offering_legacyid__4[[#Headers],[offeringid]:[json]],supplementary_offering_legacyid__4[[#This Row],[offeringid]:[ignore]])</f>
        <v>{"offeringid":"990000602","name":"Plan 50.000 Minutos LDI1 y 2","mode":"I"}</v>
      </c>
      <c r="I1182" t="str">
        <f>ToJsonArray(supplementary_offering_legacyid__4[[#This Row],[semilla04]],supplementary_offering_legacyid__4[[#This Row],[json]])</f>
        <v>{"17085304654":{"offeringid":"990000602","name":"Plan 50.000 Minutos LDI1 y 2","mode":"I"}}</v>
      </c>
    </row>
    <row r="1183" spans="1:9" x14ac:dyDescent="0.25">
      <c r="A1183" s="60" t="s">
        <v>5469</v>
      </c>
      <c r="B1183" s="60" t="str">
        <f>findKey(supplementary_offering_legacyid__4[[#This Row],[PRODUCCION]])</f>
        <v>17085301278</v>
      </c>
      <c r="C1183" s="61" t="s">
        <v>5470</v>
      </c>
      <c r="D1183" t="s">
        <v>910</v>
      </c>
      <c r="E1183" t="s">
        <v>2189</v>
      </c>
      <c r="F1183" s="61"/>
      <c r="H1183" t="str">
        <f>ToJsonArray(supplementary_offering_legacyid__4[[#Headers],[offeringid]:[json]],supplementary_offering_legacyid__4[[#This Row],[offeringid]:[ignore]])</f>
        <v>{"offeringid":"990000603","name":"Plan 10.000 Minutos CUG","mode":"I"}</v>
      </c>
      <c r="I1183" t="str">
        <f>ToJsonArray(supplementary_offering_legacyid__4[[#This Row],[semilla04]],supplementary_offering_legacyid__4[[#This Row],[json]])</f>
        <v>{"17085301278":{"offeringid":"990000603","name":"Plan 10.000 Minutos CUG","mode":"I"}}</v>
      </c>
    </row>
    <row r="1184" spans="1:9" x14ac:dyDescent="0.25">
      <c r="A1184" s="60" t="s">
        <v>5471</v>
      </c>
      <c r="B1184" s="60" t="str">
        <f>findKey(supplementary_offering_legacyid__4[[#This Row],[PRODUCCION]])</f>
        <v>17085303070</v>
      </c>
      <c r="C1184" s="61" t="s">
        <v>5472</v>
      </c>
      <c r="D1184" t="s">
        <v>912</v>
      </c>
      <c r="E1184" t="s">
        <v>2189</v>
      </c>
      <c r="F1184" s="61"/>
      <c r="H1184" t="str">
        <f>ToJsonArray(supplementary_offering_legacyid__4[[#Headers],[offeringid]:[json]],supplementary_offering_legacyid__4[[#This Row],[offeringid]:[ignore]])</f>
        <v>{"offeringid":"990000605","name":"Plan 100.000 Minutos CUG","mode":"I"}</v>
      </c>
      <c r="I1184" t="str">
        <f>ToJsonArray(supplementary_offering_legacyid__4[[#This Row],[semilla04]],supplementary_offering_legacyid__4[[#This Row],[json]])</f>
        <v>{"17085303070":{"offeringid":"990000605","name":"Plan 100.000 Minutos CUG","mode":"I"}}</v>
      </c>
    </row>
    <row r="1185" spans="1:9" x14ac:dyDescent="0.25">
      <c r="A1185" s="60" t="s">
        <v>5473</v>
      </c>
      <c r="B1185" s="60" t="str">
        <f>findKey(supplementary_offering_legacyid__4[[#This Row],[PRODUCCION]])</f>
        <v>17085304734</v>
      </c>
      <c r="C1185" s="61" t="s">
        <v>5474</v>
      </c>
      <c r="D1185" t="s">
        <v>916</v>
      </c>
      <c r="E1185" t="s">
        <v>2189</v>
      </c>
      <c r="F1185" s="61"/>
      <c r="H1185" t="str">
        <f>ToJsonArray(supplementary_offering_legacyid__4[[#Headers],[offeringid]:[json]],supplementary_offering_legacyid__4[[#This Row],[offeringid]:[ignore]])</f>
        <v>{"offeringid":"990000606","name":"Numeracion Movil Adicional","mode":"I"}</v>
      </c>
      <c r="I1185" t="str">
        <f>ToJsonArray(supplementary_offering_legacyid__4[[#This Row],[semilla04]],supplementary_offering_legacyid__4[[#This Row],[json]])</f>
        <v>{"17085304734":{"offeringid":"990000606","name":"Numeracion Movil Adicional","mode":"I"}}</v>
      </c>
    </row>
    <row r="1186" spans="1:9" x14ac:dyDescent="0.25">
      <c r="A1186" s="60" t="s">
        <v>5475</v>
      </c>
      <c r="B1186" s="60" t="str">
        <f>findKey(supplementary_offering_legacyid__4[[#This Row],[PRODUCCION]])</f>
        <v>17085383980</v>
      </c>
      <c r="C1186" s="61" t="s">
        <v>5476</v>
      </c>
      <c r="D1186" t="s">
        <v>915</v>
      </c>
      <c r="E1186" t="s">
        <v>2189</v>
      </c>
      <c r="F1186" s="61"/>
      <c r="H1186" t="str">
        <f>ToJsonArray(supplementary_offering_legacyid__4[[#Headers],[offeringid]:[json]],supplementary_offering_legacyid__4[[#This Row],[offeringid]:[ignore]])</f>
        <v>{"offeringid":"990000607","name":"Acceso adicional - simultaneidad","mode":"I"}</v>
      </c>
      <c r="I1186" t="str">
        <f>ToJsonArray(supplementary_offering_legacyid__4[[#This Row],[semilla04]],supplementary_offering_legacyid__4[[#This Row],[json]])</f>
        <v>{"17085383980":{"offeringid":"990000607","name":"Acceso adicional - simultaneidad","mode":"I"}}</v>
      </c>
    </row>
    <row r="1187" spans="1:9" x14ac:dyDescent="0.25">
      <c r="A1187" s="60" t="s">
        <v>5477</v>
      </c>
      <c r="B1187" s="60" t="str">
        <f>findKey(supplementary_offering_legacyid__4[[#This Row],[PRODUCCION]])</f>
        <v>17085302390</v>
      </c>
      <c r="C1187" s="61" t="s">
        <v>5478</v>
      </c>
      <c r="D1187" t="s">
        <v>846</v>
      </c>
      <c r="E1187" t="s">
        <v>2189</v>
      </c>
      <c r="F1187" s="61"/>
      <c r="H1187" t="str">
        <f>ToJsonArray(supplementary_offering_legacyid__4[[#Headers],[offeringid]:[json]],supplementary_offering_legacyid__4[[#This Row],[offeringid]:[ignore]])</f>
        <v>{"offeringid":"990000608","name":"Arriendo Equipo SBC","mode":"I"}</v>
      </c>
      <c r="I1187" t="str">
        <f>ToJsonArray(supplementary_offering_legacyid__4[[#This Row],[semilla04]],supplementary_offering_legacyid__4[[#This Row],[json]])</f>
        <v>{"17085302390":{"offeringid":"990000608","name":"Arriendo Equipo SBC","mode":"I"}}</v>
      </c>
    </row>
    <row r="1188" spans="1:9" x14ac:dyDescent="0.25">
      <c r="A1188" s="60" t="s">
        <v>5479</v>
      </c>
      <c r="B1188" s="60" t="str">
        <f>findKey(supplementary_offering_legacyid__4[[#This Row],[PRODUCCION]])</f>
        <v>17085301854</v>
      </c>
      <c r="C1188" s="61" t="s">
        <v>5480</v>
      </c>
      <c r="D1188" t="s">
        <v>917</v>
      </c>
      <c r="E1188" t="s">
        <v>2189</v>
      </c>
      <c r="F1188" s="61"/>
      <c r="H1188" t="str">
        <f>ToJsonArray(supplementary_offering_legacyid__4[[#Headers],[offeringid]:[json]],supplementary_offering_legacyid__4[[#This Row],[offeringid]:[ignore]])</f>
        <v>{"offeringid":"990000609","name":"Numero Movil Incluido","mode":"I"}</v>
      </c>
      <c r="I1188" t="str">
        <f>ToJsonArray(supplementary_offering_legacyid__4[[#This Row],[semilla04]],supplementary_offering_legacyid__4[[#This Row],[json]])</f>
        <v>{"17085301854":{"offeringid":"990000609","name":"Numero Movil Incluido","mode":"I"}}</v>
      </c>
    </row>
    <row r="1189" spans="1:9" x14ac:dyDescent="0.25">
      <c r="A1189" s="60" t="s">
        <v>5481</v>
      </c>
      <c r="B1189" s="60" t="str">
        <f>findKey(supplementary_offering_legacyid__4[[#This Row],[PRODUCCION]])</f>
        <v>17085303926</v>
      </c>
      <c r="C1189" s="61" t="s">
        <v>5482</v>
      </c>
      <c r="D1189" t="s">
        <v>218</v>
      </c>
      <c r="E1189" t="s">
        <v>2189</v>
      </c>
      <c r="F1189" s="61"/>
      <c r="H1189" t="str">
        <f>ToJsonArray(supplementary_offering_legacyid__4[[#Headers],[offeringid]:[json]],supplementary_offering_legacyid__4[[#This Row],[offeringid]:[ignore]])</f>
        <v>{"offeringid":"990000611","name":"3 Accesos Incluidos - simultaneidad","mode":"I"}</v>
      </c>
      <c r="I1189" t="str">
        <f>ToJsonArray(supplementary_offering_legacyid__4[[#This Row],[semilla04]],supplementary_offering_legacyid__4[[#This Row],[json]])</f>
        <v>{"17085303926":{"offeringid":"990000611","name":"3 Accesos Incluidos - simultaneidad","mode":"I"}}</v>
      </c>
    </row>
    <row r="1190" spans="1:9" x14ac:dyDescent="0.25">
      <c r="A1190" s="60" t="s">
        <v>5483</v>
      </c>
      <c r="B1190" s="60" t="str">
        <f>findKey(supplementary_offering_legacyid__4[[#This Row],[PRODUCCION]])</f>
        <v>17083122771</v>
      </c>
      <c r="C1190" s="61" t="s">
        <v>5484</v>
      </c>
      <c r="D1190" t="s">
        <v>767</v>
      </c>
      <c r="E1190" t="s">
        <v>2189</v>
      </c>
      <c r="F1190" s="61"/>
      <c r="H1190" t="str">
        <f>ToJsonArray(supplementary_offering_legacyid__4[[#Headers],[offeringid]:[json]],supplementary_offering_legacyid__4[[#This Row],[offeringid]:[ignore]])</f>
        <v>{"offeringid":"990000620","name":"Plan Datos Control 500 MB Corporativo vol 500","mode":"I"}</v>
      </c>
      <c r="I1190" t="str">
        <f>ToJsonArray(supplementary_offering_legacyid__4[[#This Row],[semilla04]],supplementary_offering_legacyid__4[[#This Row],[json]])</f>
        <v>{"17083122771":{"offeringid":"990000620","name":"Plan Datos Control 500 MB Corporativo vol 500","mode":"I"}}</v>
      </c>
    </row>
    <row r="1191" spans="1:9" x14ac:dyDescent="0.25">
      <c r="A1191" s="60" t="s">
        <v>5485</v>
      </c>
      <c r="B1191" s="60" t="str">
        <f>findKey(supplementary_offering_legacyid__4[[#This Row],[PRODUCCION]])</f>
        <v>19372908103</v>
      </c>
      <c r="C1191" s="61" t="s">
        <v>5486</v>
      </c>
      <c r="D1191" t="s">
        <v>319</v>
      </c>
      <c r="E1191" t="s">
        <v>2189</v>
      </c>
      <c r="F1191" s="61"/>
      <c r="H1191" t="str">
        <f>ToJsonArray(supplementary_offering_legacyid__4[[#Headers],[offeringid]:[json]],supplementary_offering_legacyid__4[[#This Row],[offeringid]:[ignore]])</f>
        <v>{"offeringid":"990000621","name":"Paquete Control Ilimitado Corporativo 3GB","mode":"I"}</v>
      </c>
      <c r="I1191" t="str">
        <f>ToJsonArray(supplementary_offering_legacyid__4[[#This Row],[semilla04]],supplementary_offering_legacyid__4[[#This Row],[json]])</f>
        <v>{"19372908103":{"offeringid":"990000621","name":"Paquete Control Ilimitado Corporativo 3GB","mode":"I"}}</v>
      </c>
    </row>
    <row r="1192" spans="1:9" x14ac:dyDescent="0.25">
      <c r="A1192" s="60" t="s">
        <v>5487</v>
      </c>
      <c r="B1192" s="60" t="str">
        <f>findKey(supplementary_offering_legacyid__4[[#This Row],[PRODUCCION]])</f>
        <v>19372905799</v>
      </c>
      <c r="C1192" s="61" t="s">
        <v>5488</v>
      </c>
      <c r="D1192" t="s">
        <v>318</v>
      </c>
      <c r="E1192" t="s">
        <v>2189</v>
      </c>
      <c r="F1192" s="61"/>
      <c r="H1192" t="str">
        <f>ToJsonArray(supplementary_offering_legacyid__4[[#Headers],[offeringid]:[json]],supplementary_offering_legacyid__4[[#This Row],[offeringid]:[ignore]])</f>
        <v>{"offeringid":"990000622","name":"Paquete Control Ilimitado Corporativo 500MB","mode":"I"}</v>
      </c>
      <c r="I1192" t="str">
        <f>ToJsonArray(supplementary_offering_legacyid__4[[#This Row],[semilla04]],supplementary_offering_legacyid__4[[#This Row],[json]])</f>
        <v>{"19372905799":{"offeringid":"990000622","name":"Paquete Control Ilimitado Corporativo 500MB","mode":"I"}}</v>
      </c>
    </row>
    <row r="1193" spans="1:9" x14ac:dyDescent="0.25">
      <c r="A1193" s="60" t="s">
        <v>5489</v>
      </c>
      <c r="B1193" s="60" t="str">
        <f>findKey(supplementary_offering_legacyid__4[[#This Row],[PRODUCCION]])</f>
        <v>17083125333</v>
      </c>
      <c r="C1193" s="61" t="s">
        <v>5490</v>
      </c>
      <c r="D1193" t="s">
        <v>1757</v>
      </c>
      <c r="E1193" t="s">
        <v>2189</v>
      </c>
      <c r="F1193" s="61"/>
      <c r="H1193" t="str">
        <f>ToJsonArray(supplementary_offering_legacyid__4[[#Headers],[offeringid]:[json]],supplementary_offering_legacyid__4[[#This Row],[offeringid]:[ignore]])</f>
        <v>{"offeringid":"990000631","name":"Plan Datos Internet Movil Tigo ilimitado Total Control","mode":"I"}</v>
      </c>
      <c r="I1193" t="str">
        <f>ToJsonArray(supplementary_offering_legacyid__4[[#This Row],[semilla04]],supplementary_offering_legacyid__4[[#This Row],[json]])</f>
        <v>{"17083125333":{"offeringid":"990000631","name":"Plan Datos Internet Movil Tigo ilimitado Total Control","mode":"I"}}</v>
      </c>
    </row>
    <row r="1194" spans="1:9" x14ac:dyDescent="0.25">
      <c r="A1194" s="60" t="s">
        <v>5491</v>
      </c>
      <c r="B1194" s="60" t="str">
        <f>findKey(supplementary_offering_legacyid__4[[#This Row],[PRODUCCION]])</f>
        <v>17101189636</v>
      </c>
      <c r="C1194" s="61" t="s">
        <v>5492</v>
      </c>
      <c r="D1194" t="s">
        <v>1999</v>
      </c>
      <c r="E1194" t="s">
        <v>2189</v>
      </c>
      <c r="F1194" s="61"/>
      <c r="H1194" t="str">
        <f>ToJsonArray(supplementary_offering_legacyid__4[[#Headers],[offeringid]:[json]],supplementary_offering_legacyid__4[[#This Row],[offeringid]:[ignore]])</f>
        <v>{"offeringid":"990000633","name":"Paquete de datos Internet Total limitado control Mes 10GB","mode":"I"}</v>
      </c>
      <c r="I1194" t="str">
        <f>ToJsonArray(supplementary_offering_legacyid__4[[#This Row],[semilla04]],supplementary_offering_legacyid__4[[#This Row],[json]])</f>
        <v>{"17101189636":{"offeringid":"990000633","name":"Paquete de datos Internet Total limitado control Mes 10GB","mode":"I"}}</v>
      </c>
    </row>
    <row r="1195" spans="1:9" x14ac:dyDescent="0.25">
      <c r="A1195" s="60" t="s">
        <v>5493</v>
      </c>
      <c r="B1195" s="60" t="str">
        <f>findKey(supplementary_offering_legacyid__4[[#This Row],[PRODUCCION]])</f>
        <v>17101190404</v>
      </c>
      <c r="C1195" s="61" t="s">
        <v>5494</v>
      </c>
      <c r="D1195" t="s">
        <v>2001</v>
      </c>
      <c r="E1195" t="s">
        <v>2189</v>
      </c>
      <c r="F1195" s="61"/>
      <c r="H1195" t="str">
        <f>ToJsonArray(supplementary_offering_legacyid__4[[#Headers],[offeringid]:[json]],supplementary_offering_legacyid__4[[#This Row],[offeringid]:[ignore]])</f>
        <v>{"offeringid":"990000634","name":"Paquete de datos Internet Total limitado control Mes 20GB","mode":"I"}</v>
      </c>
      <c r="I1195" t="str">
        <f>ToJsonArray(supplementary_offering_legacyid__4[[#This Row],[semilla04]],supplementary_offering_legacyid__4[[#This Row],[json]])</f>
        <v>{"17101190404":{"offeringid":"990000634","name":"Paquete de datos Internet Total limitado control Mes 20GB","mode":"I"}}</v>
      </c>
    </row>
    <row r="1196" spans="1:9" x14ac:dyDescent="0.25">
      <c r="A1196" s="60" t="s">
        <v>5495</v>
      </c>
      <c r="B1196" s="60" t="str">
        <f>findKey(supplementary_offering_legacyid__4[[#This Row],[PRODUCCION]])</f>
        <v>17101192708</v>
      </c>
      <c r="C1196" s="61" t="s">
        <v>5496</v>
      </c>
      <c r="D1196" t="s">
        <v>2000</v>
      </c>
      <c r="E1196" t="s">
        <v>2189</v>
      </c>
      <c r="F1196" s="61"/>
      <c r="H1196" t="str">
        <f>ToJsonArray(supplementary_offering_legacyid__4[[#Headers],[offeringid]:[json]],supplementary_offering_legacyid__4[[#This Row],[offeringid]:[ignore]])</f>
        <v>{"offeringid":"990000635","name":"Paquete de datos Internet Total limitado control Mes 15GB","mode":"I"}</v>
      </c>
      <c r="I1196" t="str">
        <f>ToJsonArray(supplementary_offering_legacyid__4[[#This Row],[semilla04]],supplementary_offering_legacyid__4[[#This Row],[json]])</f>
        <v>{"17101192708":{"offeringid":"990000635","name":"Paquete de datos Internet Total limitado control Mes 15GB","mode":"I"}}</v>
      </c>
    </row>
    <row r="1197" spans="1:9" x14ac:dyDescent="0.25">
      <c r="A1197" s="60" t="s">
        <v>5497</v>
      </c>
      <c r="B1197" s="60" t="str">
        <f>findKey(supplementary_offering_legacyid__4[[#This Row],[PRODUCCION]])</f>
        <v>17084589532</v>
      </c>
      <c r="C1197" s="61" t="s">
        <v>5498</v>
      </c>
      <c r="D1197" t="s">
        <v>608</v>
      </c>
      <c r="E1197" t="s">
        <v>2189</v>
      </c>
      <c r="F1197" s="61"/>
      <c r="H1197" t="str">
        <f>ToJsonArray(supplementary_offering_legacyid__4[[#Headers],[offeringid]:[json]],supplementary_offering_legacyid__4[[#This Row],[offeringid]:[ignore]])</f>
        <v>{"offeringid":"990000636","name":"Paquete Internet limitado control Mes Vencido 20GB","mode":"I"}</v>
      </c>
      <c r="I1197" t="str">
        <f>ToJsonArray(supplementary_offering_legacyid__4[[#This Row],[semilla04]],supplementary_offering_legacyid__4[[#This Row],[json]])</f>
        <v>{"17084589532":{"offeringid":"990000636","name":"Paquete Internet limitado control Mes Vencido 20GB","mode":"I"}}</v>
      </c>
    </row>
    <row r="1198" spans="1:9" x14ac:dyDescent="0.25">
      <c r="A1198" s="60" t="s">
        <v>5499</v>
      </c>
      <c r="B1198" s="60" t="str">
        <f>findKey(supplementary_offering_legacyid__4[[#This Row],[PRODUCCION]])</f>
        <v>17084589548</v>
      </c>
      <c r="C1198" s="61" t="s">
        <v>5500</v>
      </c>
      <c r="D1198" t="s">
        <v>488</v>
      </c>
      <c r="E1198" t="s">
        <v>2189</v>
      </c>
      <c r="F1198" s="61"/>
      <c r="H1198" t="str">
        <f>ToJsonArray(supplementary_offering_legacyid__4[[#Headers],[offeringid]:[json]],supplementary_offering_legacyid__4[[#This Row],[offeringid]:[ignore]])</f>
        <v>{"offeringid":"990000637","name":"Paquete Datos Mes Corriente 500 MB con Corte Control","mode":"I"}</v>
      </c>
      <c r="I1198" t="str">
        <f>ToJsonArray(supplementary_offering_legacyid__4[[#This Row],[semilla04]],supplementary_offering_legacyid__4[[#This Row],[json]])</f>
        <v>{"17084589548":{"offeringid":"990000637","name":"Paquete Datos Mes Corriente 500 MB con Corte Control","mode":"I"}}</v>
      </c>
    </row>
    <row r="1199" spans="1:9" x14ac:dyDescent="0.25">
      <c r="A1199" s="60" t="s">
        <v>5501</v>
      </c>
      <c r="B1199" s="60" t="str">
        <f>findKey(supplementary_offering_legacyid__4[[#This Row],[PRODUCCION]])</f>
        <v>17084589084</v>
      </c>
      <c r="C1199" s="61" t="s">
        <v>5502</v>
      </c>
      <c r="D1199" t="s">
        <v>602</v>
      </c>
      <c r="E1199" t="s">
        <v>2189</v>
      </c>
      <c r="F1199" s="61"/>
      <c r="H1199" t="str">
        <f>ToJsonArray(supplementary_offering_legacyid__4[[#Headers],[offeringid]:[json]],supplementary_offering_legacyid__4[[#This Row],[offeringid]:[ignore]])</f>
        <v>{"offeringid":"990000638","name":"Paquete Datos Mes Vencido 2 GB con Corte Control","mode":"I"}</v>
      </c>
      <c r="I1199" t="str">
        <f>ToJsonArray(supplementary_offering_legacyid__4[[#This Row],[semilla04]],supplementary_offering_legacyid__4[[#This Row],[json]])</f>
        <v>{"17084589084":{"offeringid":"990000638","name":"Paquete Datos Mes Vencido 2 GB con Corte Control","mode":"I"}}</v>
      </c>
    </row>
    <row r="1200" spans="1:9" x14ac:dyDescent="0.25">
      <c r="A1200" s="60" t="s">
        <v>5503</v>
      </c>
      <c r="B1200" s="60" t="str">
        <f>findKey(supplementary_offering_legacyid__4[[#This Row],[PRODUCCION]])</f>
        <v>17084589122</v>
      </c>
      <c r="C1200" s="61" t="s">
        <v>5504</v>
      </c>
      <c r="D1200" t="s">
        <v>495</v>
      </c>
      <c r="E1200" t="s">
        <v>2189</v>
      </c>
      <c r="F1200" s="61"/>
      <c r="H1200" t="str">
        <f>ToJsonArray(supplementary_offering_legacyid__4[[#Headers],[offeringid]:[json]],supplementary_offering_legacyid__4[[#This Row],[offeringid]:[ignore]])</f>
        <v>{"offeringid":"990000639","name":"Paquete Internet limitado control Mes Corriente 15GB","mode":"I"}</v>
      </c>
      <c r="I1200" t="str">
        <f>ToJsonArray(supplementary_offering_legacyid__4[[#This Row],[semilla04]],supplementary_offering_legacyid__4[[#This Row],[json]])</f>
        <v>{"17084589122":{"offeringid":"990000639","name":"Paquete Internet limitado control Mes Corriente 15GB","mode":"I"}}</v>
      </c>
    </row>
    <row r="1201" spans="1:9" x14ac:dyDescent="0.25">
      <c r="A1201" s="60" t="s">
        <v>5505</v>
      </c>
      <c r="B1201" s="60" t="str">
        <f>findKey(supplementary_offering_legacyid__4[[#This Row],[PRODUCCION]])</f>
        <v>17084589740</v>
      </c>
      <c r="C1201" s="61" t="s">
        <v>5506</v>
      </c>
      <c r="D1201" t="s">
        <v>479</v>
      </c>
      <c r="E1201" t="s">
        <v>2189</v>
      </c>
      <c r="F1201" s="61"/>
      <c r="H1201" t="str">
        <f>ToJsonArray(supplementary_offering_legacyid__4[[#Headers],[offeringid]:[json]],supplementary_offering_legacyid__4[[#This Row],[offeringid]:[ignore]])</f>
        <v>{"offeringid":"990000640","name":"Paquete Datos Mes  Anticipado 3 GB con Corte Control","mode":"I"}</v>
      </c>
      <c r="I1201" t="str">
        <f>ToJsonArray(supplementary_offering_legacyid__4[[#This Row],[semilla04]],supplementary_offering_legacyid__4[[#This Row],[json]])</f>
        <v>{"17084589740":{"offeringid":"990000640","name":"Paquete Datos Mes  Anticipado 3 GB con Corte Control","mode":"I"}}</v>
      </c>
    </row>
    <row r="1202" spans="1:9" x14ac:dyDescent="0.25">
      <c r="A1202" s="60" t="s">
        <v>5507</v>
      </c>
      <c r="B1202" s="60" t="str">
        <f>findKey(supplementary_offering_legacyid__4[[#This Row],[PRODUCCION]])</f>
        <v>17084589698</v>
      </c>
      <c r="C1202" s="61" t="s">
        <v>5508</v>
      </c>
      <c r="D1202" t="s">
        <v>482</v>
      </c>
      <c r="E1202" t="s">
        <v>2189</v>
      </c>
      <c r="F1202" s="61"/>
      <c r="H1202" t="str">
        <f>ToJsonArray(supplementary_offering_legacyid__4[[#Headers],[offeringid]:[json]],supplementary_offering_legacyid__4[[#This Row],[offeringid]:[ignore]])</f>
        <v>{"offeringid":"990000641","name":"Paquete Internet limitado control Mes Anticipado 10GB","mode":"I"}</v>
      </c>
      <c r="I1202" t="str">
        <f>ToJsonArray(supplementary_offering_legacyid__4[[#This Row],[semilla04]],supplementary_offering_legacyid__4[[#This Row],[json]])</f>
        <v>{"17084589698":{"offeringid":"990000641","name":"Paquete Internet limitado control Mes Anticipado 10GB","mode":"I"}}</v>
      </c>
    </row>
    <row r="1203" spans="1:9" x14ac:dyDescent="0.25">
      <c r="A1203" s="60" t="s">
        <v>5509</v>
      </c>
      <c r="B1203" s="60" t="str">
        <f>findKey(supplementary_offering_legacyid__4[[#This Row],[PRODUCCION]])</f>
        <v>17084588972</v>
      </c>
      <c r="C1203" s="61" t="s">
        <v>5510</v>
      </c>
      <c r="D1203" t="s">
        <v>477</v>
      </c>
      <c r="E1203" t="s">
        <v>2189</v>
      </c>
      <c r="F1203" s="61"/>
      <c r="H1203" t="str">
        <f>ToJsonArray(supplementary_offering_legacyid__4[[#Headers],[offeringid]:[json]],supplementary_offering_legacyid__4[[#This Row],[offeringid]:[ignore]])</f>
        <v>{"offeringid":"990000642","name":"Paquete Datos Mes  Anticipado 1 GB con Corte Control","mode":"I"}</v>
      </c>
      <c r="I1203" t="str">
        <f>ToJsonArray(supplementary_offering_legacyid__4[[#This Row],[semilla04]],supplementary_offering_legacyid__4[[#This Row],[json]])</f>
        <v>{"17084588972":{"offeringid":"990000642","name":"Paquete Datos Mes  Anticipado 1 GB con Corte Control","mode":"I"}}</v>
      </c>
    </row>
    <row r="1204" spans="1:9" x14ac:dyDescent="0.25">
      <c r="A1204" s="60" t="s">
        <v>5511</v>
      </c>
      <c r="B1204" s="60" t="str">
        <f>findKey(supplementary_offering_legacyid__4[[#This Row],[PRODUCCION]])</f>
        <v>17084588930</v>
      </c>
      <c r="C1204" s="61" t="s">
        <v>5512</v>
      </c>
      <c r="D1204" t="s">
        <v>484</v>
      </c>
      <c r="E1204" t="s">
        <v>2189</v>
      </c>
      <c r="F1204" s="61"/>
      <c r="H1204" t="str">
        <f>ToJsonArray(supplementary_offering_legacyid__4[[#Headers],[offeringid]:[json]],supplementary_offering_legacyid__4[[#This Row],[offeringid]:[ignore]])</f>
        <v>{"offeringid":"990000643","name":"Paquete Internet limitado control Mes Anticipado 20GB","mode":"I"}</v>
      </c>
      <c r="I1204" t="str">
        <f>ToJsonArray(supplementary_offering_legacyid__4[[#This Row],[semilla04]],supplementary_offering_legacyid__4[[#This Row],[json]])</f>
        <v>{"17084588930":{"offeringid":"990000643","name":"Paquete Internet limitado control Mes Anticipado 20GB","mode":"I"}}</v>
      </c>
    </row>
    <row r="1205" spans="1:9" x14ac:dyDescent="0.25">
      <c r="A1205" s="60" t="s">
        <v>5513</v>
      </c>
      <c r="B1205" s="60" t="str">
        <f>findKey(supplementary_offering_legacyid__4[[#This Row],[PRODUCCION]])</f>
        <v>17084588780</v>
      </c>
      <c r="C1205" s="61" t="s">
        <v>5514</v>
      </c>
      <c r="D1205" t="s">
        <v>492</v>
      </c>
      <c r="E1205" t="s">
        <v>2189</v>
      </c>
      <c r="F1205" s="61"/>
      <c r="H1205" t="str">
        <f>ToJsonArray(supplementary_offering_legacyid__4[[#Headers],[offeringid]:[json]],supplementary_offering_legacyid__4[[#This Row],[offeringid]:[ignore]])</f>
        <v>{"offeringid":"990000644","name":"Paquete Datos Mes Corriente 5 GB con Corte Control","mode":"I"}</v>
      </c>
      <c r="I1205" t="str">
        <f>ToJsonArray(supplementary_offering_legacyid__4[[#This Row],[semilla04]],supplementary_offering_legacyid__4[[#This Row],[json]])</f>
        <v>{"17084588780":{"offeringid":"990000644","name":"Paquete Datos Mes Corriente 5 GB con Corte Control","mode":"I"}}</v>
      </c>
    </row>
    <row r="1206" spans="1:9" x14ac:dyDescent="0.25">
      <c r="A1206" s="60" t="s">
        <v>5515</v>
      </c>
      <c r="B1206" s="60" t="str">
        <f>findKey(supplementary_offering_legacyid__4[[#This Row],[PRODUCCION]])</f>
        <v>17084588124</v>
      </c>
      <c r="C1206" s="61" t="s">
        <v>5516</v>
      </c>
      <c r="D1206" t="s">
        <v>603</v>
      </c>
      <c r="E1206" t="s">
        <v>2189</v>
      </c>
      <c r="F1206" s="61"/>
      <c r="H1206" t="str">
        <f>ToJsonArray(supplementary_offering_legacyid__4[[#Headers],[offeringid]:[json]],supplementary_offering_legacyid__4[[#This Row],[offeringid]:[ignore]])</f>
        <v>{"offeringid":"990000645","name":"Paquete Datos Mes  Vencido 3 GB con Corte Control","mode":"I"}</v>
      </c>
      <c r="I1206" t="str">
        <f>ToJsonArray(supplementary_offering_legacyid__4[[#This Row],[semilla04]],supplementary_offering_legacyid__4[[#This Row],[json]])</f>
        <v>{"17084588124":{"offeringid":"990000645","name":"Paquete Datos Mes  Vencido 3 GB con Corte Control","mode":"I"}}</v>
      </c>
    </row>
    <row r="1207" spans="1:9" x14ac:dyDescent="0.25">
      <c r="A1207" s="60" t="s">
        <v>5517</v>
      </c>
      <c r="B1207" s="60" t="str">
        <f>findKey(supplementary_offering_legacyid__4[[#This Row],[PRODUCCION]])</f>
        <v>17084588252</v>
      </c>
      <c r="C1207" s="61" t="s">
        <v>5518</v>
      </c>
      <c r="D1207" t="s">
        <v>606</v>
      </c>
      <c r="E1207" t="s">
        <v>2189</v>
      </c>
      <c r="F1207" s="61"/>
      <c r="H1207" t="str">
        <f>ToJsonArray(supplementary_offering_legacyid__4[[#Headers],[offeringid]:[json]],supplementary_offering_legacyid__4[[#This Row],[offeringid]:[ignore]])</f>
        <v>{"offeringid":"990000646","name":"Paquete Internet limitado control Mes Vencido 10GB","mode":"I"}</v>
      </c>
      <c r="I1207" t="str">
        <f>ToJsonArray(supplementary_offering_legacyid__4[[#This Row],[semilla04]],supplementary_offering_legacyid__4[[#This Row],[json]])</f>
        <v>{"17084588252":{"offeringid":"990000646","name":"Paquete Internet limitado control Mes Vencido 10GB","mode":"I"}}</v>
      </c>
    </row>
    <row r="1208" spans="1:9" x14ac:dyDescent="0.25">
      <c r="A1208" s="60" t="s">
        <v>5519</v>
      </c>
      <c r="B1208" s="60" t="str">
        <f>findKey(supplementary_offering_legacyid__4[[#This Row],[PRODUCCION]])</f>
        <v>17084588380</v>
      </c>
      <c r="C1208" s="61" t="s">
        <v>5520</v>
      </c>
      <c r="D1208" t="s">
        <v>493</v>
      </c>
      <c r="E1208" t="s">
        <v>2189</v>
      </c>
      <c r="F1208" s="61"/>
      <c r="H1208" t="str">
        <f>ToJsonArray(supplementary_offering_legacyid__4[[#Headers],[offeringid]:[json]],supplementary_offering_legacyid__4[[#This Row],[offeringid]:[ignore]])</f>
        <v>{"offeringid":"990000647","name":"Paquete Datos  Mes Corriente Tigo Ilimitado","mode":"I"}</v>
      </c>
      <c r="I1208" t="str">
        <f>ToJsonArray(supplementary_offering_legacyid__4[[#This Row],[semilla04]],supplementary_offering_legacyid__4[[#This Row],[json]])</f>
        <v>{"17084588380":{"offeringid":"990000647","name":"Paquete Datos  Mes Corriente Tigo Ilimitado","mode":"I"}}</v>
      </c>
    </row>
    <row r="1209" spans="1:9" x14ac:dyDescent="0.25">
      <c r="A1209" s="60" t="s">
        <v>5521</v>
      </c>
      <c r="B1209" s="60" t="str">
        <f>findKey(supplementary_offering_legacyid__4[[#This Row],[PRODUCCION]])</f>
        <v>17084591516</v>
      </c>
      <c r="C1209" s="61" t="s">
        <v>5522</v>
      </c>
      <c r="D1209" t="s">
        <v>601</v>
      </c>
      <c r="E1209" t="s">
        <v>2189</v>
      </c>
      <c r="F1209" s="61"/>
      <c r="H1209" t="str">
        <f>ToJsonArray(supplementary_offering_legacyid__4[[#Headers],[offeringid]:[json]],supplementary_offering_legacyid__4[[#This Row],[offeringid]:[ignore]])</f>
        <v>{"offeringid":"990000648","name":"Paquete Datos Mes  Vencido 1 GB con Corte Control","mode":"I"}</v>
      </c>
      <c r="I1209" t="str">
        <f>ToJsonArray(supplementary_offering_legacyid__4[[#This Row],[semilla04]],supplementary_offering_legacyid__4[[#This Row],[json]])</f>
        <v>{"17084591516":{"offeringid":"990000648","name":"Paquete Datos Mes  Vencido 1 GB con Corte Control","mode":"I"}}</v>
      </c>
    </row>
    <row r="1210" spans="1:9" x14ac:dyDescent="0.25">
      <c r="A1210" s="60" t="s">
        <v>5523</v>
      </c>
      <c r="B1210" s="60" t="str">
        <f>findKey(supplementary_offering_legacyid__4[[#This Row],[PRODUCCION]])</f>
        <v>17084591468</v>
      </c>
      <c r="C1210" s="61" t="s">
        <v>5524</v>
      </c>
      <c r="D1210" t="s">
        <v>490</v>
      </c>
      <c r="E1210" t="s">
        <v>2189</v>
      </c>
      <c r="F1210" s="61"/>
      <c r="H1210" t="str">
        <f>ToJsonArray(supplementary_offering_legacyid__4[[#Headers],[offeringid]:[json]],supplementary_offering_legacyid__4[[#This Row],[offeringid]:[ignore]])</f>
        <v>{"offeringid":"990000649","name":"Paquete Datos Mes Corriente 2 GB con Corte Control","mode":"I"}</v>
      </c>
      <c r="I1210" t="str">
        <f>ToJsonArray(supplementary_offering_legacyid__4[[#This Row],[semilla04]],supplementary_offering_legacyid__4[[#This Row],[json]])</f>
        <v>{"17084591468":{"offeringid":"990000649","name":"Paquete Datos Mes Corriente 2 GB con Corte Control","mode":"I"}}</v>
      </c>
    </row>
    <row r="1211" spans="1:9" x14ac:dyDescent="0.25">
      <c r="A1211" s="60" t="s">
        <v>5525</v>
      </c>
      <c r="B1211" s="60" t="str">
        <f>findKey(supplementary_offering_legacyid__4[[#This Row],[PRODUCCION]])</f>
        <v>17084591452</v>
      </c>
      <c r="C1211" s="61" t="s">
        <v>5526</v>
      </c>
      <c r="D1211" t="s">
        <v>605</v>
      </c>
      <c r="E1211" t="s">
        <v>2189</v>
      </c>
      <c r="F1211" s="61"/>
      <c r="H1211" t="str">
        <f>ToJsonArray(supplementary_offering_legacyid__4[[#Headers],[offeringid]:[json]],supplementary_offering_legacyid__4[[#This Row],[offeringid]:[ignore]])</f>
        <v>{"offeringid":"990000650","name":"Paquete Datos  Mes Vencido Tigo Ilimitado","mode":"I"}</v>
      </c>
      <c r="I1211" t="str">
        <f>ToJsonArray(supplementary_offering_legacyid__4[[#This Row],[semilla04]],supplementary_offering_legacyid__4[[#This Row],[json]])</f>
        <v>{"17084591452":{"offeringid":"990000650","name":"Paquete Datos  Mes Vencido Tigo Ilimitado","mode":"I"}}</v>
      </c>
    </row>
    <row r="1212" spans="1:9" x14ac:dyDescent="0.25">
      <c r="A1212" s="60" t="s">
        <v>5527</v>
      </c>
      <c r="B1212" s="60" t="str">
        <f>findKey(supplementary_offering_legacyid__4[[#This Row],[PRODUCCION]])</f>
        <v>17084591276</v>
      </c>
      <c r="C1212" s="61" t="s">
        <v>5528</v>
      </c>
      <c r="D1212" t="s">
        <v>480</v>
      </c>
      <c r="E1212" t="s">
        <v>2189</v>
      </c>
      <c r="F1212" s="61"/>
      <c r="H1212" t="str">
        <f>ToJsonArray(supplementary_offering_legacyid__4[[#Headers],[offeringid]:[json]],supplementary_offering_legacyid__4[[#This Row],[offeringid]:[ignore]])</f>
        <v>{"offeringid":"990000651","name":"Paquete Datos Mes Anticipado 5 GB con Corte Control","mode":"I"}</v>
      </c>
      <c r="I1212" t="str">
        <f>ToJsonArray(supplementary_offering_legacyid__4[[#This Row],[semilla04]],supplementary_offering_legacyid__4[[#This Row],[json]])</f>
        <v>{"17084591276":{"offeringid":"990000651","name":"Paquete Datos Mes Anticipado 5 GB con Corte Control","mode":"I"}}</v>
      </c>
    </row>
    <row r="1213" spans="1:9" x14ac:dyDescent="0.25">
      <c r="A1213" s="60" t="s">
        <v>5529</v>
      </c>
      <c r="B1213" s="60" t="str">
        <f>findKey(supplementary_offering_legacyid__4[[#This Row],[PRODUCCION]])</f>
        <v>17084592044</v>
      </c>
      <c r="C1213" s="61" t="s">
        <v>5530</v>
      </c>
      <c r="D1213" t="s">
        <v>478</v>
      </c>
      <c r="E1213" t="s">
        <v>2189</v>
      </c>
      <c r="F1213" s="61"/>
      <c r="H1213" t="str">
        <f>ToJsonArray(supplementary_offering_legacyid__4[[#Headers],[offeringid]:[json]],supplementary_offering_legacyid__4[[#This Row],[offeringid]:[ignore]])</f>
        <v>{"offeringid":"990000652","name":"Paquete Datos Mes Anticipado 2 GB con Corte Control","mode":"I"}</v>
      </c>
      <c r="I1213" t="str">
        <f>ToJsonArray(supplementary_offering_legacyid__4[[#This Row],[semilla04]],supplementary_offering_legacyid__4[[#This Row],[json]])</f>
        <v>{"17084592044":{"offeringid":"990000652","name":"Paquete Datos Mes Anticipado 2 GB con Corte Control","mode":"I"}}</v>
      </c>
    </row>
    <row r="1214" spans="1:9" x14ac:dyDescent="0.25">
      <c r="A1214" s="60" t="s">
        <v>5531</v>
      </c>
      <c r="B1214" s="60" t="str">
        <f>findKey(supplementary_offering_legacyid__4[[#This Row],[PRODUCCION]])</f>
        <v>17084592002</v>
      </c>
      <c r="C1214" s="61" t="s">
        <v>5532</v>
      </c>
      <c r="D1214" t="s">
        <v>494</v>
      </c>
      <c r="E1214" t="s">
        <v>2189</v>
      </c>
      <c r="F1214" s="61"/>
      <c r="H1214" t="str">
        <f>ToJsonArray(supplementary_offering_legacyid__4[[#Headers],[offeringid]:[json]],supplementary_offering_legacyid__4[[#This Row],[offeringid]:[ignore]])</f>
        <v>{"offeringid":"990000653","name":"Paquete Internet limitado control Mes Corriente 10GB","mode":"I"}</v>
      </c>
      <c r="I1214" t="str">
        <f>ToJsonArray(supplementary_offering_legacyid__4[[#This Row],[semilla04]],supplementary_offering_legacyid__4[[#This Row],[json]])</f>
        <v>{"17084592002":{"offeringid":"990000653","name":"Paquete Internet limitado control Mes Corriente 10GB","mode":"I"}}</v>
      </c>
    </row>
    <row r="1215" spans="1:9" x14ac:dyDescent="0.25">
      <c r="A1215" s="60" t="s">
        <v>5533</v>
      </c>
      <c r="B1215" s="60" t="str">
        <f>findKey(supplementary_offering_legacyid__4[[#This Row],[PRODUCCION]])</f>
        <v>17084591644</v>
      </c>
      <c r="C1215" s="61" t="s">
        <v>5534</v>
      </c>
      <c r="D1215" t="s">
        <v>604</v>
      </c>
      <c r="E1215" t="s">
        <v>2189</v>
      </c>
      <c r="F1215" s="61"/>
      <c r="H1215" t="str">
        <f>ToJsonArray(supplementary_offering_legacyid__4[[#Headers],[offeringid]:[json]],supplementary_offering_legacyid__4[[#This Row],[offeringid]:[ignore]])</f>
        <v>{"offeringid":"990000654","name":"Paquete Datos Mes Vencido 5 GB con Corte Control","mode":"I"}</v>
      </c>
      <c r="I1215" t="str">
        <f>ToJsonArray(supplementary_offering_legacyid__4[[#This Row],[semilla04]],supplementary_offering_legacyid__4[[#This Row],[json]])</f>
        <v>{"17084591644":{"offeringid":"990000654","name":"Paquete Datos Mes Vencido 5 GB con Corte Control","mode":"I"}}</v>
      </c>
    </row>
    <row r="1216" spans="1:9" x14ac:dyDescent="0.25">
      <c r="A1216" s="60" t="s">
        <v>5535</v>
      </c>
      <c r="B1216" s="60" t="str">
        <f>findKey(supplementary_offering_legacyid__4[[#This Row],[PRODUCCION]])</f>
        <v>17084590700</v>
      </c>
      <c r="C1216" s="61" t="s">
        <v>5536</v>
      </c>
      <c r="D1216" t="s">
        <v>489</v>
      </c>
      <c r="E1216" t="s">
        <v>2189</v>
      </c>
      <c r="F1216" s="61"/>
      <c r="H1216" t="str">
        <f>ToJsonArray(supplementary_offering_legacyid__4[[#Headers],[offeringid]:[json]],supplementary_offering_legacyid__4[[#This Row],[offeringid]:[ignore]])</f>
        <v>{"offeringid":"990000655","name":"Paquete Datos Mes  Corriente 1 GB con Corte Control","mode":"I"}</v>
      </c>
      <c r="I1216" t="str">
        <f>ToJsonArray(supplementary_offering_legacyid__4[[#This Row],[semilla04]],supplementary_offering_legacyid__4[[#This Row],[json]])</f>
        <v>{"17084590700":{"offeringid":"990000655","name":"Paquete Datos Mes  Corriente 1 GB con Corte Control","mode":"I"}}</v>
      </c>
    </row>
    <row r="1217" spans="1:9" x14ac:dyDescent="0.25">
      <c r="A1217" s="60" t="s">
        <v>5537</v>
      </c>
      <c r="B1217" s="60" t="str">
        <f>findKey(supplementary_offering_legacyid__4[[#This Row],[PRODUCCION]])</f>
        <v>17084590684</v>
      </c>
      <c r="C1217" s="61" t="s">
        <v>5538</v>
      </c>
      <c r="D1217" t="s">
        <v>481</v>
      </c>
      <c r="E1217" t="s">
        <v>2189</v>
      </c>
      <c r="F1217" s="61"/>
      <c r="H1217" t="str">
        <f>ToJsonArray(supplementary_offering_legacyid__4[[#Headers],[offeringid]:[json]],supplementary_offering_legacyid__4[[#This Row],[offeringid]:[ignore]])</f>
        <v>{"offeringid":"990000656","name":"Paquete Datos  Mes Anticipado Tigo Ilimitado","mode":"I"}</v>
      </c>
      <c r="I1217" t="str">
        <f>ToJsonArray(supplementary_offering_legacyid__4[[#This Row],[semilla04]],supplementary_offering_legacyid__4[[#This Row],[json]])</f>
        <v>{"17084590684":{"offeringid":"990000656","name":"Paquete Datos  Mes Anticipado Tigo Ilimitado","mode":"I"}}</v>
      </c>
    </row>
    <row r="1218" spans="1:9" x14ac:dyDescent="0.25">
      <c r="A1218" s="60" t="s">
        <v>5539</v>
      </c>
      <c r="B1218" s="60" t="str">
        <f>findKey(supplementary_offering_legacyid__4[[#This Row],[PRODUCCION]])</f>
        <v>17084590658</v>
      </c>
      <c r="C1218" s="61" t="s">
        <v>5540</v>
      </c>
      <c r="D1218" t="s">
        <v>496</v>
      </c>
      <c r="E1218" t="s">
        <v>2189</v>
      </c>
      <c r="F1218" s="61"/>
      <c r="H1218" t="str">
        <f>ToJsonArray(supplementary_offering_legacyid__4[[#Headers],[offeringid]:[json]],supplementary_offering_legacyid__4[[#This Row],[offeringid]:[ignore]])</f>
        <v>{"offeringid":"990000657","name":"Paquete Internet limitado control Mes Corriente 20GB","mode":"I"}</v>
      </c>
      <c r="I1218" t="str">
        <f>ToJsonArray(supplementary_offering_legacyid__4[[#This Row],[semilla04]],supplementary_offering_legacyid__4[[#This Row],[json]])</f>
        <v>{"17084590658":{"offeringid":"990000657","name":"Paquete Internet limitado control Mes Corriente 20GB","mode":"I"}}</v>
      </c>
    </row>
    <row r="1219" spans="1:9" x14ac:dyDescent="0.25">
      <c r="A1219" s="60" t="s">
        <v>5541</v>
      </c>
      <c r="B1219" s="60" t="str">
        <f>findKey(supplementary_offering_legacyid__4[[#This Row],[PRODUCCION]])</f>
        <v>17084590812</v>
      </c>
      <c r="C1219" s="61" t="s">
        <v>5542</v>
      </c>
      <c r="D1219" t="s">
        <v>607</v>
      </c>
      <c r="E1219" t="s">
        <v>2189</v>
      </c>
      <c r="F1219" s="61"/>
      <c r="H1219" t="str">
        <f>ToJsonArray(supplementary_offering_legacyid__4[[#Headers],[offeringid]:[json]],supplementary_offering_legacyid__4[[#This Row],[offeringid]:[ignore]])</f>
        <v>{"offeringid":"990000658","name":"Paquete Internet limitado control Mes Vencido 15GB","mode":"I"}</v>
      </c>
      <c r="I1219" t="str">
        <f>ToJsonArray(supplementary_offering_legacyid__4[[#This Row],[semilla04]],supplementary_offering_legacyid__4[[#This Row],[json]])</f>
        <v>{"17084590812":{"offeringid":"990000658","name":"Paquete Internet limitado control Mes Vencido 15GB","mode":"I"}}</v>
      </c>
    </row>
    <row r="1220" spans="1:9" x14ac:dyDescent="0.25">
      <c r="A1220" s="60" t="s">
        <v>5543</v>
      </c>
      <c r="B1220" s="60" t="str">
        <f>findKey(supplementary_offering_legacyid__4[[#This Row],[PRODUCCION]])</f>
        <v>17084590236</v>
      </c>
      <c r="C1220" s="61" t="s">
        <v>5544</v>
      </c>
      <c r="D1220" t="s">
        <v>500</v>
      </c>
      <c r="E1220" t="s">
        <v>2189</v>
      </c>
      <c r="F1220" s="61"/>
      <c r="H1220" t="str">
        <f>ToJsonArray(supplementary_offering_legacyid__4[[#Headers],[offeringid]:[json]],supplementary_offering_legacyid__4[[#This Row],[offeringid]:[ignore]])</f>
        <v>{"offeringid":"990000659","name":"Paquete Datos Mes Vencido 500 MB con Corte Control","mode":"I"}</v>
      </c>
      <c r="I1220" t="str">
        <f>ToJsonArray(supplementary_offering_legacyid__4[[#This Row],[semilla04]],supplementary_offering_legacyid__4[[#This Row],[json]])</f>
        <v>{"17084590236":{"offeringid":"990000659","name":"Paquete Datos Mes Vencido 500 MB con Corte Control","mode":"I"}}</v>
      </c>
    </row>
    <row r="1221" spans="1:9" x14ac:dyDescent="0.25">
      <c r="A1221" s="60" t="s">
        <v>5545</v>
      </c>
      <c r="B1221" s="60" t="str">
        <f>findKey(supplementary_offering_legacyid__4[[#This Row],[PRODUCCION]])</f>
        <v>17084590316</v>
      </c>
      <c r="C1221" s="61" t="s">
        <v>5546</v>
      </c>
      <c r="D1221" t="s">
        <v>491</v>
      </c>
      <c r="E1221" t="s">
        <v>2189</v>
      </c>
      <c r="F1221" s="61"/>
      <c r="H1221" t="str">
        <f>ToJsonArray(supplementary_offering_legacyid__4[[#Headers],[offeringid]:[json]],supplementary_offering_legacyid__4[[#This Row],[offeringid]:[ignore]])</f>
        <v>{"offeringid":"990000660","name":"Paquete Datos Mes  Corriente 3 GB con Corte Control","mode":"I"}</v>
      </c>
      <c r="I1221" t="str">
        <f>ToJsonArray(supplementary_offering_legacyid__4[[#This Row],[semilla04]],supplementary_offering_legacyid__4[[#This Row],[json]])</f>
        <v>{"17084590316":{"offeringid":"990000660","name":"Paquete Datos Mes  Corriente 3 GB con Corte Control","mode":"I"}}</v>
      </c>
    </row>
    <row r="1222" spans="1:9" x14ac:dyDescent="0.25">
      <c r="A1222" s="60" t="s">
        <v>5547</v>
      </c>
      <c r="B1222" s="60" t="str">
        <f>findKey(supplementary_offering_legacyid__4[[#This Row],[PRODUCCION]])</f>
        <v>17084590466</v>
      </c>
      <c r="C1222" s="61" t="s">
        <v>5548</v>
      </c>
      <c r="D1222" t="s">
        <v>483</v>
      </c>
      <c r="E1222" t="s">
        <v>2189</v>
      </c>
      <c r="F1222" s="61"/>
      <c r="H1222" t="str">
        <f>ToJsonArray(supplementary_offering_legacyid__4[[#Headers],[offeringid]:[json]],supplementary_offering_legacyid__4[[#This Row],[offeringid]:[ignore]])</f>
        <v>{"offeringid":"990000661","name":"Paquete Internet limitado control Mes Anticipado 15GB","mode":"I"}</v>
      </c>
      <c r="I1222" t="str">
        <f>ToJsonArray(supplementary_offering_legacyid__4[[#This Row],[semilla04]],supplementary_offering_legacyid__4[[#This Row],[json]])</f>
        <v>{"17084590466":{"offeringid":"990000661","name":"Paquete Internet limitado control Mes Anticipado 15GB","mode":"I"}}</v>
      </c>
    </row>
    <row r="1223" spans="1:9" x14ac:dyDescent="0.25">
      <c r="A1223" s="60" t="s">
        <v>5549</v>
      </c>
      <c r="B1223" s="60" t="str">
        <f>findKey(supplementary_offering_legacyid__4[[#This Row],[PRODUCCION]])</f>
        <v>990000208</v>
      </c>
      <c r="C1223" s="61" t="s">
        <v>5549</v>
      </c>
      <c r="D1223" t="s">
        <v>5550</v>
      </c>
      <c r="E1223" t="s">
        <v>2189</v>
      </c>
      <c r="F1223" s="61"/>
      <c r="H1223" t="str">
        <f>ToJsonArray(supplementary_offering_legacyid__4[[#Headers],[offeringid]:[json]],supplementary_offering_legacyid__4[[#This Row],[offeringid]:[ignore]])</f>
        <v>{"offeringid":"990000208","name":"Equipo Movil","mode":"I"}</v>
      </c>
      <c r="I1223" t="str">
        <f>ToJsonArray(supplementary_offering_legacyid__4[[#This Row],[semilla04]],supplementary_offering_legacyid__4[[#This Row],[json]])</f>
        <v>{"990000208":{"offeringid":"990000208","name":"Equipo Movil","mode":"I"}}</v>
      </c>
    </row>
    <row r="1224" spans="1:9" x14ac:dyDescent="0.25">
      <c r="A1224" s="60" t="s">
        <v>5551</v>
      </c>
      <c r="B1224" s="60" t="str">
        <f>findKey(supplementary_offering_legacyid__4[[#This Row],[PRODUCCION]])</f>
        <v>990000218</v>
      </c>
      <c r="C1224" s="61" t="s">
        <v>5551</v>
      </c>
      <c r="D1224" t="s">
        <v>5552</v>
      </c>
      <c r="E1224" t="s">
        <v>2189</v>
      </c>
      <c r="F1224" s="61"/>
      <c r="H1224" t="str">
        <f>ToJsonArray(supplementary_offering_legacyid__4[[#Headers],[offeringid]:[json]],supplementary_offering_legacyid__4[[#This Row],[offeringid]:[ignore]])</f>
        <v>{"offeringid":"990000218","name":"Addon Seguro ProtecciÃ³n de Pantalla","mode":"I"}</v>
      </c>
      <c r="I1224" t="str">
        <f>ToJsonArray(supplementary_offering_legacyid__4[[#This Row],[semilla04]],supplementary_offering_legacyid__4[[#This Row],[json]])</f>
        <v>{"990000218":{"offeringid":"990000218","name":"Addon Seguro ProtecciÃ³n de Pantalla","mode":"I"}}</v>
      </c>
    </row>
    <row r="1225" spans="1:9" x14ac:dyDescent="0.25">
      <c r="A1225" s="60" t="s">
        <v>5553</v>
      </c>
      <c r="B1225" s="60" t="str">
        <f>findKey(supplementary_offering_legacyid__4[[#This Row],[PRODUCCION]])</f>
        <v>990000219</v>
      </c>
      <c r="C1225" s="61" t="s">
        <v>5553</v>
      </c>
      <c r="D1225" t="s">
        <v>5554</v>
      </c>
      <c r="E1225" t="s">
        <v>2189</v>
      </c>
      <c r="F1225" s="61"/>
      <c r="H1225" t="str">
        <f>ToJsonArray(supplementary_offering_legacyid__4[[#Headers],[offeringid]:[json]],supplementary_offering_legacyid__4[[#This Row],[offeringid]:[ignore]])</f>
        <v>{"offeringid":"990000219","name":"Addon Seguro ProtecciÃ³n de Pantalla (Incluido)","mode":"I"}</v>
      </c>
      <c r="I1225" t="str">
        <f>ToJsonArray(supplementary_offering_legacyid__4[[#This Row],[semilla04]],supplementary_offering_legacyid__4[[#This Row],[json]])</f>
        <v>{"990000219":{"offeringid":"990000219","name":"Addon Seguro ProtecciÃ³n de Pantalla (Incluido)","mode":"I"}}</v>
      </c>
    </row>
    <row r="1226" spans="1:9" x14ac:dyDescent="0.25">
      <c r="A1226" s="60" t="s">
        <v>5555</v>
      </c>
      <c r="B1226" s="60" t="str">
        <f>findKey(supplementary_offering_legacyid__4[[#This Row],[PRODUCCION]])</f>
        <v>990000220</v>
      </c>
      <c r="C1226" s="61" t="s">
        <v>5555</v>
      </c>
      <c r="D1226" t="s">
        <v>5556</v>
      </c>
      <c r="E1226" t="s">
        <v>2189</v>
      </c>
      <c r="F1226" s="61"/>
      <c r="H1226" t="str">
        <f>ToJsonArray(supplementary_offering_legacyid__4[[#Headers],[offeringid]:[json]],supplementary_offering_legacyid__4[[#This Row],[offeringid]:[ignore]])</f>
        <v>{"offeringid":"990000220","name":"Addon Seguro ProtecciÃ³n MÃ³vil (Todo Riesgo + Pantalla)","mode":"I"}</v>
      </c>
      <c r="I1226" t="str">
        <f>ToJsonArray(supplementary_offering_legacyid__4[[#This Row],[semilla04]],supplementary_offering_legacyid__4[[#This Row],[json]])</f>
        <v>{"990000220":{"offeringid":"990000220","name":"Addon Seguro ProtecciÃ³n MÃ³vil (Todo Riesgo + Pantalla)","mode":"I"}}</v>
      </c>
    </row>
    <row r="1227" spans="1:9" x14ac:dyDescent="0.25">
      <c r="A1227" s="60" t="s">
        <v>5557</v>
      </c>
      <c r="B1227" s="60" t="str">
        <f>findKey(supplementary_offering_legacyid__4[[#This Row],[PRODUCCION]])</f>
        <v>990000221</v>
      </c>
      <c r="C1227" s="61" t="s">
        <v>5557</v>
      </c>
      <c r="D1227" t="s">
        <v>5558</v>
      </c>
      <c r="E1227" t="s">
        <v>2189</v>
      </c>
      <c r="F1227" s="61"/>
      <c r="H1227" t="str">
        <f>ToJsonArray(supplementary_offering_legacyid__4[[#Headers],[offeringid]:[json]],supplementary_offering_legacyid__4[[#This Row],[offeringid]:[ignore]])</f>
        <v>{"offeringid":"990000221","name":"Addon Seguro ProtecciÃ³n MÃ³vil (Todo Riesgo + Pantalla) (Incluido)","mode":"I"}</v>
      </c>
      <c r="I1227" t="str">
        <f>ToJsonArray(supplementary_offering_legacyid__4[[#This Row],[semilla04]],supplementary_offering_legacyid__4[[#This Row],[json]])</f>
        <v>{"990000221":{"offeringid":"990000221","name":"Addon Seguro ProtecciÃ³n MÃ³vil (Todo Riesgo + Pantalla) (Incluido)","mode":"I"}}</v>
      </c>
    </row>
    <row r="1228" spans="1:9" x14ac:dyDescent="0.25">
      <c r="A1228" s="60" t="s">
        <v>5559</v>
      </c>
      <c r="B1228" s="60" t="str">
        <f>findKey(supplementary_offering_legacyid__4[[#This Row],[PRODUCCION]])</f>
        <v>990000229</v>
      </c>
      <c r="C1228" s="61" t="s">
        <v>5559</v>
      </c>
      <c r="D1228" t="s">
        <v>5560</v>
      </c>
      <c r="E1228" t="s">
        <v>2189</v>
      </c>
      <c r="F1228" s="61"/>
      <c r="H1228" t="str">
        <f>ToJsonArray(supplementary_offering_legacyid__4[[#Headers],[offeringid]:[json]],supplementary_offering_legacyid__4[[#This Row],[offeringid]:[ignore]])</f>
        <v>{"offeringid":"990000229","name":"Paquete LDI 5min","mode":"I"}</v>
      </c>
      <c r="I1228" t="str">
        <f>ToJsonArray(supplementary_offering_legacyid__4[[#This Row],[semilla04]],supplementary_offering_legacyid__4[[#This Row],[json]])</f>
        <v>{"990000229":{"offeringid":"990000229","name":"Paquete LDI 5min","mode":"I"}}</v>
      </c>
    </row>
    <row r="1229" spans="1:9" x14ac:dyDescent="0.25">
      <c r="A1229" s="60" t="s">
        <v>5561</v>
      </c>
      <c r="B1229" s="60" t="str">
        <f>findKey(supplementary_offering_legacyid__4[[#This Row],[PRODUCCION]])</f>
        <v>990000230</v>
      </c>
      <c r="C1229" s="61" t="s">
        <v>5561</v>
      </c>
      <c r="D1229" t="s">
        <v>5562</v>
      </c>
      <c r="E1229" t="s">
        <v>2189</v>
      </c>
      <c r="F1229" s="61"/>
      <c r="H1229" t="str">
        <f>ToJsonArray(supplementary_offering_legacyid__4[[#Headers],[offeringid]:[json]],supplementary_offering_legacyid__4[[#This Row],[offeringid]:[ignore]])</f>
        <v>{"offeringid":"990000230","name":"Paquete LDI 10 min","mode":"I"}</v>
      </c>
      <c r="I1229" t="str">
        <f>ToJsonArray(supplementary_offering_legacyid__4[[#This Row],[semilla04]],supplementary_offering_legacyid__4[[#This Row],[json]])</f>
        <v>{"990000230":{"offeringid":"990000230","name":"Paquete LDI 10 min","mode":"I"}}</v>
      </c>
    </row>
    <row r="1230" spans="1:9" x14ac:dyDescent="0.25">
      <c r="A1230" s="60" t="s">
        <v>5563</v>
      </c>
      <c r="B1230" s="60" t="str">
        <f>findKey(supplementary_offering_legacyid__4[[#This Row],[PRODUCCION]])</f>
        <v>990000231</v>
      </c>
      <c r="C1230" s="61" t="s">
        <v>5563</v>
      </c>
      <c r="D1230" t="s">
        <v>5564</v>
      </c>
      <c r="E1230" t="s">
        <v>2189</v>
      </c>
      <c r="F1230" s="61"/>
      <c r="H1230" t="str">
        <f>ToJsonArray(supplementary_offering_legacyid__4[[#Headers],[offeringid]:[json]],supplementary_offering_legacyid__4[[#This Row],[offeringid]:[ignore]])</f>
        <v>{"offeringid":"990000231","name":"Paquete LDI 30 min","mode":"I"}</v>
      </c>
      <c r="I1230" t="str">
        <f>ToJsonArray(supplementary_offering_legacyid__4[[#This Row],[semilla04]],supplementary_offering_legacyid__4[[#This Row],[json]])</f>
        <v>{"990000231":{"offeringid":"990000231","name":"Paquete LDI 30 min","mode":"I"}}</v>
      </c>
    </row>
    <row r="1231" spans="1:9" x14ac:dyDescent="0.25">
      <c r="A1231" s="60" t="s">
        <v>5565</v>
      </c>
      <c r="B1231" s="60" t="str">
        <f>findKey(supplementary_offering_legacyid__4[[#This Row],[PRODUCCION]])</f>
        <v>990000232</v>
      </c>
      <c r="C1231" s="61" t="s">
        <v>5565</v>
      </c>
      <c r="D1231" t="s">
        <v>5566</v>
      </c>
      <c r="E1231" t="s">
        <v>2189</v>
      </c>
      <c r="F1231" s="61"/>
      <c r="H1231" t="str">
        <f>ToJsonArray(supplementary_offering_legacyid__4[[#Headers],[offeringid]:[json]],supplementary_offering_legacyid__4[[#This Row],[offeringid]:[ignore]])</f>
        <v>{"offeringid":"990000232","name":"Paquete Datos 40 MB","mode":"I"}</v>
      </c>
      <c r="I1231" t="str">
        <f>ToJsonArray(supplementary_offering_legacyid__4[[#This Row],[semilla04]],supplementary_offering_legacyid__4[[#This Row],[json]])</f>
        <v>{"990000232":{"offeringid":"990000232","name":"Paquete Datos 40 MB","mode":"I"}}</v>
      </c>
    </row>
    <row r="1232" spans="1:9" x14ac:dyDescent="0.25">
      <c r="A1232" s="60" t="s">
        <v>5567</v>
      </c>
      <c r="B1232" s="60" t="str">
        <f>findKey(supplementary_offering_legacyid__4[[#This Row],[PRODUCCION]])</f>
        <v>990000233</v>
      </c>
      <c r="C1232" s="61" t="s">
        <v>5567</v>
      </c>
      <c r="D1232" t="s">
        <v>5568</v>
      </c>
      <c r="E1232" t="s">
        <v>2189</v>
      </c>
      <c r="F1232" s="61"/>
      <c r="H1232" t="str">
        <f>ToJsonArray(supplementary_offering_legacyid__4[[#Headers],[offeringid]:[json]],supplementary_offering_legacyid__4[[#This Row],[offeringid]:[ignore]])</f>
        <v>{"offeringid":"990000233","name":"Paquete Datos 150 MB","mode":"I"}</v>
      </c>
      <c r="I1232" t="str">
        <f>ToJsonArray(supplementary_offering_legacyid__4[[#This Row],[semilla04]],supplementary_offering_legacyid__4[[#This Row],[json]])</f>
        <v>{"990000233":{"offeringid":"990000233","name":"Paquete Datos 150 MB","mode":"I"}}</v>
      </c>
    </row>
    <row r="1233" spans="1:9" x14ac:dyDescent="0.25">
      <c r="A1233" s="60" t="s">
        <v>5569</v>
      </c>
      <c r="B1233" s="60" t="str">
        <f>findKey(supplementary_offering_legacyid__4[[#This Row],[PRODUCCION]])</f>
        <v>990000234</v>
      </c>
      <c r="C1233" s="61" t="s">
        <v>5569</v>
      </c>
      <c r="D1233" t="s">
        <v>5570</v>
      </c>
      <c r="E1233" t="s">
        <v>2189</v>
      </c>
      <c r="F1233" s="61"/>
      <c r="H1233" t="str">
        <f>ToJsonArray(supplementary_offering_legacyid__4[[#Headers],[offeringid]:[json]],supplementary_offering_legacyid__4[[#This Row],[offeringid]:[ignore]])</f>
        <v>{"offeringid":"990000234","name":"Paquete Datos 100 MB + 20 Min + 5 SMS","mode":"I"}</v>
      </c>
      <c r="I1233" t="str">
        <f>ToJsonArray(supplementary_offering_legacyid__4[[#This Row],[semilla04]],supplementary_offering_legacyid__4[[#This Row],[json]])</f>
        <v>{"990000234":{"offeringid":"990000234","name":"Paquete Datos 100 MB + 20 Min + 5 SMS","mode":"I"}}</v>
      </c>
    </row>
    <row r="1234" spans="1:9" x14ac:dyDescent="0.25">
      <c r="A1234" s="60" t="s">
        <v>5571</v>
      </c>
      <c r="B1234" s="60" t="str">
        <f>findKey(supplementary_offering_legacyid__4[[#This Row],[PRODUCCION]])</f>
        <v>990000235</v>
      </c>
      <c r="C1234" s="61" t="s">
        <v>5571</v>
      </c>
      <c r="D1234" t="s">
        <v>5572</v>
      </c>
      <c r="E1234" t="s">
        <v>2189</v>
      </c>
      <c r="F1234" s="61"/>
      <c r="H1234" t="str">
        <f>ToJsonArray(supplementary_offering_legacyid__4[[#Headers],[offeringid]:[json]],supplementary_offering_legacyid__4[[#This Row],[offeringid]:[ignore]])</f>
        <v>{"offeringid":"990000235","name":"Paquete Datos 200 MB + 50 Min + 10 SMS","mode":"I"}</v>
      </c>
      <c r="I1234" t="str">
        <f>ToJsonArray(supplementary_offering_legacyid__4[[#This Row],[semilla04]],supplementary_offering_legacyid__4[[#This Row],[json]])</f>
        <v>{"990000235":{"offeringid":"990000235","name":"Paquete Datos 200 MB + 50 Min + 10 SMS","mode":"I"}}</v>
      </c>
    </row>
    <row r="1235" spans="1:9" x14ac:dyDescent="0.25">
      <c r="A1235" s="60" t="s">
        <v>5573</v>
      </c>
      <c r="B1235" s="60" t="str">
        <f>findKey(supplementary_offering_legacyid__4[[#This Row],[PRODUCCION]])</f>
        <v>990000236</v>
      </c>
      <c r="C1235" s="61" t="s">
        <v>5573</v>
      </c>
      <c r="D1235" t="s">
        <v>5574</v>
      </c>
      <c r="E1235" t="s">
        <v>2189</v>
      </c>
      <c r="F1235" s="61"/>
      <c r="H1235" t="str">
        <f>ToJsonArray(supplementary_offering_legacyid__4[[#Headers],[offeringid]:[json]],supplementary_offering_legacyid__4[[#This Row],[offeringid]:[ignore]])</f>
        <v>{"offeringid":"990000236","name":"Paquete Datos 500 MB + Unlimited Minutes + SMS","mode":"I"}</v>
      </c>
      <c r="I1235" t="str">
        <f>ToJsonArray(supplementary_offering_legacyid__4[[#This Row],[semilla04]],supplementary_offering_legacyid__4[[#This Row],[json]])</f>
        <v>{"990000236":{"offeringid":"990000236","name":"Paquete Datos 500 MB + Unlimited Minutes + SMS","mode":"I"}}</v>
      </c>
    </row>
    <row r="1236" spans="1:9" x14ac:dyDescent="0.25">
      <c r="A1236" s="60" t="s">
        <v>5575</v>
      </c>
      <c r="B1236" s="60" t="str">
        <f>findKey(supplementary_offering_legacyid__4[[#This Row],[PRODUCCION]])</f>
        <v>990000237</v>
      </c>
      <c r="C1236" s="61" t="s">
        <v>5575</v>
      </c>
      <c r="D1236" t="s">
        <v>5576</v>
      </c>
      <c r="E1236" t="s">
        <v>2189</v>
      </c>
      <c r="F1236" s="61"/>
      <c r="H1236" t="str">
        <f>ToJsonArray(supplementary_offering_legacyid__4[[#Headers],[offeringid]:[json]],supplementary_offering_legacyid__4[[#This Row],[offeringid]:[ignore]])</f>
        <v>{"offeringid":"990000237","name":"Paquete Datos 1 GB + Unlimited Minutes + SMS","mode":"I"}</v>
      </c>
      <c r="I1236" t="str">
        <f>ToJsonArray(supplementary_offering_legacyid__4[[#This Row],[semilla04]],supplementary_offering_legacyid__4[[#This Row],[json]])</f>
        <v>{"990000237":{"offeringid":"990000237","name":"Paquete Datos 1 GB + Unlimited Minutes + SMS","mode":"I"}}</v>
      </c>
    </row>
    <row r="1237" spans="1:9" x14ac:dyDescent="0.25">
      <c r="A1237" s="60" t="s">
        <v>5577</v>
      </c>
      <c r="B1237" s="60" t="str">
        <f>findKey(supplementary_offering_legacyid__4[[#This Row],[PRODUCCION]])</f>
        <v>990000238</v>
      </c>
      <c r="C1237" s="61" t="s">
        <v>5577</v>
      </c>
      <c r="D1237" t="s">
        <v>5578</v>
      </c>
      <c r="E1237" t="s">
        <v>2189</v>
      </c>
      <c r="F1237" s="61"/>
      <c r="H1237" t="str">
        <f>ToJsonArray(supplementary_offering_legacyid__4[[#Headers],[offeringid]:[json]],supplementary_offering_legacyid__4[[#This Row],[offeringid]:[ignore]])</f>
        <v>{"offeringid":"990000238","name":"Paquete Datos 2 GB + Unlimited Minutes + SMS","mode":"I"}</v>
      </c>
      <c r="I1237" t="str">
        <f>ToJsonArray(supplementary_offering_legacyid__4[[#This Row],[semilla04]],supplementary_offering_legacyid__4[[#This Row],[json]])</f>
        <v>{"990000238":{"offeringid":"990000238","name":"Paquete Datos 2 GB + Unlimited Minutes + SMS","mode":"I"}}</v>
      </c>
    </row>
    <row r="1238" spans="1:9" x14ac:dyDescent="0.25">
      <c r="A1238" s="60" t="s">
        <v>5579</v>
      </c>
      <c r="B1238" s="60" t="str">
        <f>findKey(supplementary_offering_legacyid__4[[#This Row],[PRODUCCION]])</f>
        <v>990000241</v>
      </c>
      <c r="C1238" s="61" t="s">
        <v>5579</v>
      </c>
      <c r="D1238" t="s">
        <v>5580</v>
      </c>
      <c r="E1238" t="s">
        <v>2189</v>
      </c>
      <c r="F1238" s="61"/>
      <c r="H1238" t="str">
        <f>ToJsonArray(supplementary_offering_legacyid__4[[#Headers],[offeringid]:[json]],supplementary_offering_legacyid__4[[#This Row],[offeringid]:[ignore]])</f>
        <v>{"offeringid":"990000241","name":"Paquete LDI 25 min","mode":"I"}</v>
      </c>
      <c r="I1238" t="str">
        <f>ToJsonArray(supplementary_offering_legacyid__4[[#This Row],[semilla04]],supplementary_offering_legacyid__4[[#This Row],[json]])</f>
        <v>{"990000241":{"offeringid":"990000241","name":"Paquete LDI 25 min","mode":"I"}}</v>
      </c>
    </row>
    <row r="1239" spans="1:9" x14ac:dyDescent="0.25">
      <c r="A1239" s="60" t="s">
        <v>5581</v>
      </c>
      <c r="B1239" s="60" t="str">
        <f>findKey(supplementary_offering_legacyid__4[[#This Row],[PRODUCCION]])</f>
        <v>990000242</v>
      </c>
      <c r="C1239" s="61" t="s">
        <v>5581</v>
      </c>
      <c r="D1239" t="s">
        <v>5582</v>
      </c>
      <c r="E1239" t="s">
        <v>2189</v>
      </c>
      <c r="F1239" s="61"/>
      <c r="H1239" t="str">
        <f>ToJsonArray(supplementary_offering_legacyid__4[[#Headers],[offeringid]:[json]],supplementary_offering_legacyid__4[[#This Row],[offeringid]:[ignore]])</f>
        <v>{"offeringid":"990000242","name":"Paquete LDI 50 min","mode":"I"}</v>
      </c>
      <c r="I1239" t="str">
        <f>ToJsonArray(supplementary_offering_legacyid__4[[#This Row],[semilla04]],supplementary_offering_legacyid__4[[#This Row],[json]])</f>
        <v>{"990000242":{"offeringid":"990000242","name":"Paquete LDI 50 min","mode":"I"}}</v>
      </c>
    </row>
    <row r="1240" spans="1:9" x14ac:dyDescent="0.25">
      <c r="A1240" s="60" t="s">
        <v>5583</v>
      </c>
      <c r="B1240" s="60" t="str">
        <f>findKey(supplementary_offering_legacyid__4[[#This Row],[PRODUCCION]])</f>
        <v>990000243</v>
      </c>
      <c r="C1240" s="61" t="s">
        <v>5583</v>
      </c>
      <c r="D1240" t="s">
        <v>5584</v>
      </c>
      <c r="E1240" t="s">
        <v>2189</v>
      </c>
      <c r="F1240" s="61"/>
      <c r="H1240" t="str">
        <f>ToJsonArray(supplementary_offering_legacyid__4[[#Headers],[offeringid]:[json]],supplementary_offering_legacyid__4[[#This Row],[offeringid]:[ignore]])</f>
        <v>{"offeringid":"990000243","name":"Paquete LDI 100 min","mode":"I"}</v>
      </c>
      <c r="I1240" t="str">
        <f>ToJsonArray(supplementary_offering_legacyid__4[[#This Row],[semilla04]],supplementary_offering_legacyid__4[[#This Row],[json]])</f>
        <v>{"990000243":{"offeringid":"990000243","name":"Paquete LDI 100 min","mode":"I"}}</v>
      </c>
    </row>
    <row r="1241" spans="1:9" x14ac:dyDescent="0.25">
      <c r="A1241" s="60" t="s">
        <v>5585</v>
      </c>
      <c r="B1241" s="60" t="str">
        <f>findKey(supplementary_offering_legacyid__4[[#This Row],[PRODUCCION]])</f>
        <v>17088901078</v>
      </c>
      <c r="C1241" s="61" t="s">
        <v>5586</v>
      </c>
      <c r="D1241" t="s">
        <v>232</v>
      </c>
      <c r="E1241" t="s">
        <v>2189</v>
      </c>
      <c r="F1241" s="61"/>
      <c r="H1241" t="str">
        <f>ToJsonArray(supplementary_offering_legacyid__4[[#Headers],[offeringid]:[json]],supplementary_offering_legacyid__4[[#This Row],[offeringid]:[ignore]])</f>
        <v>{"offeringid":"990000210","name":"Paquete SMS 5.1","mode":"I"}</v>
      </c>
      <c r="I1241" t="str">
        <f>ToJsonArray(supplementary_offering_legacyid__4[[#This Row],[semilla04]],supplementary_offering_legacyid__4[[#This Row],[json]])</f>
        <v>{"17088901078":{"offeringid":"990000210","name":"Paquete SMS 5.1","mode":"I"}}</v>
      </c>
    </row>
    <row r="1242" spans="1:9" x14ac:dyDescent="0.25">
      <c r="A1242" s="60" t="s">
        <v>5587</v>
      </c>
      <c r="B1242" s="60" t="str">
        <f>findKey(supplementary_offering_legacyid__4[[#This Row],[PRODUCCION]])</f>
        <v>17088898774</v>
      </c>
      <c r="C1242" s="61" t="s">
        <v>5588</v>
      </c>
      <c r="D1242" t="s">
        <v>235</v>
      </c>
      <c r="E1242" t="s">
        <v>2189</v>
      </c>
      <c r="F1242" s="61"/>
      <c r="H1242" t="str">
        <f>ToJsonArray(supplementary_offering_legacyid__4[[#Headers],[offeringid]:[json]],supplementary_offering_legacyid__4[[#This Row],[offeringid]:[ignore]])</f>
        <v>{"offeringid":"990000211","name":"Paquete Datos 5.1","mode":"I"}</v>
      </c>
      <c r="I1242" t="str">
        <f>ToJsonArray(supplementary_offering_legacyid__4[[#This Row],[semilla04]],supplementary_offering_legacyid__4[[#This Row],[json]])</f>
        <v>{"17088898774":{"offeringid":"990000211","name":"Paquete Datos 5.1","mode":"I"}}</v>
      </c>
    </row>
    <row r="1243" spans="1:9" x14ac:dyDescent="0.25">
      <c r="A1243" s="60" t="s">
        <v>5589</v>
      </c>
      <c r="B1243" s="60" t="str">
        <f>findKey(supplementary_offering_legacyid__4[[#This Row],[PRODUCCION]])</f>
        <v>17088898102</v>
      </c>
      <c r="C1243" s="61" t="s">
        <v>5590</v>
      </c>
      <c r="D1243" t="s">
        <v>233</v>
      </c>
      <c r="E1243" t="s">
        <v>2189</v>
      </c>
      <c r="F1243" s="61"/>
      <c r="H1243" t="str">
        <f>ToJsonArray(supplementary_offering_legacyid__4[[#Headers],[offeringid]:[json]],supplementary_offering_legacyid__4[[#This Row],[offeringid]:[ignore]])</f>
        <v>{"offeringid":"990000213","name":"Paquete SMS 5.2","mode":"I"}</v>
      </c>
      <c r="I1243" t="str">
        <f>ToJsonArray(supplementary_offering_legacyid__4[[#This Row],[semilla04]],supplementary_offering_legacyid__4[[#This Row],[json]])</f>
        <v>{"17088898102":{"offeringid":"990000213","name":"Paquete SMS 5.2","mode":"I"}}</v>
      </c>
    </row>
    <row r="1244" spans="1:9" x14ac:dyDescent="0.25">
      <c r="A1244" s="60" t="s">
        <v>5591</v>
      </c>
      <c r="B1244" s="60" t="str">
        <f>findKey(supplementary_offering_legacyid__4[[#This Row],[PRODUCCION]])</f>
        <v>17088899542</v>
      </c>
      <c r="C1244" s="61" t="s">
        <v>5592</v>
      </c>
      <c r="D1244" t="s">
        <v>236</v>
      </c>
      <c r="E1244" t="s">
        <v>2189</v>
      </c>
      <c r="F1244" s="61"/>
      <c r="H1244" t="str">
        <f>ToJsonArray(supplementary_offering_legacyid__4[[#Headers],[offeringid]:[json]],supplementary_offering_legacyid__4[[#This Row],[offeringid]:[ignore]])</f>
        <v>{"offeringid":"990000214","name":"Paquete Datos 5.2","mode":"I"}</v>
      </c>
      <c r="I1244" t="str">
        <f>ToJsonArray(supplementary_offering_legacyid__4[[#This Row],[semilla04]],supplementary_offering_legacyid__4[[#This Row],[json]])</f>
        <v>{"17088899542":{"offeringid":"990000214","name":"Paquete Datos 5.2","mode":"I"}}</v>
      </c>
    </row>
    <row r="1245" spans="1:9" x14ac:dyDescent="0.25">
      <c r="A1245" s="60" t="s">
        <v>5593</v>
      </c>
      <c r="B1245" s="60" t="str">
        <f>findKey(supplementary_offering_legacyid__4[[#This Row],[PRODUCCION]])</f>
        <v>17098470386</v>
      </c>
      <c r="C1245" s="61" t="s">
        <v>5594</v>
      </c>
      <c r="D1245" t="s">
        <v>1506</v>
      </c>
      <c r="E1245" t="s">
        <v>2189</v>
      </c>
      <c r="F1245" s="61"/>
      <c r="H1245" t="str">
        <f>ToJsonArray(supplementary_offering_legacyid__4[[#Headers],[offeringid]:[json]],supplementary_offering_legacyid__4[[#This Row],[offeringid]:[ignore]])</f>
        <v>{"offeringid":"990000683","name":"Paquete SMS 5.1 Empresarial","mode":"I"}</v>
      </c>
      <c r="I1245" t="str">
        <f>ToJsonArray(supplementary_offering_legacyid__4[[#This Row],[semilla04]],supplementary_offering_legacyid__4[[#This Row],[json]])</f>
        <v>{"17098470386":{"offeringid":"990000683","name":"Paquete SMS 5.1 Empresarial","mode":"I"}}</v>
      </c>
    </row>
    <row r="1246" spans="1:9" x14ac:dyDescent="0.25">
      <c r="A1246" s="60" t="s">
        <v>5595</v>
      </c>
      <c r="B1246" s="60" t="str">
        <f>findKey(supplementary_offering_legacyid__4[[#This Row],[PRODUCCION]])</f>
        <v>17098472690</v>
      </c>
      <c r="C1246" s="61" t="s">
        <v>5596</v>
      </c>
      <c r="D1246" t="s">
        <v>1500</v>
      </c>
      <c r="E1246" t="s">
        <v>2189</v>
      </c>
      <c r="F1246" s="61"/>
      <c r="H1246" t="str">
        <f>ToJsonArray(supplementary_offering_legacyid__4[[#Headers],[offeringid]:[json]],supplementary_offering_legacyid__4[[#This Row],[offeringid]:[ignore]])</f>
        <v>{"offeringid":"990000684","name":"Paquete Datos 5.1 Empresarial","mode":"I"}</v>
      </c>
      <c r="I1246" t="str">
        <f>ToJsonArray(supplementary_offering_legacyid__4[[#This Row],[semilla04]],supplementary_offering_legacyid__4[[#This Row],[json]])</f>
        <v>{"17098472690":{"offeringid":"990000684","name":"Paquete Datos 5.1 Empresarial","mode":"I"}}</v>
      </c>
    </row>
    <row r="1247" spans="1:9" x14ac:dyDescent="0.25">
      <c r="A1247" s="60" t="s">
        <v>5597</v>
      </c>
      <c r="B1247" s="60" t="str">
        <f>findKey(supplementary_offering_legacyid__4[[#This Row],[PRODUCCION]])</f>
        <v>17098473458</v>
      </c>
      <c r="C1247" s="61" t="s">
        <v>5598</v>
      </c>
      <c r="D1247" t="s">
        <v>1508</v>
      </c>
      <c r="E1247" t="s">
        <v>2189</v>
      </c>
      <c r="F1247" s="61"/>
      <c r="H1247" t="str">
        <f>ToJsonArray(supplementary_offering_legacyid__4[[#Headers],[offeringid]:[json]],supplementary_offering_legacyid__4[[#This Row],[offeringid]:[ignore]])</f>
        <v>{"offeringid":"990000685","name":"Paquete SMS 5.2 Empresarial","mode":"I"}</v>
      </c>
      <c r="I1247" t="str">
        <f>ToJsonArray(supplementary_offering_legacyid__4[[#This Row],[semilla04]],supplementary_offering_legacyid__4[[#This Row],[json]])</f>
        <v>{"17098473458":{"offeringid":"990000685","name":"Paquete SMS 5.2 Empresarial","mode":"I"}}</v>
      </c>
    </row>
    <row r="1248" spans="1:9" x14ac:dyDescent="0.25">
      <c r="A1248" s="60" t="s">
        <v>5599</v>
      </c>
      <c r="B1248" s="60" t="str">
        <f>findKey(supplementary_offering_legacyid__4[[#This Row],[PRODUCCION]])</f>
        <v>17098471154</v>
      </c>
      <c r="C1248" s="61" t="s">
        <v>5600</v>
      </c>
      <c r="D1248" t="s">
        <v>1502</v>
      </c>
      <c r="E1248" t="s">
        <v>2189</v>
      </c>
      <c r="F1248" s="61"/>
      <c r="H1248" t="str">
        <f>ToJsonArray(supplementary_offering_legacyid__4[[#Headers],[offeringid]:[json]],supplementary_offering_legacyid__4[[#This Row],[offeringid]:[ignore]])</f>
        <v>{"offeringid":"990000686","name":"Paquete Datos 5.2 Empresarial","mode":"I"}</v>
      </c>
      <c r="I1248" t="str">
        <f>ToJsonArray(supplementary_offering_legacyid__4[[#This Row],[semilla04]],supplementary_offering_legacyid__4[[#This Row],[json]])</f>
        <v>{"17098471154":{"offeringid":"990000686","name":"Paquete Datos 5.2 Empresarial","mode":"I"}}</v>
      </c>
    </row>
    <row r="1249" spans="1:9" x14ac:dyDescent="0.25">
      <c r="A1249" s="60" t="s">
        <v>5601</v>
      </c>
      <c r="B1249" s="60" t="str">
        <f>findKey(supplementary_offering_legacyid__4[[#This Row],[PRODUCCION]])</f>
        <v>17098470410</v>
      </c>
      <c r="C1249" s="61" t="s">
        <v>5602</v>
      </c>
      <c r="D1249" t="s">
        <v>1510</v>
      </c>
      <c r="E1249" t="s">
        <v>2189</v>
      </c>
      <c r="F1249" s="61"/>
      <c r="H1249" t="str">
        <f>ToJsonArray(supplementary_offering_legacyid__4[[#Headers],[offeringid]:[json]],supplementary_offering_legacyid__4[[#This Row],[offeringid]:[ignore]])</f>
        <v>{"offeringid":"990000687","name":"Paquete SMS 5.3 Empresarial","mode":"I"}</v>
      </c>
      <c r="I1249" t="str">
        <f>ToJsonArray(supplementary_offering_legacyid__4[[#This Row],[semilla04]],supplementary_offering_legacyid__4[[#This Row],[json]])</f>
        <v>{"17098470410":{"offeringid":"990000687","name":"Paquete SMS 5.3 Empresarial","mode":"I"}}</v>
      </c>
    </row>
    <row r="1250" spans="1:9" x14ac:dyDescent="0.25">
      <c r="A1250" s="60" t="s">
        <v>5603</v>
      </c>
      <c r="B1250" s="60" t="str">
        <f>findKey(supplementary_offering_legacyid__4[[#This Row],[PRODUCCION]])</f>
        <v>17098471922</v>
      </c>
      <c r="C1250" s="61" t="s">
        <v>5604</v>
      </c>
      <c r="D1250" t="s">
        <v>1504</v>
      </c>
      <c r="E1250" t="s">
        <v>2189</v>
      </c>
      <c r="F1250" s="61"/>
      <c r="H1250" t="str">
        <f>ToJsonArray(supplementary_offering_legacyid__4[[#Headers],[offeringid]:[json]],supplementary_offering_legacyid__4[[#This Row],[offeringid]:[ignore]])</f>
        <v>{"offeringid":"990000688","name":"Paquete Datos 5.3 Empresarial","mode":"I"}</v>
      </c>
      <c r="I1250" t="str">
        <f>ToJsonArray(supplementary_offering_legacyid__4[[#This Row],[semilla04]],supplementary_offering_legacyid__4[[#This Row],[json]])</f>
        <v>{"17098471922":{"offeringid":"990000688","name":"Paquete Datos 5.3 Empresarial","mode":"I"}}</v>
      </c>
    </row>
    <row r="1251" spans="1:9" x14ac:dyDescent="0.25">
      <c r="A1251" s="60" t="s">
        <v>5605</v>
      </c>
      <c r="B1251" s="60" t="str">
        <f>findKey(supplementary_offering_legacyid__4[[#This Row],[PRODUCCION]])</f>
        <v>17083123965</v>
      </c>
      <c r="C1251" s="61" t="s">
        <v>5606</v>
      </c>
      <c r="D1251" t="s">
        <v>1157</v>
      </c>
      <c r="E1251" t="s">
        <v>2189</v>
      </c>
      <c r="F1251" s="61"/>
      <c r="H1251" t="str">
        <f>ToJsonArray(supplementary_offering_legacyid__4[[#Headers],[offeringid]:[json]],supplementary_offering_legacyid__4[[#This Row],[offeringid]:[ignore]])</f>
        <v>{"offeringid":"990000689","name":"Paquete SMS M2M","mode":"I"}</v>
      </c>
      <c r="I1251" t="str">
        <f>ToJsonArray(supplementary_offering_legacyid__4[[#This Row],[semilla04]],supplementary_offering_legacyid__4[[#This Row],[json]])</f>
        <v>{"17083123965":{"offeringid":"990000689","name":"Paquete SMS M2M","mode":"I"}}</v>
      </c>
    </row>
    <row r="1252" spans="1:9" x14ac:dyDescent="0.25">
      <c r="A1252" s="60" t="s">
        <v>5607</v>
      </c>
      <c r="B1252" s="60" t="str">
        <f>findKey(supplementary_offering_legacyid__4[[#This Row],[PRODUCCION]])</f>
        <v>17083124723</v>
      </c>
      <c r="C1252" s="61" t="s">
        <v>5608</v>
      </c>
      <c r="D1252" t="s">
        <v>1158</v>
      </c>
      <c r="E1252" t="s">
        <v>2189</v>
      </c>
      <c r="F1252" s="61"/>
      <c r="H1252" t="str">
        <f>ToJsonArray(supplementary_offering_legacyid__4[[#Headers],[offeringid]:[json]],supplementary_offering_legacyid__4[[#This Row],[offeringid]:[ignore]])</f>
        <v>{"offeringid":"990000690","name":"Paquete Datos M2M","mode":"I"}</v>
      </c>
      <c r="I1252" t="str">
        <f>ToJsonArray(supplementary_offering_legacyid__4[[#This Row],[semilla04]],supplementary_offering_legacyid__4[[#This Row],[json]])</f>
        <v>{"17083124723":{"offeringid":"990000690","name":"Paquete Datos M2M","mode":"I"}}</v>
      </c>
    </row>
    <row r="1253" spans="1:9" x14ac:dyDescent="0.25">
      <c r="A1253" s="60" t="s">
        <v>5609</v>
      </c>
      <c r="B1253" s="60" t="str">
        <f>findKey(supplementary_offering_legacyid__4[[#This Row],[PRODUCCION]])</f>
        <v>990000691</v>
      </c>
      <c r="C1253" s="61" t="s">
        <v>5609</v>
      </c>
      <c r="D1253" t="s">
        <v>5610</v>
      </c>
      <c r="E1253" t="s">
        <v>2189</v>
      </c>
      <c r="F1253" s="61"/>
      <c r="H1253" t="str">
        <f>ToJsonArray(supplementary_offering_legacyid__4[[#Headers],[offeringid]:[json]],supplementary_offering_legacyid__4[[#This Row],[offeringid]:[ignore]])</f>
        <v>{"offeringid":"990000691","name":"Billing  Discount","mode":"I"}</v>
      </c>
      <c r="I1253" t="str">
        <f>ToJsonArray(supplementary_offering_legacyid__4[[#This Row],[semilla04]],supplementary_offering_legacyid__4[[#This Row],[json]])</f>
        <v>{"990000691":{"offeringid":"990000691","name":"Billing  Discount","mode":"I"}}</v>
      </c>
    </row>
    <row r="1254" spans="1:9" x14ac:dyDescent="0.25">
      <c r="A1254" s="60" t="s">
        <v>5611</v>
      </c>
      <c r="B1254" s="60" t="str">
        <f>findKey(supplementary_offering_legacyid__4[[#This Row],[PRODUCCION]])</f>
        <v>990000692</v>
      </c>
      <c r="C1254" s="61" t="s">
        <v>5611</v>
      </c>
      <c r="D1254" t="s">
        <v>5610</v>
      </c>
      <c r="E1254" t="s">
        <v>2189</v>
      </c>
      <c r="F1254" s="61"/>
      <c r="H1254" t="str">
        <f>ToJsonArray(supplementary_offering_legacyid__4[[#Headers],[offeringid]:[json]],supplementary_offering_legacyid__4[[#This Row],[offeringid]:[ignore]])</f>
        <v>{"offeringid":"990000692","name":"Billing  Discount","mode":"I"}</v>
      </c>
      <c r="I1254" t="str">
        <f>ToJsonArray(supplementary_offering_legacyid__4[[#This Row],[semilla04]],supplementary_offering_legacyid__4[[#This Row],[json]])</f>
        <v>{"990000692":{"offeringid":"990000692","name":"Billing  Discount","mode":"I"}}</v>
      </c>
    </row>
    <row r="1255" spans="1:9" x14ac:dyDescent="0.25">
      <c r="A1255" s="60" t="s">
        <v>5612</v>
      </c>
      <c r="B1255" s="60" t="str">
        <f>findKey(supplementary_offering_legacyid__4[[#This Row],[PRODUCCION]])</f>
        <v>990000693</v>
      </c>
      <c r="C1255" s="61" t="s">
        <v>5612</v>
      </c>
      <c r="D1255" t="s">
        <v>5610</v>
      </c>
      <c r="E1255" t="s">
        <v>2189</v>
      </c>
      <c r="F1255" s="61"/>
      <c r="H1255" t="str">
        <f>ToJsonArray(supplementary_offering_legacyid__4[[#Headers],[offeringid]:[json]],supplementary_offering_legacyid__4[[#This Row],[offeringid]:[ignore]])</f>
        <v>{"offeringid":"990000693","name":"Billing  Discount","mode":"I"}</v>
      </c>
      <c r="I1255" t="str">
        <f>ToJsonArray(supplementary_offering_legacyid__4[[#This Row],[semilla04]],supplementary_offering_legacyid__4[[#This Row],[json]])</f>
        <v>{"990000693":{"offeringid":"990000693","name":"Billing  Discount","mode":"I"}}</v>
      </c>
    </row>
    <row r="1256" spans="1:9" x14ac:dyDescent="0.25">
      <c r="A1256" s="60" t="s">
        <v>5613</v>
      </c>
      <c r="B1256" s="60" t="str">
        <f>findKey(supplementary_offering_legacyid__4[[#This Row],[PRODUCCION]])</f>
        <v>990000694</v>
      </c>
      <c r="C1256" s="61" t="s">
        <v>5613</v>
      </c>
      <c r="D1256" t="s">
        <v>5610</v>
      </c>
      <c r="E1256" t="s">
        <v>2189</v>
      </c>
      <c r="F1256" s="61"/>
      <c r="H1256" t="str">
        <f>ToJsonArray(supplementary_offering_legacyid__4[[#Headers],[offeringid]:[json]],supplementary_offering_legacyid__4[[#This Row],[offeringid]:[ignore]])</f>
        <v>{"offeringid":"990000694","name":"Billing  Discount","mode":"I"}</v>
      </c>
      <c r="I1256" t="str">
        <f>ToJsonArray(supplementary_offering_legacyid__4[[#This Row],[semilla04]],supplementary_offering_legacyid__4[[#This Row],[json]])</f>
        <v>{"990000694":{"offeringid":"990000694","name":"Billing  Discount","mode":"I"}}</v>
      </c>
    </row>
    <row r="1257" spans="1:9" x14ac:dyDescent="0.25">
      <c r="A1257" s="60" t="s">
        <v>5614</v>
      </c>
      <c r="B1257" s="60" t="str">
        <f>findKey(supplementary_offering_legacyid__4[[#This Row],[PRODUCCION]])</f>
        <v>990000695</v>
      </c>
      <c r="C1257" s="61" t="s">
        <v>5614</v>
      </c>
      <c r="D1257" t="s">
        <v>5610</v>
      </c>
      <c r="E1257" t="s">
        <v>2189</v>
      </c>
      <c r="F1257" s="61"/>
      <c r="H1257" t="str">
        <f>ToJsonArray(supplementary_offering_legacyid__4[[#Headers],[offeringid]:[json]],supplementary_offering_legacyid__4[[#This Row],[offeringid]:[ignore]])</f>
        <v>{"offeringid":"990000695","name":"Billing  Discount","mode":"I"}</v>
      </c>
      <c r="I1257" t="str">
        <f>ToJsonArray(supplementary_offering_legacyid__4[[#This Row],[semilla04]],supplementary_offering_legacyid__4[[#This Row],[json]])</f>
        <v>{"990000695":{"offeringid":"990000695","name":"Billing  Discount","mode":"I"}}</v>
      </c>
    </row>
    <row r="1258" spans="1:9" x14ac:dyDescent="0.25">
      <c r="A1258" s="60" t="s">
        <v>5615</v>
      </c>
      <c r="B1258" s="60" t="str">
        <f>findKey(supplementary_offering_legacyid__4[[#This Row],[PRODUCCION]])</f>
        <v>990000696</v>
      </c>
      <c r="C1258" s="61" t="s">
        <v>5615</v>
      </c>
      <c r="D1258" t="s">
        <v>5610</v>
      </c>
      <c r="E1258" t="s">
        <v>2189</v>
      </c>
      <c r="F1258" s="61"/>
      <c r="H1258" t="str">
        <f>ToJsonArray(supplementary_offering_legacyid__4[[#Headers],[offeringid]:[json]],supplementary_offering_legacyid__4[[#This Row],[offeringid]:[ignore]])</f>
        <v>{"offeringid":"990000696","name":"Billing  Discount","mode":"I"}</v>
      </c>
      <c r="I1258" t="str">
        <f>ToJsonArray(supplementary_offering_legacyid__4[[#This Row],[semilla04]],supplementary_offering_legacyid__4[[#This Row],[json]])</f>
        <v>{"990000696":{"offeringid":"990000696","name":"Billing  Discount","mode":"I"}}</v>
      </c>
    </row>
    <row r="1259" spans="1:9" x14ac:dyDescent="0.25">
      <c r="A1259" s="60" t="s">
        <v>5616</v>
      </c>
      <c r="B1259" s="60" t="str">
        <f>findKey(supplementary_offering_legacyid__4[[#This Row],[PRODUCCION]])</f>
        <v>990000697</v>
      </c>
      <c r="C1259" s="61" t="s">
        <v>5616</v>
      </c>
      <c r="D1259" t="s">
        <v>5610</v>
      </c>
      <c r="E1259" t="s">
        <v>2189</v>
      </c>
      <c r="F1259" s="61"/>
      <c r="H1259" t="str">
        <f>ToJsonArray(supplementary_offering_legacyid__4[[#Headers],[offeringid]:[json]],supplementary_offering_legacyid__4[[#This Row],[offeringid]:[ignore]])</f>
        <v>{"offeringid":"990000697","name":"Billing  Discount","mode":"I"}</v>
      </c>
      <c r="I1259" t="str">
        <f>ToJsonArray(supplementary_offering_legacyid__4[[#This Row],[semilla04]],supplementary_offering_legacyid__4[[#This Row],[json]])</f>
        <v>{"990000697":{"offeringid":"990000697","name":"Billing  Discount","mode":"I"}}</v>
      </c>
    </row>
    <row r="1260" spans="1:9" x14ac:dyDescent="0.25">
      <c r="A1260" s="60" t="s">
        <v>5617</v>
      </c>
      <c r="B1260" s="60" t="str">
        <f>findKey(supplementary_offering_legacyid__4[[#This Row],[PRODUCCION]])</f>
        <v>990000698</v>
      </c>
      <c r="C1260" s="61" t="s">
        <v>5617</v>
      </c>
      <c r="D1260" t="s">
        <v>5610</v>
      </c>
      <c r="E1260" t="s">
        <v>2189</v>
      </c>
      <c r="F1260" s="61"/>
      <c r="H1260" t="str">
        <f>ToJsonArray(supplementary_offering_legacyid__4[[#Headers],[offeringid]:[json]],supplementary_offering_legacyid__4[[#This Row],[offeringid]:[ignore]])</f>
        <v>{"offeringid":"990000698","name":"Billing  Discount","mode":"I"}</v>
      </c>
      <c r="I1260" t="str">
        <f>ToJsonArray(supplementary_offering_legacyid__4[[#This Row],[semilla04]],supplementary_offering_legacyid__4[[#This Row],[json]])</f>
        <v>{"990000698":{"offeringid":"990000698","name":"Billing  Discount","mode":"I"}}</v>
      </c>
    </row>
    <row r="1261" spans="1:9" x14ac:dyDescent="0.25">
      <c r="A1261" s="60" t="s">
        <v>5618</v>
      </c>
      <c r="B1261" s="60" t="str">
        <f>findKey(supplementary_offering_legacyid__4[[#This Row],[PRODUCCION]])</f>
        <v>990000699</v>
      </c>
      <c r="C1261" s="61" t="s">
        <v>5618</v>
      </c>
      <c r="D1261" t="s">
        <v>5610</v>
      </c>
      <c r="E1261" t="s">
        <v>2189</v>
      </c>
      <c r="F1261" s="61"/>
      <c r="H1261" t="str">
        <f>ToJsonArray(supplementary_offering_legacyid__4[[#Headers],[offeringid]:[json]],supplementary_offering_legacyid__4[[#This Row],[offeringid]:[ignore]])</f>
        <v>{"offeringid":"990000699","name":"Billing  Discount","mode":"I"}</v>
      </c>
      <c r="I1261" t="str">
        <f>ToJsonArray(supplementary_offering_legacyid__4[[#This Row],[semilla04]],supplementary_offering_legacyid__4[[#This Row],[json]])</f>
        <v>{"990000699":{"offeringid":"990000699","name":"Billing  Discount","mode":"I"}}</v>
      </c>
    </row>
    <row r="1262" spans="1:9" x14ac:dyDescent="0.25">
      <c r="A1262" s="60" t="s">
        <v>5619</v>
      </c>
      <c r="B1262" s="60" t="str">
        <f>findKey(supplementary_offering_legacyid__4[[#This Row],[PRODUCCION]])</f>
        <v>990000700</v>
      </c>
      <c r="C1262" s="61" t="s">
        <v>5619</v>
      </c>
      <c r="D1262" t="s">
        <v>5610</v>
      </c>
      <c r="E1262" t="s">
        <v>2189</v>
      </c>
      <c r="F1262" s="61"/>
      <c r="H1262" t="str">
        <f>ToJsonArray(supplementary_offering_legacyid__4[[#Headers],[offeringid]:[json]],supplementary_offering_legacyid__4[[#This Row],[offeringid]:[ignore]])</f>
        <v>{"offeringid":"990000700","name":"Billing  Discount","mode":"I"}</v>
      </c>
      <c r="I1262" t="str">
        <f>ToJsonArray(supplementary_offering_legacyid__4[[#This Row],[semilla04]],supplementary_offering_legacyid__4[[#This Row],[json]])</f>
        <v>{"990000700":{"offeringid":"990000700","name":"Billing  Discount","mode":"I"}}</v>
      </c>
    </row>
    <row r="1263" spans="1:9" x14ac:dyDescent="0.25">
      <c r="A1263" s="60" t="s">
        <v>5620</v>
      </c>
      <c r="B1263" s="60" t="str">
        <f>findKey(supplementary_offering_legacyid__4[[#This Row],[PRODUCCION]])</f>
        <v>990000701</v>
      </c>
      <c r="C1263" s="61" t="s">
        <v>5620</v>
      </c>
      <c r="D1263" t="s">
        <v>5610</v>
      </c>
      <c r="E1263" t="s">
        <v>2189</v>
      </c>
      <c r="F1263" s="61"/>
      <c r="H1263" t="str">
        <f>ToJsonArray(supplementary_offering_legacyid__4[[#Headers],[offeringid]:[json]],supplementary_offering_legacyid__4[[#This Row],[offeringid]:[ignore]])</f>
        <v>{"offeringid":"990000701","name":"Billing  Discount","mode":"I"}</v>
      </c>
      <c r="I1263" t="str">
        <f>ToJsonArray(supplementary_offering_legacyid__4[[#This Row],[semilla04]],supplementary_offering_legacyid__4[[#This Row],[json]])</f>
        <v>{"990000701":{"offeringid":"990000701","name":"Billing  Discount","mode":"I"}}</v>
      </c>
    </row>
    <row r="1264" spans="1:9" x14ac:dyDescent="0.25">
      <c r="A1264" s="60" t="s">
        <v>5621</v>
      </c>
      <c r="B1264" s="60" t="str">
        <f>findKey(supplementary_offering_legacyid__4[[#This Row],[PRODUCCION]])</f>
        <v>990000702</v>
      </c>
      <c r="C1264" s="61" t="s">
        <v>5621</v>
      </c>
      <c r="D1264" t="s">
        <v>5610</v>
      </c>
      <c r="E1264" t="s">
        <v>2189</v>
      </c>
      <c r="F1264" s="61"/>
      <c r="H1264" t="str">
        <f>ToJsonArray(supplementary_offering_legacyid__4[[#Headers],[offeringid]:[json]],supplementary_offering_legacyid__4[[#This Row],[offeringid]:[ignore]])</f>
        <v>{"offeringid":"990000702","name":"Billing  Discount","mode":"I"}</v>
      </c>
      <c r="I1264" t="str">
        <f>ToJsonArray(supplementary_offering_legacyid__4[[#This Row],[semilla04]],supplementary_offering_legacyid__4[[#This Row],[json]])</f>
        <v>{"990000702":{"offeringid":"990000702","name":"Billing  Discount","mode":"I"}}</v>
      </c>
    </row>
    <row r="1265" spans="1:9" x14ac:dyDescent="0.25">
      <c r="A1265" s="60" t="s">
        <v>5622</v>
      </c>
      <c r="B1265" s="60" t="str">
        <f>findKey(supplementary_offering_legacyid__4[[#This Row],[PRODUCCION]])</f>
        <v>990000703</v>
      </c>
      <c r="C1265" s="61" t="s">
        <v>5622</v>
      </c>
      <c r="D1265" t="s">
        <v>5610</v>
      </c>
      <c r="E1265" t="s">
        <v>2189</v>
      </c>
      <c r="F1265" s="61"/>
      <c r="H1265" t="str">
        <f>ToJsonArray(supplementary_offering_legacyid__4[[#Headers],[offeringid]:[json]],supplementary_offering_legacyid__4[[#This Row],[offeringid]:[ignore]])</f>
        <v>{"offeringid":"990000703","name":"Billing  Discount","mode":"I"}</v>
      </c>
      <c r="I1265" t="str">
        <f>ToJsonArray(supplementary_offering_legacyid__4[[#This Row],[semilla04]],supplementary_offering_legacyid__4[[#This Row],[json]])</f>
        <v>{"990000703":{"offeringid":"990000703","name":"Billing  Discount","mode":"I"}}</v>
      </c>
    </row>
    <row r="1266" spans="1:9" x14ac:dyDescent="0.25">
      <c r="A1266" s="60" t="s">
        <v>5623</v>
      </c>
      <c r="B1266" s="60" t="str">
        <f>findKey(supplementary_offering_legacyid__4[[#This Row],[PRODUCCION]])</f>
        <v>990000704</v>
      </c>
      <c r="C1266" s="61" t="s">
        <v>5623</v>
      </c>
      <c r="D1266" t="s">
        <v>5610</v>
      </c>
      <c r="E1266" t="s">
        <v>2189</v>
      </c>
      <c r="F1266" s="61"/>
      <c r="H1266" t="str">
        <f>ToJsonArray(supplementary_offering_legacyid__4[[#Headers],[offeringid]:[json]],supplementary_offering_legacyid__4[[#This Row],[offeringid]:[ignore]])</f>
        <v>{"offeringid":"990000704","name":"Billing  Discount","mode":"I"}</v>
      </c>
      <c r="I1266" t="str">
        <f>ToJsonArray(supplementary_offering_legacyid__4[[#This Row],[semilla04]],supplementary_offering_legacyid__4[[#This Row],[json]])</f>
        <v>{"990000704":{"offeringid":"990000704","name":"Billing  Discount","mode":"I"}}</v>
      </c>
    </row>
    <row r="1267" spans="1:9" x14ac:dyDescent="0.25">
      <c r="A1267" s="60" t="s">
        <v>5624</v>
      </c>
      <c r="B1267" s="60" t="str">
        <f>findKey(supplementary_offering_legacyid__4[[#This Row],[PRODUCCION]])</f>
        <v>990000705</v>
      </c>
      <c r="C1267" s="61" t="s">
        <v>5624</v>
      </c>
      <c r="D1267" t="s">
        <v>5610</v>
      </c>
      <c r="E1267" t="s">
        <v>2189</v>
      </c>
      <c r="F1267" s="61"/>
      <c r="H1267" t="str">
        <f>ToJsonArray(supplementary_offering_legacyid__4[[#Headers],[offeringid]:[json]],supplementary_offering_legacyid__4[[#This Row],[offeringid]:[ignore]])</f>
        <v>{"offeringid":"990000705","name":"Billing  Discount","mode":"I"}</v>
      </c>
      <c r="I1267" t="str">
        <f>ToJsonArray(supplementary_offering_legacyid__4[[#This Row],[semilla04]],supplementary_offering_legacyid__4[[#This Row],[json]])</f>
        <v>{"990000705":{"offeringid":"990000705","name":"Billing  Discount","mode":"I"}}</v>
      </c>
    </row>
    <row r="1268" spans="1:9" x14ac:dyDescent="0.25">
      <c r="A1268" s="60" t="s">
        <v>5625</v>
      </c>
      <c r="B1268" s="60" t="str">
        <f>findKey(supplementary_offering_legacyid__4[[#This Row],[PRODUCCION]])</f>
        <v>990000706</v>
      </c>
      <c r="C1268" s="61" t="s">
        <v>5625</v>
      </c>
      <c r="D1268" t="s">
        <v>5610</v>
      </c>
      <c r="E1268" t="s">
        <v>2189</v>
      </c>
      <c r="F1268" s="61"/>
      <c r="H1268" t="str">
        <f>ToJsonArray(supplementary_offering_legacyid__4[[#Headers],[offeringid]:[json]],supplementary_offering_legacyid__4[[#This Row],[offeringid]:[ignore]])</f>
        <v>{"offeringid":"990000706","name":"Billing  Discount","mode":"I"}</v>
      </c>
      <c r="I1268" t="str">
        <f>ToJsonArray(supplementary_offering_legacyid__4[[#This Row],[semilla04]],supplementary_offering_legacyid__4[[#This Row],[json]])</f>
        <v>{"990000706":{"offeringid":"990000706","name":"Billing  Discount","mode":"I"}}</v>
      </c>
    </row>
    <row r="1269" spans="1:9" x14ac:dyDescent="0.25">
      <c r="A1269" s="60" t="s">
        <v>5626</v>
      </c>
      <c r="B1269" s="60" t="str">
        <f>findKey(supplementary_offering_legacyid__4[[#This Row],[PRODUCCION]])</f>
        <v>990000707</v>
      </c>
      <c r="C1269" s="61" t="s">
        <v>5626</v>
      </c>
      <c r="D1269" t="s">
        <v>5610</v>
      </c>
      <c r="E1269" t="s">
        <v>2189</v>
      </c>
      <c r="F1269" s="61"/>
      <c r="H1269" t="str">
        <f>ToJsonArray(supplementary_offering_legacyid__4[[#Headers],[offeringid]:[json]],supplementary_offering_legacyid__4[[#This Row],[offeringid]:[ignore]])</f>
        <v>{"offeringid":"990000707","name":"Billing  Discount","mode":"I"}</v>
      </c>
      <c r="I1269" t="str">
        <f>ToJsonArray(supplementary_offering_legacyid__4[[#This Row],[semilla04]],supplementary_offering_legacyid__4[[#This Row],[json]])</f>
        <v>{"990000707":{"offeringid":"990000707","name":"Billing  Discount","mode":"I"}}</v>
      </c>
    </row>
    <row r="1270" spans="1:9" x14ac:dyDescent="0.25">
      <c r="A1270" s="60" t="s">
        <v>5627</v>
      </c>
      <c r="B1270" s="60" t="str">
        <f>findKey(supplementary_offering_legacyid__4[[#This Row],[PRODUCCION]])</f>
        <v>990000708</v>
      </c>
      <c r="C1270" s="61" t="s">
        <v>5627</v>
      </c>
      <c r="D1270" t="s">
        <v>5610</v>
      </c>
      <c r="E1270" t="s">
        <v>2189</v>
      </c>
      <c r="F1270" s="61"/>
      <c r="H1270" t="str">
        <f>ToJsonArray(supplementary_offering_legacyid__4[[#Headers],[offeringid]:[json]],supplementary_offering_legacyid__4[[#This Row],[offeringid]:[ignore]])</f>
        <v>{"offeringid":"990000708","name":"Billing  Discount","mode":"I"}</v>
      </c>
      <c r="I1270" t="str">
        <f>ToJsonArray(supplementary_offering_legacyid__4[[#This Row],[semilla04]],supplementary_offering_legacyid__4[[#This Row],[json]])</f>
        <v>{"990000708":{"offeringid":"990000708","name":"Billing  Discount","mode":"I"}}</v>
      </c>
    </row>
    <row r="1271" spans="1:9" x14ac:dyDescent="0.25">
      <c r="A1271" s="60" t="s">
        <v>5628</v>
      </c>
      <c r="B1271" s="60" t="str">
        <f>findKey(supplementary_offering_legacyid__4[[#This Row],[PRODUCCION]])</f>
        <v>990000709</v>
      </c>
      <c r="C1271" s="61" t="s">
        <v>5628</v>
      </c>
      <c r="D1271" t="s">
        <v>5610</v>
      </c>
      <c r="E1271" t="s">
        <v>2189</v>
      </c>
      <c r="F1271" s="61"/>
      <c r="H1271" t="str">
        <f>ToJsonArray(supplementary_offering_legacyid__4[[#Headers],[offeringid]:[json]],supplementary_offering_legacyid__4[[#This Row],[offeringid]:[ignore]])</f>
        <v>{"offeringid":"990000709","name":"Billing  Discount","mode":"I"}</v>
      </c>
      <c r="I1271" t="str">
        <f>ToJsonArray(supplementary_offering_legacyid__4[[#This Row],[semilla04]],supplementary_offering_legacyid__4[[#This Row],[json]])</f>
        <v>{"990000709":{"offeringid":"990000709","name":"Billing  Discount","mode":"I"}}</v>
      </c>
    </row>
    <row r="1272" spans="1:9" x14ac:dyDescent="0.25">
      <c r="A1272" s="60" t="s">
        <v>5629</v>
      </c>
      <c r="B1272" s="60" t="str">
        <f>findKey(supplementary_offering_legacyid__4[[#This Row],[PRODUCCION]])</f>
        <v>17085739477</v>
      </c>
      <c r="C1272" s="61" t="s">
        <v>5630</v>
      </c>
      <c r="D1272" t="s">
        <v>1183</v>
      </c>
      <c r="E1272" t="s">
        <v>2189</v>
      </c>
      <c r="F1272" s="61"/>
      <c r="H1272" t="str">
        <f>ToJsonArray(supplementary_offering_legacyid__4[[#Headers],[offeringid]:[json]],supplementary_offering_legacyid__4[[#This Row],[offeringid]:[ignore]])</f>
        <v>{"offeringid":"990000266","name":"Paquete 3GB 6 meses","mode":"I"}</v>
      </c>
      <c r="I1272" t="str">
        <f>ToJsonArray(supplementary_offering_legacyid__4[[#This Row],[semilla04]],supplementary_offering_legacyid__4[[#This Row],[json]])</f>
        <v>{"17085739477":{"offeringid":"990000266","name":"Paquete 3GB 6 meses","mode":"I"}}</v>
      </c>
    </row>
    <row r="1273" spans="1:9" x14ac:dyDescent="0.25">
      <c r="A1273" s="60" t="s">
        <v>5631</v>
      </c>
      <c r="B1273" s="60" t="str">
        <f>findKey(supplementary_offering_legacyid__4[[#This Row],[PRODUCCION]])</f>
        <v>17083126936</v>
      </c>
      <c r="C1273" s="61" t="s">
        <v>5632</v>
      </c>
      <c r="D1273" t="s">
        <v>1691</v>
      </c>
      <c r="E1273" t="s">
        <v>2189</v>
      </c>
      <c r="F1273" s="61"/>
      <c r="H1273" t="str">
        <f>ToJsonArray(supplementary_offering_legacyid__4[[#Headers],[offeringid]:[json]],supplementary_offering_legacyid__4[[#This Row],[offeringid]:[ignore]])</f>
        <v>{"offeringid":"990000264","name":"SEGURO RANGO ALTO pospago","mode":"I"}</v>
      </c>
      <c r="I1273" t="str">
        <f>ToJsonArray(supplementary_offering_legacyid__4[[#This Row],[semilla04]],supplementary_offering_legacyid__4[[#This Row],[json]])</f>
        <v>{"17083126936":{"offeringid":"990000264","name":"SEGURO RANGO ALTO pospago","mode":"I"}}</v>
      </c>
    </row>
    <row r="1274" spans="1:9" x14ac:dyDescent="0.25">
      <c r="A1274" s="60" t="s">
        <v>5633</v>
      </c>
      <c r="B1274" s="60" t="str">
        <f>findKey(supplementary_offering_legacyid__4[[#This Row],[PRODUCCION]])</f>
        <v>17083129624</v>
      </c>
      <c r="C1274" s="61" t="s">
        <v>5634</v>
      </c>
      <c r="D1274" t="s">
        <v>1697</v>
      </c>
      <c r="E1274" t="s">
        <v>2189</v>
      </c>
      <c r="F1274" s="61"/>
      <c r="H1274" t="str">
        <f>ToJsonArray(supplementary_offering_legacyid__4[[#Headers],[offeringid]:[json]],supplementary_offering_legacyid__4[[#This Row],[offeringid]:[ignore]])</f>
        <v>{"offeringid":"990000262","name":"SEGURO RANGO BAJO pospago","mode":"I"}</v>
      </c>
      <c r="I1274" t="str">
        <f>ToJsonArray(supplementary_offering_legacyid__4[[#This Row],[semilla04]],supplementary_offering_legacyid__4[[#This Row],[json]])</f>
        <v>{"17083129624":{"offeringid":"990000262","name":"SEGURO RANGO BAJO pospago","mode":"I"}}</v>
      </c>
    </row>
    <row r="1275" spans="1:9" x14ac:dyDescent="0.25">
      <c r="A1275" s="60" t="s">
        <v>5635</v>
      </c>
      <c r="B1275" s="60" t="str">
        <f>findKey(supplementary_offering_legacyid__4[[#This Row],[PRODUCCION]])</f>
        <v>17083125860</v>
      </c>
      <c r="C1275" s="61" t="s">
        <v>5636</v>
      </c>
      <c r="D1275" t="s">
        <v>1707</v>
      </c>
      <c r="E1275" t="s">
        <v>2189</v>
      </c>
      <c r="F1275" s="61"/>
      <c r="H1275" t="str">
        <f>ToJsonArray(supplementary_offering_legacyid__4[[#Headers],[offeringid]:[json]],supplementary_offering_legacyid__4[[#This Row],[offeringid]:[ignore]])</f>
        <v>{"offeringid":"990000263","name":"SEGURO RANGO MEDIO pospago","mode":"I"}</v>
      </c>
      <c r="I1275" t="str">
        <f>ToJsonArray(supplementary_offering_legacyid__4[[#This Row],[semilla04]],supplementary_offering_legacyid__4[[#This Row],[json]])</f>
        <v>{"17083125860":{"offeringid":"990000263","name":"SEGURO RANGO MEDIO pospago","mode":"I"}}</v>
      </c>
    </row>
    <row r="1276" spans="1:9" x14ac:dyDescent="0.25">
      <c r="A1276" s="60" t="s">
        <v>5637</v>
      </c>
      <c r="B1276" s="60" t="str">
        <f>findKey(supplementary_offering_legacyid__4[[#This Row],[PRODUCCION]])</f>
        <v>17083090268</v>
      </c>
      <c r="C1276" s="61" t="s">
        <v>5638</v>
      </c>
      <c r="D1276" t="s">
        <v>1959</v>
      </c>
      <c r="E1276" t="s">
        <v>2189</v>
      </c>
      <c r="F1276" s="61"/>
      <c r="H1276" t="str">
        <f>ToJsonArray(supplementary_offering_legacyid__4[[#Headers],[offeringid]:[json]],supplementary_offering_legacyid__4[[#This Row],[offeringid]:[ignore]])</f>
        <v>{"offeringid":"990000265","name":"SEGURO RANGO DE LUJO pospago","mode":"I"}</v>
      </c>
      <c r="I1276" t="str">
        <f>ToJsonArray(supplementary_offering_legacyid__4[[#This Row],[semilla04]],supplementary_offering_legacyid__4[[#This Row],[json]])</f>
        <v>{"17083090268":{"offeringid":"990000265","name":"SEGURO RANGO DE LUJO pospago","mode":"I"}}</v>
      </c>
    </row>
    <row r="1277" spans="1:9" x14ac:dyDescent="0.25">
      <c r="A1277" s="60" t="s">
        <v>5639</v>
      </c>
      <c r="B1277" s="60" t="str">
        <f>findKey(supplementary_offering_legacyid__4[[#This Row],[PRODUCCION]])</f>
        <v>17101201623</v>
      </c>
      <c r="C1277" s="61" t="s">
        <v>5640</v>
      </c>
      <c r="D1277" t="s">
        <v>188</v>
      </c>
      <c r="E1277" t="s">
        <v>2189</v>
      </c>
      <c r="F1277" s="61" t="s">
        <v>5640</v>
      </c>
      <c r="H1277" t="str">
        <f>ToJsonArray(supplementary_offering_legacyid__4[[#Headers],[offeringid]:[json]],supplementary_offering_legacyid__4[[#This Row],[offeringid]:[ignore]])</f>
        <v>{"offeringid":"990001057","name":"Prom 550MIN TD,SMS TD y Voz a Tigo infinito,2 GB WA+Mail+FB P1","mode":"I","offeringidATP":"990001057"}</v>
      </c>
      <c r="I1277" t="str">
        <f>ToJsonArray(supplementary_offering_legacyid__4[[#This Row],[semilla04]],supplementary_offering_legacyid__4[[#This Row],[json]])</f>
        <v>{"17101201623":{"offeringid":"990001057","name":"Prom 550MIN TD,SMS TD y Voz a Tigo infinito,2 GB WA+Mail+FB P1","mode":"I","offeringidATP":"990001057"}}</v>
      </c>
    </row>
    <row r="1278" spans="1:9" x14ac:dyDescent="0.25">
      <c r="A1278" s="60" t="s">
        <v>5641</v>
      </c>
      <c r="B1278" s="60" t="str">
        <f>findKey(supplementary_offering_legacyid__4[[#This Row],[PRODUCCION]])</f>
        <v>17101204695</v>
      </c>
      <c r="C1278" s="61" t="s">
        <v>5642</v>
      </c>
      <c r="D1278" t="s">
        <v>190</v>
      </c>
      <c r="E1278" t="s">
        <v>2189</v>
      </c>
      <c r="F1278" s="61" t="s">
        <v>5642</v>
      </c>
      <c r="H1278" t="str">
        <f>ToJsonArray(supplementary_offering_legacyid__4[[#Headers],[offeringid]:[json]],supplementary_offering_legacyid__4[[#This Row],[offeringid]:[ignore]])</f>
        <v>{"offeringid":"990001059","name":"Prom 550MIN TD,SMS TD y Voz a Tigo infinito,2 GB WA+Mail+FB P2","mode":"I","offeringidATP":"990001059"}</v>
      </c>
      <c r="I1278" t="str">
        <f>ToJsonArray(supplementary_offering_legacyid__4[[#This Row],[semilla04]],supplementary_offering_legacyid__4[[#This Row],[json]])</f>
        <v>{"17101204695":{"offeringid":"990001059","name":"Prom 550MIN TD,SMS TD y Voz a Tigo infinito,2 GB WA+Mail+FB P2","mode":"I","offeringidATP":"990001059"}}</v>
      </c>
    </row>
    <row r="1279" spans="1:9" x14ac:dyDescent="0.25">
      <c r="A1279" s="60" t="s">
        <v>5643</v>
      </c>
      <c r="B1279" s="60" t="str">
        <f>findKey(supplementary_offering_legacyid__4[[#This Row],[PRODUCCION]])</f>
        <v>17101203159</v>
      </c>
      <c r="C1279" s="61" t="s">
        <v>5644</v>
      </c>
      <c r="D1279" t="s">
        <v>191</v>
      </c>
      <c r="E1279" t="s">
        <v>2189</v>
      </c>
      <c r="F1279" s="61" t="s">
        <v>5644</v>
      </c>
      <c r="H1279" t="str">
        <f>ToJsonArray(supplementary_offering_legacyid__4[[#Headers],[offeringid]:[json]],supplementary_offering_legacyid__4[[#This Row],[offeringid]:[ignore]])</f>
        <v>{"offeringid":"990001058","name":"Prom 550MIN TD,SMS TD y Voz a Tigo infinito,2 GB WA+Mail+FB P3","mode":"I","offeringidATP":"990001058"}</v>
      </c>
      <c r="I1279" t="str">
        <f>ToJsonArray(supplementary_offering_legacyid__4[[#This Row],[semilla04]],supplementary_offering_legacyid__4[[#This Row],[json]])</f>
        <v>{"17101203159":{"offeringid":"990001058","name":"Prom 550MIN TD,SMS TD y Voz a Tigo infinito,2 GB WA+Mail+FB P3","mode":"I","offeringidATP":"990001058"}}</v>
      </c>
    </row>
    <row r="1280" spans="1:9" x14ac:dyDescent="0.25">
      <c r="A1280" s="60" t="s">
        <v>5645</v>
      </c>
      <c r="B1280" s="60" t="str">
        <f>findKey(supplementary_offering_legacyid__4[[#This Row],[PRODUCCION]])</f>
        <v>17083124756</v>
      </c>
      <c r="C1280" s="61" t="s">
        <v>5646</v>
      </c>
      <c r="D1280" t="s">
        <v>329</v>
      </c>
      <c r="E1280" t="s">
        <v>2189</v>
      </c>
      <c r="F1280" s="61" t="s">
        <v>5646</v>
      </c>
      <c r="H1280" t="str">
        <f>ToJsonArray(supplementary_offering_legacyid__4[[#Headers],[offeringid]:[json]],supplementary_offering_legacyid__4[[#This Row],[offeringid]:[ignore]])</f>
        <v>{"offeringid":"990000993","name":"PQT Corp SMS Todo Destino 30","mode":"I","offeringidATP":"990000993"}</v>
      </c>
      <c r="I1280" t="str">
        <f>ToJsonArray(supplementary_offering_legacyid__4[[#This Row],[semilla04]],supplementary_offering_legacyid__4[[#This Row],[json]])</f>
        <v>{"17083124756":{"offeringid":"990000993","name":"PQT Corp SMS Todo Destino 30","mode":"I","offeringidATP":"990000993"}}</v>
      </c>
    </row>
    <row r="1281" spans="1:9" x14ac:dyDescent="0.25">
      <c r="A1281" s="60" t="s">
        <v>5647</v>
      </c>
      <c r="B1281" s="60" t="str">
        <f>findKey(supplementary_offering_legacyid__4[[#This Row],[PRODUCCION]])</f>
        <v>17083123308</v>
      </c>
      <c r="C1281" s="61" t="s">
        <v>5648</v>
      </c>
      <c r="D1281" t="s">
        <v>330</v>
      </c>
      <c r="E1281" t="s">
        <v>2189</v>
      </c>
      <c r="F1281" s="61" t="s">
        <v>5648</v>
      </c>
      <c r="H1281" t="str">
        <f>ToJsonArray(supplementary_offering_legacyid__4[[#Headers],[offeringid]:[json]],supplementary_offering_legacyid__4[[#This Row],[offeringid]:[ignore]])</f>
        <v>{"offeringid":"990000992","name":"PQT Corp SMS Todo Destino 100","mode":"I","offeringidATP":"990000992"}</v>
      </c>
      <c r="I1281" t="str">
        <f>ToJsonArray(supplementary_offering_legacyid__4[[#This Row],[semilla04]],supplementary_offering_legacyid__4[[#This Row],[json]])</f>
        <v>{"17083123308":{"offeringid":"990000992","name":"PQT Corp SMS Todo Destino 100","mode":"I","offeringidATP":"990000992"}}</v>
      </c>
    </row>
    <row r="1282" spans="1:9" x14ac:dyDescent="0.25">
      <c r="A1282" s="60" t="s">
        <v>5649</v>
      </c>
      <c r="B1282" s="60" t="str">
        <f>findKey(supplementary_offering_legacyid__4[[#This Row],[PRODUCCION]])</f>
        <v>17083092972</v>
      </c>
      <c r="C1282" s="61" t="s">
        <v>5650</v>
      </c>
      <c r="D1282" t="s">
        <v>414</v>
      </c>
      <c r="E1282" t="s">
        <v>2189</v>
      </c>
      <c r="F1282" s="61" t="s">
        <v>5650</v>
      </c>
      <c r="H1282" t="str">
        <f>ToJsonArray(supplementary_offering_legacyid__4[[#Headers],[offeringid]:[json]],supplementary_offering_legacyid__4[[#This Row],[offeringid]:[ignore]])</f>
        <v>{"offeringid":"990000991","name":"PQT Corp SMS Tigo 50","mode":"I","offeringidATP":"990000991"}</v>
      </c>
      <c r="I1282" t="str">
        <f>ToJsonArray(supplementary_offering_legacyid__4[[#This Row],[semilla04]],supplementary_offering_legacyid__4[[#This Row],[json]])</f>
        <v>{"17083092972":{"offeringid":"990000991","name":"PQT Corp SMS Tigo 50","mode":"I","offeringidATP":"990000991"}}</v>
      </c>
    </row>
    <row r="1283" spans="1:9" x14ac:dyDescent="0.25">
      <c r="A1283" s="60" t="s">
        <v>5651</v>
      </c>
      <c r="B1283" s="60" t="str">
        <f>findKey(supplementary_offering_legacyid__4[[#This Row],[PRODUCCION]])</f>
        <v>17083126712</v>
      </c>
      <c r="C1283" s="61" t="s">
        <v>5652</v>
      </c>
      <c r="D1283" t="s">
        <v>436</v>
      </c>
      <c r="E1283" t="s">
        <v>2189</v>
      </c>
      <c r="F1283" s="61" t="s">
        <v>5652</v>
      </c>
      <c r="H1283" t="str">
        <f>ToJsonArray(supplementary_offering_legacyid__4[[#Headers],[offeringid]:[json]],supplementary_offering_legacyid__4[[#This Row],[offeringid]:[ignore]])</f>
        <v>{"offeringid":"990001009","name":"PQT Corp Tigo 1100","mode":"I","offeringidATP":"990001009"}</v>
      </c>
      <c r="I1283" t="str">
        <f>ToJsonArray(supplementary_offering_legacyid__4[[#This Row],[semilla04]],supplementary_offering_legacyid__4[[#This Row],[json]])</f>
        <v>{"17083126712":{"offeringid":"990001009","name":"PQT Corp Tigo 1100","mode":"I","offeringidATP":"990001009"}}</v>
      </c>
    </row>
    <row r="1284" spans="1:9" x14ac:dyDescent="0.25">
      <c r="A1284" s="60" t="s">
        <v>5653</v>
      </c>
      <c r="B1284" s="60" t="str">
        <f>findKey(supplementary_offering_legacyid__4[[#This Row],[PRODUCCION]])</f>
        <v>17083128248</v>
      </c>
      <c r="C1284" s="61" t="s">
        <v>5654</v>
      </c>
      <c r="D1284" t="s">
        <v>437</v>
      </c>
      <c r="E1284" t="s">
        <v>2189</v>
      </c>
      <c r="F1284" s="61" t="s">
        <v>5654</v>
      </c>
      <c r="H1284" t="str">
        <f>ToJsonArray(supplementary_offering_legacyid__4[[#Headers],[offeringid]:[json]],supplementary_offering_legacyid__4[[#This Row],[offeringid]:[ignore]])</f>
        <v>{"offeringid":"990001017","name":"PQT Corp Tigo 1300","mode":"I","offeringidATP":"990001017"}</v>
      </c>
      <c r="I1284" t="str">
        <f>ToJsonArray(supplementary_offering_legacyid__4[[#This Row],[semilla04]],supplementary_offering_legacyid__4[[#This Row],[json]])</f>
        <v>{"17083128248":{"offeringid":"990001017","name":"PQT Corp Tigo 1300","mode":"I","offeringidATP":"990001017"}}</v>
      </c>
    </row>
    <row r="1285" spans="1:9" x14ac:dyDescent="0.25">
      <c r="A1285" s="60" t="s">
        <v>5655</v>
      </c>
      <c r="B1285" s="60" t="str">
        <f>findKey(supplementary_offering_legacyid__4[[#This Row],[PRODUCCION]])</f>
        <v>17083127480</v>
      </c>
      <c r="C1285" s="61" t="s">
        <v>5656</v>
      </c>
      <c r="D1285" t="s">
        <v>438</v>
      </c>
      <c r="E1285" t="s">
        <v>2189</v>
      </c>
      <c r="F1285" s="61" t="s">
        <v>5656</v>
      </c>
      <c r="H1285" t="str">
        <f>ToJsonArray(supplementary_offering_legacyid__4[[#Headers],[offeringid]:[json]],supplementary_offering_legacyid__4[[#This Row],[offeringid]:[ignore]])</f>
        <v>{"offeringid":"990001007","name":"PQT Corp Tigo 1500","mode":"I","offeringidATP":"990001007"}</v>
      </c>
      <c r="I1285" t="str">
        <f>ToJsonArray(supplementary_offering_legacyid__4[[#This Row],[semilla04]],supplementary_offering_legacyid__4[[#This Row],[json]])</f>
        <v>{"17083127480":{"offeringid":"990001007","name":"PQT Corp Tigo 1500","mode":"I","offeringidATP":"990001007"}}</v>
      </c>
    </row>
    <row r="1286" spans="1:9" x14ac:dyDescent="0.25">
      <c r="A1286" s="60" t="s">
        <v>5657</v>
      </c>
      <c r="B1286" s="60" t="str">
        <f>findKey(supplementary_offering_legacyid__4[[#This Row],[PRODUCCION]])</f>
        <v>17083129016</v>
      </c>
      <c r="C1286" s="61" t="s">
        <v>5658</v>
      </c>
      <c r="D1286" t="s">
        <v>439</v>
      </c>
      <c r="E1286" t="s">
        <v>2189</v>
      </c>
      <c r="F1286" s="61" t="s">
        <v>5658</v>
      </c>
      <c r="H1286" t="str">
        <f>ToJsonArray(supplementary_offering_legacyid__4[[#Headers],[offeringid]:[json]],supplementary_offering_legacyid__4[[#This Row],[offeringid]:[ignore]])</f>
        <v>{"offeringid":"990001020","name":"PQT Corp Tigo 1700","mode":"I","offeringidATP":"990001020"}</v>
      </c>
      <c r="I1286" t="str">
        <f>ToJsonArray(supplementary_offering_legacyid__4[[#This Row],[semilla04]],supplementary_offering_legacyid__4[[#This Row],[json]])</f>
        <v>{"17083129016":{"offeringid":"990001020","name":"PQT Corp Tigo 1700","mode":"I","offeringidATP":"990001020"}}</v>
      </c>
    </row>
    <row r="1287" spans="1:9" x14ac:dyDescent="0.25">
      <c r="A1287" s="60" t="s">
        <v>5659</v>
      </c>
      <c r="B1287" s="60" t="str">
        <f>findKey(supplementary_offering_legacyid__4[[#This Row],[PRODUCCION]])</f>
        <v>17083125944</v>
      </c>
      <c r="C1287" s="61" t="s">
        <v>5660</v>
      </c>
      <c r="D1287" t="s">
        <v>440</v>
      </c>
      <c r="E1287" t="s">
        <v>2189</v>
      </c>
      <c r="F1287" s="61" t="s">
        <v>5660</v>
      </c>
      <c r="H1287" t="str">
        <f>ToJsonArray(supplementary_offering_legacyid__4[[#Headers],[offeringid]:[json]],supplementary_offering_legacyid__4[[#This Row],[offeringid]:[ignore]])</f>
        <v>{"offeringid":"990001014","name":"PQT Corp Tigo 2000","mode":"I","offeringidATP":"990001014"}</v>
      </c>
      <c r="I1287" t="str">
        <f>ToJsonArray(supplementary_offering_legacyid__4[[#This Row],[semilla04]],supplementary_offering_legacyid__4[[#This Row],[json]])</f>
        <v>{"17083125944":{"offeringid":"990001014","name":"PQT Corp Tigo 2000","mode":"I","offeringidATP":"990001014"}}</v>
      </c>
    </row>
    <row r="1288" spans="1:9" x14ac:dyDescent="0.25">
      <c r="A1288" s="60" t="s">
        <v>5661</v>
      </c>
      <c r="B1288" s="60" t="str">
        <f>findKey(supplementary_offering_legacyid__4[[#This Row],[PRODUCCION]])</f>
        <v>17083128632</v>
      </c>
      <c r="C1288" s="61" t="s">
        <v>5662</v>
      </c>
      <c r="D1288" t="s">
        <v>441</v>
      </c>
      <c r="E1288" t="s">
        <v>2189</v>
      </c>
      <c r="F1288" s="61" t="s">
        <v>5662</v>
      </c>
      <c r="H1288" t="str">
        <f>ToJsonArray(supplementary_offering_legacyid__4[[#Headers],[offeringid]:[json]],supplementary_offering_legacyid__4[[#This Row],[offeringid]:[ignore]])</f>
        <v>{"offeringid":"990001015","name":"PQT Corp Tigo 2200","mode":"I","offeringidATP":"990001015"}</v>
      </c>
      <c r="I1288" t="str">
        <f>ToJsonArray(supplementary_offering_legacyid__4[[#This Row],[semilla04]],supplementary_offering_legacyid__4[[#This Row],[json]])</f>
        <v>{"17083128632":{"offeringid":"990001015","name":"PQT Corp Tigo 2200","mode":"I","offeringidATP":"990001015"}}</v>
      </c>
    </row>
    <row r="1289" spans="1:9" x14ac:dyDescent="0.25">
      <c r="A1289" s="60" t="s">
        <v>5663</v>
      </c>
      <c r="B1289" s="60" t="str">
        <f>findKey(supplementary_offering_legacyid__4[[#This Row],[PRODUCCION]])</f>
        <v>17083127096</v>
      </c>
      <c r="C1289" s="61" t="s">
        <v>5664</v>
      </c>
      <c r="D1289" t="s">
        <v>442</v>
      </c>
      <c r="E1289" t="s">
        <v>2189</v>
      </c>
      <c r="F1289" s="61" t="s">
        <v>5664</v>
      </c>
      <c r="H1289" t="str">
        <f>ToJsonArray(supplementary_offering_legacyid__4[[#Headers],[offeringid]:[json]],supplementary_offering_legacyid__4[[#This Row],[offeringid]:[ignore]])</f>
        <v>{"offeringid":"990001008","name":"PQT Corp Tigo 2450","mode":"I","offeringidATP":"990001008"}</v>
      </c>
      <c r="I1289" t="str">
        <f>ToJsonArray(supplementary_offering_legacyid__4[[#This Row],[semilla04]],supplementary_offering_legacyid__4[[#This Row],[json]])</f>
        <v>{"17083127096":{"offeringid":"990001008","name":"PQT Corp Tigo 2450","mode":"I","offeringidATP":"990001008"}}</v>
      </c>
    </row>
    <row r="1290" spans="1:9" x14ac:dyDescent="0.25">
      <c r="A1290" s="60" t="s">
        <v>5665</v>
      </c>
      <c r="B1290" s="60" t="str">
        <f>findKey(supplementary_offering_legacyid__4[[#This Row],[PRODUCCION]])</f>
        <v>17083129400</v>
      </c>
      <c r="C1290" s="61" t="s">
        <v>5666</v>
      </c>
      <c r="D1290" t="s">
        <v>443</v>
      </c>
      <c r="E1290" t="s">
        <v>2189</v>
      </c>
      <c r="F1290" s="61" t="s">
        <v>5666</v>
      </c>
      <c r="H1290" t="str">
        <f>ToJsonArray(supplementary_offering_legacyid__4[[#Headers],[offeringid]:[json]],supplementary_offering_legacyid__4[[#This Row],[offeringid]:[ignore]])</f>
        <v>{"offeringid":"990001021","name":"PQT Corp Tigo 2650","mode":"I","offeringidATP":"990001021"}</v>
      </c>
      <c r="I1290" t="str">
        <f>ToJsonArray(supplementary_offering_legacyid__4[[#This Row],[semilla04]],supplementary_offering_legacyid__4[[#This Row],[json]])</f>
        <v>{"17083129400":{"offeringid":"990001021","name":"PQT Corp Tigo 2650","mode":"I","offeringidATP":"990001021"}}</v>
      </c>
    </row>
    <row r="1291" spans="1:9" x14ac:dyDescent="0.25">
      <c r="A1291" s="60" t="s">
        <v>5667</v>
      </c>
      <c r="B1291" s="60" t="str">
        <f>findKey(supplementary_offering_legacyid__4[[#This Row],[PRODUCCION]])</f>
        <v>17083126328</v>
      </c>
      <c r="C1291" s="61" t="s">
        <v>5668</v>
      </c>
      <c r="D1291" t="s">
        <v>444</v>
      </c>
      <c r="E1291" t="s">
        <v>2189</v>
      </c>
      <c r="F1291" s="61" t="s">
        <v>5668</v>
      </c>
      <c r="H1291" t="str">
        <f>ToJsonArray(supplementary_offering_legacyid__4[[#Headers],[offeringid]:[json]],supplementary_offering_legacyid__4[[#This Row],[offeringid]:[ignore]])</f>
        <v>{"offeringid":"990001011","name":"PQT Corp Tigo 2850","mode":"I","offeringidATP":"990001011"}</v>
      </c>
      <c r="I1291" t="str">
        <f>ToJsonArray(supplementary_offering_legacyid__4[[#This Row],[semilla04]],supplementary_offering_legacyid__4[[#This Row],[json]])</f>
        <v>{"17083126328":{"offeringid":"990001011","name":"PQT Corp Tigo 2850","mode":"I","offeringidATP":"990001011"}}</v>
      </c>
    </row>
    <row r="1292" spans="1:9" x14ac:dyDescent="0.25">
      <c r="A1292" s="60" t="s">
        <v>5669</v>
      </c>
      <c r="B1292" s="60" t="str">
        <f>findKey(supplementary_offering_legacyid__4[[#This Row],[PRODUCCION]])</f>
        <v>17083127864</v>
      </c>
      <c r="C1292" s="61" t="s">
        <v>5670</v>
      </c>
      <c r="D1292" t="s">
        <v>445</v>
      </c>
      <c r="E1292" t="s">
        <v>2189</v>
      </c>
      <c r="F1292" s="61" t="s">
        <v>5670</v>
      </c>
      <c r="H1292" t="str">
        <f>ToJsonArray(supplementary_offering_legacyid__4[[#Headers],[offeringid]:[json]],supplementary_offering_legacyid__4[[#This Row],[offeringid]:[ignore]])</f>
        <v>{"offeringid":"990001018","name":"PQT Corp Tigo 3050","mode":"I","offeringidATP":"990001018"}</v>
      </c>
      <c r="I1292" t="str">
        <f>ToJsonArray(supplementary_offering_legacyid__4[[#This Row],[semilla04]],supplementary_offering_legacyid__4[[#This Row],[json]])</f>
        <v>{"17083127864":{"offeringid":"990001018","name":"PQT Corp Tigo 3050","mode":"I","offeringidATP":"990001018"}}</v>
      </c>
    </row>
    <row r="1293" spans="1:9" x14ac:dyDescent="0.25">
      <c r="A1293" s="60" t="s">
        <v>5671</v>
      </c>
      <c r="B1293" s="60" t="str">
        <f>findKey(supplementary_offering_legacyid__4[[#This Row],[PRODUCCION]])</f>
        <v>17083127768</v>
      </c>
      <c r="C1293" s="61" t="s">
        <v>5672</v>
      </c>
      <c r="D1293" t="s">
        <v>446</v>
      </c>
      <c r="E1293" t="s">
        <v>2189</v>
      </c>
      <c r="F1293" s="61" t="s">
        <v>5672</v>
      </c>
      <c r="H1293" t="str">
        <f>ToJsonArray(supplementary_offering_legacyid__4[[#Headers],[offeringid]:[json]],supplementary_offering_legacyid__4[[#This Row],[offeringid]:[ignore]])</f>
        <v>{"offeringid":"990001006","name":"PQT Corp Tigo 3300","mode":"I","offeringidATP":"990001006"}</v>
      </c>
      <c r="I1293" t="str">
        <f>ToJsonArray(supplementary_offering_legacyid__4[[#This Row],[semilla04]],supplementary_offering_legacyid__4[[#This Row],[json]])</f>
        <v>{"17083127768":{"offeringid":"990001006","name":"PQT Corp Tigo 3300","mode":"I","offeringidATP":"990001006"}}</v>
      </c>
    </row>
    <row r="1294" spans="1:9" x14ac:dyDescent="0.25">
      <c r="A1294" s="60" t="s">
        <v>5673</v>
      </c>
      <c r="B1294" s="60" t="str">
        <f>findKey(supplementary_offering_legacyid__4[[#This Row],[PRODUCCION]])</f>
        <v>17083129304</v>
      </c>
      <c r="C1294" s="61" t="s">
        <v>5674</v>
      </c>
      <c r="D1294" t="s">
        <v>447</v>
      </c>
      <c r="E1294" t="s">
        <v>2189</v>
      </c>
      <c r="F1294" s="61" t="s">
        <v>5674</v>
      </c>
      <c r="H1294" t="str">
        <f>ToJsonArray(supplementary_offering_legacyid__4[[#Headers],[offeringid]:[json]],supplementary_offering_legacyid__4[[#This Row],[offeringid]:[ignore]])</f>
        <v>{"offeringid":"990001019","name":"PQT Corp Tigo 3600","mode":"I","offeringidATP":"990001019"}</v>
      </c>
      <c r="I1294" t="str">
        <f>ToJsonArray(supplementary_offering_legacyid__4[[#This Row],[semilla04]],supplementary_offering_legacyid__4[[#This Row],[json]])</f>
        <v>{"17083129304":{"offeringid":"990001019","name":"PQT Corp Tigo 3600","mode":"I","offeringidATP":"990001019"}}</v>
      </c>
    </row>
    <row r="1295" spans="1:9" x14ac:dyDescent="0.25">
      <c r="A1295" s="60" t="s">
        <v>5675</v>
      </c>
      <c r="B1295" s="60" t="str">
        <f>findKey(supplementary_offering_legacyid__4[[#This Row],[PRODUCCION]])</f>
        <v>17083126232</v>
      </c>
      <c r="C1295" s="61" t="s">
        <v>5676</v>
      </c>
      <c r="D1295" t="s">
        <v>448</v>
      </c>
      <c r="E1295" t="s">
        <v>2189</v>
      </c>
      <c r="F1295" s="61" t="s">
        <v>5676</v>
      </c>
      <c r="H1295" t="str">
        <f>ToJsonArray(supplementary_offering_legacyid__4[[#Headers],[offeringid]:[json]],supplementary_offering_legacyid__4[[#This Row],[offeringid]:[ignore]])</f>
        <v>{"offeringid":"990001012","name":"PQT Corp Tigo 3800","mode":"I","offeringidATP":"990001012"}</v>
      </c>
      <c r="I1295" t="str">
        <f>ToJsonArray(supplementary_offering_legacyid__4[[#This Row],[semilla04]],supplementary_offering_legacyid__4[[#This Row],[json]])</f>
        <v>{"17083126232":{"offeringid":"990001012","name":"PQT Corp Tigo 3800","mode":"I","offeringidATP":"990001012"}}</v>
      </c>
    </row>
    <row r="1296" spans="1:9" x14ac:dyDescent="0.25">
      <c r="A1296" s="60" t="s">
        <v>5677</v>
      </c>
      <c r="B1296" s="60" t="str">
        <f>findKey(supplementary_offering_legacyid__4[[#This Row],[PRODUCCION]])</f>
        <v>17083128536</v>
      </c>
      <c r="C1296" s="61" t="s">
        <v>5678</v>
      </c>
      <c r="D1296" t="s">
        <v>449</v>
      </c>
      <c r="E1296" t="s">
        <v>2189</v>
      </c>
      <c r="F1296" s="61" t="s">
        <v>5678</v>
      </c>
      <c r="H1296" t="str">
        <f>ToJsonArray(supplementary_offering_legacyid__4[[#Headers],[offeringid]:[json]],supplementary_offering_legacyid__4[[#This Row],[offeringid]:[ignore]])</f>
        <v>{"offeringid":"990001016","name":"PQT Corp Tigo 4100","mode":"I","offeringidATP":"990001016"}</v>
      </c>
      <c r="I1296" t="str">
        <f>ToJsonArray(supplementary_offering_legacyid__4[[#This Row],[semilla04]],supplementary_offering_legacyid__4[[#This Row],[json]])</f>
        <v>{"17083128536":{"offeringid":"990001016","name":"PQT Corp Tigo 4100","mode":"I","offeringidATP":"990001016"}}</v>
      </c>
    </row>
    <row r="1297" spans="1:9" x14ac:dyDescent="0.25">
      <c r="A1297" s="60" t="s">
        <v>5679</v>
      </c>
      <c r="B1297" s="60" t="str">
        <f>findKey(supplementary_offering_legacyid__4[[#This Row],[PRODUCCION]])</f>
        <v>17083129784</v>
      </c>
      <c r="C1297" s="61" t="s">
        <v>5680</v>
      </c>
      <c r="D1297" t="s">
        <v>454</v>
      </c>
      <c r="E1297" t="s">
        <v>2189</v>
      </c>
      <c r="F1297" s="61" t="s">
        <v>5680</v>
      </c>
      <c r="H1297" t="str">
        <f>ToJsonArray(supplementary_offering_legacyid__4[[#Headers],[offeringid]:[json]],supplementary_offering_legacyid__4[[#This Row],[offeringid]:[ignore]])</f>
        <v>{"offeringid":"990001010","name":"PQT Corp CUG 20000","mode":"I","offeringidATP":"990001010"}</v>
      </c>
      <c r="I1297" t="str">
        <f>ToJsonArray(supplementary_offering_legacyid__4[[#This Row],[semilla04]],supplementary_offering_legacyid__4[[#This Row],[json]])</f>
        <v>{"17083129784":{"offeringid":"990001010","name":"PQT Corp CUG 20000","mode":"I","offeringidATP":"990001010"}}</v>
      </c>
    </row>
    <row r="1298" spans="1:9" x14ac:dyDescent="0.25">
      <c r="A1298" s="60" t="s">
        <v>5681</v>
      </c>
      <c r="B1298" s="60" t="str">
        <f>findKey(supplementary_offering_legacyid__4[[#This Row],[PRODUCCION]])</f>
        <v>17083128328</v>
      </c>
      <c r="C1298" s="61" t="s">
        <v>5682</v>
      </c>
      <c r="D1298" t="s">
        <v>456</v>
      </c>
      <c r="E1298" t="s">
        <v>2189</v>
      </c>
      <c r="F1298" s="61" t="s">
        <v>5682</v>
      </c>
      <c r="H1298" t="str">
        <f>ToJsonArray(supplementary_offering_legacyid__4[[#Headers],[offeringid]:[json]],supplementary_offering_legacyid__4[[#This Row],[offeringid]:[ignore]])</f>
        <v>{"offeringid":"990001013","name":"PQT Corp Tigo 320","mode":"I","offeringidATP":"990001013"}</v>
      </c>
      <c r="I1298" t="str">
        <f>ToJsonArray(supplementary_offering_legacyid__4[[#This Row],[semilla04]],supplementary_offering_legacyid__4[[#This Row],[json]])</f>
        <v>{"17083128328":{"offeringid":"990001013","name":"PQT Corp Tigo 320","mode":"I","offeringidATP":"990001013"}}</v>
      </c>
    </row>
    <row r="1299" spans="1:9" x14ac:dyDescent="0.25">
      <c r="A1299" s="60" t="s">
        <v>5683</v>
      </c>
      <c r="B1299" s="60" t="str">
        <f>findKey(supplementary_offering_legacyid__4[[#This Row],[PRODUCCION]])</f>
        <v>17083654407</v>
      </c>
      <c r="C1299" s="61" t="s">
        <v>5684</v>
      </c>
      <c r="D1299" t="s">
        <v>647</v>
      </c>
      <c r="E1299" t="s">
        <v>2189</v>
      </c>
      <c r="F1299" s="61" t="s">
        <v>5684</v>
      </c>
      <c r="H1299" t="str">
        <f>ToJsonArray(supplementary_offering_legacyid__4[[#Headers],[offeringid]:[json]],supplementary_offering_legacyid__4[[#This Row],[offeringid]:[ignore]])</f>
        <v>{"offeringid":"990001026","name":"PQT Corp TodoDestino 400MIN y Voz a NIT Infinito F2","mode":"I","offeringidATP":"990001026"}</v>
      </c>
      <c r="I1299" t="str">
        <f>ToJsonArray(supplementary_offering_legacyid__4[[#This Row],[semilla04]],supplementary_offering_legacyid__4[[#This Row],[json]])</f>
        <v>{"17083654407":{"offeringid":"990001026","name":"PQT Corp TodoDestino 400MIN y Voz a NIT Infinito F2","mode":"I","offeringidATP":"990001026"}}</v>
      </c>
    </row>
    <row r="1300" spans="1:9" x14ac:dyDescent="0.25">
      <c r="A1300" s="60" t="s">
        <v>5685</v>
      </c>
      <c r="B1300" s="60" t="str">
        <f>findKey(supplementary_offering_legacyid__4[[#This Row],[PRODUCCION]])</f>
        <v>17083654791</v>
      </c>
      <c r="C1300" s="61" t="s">
        <v>5686</v>
      </c>
      <c r="D1300" t="s">
        <v>655</v>
      </c>
      <c r="E1300" t="s">
        <v>2189</v>
      </c>
      <c r="F1300" s="61" t="s">
        <v>5686</v>
      </c>
      <c r="H1300" t="str">
        <f>ToJsonArray(supplementary_offering_legacyid__4[[#Headers],[offeringid]:[json]],supplementary_offering_legacyid__4[[#This Row],[offeringid]:[ignore]])</f>
        <v>{"offeringid":"990001025","name":"PQT Corp TodoDestino 1200MIN y Voz a NIT Infinito F2","mode":"I","offeringidATP":"990001025"}</v>
      </c>
      <c r="I1300" t="str">
        <f>ToJsonArray(supplementary_offering_legacyid__4[[#This Row],[semilla04]],supplementary_offering_legacyid__4[[#This Row],[json]])</f>
        <v>{"17083654791":{"offeringid":"990001025","name":"PQT Corp TodoDestino 1200MIN y Voz a NIT Infinito F2","mode":"I","offeringidATP":"990001025"}}</v>
      </c>
    </row>
    <row r="1301" spans="1:9" x14ac:dyDescent="0.25">
      <c r="A1301" s="60" t="s">
        <v>5687</v>
      </c>
      <c r="B1301" s="60" t="str">
        <f>findKey(supplementary_offering_legacyid__4[[#This Row],[PRODUCCION]])</f>
        <v>17083655559</v>
      </c>
      <c r="C1301" s="61" t="s">
        <v>5688</v>
      </c>
      <c r="D1301" t="s">
        <v>659</v>
      </c>
      <c r="E1301" t="s">
        <v>2189</v>
      </c>
      <c r="F1301" s="61" t="s">
        <v>5688</v>
      </c>
      <c r="H1301" t="str">
        <f>ToJsonArray(supplementary_offering_legacyid__4[[#Headers],[offeringid]:[json]],supplementary_offering_legacyid__4[[#This Row],[offeringid]:[ignore]])</f>
        <v>{"offeringid":"990001028","name":"PQT Corp TodoDestino 1800MIN y Voz a Tigo Infinito F2","mode":"I","offeringidATP":"990001028"}</v>
      </c>
      <c r="I1301" t="str">
        <f>ToJsonArray(supplementary_offering_legacyid__4[[#This Row],[semilla04]],supplementary_offering_legacyid__4[[#This Row],[json]])</f>
        <v>{"17083655559":{"offeringid":"990001028","name":"PQT Corp TodoDestino 1800MIN y Voz a Tigo Infinito F2","mode":"I","offeringidATP":"990001028"}}</v>
      </c>
    </row>
    <row r="1302" spans="1:9" x14ac:dyDescent="0.25">
      <c r="A1302" s="60" t="s">
        <v>5689</v>
      </c>
      <c r="B1302" s="60" t="str">
        <f>findKey(supplementary_offering_legacyid__4[[#This Row],[PRODUCCION]])</f>
        <v>17083654215</v>
      </c>
      <c r="C1302" s="61" t="s">
        <v>5690</v>
      </c>
      <c r="D1302" t="s">
        <v>663</v>
      </c>
      <c r="E1302" t="s">
        <v>2189</v>
      </c>
      <c r="F1302" s="61" t="s">
        <v>5690</v>
      </c>
      <c r="H1302" t="str">
        <f>ToJsonArray(supplementary_offering_legacyid__4[[#Headers],[offeringid]:[json]],supplementary_offering_legacyid__4[[#This Row],[offeringid]:[ignore]])</f>
        <v>{"offeringid":"990001027","name":"PQT Corp TodoDestino 2500MIN y Voz a Tigo Infinito F2","mode":"I","offeringidATP":"990001027"}</v>
      </c>
      <c r="I1302" t="str">
        <f>ToJsonArray(supplementary_offering_legacyid__4[[#This Row],[semilla04]],supplementary_offering_legacyid__4[[#This Row],[json]])</f>
        <v>{"17083654215":{"offeringid":"990001027","name":"PQT Corp TodoDestino 2500MIN y Voz a Tigo Infinito F2","mode":"I","offeringidATP":"990001027"}}</v>
      </c>
    </row>
    <row r="1303" spans="1:9" x14ac:dyDescent="0.25">
      <c r="A1303" s="60" t="s">
        <v>5691</v>
      </c>
      <c r="B1303" s="60" t="str">
        <f>findKey(supplementary_offering_legacyid__4[[#This Row],[PRODUCCION]])</f>
        <v>17083662507</v>
      </c>
      <c r="C1303" s="61" t="s">
        <v>5692</v>
      </c>
      <c r="D1303" t="s">
        <v>680</v>
      </c>
      <c r="E1303" t="s">
        <v>2189</v>
      </c>
      <c r="F1303" s="61" t="s">
        <v>5692</v>
      </c>
      <c r="H1303" t="str">
        <f>ToJsonArray(supplementary_offering_legacyid__4[[#Headers],[offeringid]:[json]],supplementary_offering_legacyid__4[[#This Row],[offeringid]:[ignore]])</f>
        <v>{"offeringid":"990001034","name":"PQT Corp Navegacion 3GB WA + Mail","mode":"I","offeringidATP":"990001034"}</v>
      </c>
      <c r="I1303" t="str">
        <f>ToJsonArray(supplementary_offering_legacyid__4[[#This Row],[semilla04]],supplementary_offering_legacyid__4[[#This Row],[json]])</f>
        <v>{"17083662507":{"offeringid":"990001034","name":"PQT Corp Navegacion 3GB WA + Mail","mode":"I","offeringidATP":"990001034"}}</v>
      </c>
    </row>
    <row r="1304" spans="1:9" x14ac:dyDescent="0.25">
      <c r="A1304" s="60" t="s">
        <v>5693</v>
      </c>
      <c r="B1304" s="60" t="str">
        <f>findKey(supplementary_offering_legacyid__4[[#This Row],[PRODUCCION]])</f>
        <v>17083664043</v>
      </c>
      <c r="C1304" s="61" t="s">
        <v>5694</v>
      </c>
      <c r="D1304" t="s">
        <v>684</v>
      </c>
      <c r="E1304" t="s">
        <v>2189</v>
      </c>
      <c r="F1304" s="61" t="s">
        <v>5694</v>
      </c>
      <c r="H1304" t="str">
        <f>ToJsonArray(supplementary_offering_legacyid__4[[#Headers],[offeringid]:[json]],supplementary_offering_legacyid__4[[#This Row],[offeringid]:[ignore]])</f>
        <v>{"offeringid":"990001030","name":"PQT Corp Navegacion 4,5GB WA + Mail","mode":"I","offeringidATP":"990001030"}</v>
      </c>
      <c r="I1304" t="str">
        <f>ToJsonArray(supplementary_offering_legacyid__4[[#This Row],[semilla04]],supplementary_offering_legacyid__4[[#This Row],[json]])</f>
        <v>{"17083664043":{"offeringid":"990001030","name":"PQT Corp Navegacion 4,5GB WA + Mail","mode":"I","offeringidATP":"990001030"}}</v>
      </c>
    </row>
    <row r="1305" spans="1:9" x14ac:dyDescent="0.25">
      <c r="A1305" s="60" t="s">
        <v>5695</v>
      </c>
      <c r="B1305" s="60" t="str">
        <f>findKey(supplementary_offering_legacyid__4[[#This Row],[PRODUCCION]])</f>
        <v>17083663275</v>
      </c>
      <c r="C1305" s="61" t="s">
        <v>5696</v>
      </c>
      <c r="D1305" t="s">
        <v>688</v>
      </c>
      <c r="E1305" t="s">
        <v>2189</v>
      </c>
      <c r="F1305" s="61" t="s">
        <v>5696</v>
      </c>
      <c r="H1305" t="str">
        <f>ToJsonArray(supplementary_offering_legacyid__4[[#Headers],[offeringid]:[json]],supplementary_offering_legacyid__4[[#This Row],[offeringid]:[ignore]])</f>
        <v>{"offeringid":"990001032","name":"PQT Corp Navegacion 6,5GB WA + Mail","mode":"I","offeringidATP":"990001032"}</v>
      </c>
      <c r="I1305" t="str">
        <f>ToJsonArray(supplementary_offering_legacyid__4[[#This Row],[semilla04]],supplementary_offering_legacyid__4[[#This Row],[json]])</f>
        <v>{"17083663275":{"offeringid":"990001032","name":"PQT Corp Navegacion 6,5GB WA + Mail","mode":"I","offeringidATP":"990001032"}}</v>
      </c>
    </row>
    <row r="1306" spans="1:9" x14ac:dyDescent="0.25">
      <c r="A1306" s="60" t="s">
        <v>5697</v>
      </c>
      <c r="B1306" s="60" t="str">
        <f>findKey(supplementary_offering_legacyid__4[[#This Row],[PRODUCCION]])</f>
        <v>17083663467</v>
      </c>
      <c r="C1306" s="61" t="s">
        <v>5698</v>
      </c>
      <c r="D1306" t="s">
        <v>692</v>
      </c>
      <c r="E1306" t="s">
        <v>2189</v>
      </c>
      <c r="F1306" s="61" t="s">
        <v>5698</v>
      </c>
      <c r="H1306" t="str">
        <f>ToJsonArray(supplementary_offering_legacyid__4[[#Headers],[offeringid]:[json]],supplementary_offering_legacyid__4[[#This Row],[offeringid]:[ignore]])</f>
        <v>{"offeringid":"990001029","name":"PQT Corp Navegacion 8,5GB WA + Mail","mode":"I","offeringidATP":"990001029"}</v>
      </c>
      <c r="I1306" t="str">
        <f>ToJsonArray(supplementary_offering_legacyid__4[[#This Row],[semilla04]],supplementary_offering_legacyid__4[[#This Row],[json]])</f>
        <v>{"17083663467":{"offeringid":"990001029","name":"PQT Corp Navegacion 8,5GB WA + Mail","mode":"I","offeringidATP":"990001029"}}</v>
      </c>
    </row>
    <row r="1307" spans="1:9" x14ac:dyDescent="0.25">
      <c r="A1307" s="60" t="s">
        <v>5699</v>
      </c>
      <c r="B1307" s="60" t="str">
        <f>findKey(supplementary_offering_legacyid__4[[#This Row],[PRODUCCION]])</f>
        <v>17083662699</v>
      </c>
      <c r="C1307" s="61" t="s">
        <v>5700</v>
      </c>
      <c r="D1307" t="s">
        <v>696</v>
      </c>
      <c r="E1307" t="s">
        <v>2189</v>
      </c>
      <c r="F1307" s="61" t="s">
        <v>5700</v>
      </c>
      <c r="H1307" t="str">
        <f>ToJsonArray(supplementary_offering_legacyid__4[[#Headers],[offeringid]:[json]],supplementary_offering_legacyid__4[[#This Row],[offeringid]:[ignore]])</f>
        <v>{"offeringid":"990001033","name":"PQT Corp Navegacion 10,5GB WA + Mail","mode":"I","offeringidATP":"990001033"}</v>
      </c>
      <c r="I1307" t="str">
        <f>ToJsonArray(supplementary_offering_legacyid__4[[#This Row],[semilla04]],supplementary_offering_legacyid__4[[#This Row],[json]])</f>
        <v>{"17083662699":{"offeringid":"990001033","name":"PQT Corp Navegacion 10,5GB WA + Mail","mode":"I","offeringidATP":"990001033"}}</v>
      </c>
    </row>
    <row r="1308" spans="1:9" x14ac:dyDescent="0.25">
      <c r="A1308" s="60" t="s">
        <v>5701</v>
      </c>
      <c r="B1308" s="60" t="str">
        <f>findKey(supplementary_offering_legacyid__4[[#This Row],[PRODUCCION]])</f>
        <v>17083664235</v>
      </c>
      <c r="C1308" s="61" t="s">
        <v>5702</v>
      </c>
      <c r="D1308" t="s">
        <v>700</v>
      </c>
      <c r="E1308" t="s">
        <v>2189</v>
      </c>
      <c r="F1308" s="61" t="s">
        <v>5702</v>
      </c>
      <c r="H1308" t="str">
        <f>ToJsonArray(supplementary_offering_legacyid__4[[#Headers],[offeringid]:[json]],supplementary_offering_legacyid__4[[#This Row],[offeringid]:[ignore]])</f>
        <v>{"offeringid":"990001031","name":"PQT Corp Navegacion 12,5GB WA + Mail","mode":"I","offeringidATP":"990001031"}</v>
      </c>
      <c r="I1308" t="str">
        <f>ToJsonArray(supplementary_offering_legacyid__4[[#This Row],[semilla04]],supplementary_offering_legacyid__4[[#This Row],[json]])</f>
        <v>{"17083664235":{"offeringid":"990001031","name":"PQT Corp Navegacion 12,5GB WA + Mail","mode":"I","offeringidATP":"990001031"}}</v>
      </c>
    </row>
    <row r="1309" spans="1:9" x14ac:dyDescent="0.25">
      <c r="A1309" s="60" t="s">
        <v>5703</v>
      </c>
      <c r="B1309" s="60" t="str">
        <f>findKey(supplementary_offering_legacyid__4[[#This Row],[PRODUCCION]])</f>
        <v>17083122540</v>
      </c>
      <c r="C1309" s="61" t="s">
        <v>5704</v>
      </c>
      <c r="D1309" t="s">
        <v>815</v>
      </c>
      <c r="E1309" t="s">
        <v>2189</v>
      </c>
      <c r="F1309" s="61" t="s">
        <v>5704</v>
      </c>
      <c r="H1309" t="str">
        <f>ToJsonArray(supplementary_offering_legacyid__4[[#Headers],[offeringid]:[json]],supplementary_offering_legacyid__4[[#This Row],[offeringid]:[ignore]])</f>
        <v>{"offeringid":"990001114","name":"PQT Corp Localizacion Movil LBS","mode":"I","offeringidATP":"990001114"}</v>
      </c>
      <c r="I1309" t="str">
        <f>ToJsonArray(supplementary_offering_legacyid__4[[#This Row],[semilla04]],supplementary_offering_legacyid__4[[#This Row],[json]])</f>
        <v>{"17083122540":{"offeringid":"990001114","name":"PQT Corp Localizacion Movil LBS","mode":"I","offeringidATP":"990001114"}}</v>
      </c>
    </row>
    <row r="1310" spans="1:9" x14ac:dyDescent="0.25">
      <c r="A1310" s="60" t="s">
        <v>5705</v>
      </c>
      <c r="B1310" s="60" t="str">
        <f>findKey(supplementary_offering_legacyid__4[[#This Row],[PRODUCCION]])</f>
        <v>17083117823</v>
      </c>
      <c r="C1310" s="61" t="s">
        <v>5706</v>
      </c>
      <c r="D1310" t="s">
        <v>822</v>
      </c>
      <c r="E1310" t="s">
        <v>2189</v>
      </c>
      <c r="F1310" s="61" t="s">
        <v>5706</v>
      </c>
      <c r="H1310" t="str">
        <f>ToJsonArray(supplementary_offering_legacyid__4[[#Headers],[offeringid]:[json]],supplementary_offering_legacyid__4[[#This Row],[offeringid]:[ignore]])</f>
        <v>{"offeringid":"990001111","name":"PBX Virtual Desde 6 Extensiones","mode":"I","offeringidATP":"990001111"}</v>
      </c>
      <c r="I1310" t="str">
        <f>ToJsonArray(supplementary_offering_legacyid__4[[#This Row],[semilla04]],supplementary_offering_legacyid__4[[#This Row],[json]])</f>
        <v>{"17083117823":{"offeringid":"990001111","name":"PBX Virtual Desde 6 Extensiones","mode":"I","offeringidATP":"990001111"}}</v>
      </c>
    </row>
    <row r="1311" spans="1:9" x14ac:dyDescent="0.25">
      <c r="A1311" s="60" t="s">
        <v>5707</v>
      </c>
      <c r="B1311" s="60" t="str">
        <f>findKey(supplementary_offering_legacyid__4[[#This Row],[PRODUCCION]])</f>
        <v>17083123168</v>
      </c>
      <c r="C1311" s="61" t="s">
        <v>5708</v>
      </c>
      <c r="D1311" t="s">
        <v>823</v>
      </c>
      <c r="E1311" t="s">
        <v>2189</v>
      </c>
      <c r="F1311" s="61" t="s">
        <v>5708</v>
      </c>
      <c r="H1311" t="str">
        <f>ToJsonArray(supplementary_offering_legacyid__4[[#Headers],[offeringid]:[json]],supplementary_offering_legacyid__4[[#This Row],[offeringid]:[ignore]])</f>
        <v>{"offeringid":"990001110","name":"PBX Virtual Desde 11 Extensiones","mode":"I","offeringidATP":"990001110"}</v>
      </c>
      <c r="I1311" t="str">
        <f>ToJsonArray(supplementary_offering_legacyid__4[[#This Row],[semilla04]],supplementary_offering_legacyid__4[[#This Row],[json]])</f>
        <v>{"17083123168":{"offeringid":"990001110","name":"PBX Virtual Desde 11 Extensiones","mode":"I","offeringidATP":"990001110"}}</v>
      </c>
    </row>
    <row r="1312" spans="1:9" x14ac:dyDescent="0.25">
      <c r="A1312" s="60" t="s">
        <v>5709</v>
      </c>
      <c r="B1312" s="60" t="str">
        <f>findKey(supplementary_offering_legacyid__4[[#This Row],[PRODUCCION]])</f>
        <v>17083658331</v>
      </c>
      <c r="C1312" s="61" t="s">
        <v>5710</v>
      </c>
      <c r="D1312" t="s">
        <v>995</v>
      </c>
      <c r="E1312" t="s">
        <v>2189</v>
      </c>
      <c r="F1312" s="61" t="s">
        <v>5710</v>
      </c>
      <c r="H1312" t="str">
        <f>ToJsonArray(supplementary_offering_legacyid__4[[#Headers],[offeringid]:[json]],supplementary_offering_legacyid__4[[#This Row],[offeringid]:[ignore]])</f>
        <v>{"offeringid":"990001035","name":"Combo 250MIN TD  y Voz a Tigo infinito","mode":"I","offeringidATP":"990001035"}</v>
      </c>
      <c r="I1312" t="str">
        <f>ToJsonArray(supplementary_offering_legacyid__4[[#This Row],[semilla04]],supplementary_offering_legacyid__4[[#This Row],[json]])</f>
        <v>{"17083658331":{"offeringid":"990001035","name":"Combo 250MIN TD  y Voz a Tigo infinito","mode":"I","offeringidATP":"990001035"}}</v>
      </c>
    </row>
    <row r="1313" spans="1:9" x14ac:dyDescent="0.25">
      <c r="A1313" s="60" t="s">
        <v>5711</v>
      </c>
      <c r="B1313" s="60" t="str">
        <f>findKey(supplementary_offering_legacyid__4[[#This Row],[PRODUCCION]])</f>
        <v>17083661403</v>
      </c>
      <c r="C1313" s="61" t="s">
        <v>5712</v>
      </c>
      <c r="D1313" t="s">
        <v>997</v>
      </c>
      <c r="E1313" t="s">
        <v>2189</v>
      </c>
      <c r="F1313" s="61" t="s">
        <v>5712</v>
      </c>
      <c r="H1313" t="str">
        <f>ToJsonArray(supplementary_offering_legacyid__4[[#Headers],[offeringid]:[json]],supplementary_offering_legacyid__4[[#This Row],[offeringid]:[ignore]])</f>
        <v>{"offeringid":"990001051","name":"Combo 480MIN TD  y Voz a Tigo infinito","mode":"I","offeringidATP":"990001051"}</v>
      </c>
      <c r="I1313" t="str">
        <f>ToJsonArray(supplementary_offering_legacyid__4[[#This Row],[semilla04]],supplementary_offering_legacyid__4[[#This Row],[json]])</f>
        <v>{"17083661403":{"offeringid":"990001051","name":"Combo 480MIN TD  y Voz a Tigo infinito","mode":"I","offeringidATP":"990001051"}}</v>
      </c>
    </row>
    <row r="1314" spans="1:9" x14ac:dyDescent="0.25">
      <c r="A1314" s="60" t="s">
        <v>5713</v>
      </c>
      <c r="B1314" s="60" t="str">
        <f>findKey(supplementary_offering_legacyid__4[[#This Row],[PRODUCCION]])</f>
        <v>17083659867</v>
      </c>
      <c r="C1314" s="61" t="s">
        <v>5714</v>
      </c>
      <c r="D1314" t="s">
        <v>999</v>
      </c>
      <c r="E1314" t="s">
        <v>2189</v>
      </c>
      <c r="F1314" s="61" t="s">
        <v>5714</v>
      </c>
      <c r="H1314" t="str">
        <f>ToJsonArray(supplementary_offering_legacyid__4[[#Headers],[offeringid]:[json]],supplementary_offering_legacyid__4[[#This Row],[offeringid]:[ignore]])</f>
        <v>{"offeringid":"990001041","name":"Combo 600MIN TD  y Voz a Tigo infinito","mode":"I","offeringidATP":"990001041"}</v>
      </c>
      <c r="I1314" t="str">
        <f>ToJsonArray(supplementary_offering_legacyid__4[[#This Row],[semilla04]],supplementary_offering_legacyid__4[[#This Row],[json]])</f>
        <v>{"17083659867":{"offeringid":"990001041","name":"Combo 600MIN TD  y Voz a Tigo infinito","mode":"I","offeringidATP":"990001041"}}</v>
      </c>
    </row>
    <row r="1315" spans="1:9" x14ac:dyDescent="0.25">
      <c r="A1315" s="60" t="s">
        <v>5715</v>
      </c>
      <c r="B1315" s="60" t="str">
        <f>findKey(supplementary_offering_legacyid__4[[#This Row],[PRODUCCION]])</f>
        <v>17083660635</v>
      </c>
      <c r="C1315" s="61" t="s">
        <v>5716</v>
      </c>
      <c r="D1315" t="s">
        <v>1001</v>
      </c>
      <c r="E1315" t="s">
        <v>2189</v>
      </c>
      <c r="F1315" s="61" t="s">
        <v>5716</v>
      </c>
      <c r="H1315" t="str">
        <f>ToJsonArray(supplementary_offering_legacyid__4[[#Headers],[offeringid]:[json]],supplementary_offering_legacyid__4[[#This Row],[offeringid]:[ignore]])</f>
        <v>{"offeringid":"990001047","name":"Combo 700MIN TD  y Voz a Tigo infinito","mode":"I","offeringidATP":"990001047"}</v>
      </c>
      <c r="I1315" t="str">
        <f>ToJsonArray(supplementary_offering_legacyid__4[[#This Row],[semilla04]],supplementary_offering_legacyid__4[[#This Row],[json]])</f>
        <v>{"17083660635":{"offeringid":"990001047","name":"Combo 700MIN TD  y Voz a Tigo infinito","mode":"I","offeringidATP":"990001047"}}</v>
      </c>
    </row>
    <row r="1316" spans="1:9" x14ac:dyDescent="0.25">
      <c r="A1316" s="60" t="s">
        <v>5717</v>
      </c>
      <c r="B1316" s="60" t="str">
        <f>findKey(supplementary_offering_legacyid__4[[#This Row],[PRODUCCION]])</f>
        <v>17083662171</v>
      </c>
      <c r="C1316" s="61" t="s">
        <v>5718</v>
      </c>
      <c r="D1316" t="s">
        <v>1003</v>
      </c>
      <c r="E1316" t="s">
        <v>2189</v>
      </c>
      <c r="F1316" s="61" t="s">
        <v>5718</v>
      </c>
      <c r="H1316" t="str">
        <f>ToJsonArray(supplementary_offering_legacyid__4[[#Headers],[offeringid]:[json]],supplementary_offering_legacyid__4[[#This Row],[offeringid]:[ignore]])</f>
        <v>{"offeringid":"990001055","name":"Combo 1200MIN TD  y Voz a Tigo infinito","mode":"I","offeringidATP":"990001055"}</v>
      </c>
      <c r="I1316" t="str">
        <f>ToJsonArray(supplementary_offering_legacyid__4[[#This Row],[semilla04]],supplementary_offering_legacyid__4[[#This Row],[json]])</f>
        <v>{"17083662171":{"offeringid":"990001055","name":"Combo 1200MIN TD  y Voz a Tigo infinito","mode":"I","offeringidATP":"990001055"}}</v>
      </c>
    </row>
    <row r="1317" spans="1:9" x14ac:dyDescent="0.25">
      <c r="A1317" s="60" t="s">
        <v>5719</v>
      </c>
      <c r="B1317" s="60" t="str">
        <f>findKey(supplementary_offering_legacyid__4[[#This Row],[PRODUCCION]])</f>
        <v>17083659483</v>
      </c>
      <c r="C1317" s="61" t="s">
        <v>5720</v>
      </c>
      <c r="D1317" t="s">
        <v>1005</v>
      </c>
      <c r="E1317" t="s">
        <v>2189</v>
      </c>
      <c r="F1317" s="61" t="s">
        <v>5720</v>
      </c>
      <c r="H1317" t="str">
        <f>ToJsonArray(supplementary_offering_legacyid__4[[#Headers],[offeringid]:[json]],supplementary_offering_legacyid__4[[#This Row],[offeringid]:[ignore]])</f>
        <v>{"offeringid":"990001039","name":"Combo 1400MIN TD  y Voz a Tigo infinito","mode":"I","offeringidATP":"990001039"}</v>
      </c>
      <c r="I1317" t="str">
        <f>ToJsonArray(supplementary_offering_legacyid__4[[#This Row],[semilla04]],supplementary_offering_legacyid__4[[#This Row],[json]])</f>
        <v>{"17083659483":{"offeringid":"990001039","name":"Combo 1400MIN TD  y Voz a Tigo infinito","mode":"I","offeringidATP":"990001039"}}</v>
      </c>
    </row>
    <row r="1318" spans="1:9" x14ac:dyDescent="0.25">
      <c r="A1318" s="60" t="s">
        <v>5721</v>
      </c>
      <c r="B1318" s="60" t="str">
        <f>findKey(supplementary_offering_legacyid__4[[#This Row],[PRODUCCION]])</f>
        <v>17083660763</v>
      </c>
      <c r="C1318" s="61" t="s">
        <v>5722</v>
      </c>
      <c r="D1318" t="s">
        <v>1007</v>
      </c>
      <c r="E1318" t="s">
        <v>2189</v>
      </c>
      <c r="F1318" s="61" t="s">
        <v>5722</v>
      </c>
      <c r="H1318" t="str">
        <f>ToJsonArray(supplementary_offering_legacyid__4[[#Headers],[offeringid]:[json]],supplementary_offering_legacyid__4[[#This Row],[offeringid]:[ignore]])</f>
        <v>{"offeringid":"990001048","name":"Combo Voz Todo Destino infinito 1","mode":"I","offeringidATP":"990001048"}</v>
      </c>
      <c r="I1318" t="str">
        <f>ToJsonArray(supplementary_offering_legacyid__4[[#This Row],[semilla04]],supplementary_offering_legacyid__4[[#This Row],[json]])</f>
        <v>{"17083660763":{"offeringid":"990001048","name":"Combo Voz Todo Destino infinito 1","mode":"I","offeringidATP":"990001048"}}</v>
      </c>
    </row>
    <row r="1319" spans="1:9" x14ac:dyDescent="0.25">
      <c r="A1319" s="60" t="s">
        <v>5723</v>
      </c>
      <c r="B1319" s="60" t="str">
        <f>findKey(supplementary_offering_legacyid__4[[#This Row],[PRODUCCION]])</f>
        <v>17083659323</v>
      </c>
      <c r="C1319" s="61" t="s">
        <v>5724</v>
      </c>
      <c r="D1319" t="s">
        <v>1013</v>
      </c>
      <c r="E1319" t="s">
        <v>2189</v>
      </c>
      <c r="F1319" s="61" t="s">
        <v>5724</v>
      </c>
      <c r="H1319" t="str">
        <f>ToJsonArray(supplementary_offering_legacyid__4[[#Headers],[offeringid]:[json]],supplementary_offering_legacyid__4[[#This Row],[offeringid]:[ignore]])</f>
        <v>{"offeringid":"990001038","name":"Combo Voz Todo Destino infinito 4","mode":"I","offeringidATP":"990001038"}</v>
      </c>
      <c r="I1319" t="str">
        <f>ToJsonArray(supplementary_offering_legacyid__4[[#This Row],[semilla04]],supplementary_offering_legacyid__4[[#This Row],[json]])</f>
        <v>{"17083659323":{"offeringid":"990001038","name":"Combo Voz Todo Destino infinito 4","mode":"I","offeringidATP":"990001038"}}</v>
      </c>
    </row>
    <row r="1320" spans="1:9" x14ac:dyDescent="0.25">
      <c r="A1320" s="60" t="s">
        <v>5725</v>
      </c>
      <c r="B1320" s="60" t="str">
        <f>findKey(supplementary_offering_legacyid__4[[#This Row],[PRODUCCION]])</f>
        <v>17083661627</v>
      </c>
      <c r="C1320" s="61" t="s">
        <v>5726</v>
      </c>
      <c r="D1320" t="s">
        <v>1019</v>
      </c>
      <c r="E1320" t="s">
        <v>2189</v>
      </c>
      <c r="F1320" s="61" t="s">
        <v>5726</v>
      </c>
      <c r="H1320" t="str">
        <f>ToJsonArray(supplementary_offering_legacyid__4[[#Headers],[offeringid]:[json]],supplementary_offering_legacyid__4[[#This Row],[offeringid]:[ignore]])</f>
        <v>{"offeringid":"990001052","name":"Combo Voz Todo Destino infinito 7","mode":"I","offeringidATP":"990001052"}</v>
      </c>
      <c r="I1320" t="str">
        <f>ToJsonArray(supplementary_offering_legacyid__4[[#This Row],[semilla04]],supplementary_offering_legacyid__4[[#This Row],[json]])</f>
        <v>{"17083661627":{"offeringid":"990001052","name":"Combo Voz Todo Destino infinito 7","mode":"I","offeringidATP":"990001052"}}</v>
      </c>
    </row>
    <row r="1321" spans="1:9" x14ac:dyDescent="0.25">
      <c r="A1321" s="60" t="s">
        <v>5727</v>
      </c>
      <c r="B1321" s="60" t="str">
        <f>findKey(supplementary_offering_legacyid__4[[#This Row],[PRODUCCION]])</f>
        <v>17083660091</v>
      </c>
      <c r="C1321" s="61" t="s">
        <v>5728</v>
      </c>
      <c r="D1321" t="s">
        <v>1021</v>
      </c>
      <c r="E1321" t="s">
        <v>2189</v>
      </c>
      <c r="F1321" s="61" t="s">
        <v>5728</v>
      </c>
      <c r="H1321" t="str">
        <f>ToJsonArray(supplementary_offering_legacyid__4[[#Headers],[offeringid]:[json]],supplementary_offering_legacyid__4[[#This Row],[offeringid]:[ignore]])</f>
        <v>{"offeringid":"990001043","name":"Combo Voz Todo Destino infinito 8","mode":"I","offeringidATP":"990001043"}</v>
      </c>
      <c r="I1321" t="str">
        <f>ToJsonArray(supplementary_offering_legacyid__4[[#This Row],[semilla04]],supplementary_offering_legacyid__4[[#This Row],[json]])</f>
        <v>{"17083660091":{"offeringid":"990001043","name":"Combo Voz Todo Destino infinito 8","mode":"I","offeringidATP":"990001043"}}</v>
      </c>
    </row>
    <row r="1322" spans="1:9" x14ac:dyDescent="0.25">
      <c r="A1322" s="60" t="s">
        <v>5729</v>
      </c>
      <c r="B1322" s="60" t="str">
        <f>findKey(supplementary_offering_legacyid__4[[#This Row],[PRODUCCION]])</f>
        <v>17083660475</v>
      </c>
      <c r="C1322" s="61" t="s">
        <v>5730</v>
      </c>
      <c r="D1322" t="s">
        <v>1023</v>
      </c>
      <c r="E1322" t="s">
        <v>2189</v>
      </c>
      <c r="F1322" s="61" t="s">
        <v>5730</v>
      </c>
      <c r="H1322" t="str">
        <f>ToJsonArray(supplementary_offering_legacyid__4[[#Headers],[offeringid]:[json]],supplementary_offering_legacyid__4[[#This Row],[offeringid]:[ignore]])</f>
        <v>{"offeringid":"990001046","name":"Combo Voz Todo Destino infinito 9","mode":"I","offeringidATP":"990001046"}</v>
      </c>
      <c r="I1322" t="str">
        <f>ToJsonArray(supplementary_offering_legacyid__4[[#This Row],[semilla04]],supplementary_offering_legacyid__4[[#This Row],[json]])</f>
        <v>{"17083660475":{"offeringid":"990001046","name":"Combo Voz Todo Destino infinito 9","mode":"I","offeringidATP":"990001046"}}</v>
      </c>
    </row>
    <row r="1323" spans="1:9" x14ac:dyDescent="0.25">
      <c r="A1323" s="60" t="s">
        <v>5731</v>
      </c>
      <c r="B1323" s="60" t="str">
        <f>findKey(supplementary_offering_legacyid__4[[#This Row],[PRODUCCION]])</f>
        <v>17083660219</v>
      </c>
      <c r="C1323" s="61" t="s">
        <v>5732</v>
      </c>
      <c r="D1323" t="s">
        <v>1025</v>
      </c>
      <c r="E1323" t="s">
        <v>2189</v>
      </c>
      <c r="F1323" s="61" t="s">
        <v>5732</v>
      </c>
      <c r="H1323" t="str">
        <f>ToJsonArray(supplementary_offering_legacyid__4[[#Headers],[offeringid]:[json]],supplementary_offering_legacyid__4[[#This Row],[offeringid]:[ignore]])</f>
        <v>{"offeringid":"990001044","name":"Combo datos 2,5GB WA + Mail","mode":"I","offeringidATP":"990001044"}</v>
      </c>
      <c r="I1323" t="str">
        <f>ToJsonArray(supplementary_offering_legacyid__4[[#This Row],[semilla04]],supplementary_offering_legacyid__4[[#This Row],[json]])</f>
        <v>{"17083660219":{"offeringid":"990001044","name":"Combo datos 2,5GB WA + Mail","mode":"I","offeringidATP":"990001044"}}</v>
      </c>
    </row>
    <row r="1324" spans="1:9" x14ac:dyDescent="0.25">
      <c r="A1324" s="60" t="s">
        <v>5733</v>
      </c>
      <c r="B1324" s="60" t="str">
        <f>findKey(supplementary_offering_legacyid__4[[#This Row],[PRODUCCION]])</f>
        <v>17083660411</v>
      </c>
      <c r="C1324" s="61" t="s">
        <v>5734</v>
      </c>
      <c r="D1324" t="s">
        <v>1027</v>
      </c>
      <c r="E1324" t="s">
        <v>2189</v>
      </c>
      <c r="F1324" s="61" t="s">
        <v>5734</v>
      </c>
      <c r="H1324" t="str">
        <f>ToJsonArray(supplementary_offering_legacyid__4[[#Headers],[offeringid]:[json]],supplementary_offering_legacyid__4[[#This Row],[offeringid]:[ignore]])</f>
        <v>{"offeringid":"990001045","name":"Combo datos 3GB WA + Mail   1","mode":"I","offeringidATP":"990001045"}</v>
      </c>
      <c r="I1324" t="str">
        <f>ToJsonArray(supplementary_offering_legacyid__4[[#This Row],[semilla04]],supplementary_offering_legacyid__4[[#This Row],[json]])</f>
        <v>{"17083660411":{"offeringid":"990001045","name":"Combo datos 3GB WA + Mail   1","mode":"I","offeringidATP":"990001045"}}</v>
      </c>
    </row>
    <row r="1325" spans="1:9" x14ac:dyDescent="0.25">
      <c r="A1325" s="60" t="s">
        <v>5735</v>
      </c>
      <c r="B1325" s="60" t="str">
        <f>findKey(supplementary_offering_legacyid__4[[#This Row],[PRODUCCION]])</f>
        <v>17083661947</v>
      </c>
      <c r="C1325" s="61" t="s">
        <v>5736</v>
      </c>
      <c r="D1325" t="s">
        <v>1031</v>
      </c>
      <c r="E1325" t="s">
        <v>2189</v>
      </c>
      <c r="F1325" s="61" t="s">
        <v>5736</v>
      </c>
      <c r="H1325" t="str">
        <f>ToJsonArray(supplementary_offering_legacyid__4[[#Headers],[offeringid]:[json]],supplementary_offering_legacyid__4[[#This Row],[offeringid]:[ignore]])</f>
        <v>{"offeringid":"990001054","name":"Combo datos 4GB WA + Mail   1","mode":"I","offeringidATP":"990001054"}</v>
      </c>
      <c r="I1325" t="str">
        <f>ToJsonArray(supplementary_offering_legacyid__4[[#This Row],[semilla04]],supplementary_offering_legacyid__4[[#This Row],[json]])</f>
        <v>{"17083661947":{"offeringid":"990001054","name":"Combo datos 4GB WA + Mail   1","mode":"I","offeringidATP":"990001054"}}</v>
      </c>
    </row>
    <row r="1326" spans="1:9" x14ac:dyDescent="0.25">
      <c r="A1326" s="60" t="s">
        <v>5737</v>
      </c>
      <c r="B1326" s="60" t="str">
        <f>findKey(supplementary_offering_legacyid__4[[#This Row],[PRODUCCION]])</f>
        <v>17083659643</v>
      </c>
      <c r="C1326" s="61" t="s">
        <v>5738</v>
      </c>
      <c r="D1326" t="s">
        <v>1033</v>
      </c>
      <c r="E1326" t="s">
        <v>2189</v>
      </c>
      <c r="F1326" s="61" t="s">
        <v>5738</v>
      </c>
      <c r="H1326" t="str">
        <f>ToJsonArray(supplementary_offering_legacyid__4[[#Headers],[offeringid]:[json]],supplementary_offering_legacyid__4[[#This Row],[offeringid]:[ignore]])</f>
        <v>{"offeringid":"990001040","name":"Combo datos 4GB WA + Mail   2","mode":"I","offeringidATP":"990001040"}</v>
      </c>
      <c r="I1326" t="str">
        <f>ToJsonArray(supplementary_offering_legacyid__4[[#This Row],[semilla04]],supplementary_offering_legacyid__4[[#This Row],[json]])</f>
        <v>{"17083659643":{"offeringid":"990001040","name":"Combo datos 4GB WA + Mail   2","mode":"I","offeringidATP":"990001040"}}</v>
      </c>
    </row>
    <row r="1327" spans="1:9" x14ac:dyDescent="0.25">
      <c r="A1327" s="60" t="s">
        <v>5739</v>
      </c>
      <c r="B1327" s="60" t="str">
        <f>findKey(supplementary_offering_legacyid__4[[#This Row],[PRODUCCION]])</f>
        <v>17083662331</v>
      </c>
      <c r="C1327" s="61" t="s">
        <v>5740</v>
      </c>
      <c r="D1327" t="s">
        <v>1041</v>
      </c>
      <c r="E1327" t="s">
        <v>2189</v>
      </c>
      <c r="F1327" s="61" t="s">
        <v>5740</v>
      </c>
      <c r="H1327" t="str">
        <f>ToJsonArray(supplementary_offering_legacyid__4[[#Headers],[offeringid]:[json]],supplementary_offering_legacyid__4[[#This Row],[offeringid]:[ignore]])</f>
        <v>{"offeringid":"990001056","name":"Combo datos 13GB WA + Mail","mode":"I","offeringidATP":"990001056"}</v>
      </c>
      <c r="I1327" t="str">
        <f>ToJsonArray(supplementary_offering_legacyid__4[[#This Row],[semilla04]],supplementary_offering_legacyid__4[[#This Row],[json]])</f>
        <v>{"17083662331":{"offeringid":"990001056","name":"Combo datos 13GB WA + Mail","mode":"I","offeringidATP":"990001056"}}</v>
      </c>
    </row>
    <row r="1328" spans="1:9" x14ac:dyDescent="0.25">
      <c r="A1328" s="60" t="s">
        <v>5741</v>
      </c>
      <c r="B1328" s="60" t="str">
        <f>findKey(supplementary_offering_legacyid__4[[#This Row],[PRODUCCION]])</f>
        <v>17083659271</v>
      </c>
      <c r="C1328" s="61" t="s">
        <v>5742</v>
      </c>
      <c r="D1328" t="s">
        <v>1043</v>
      </c>
      <c r="E1328" t="s">
        <v>2189</v>
      </c>
      <c r="F1328" s="61" t="s">
        <v>5742</v>
      </c>
      <c r="H1328" t="str">
        <f>ToJsonArray(supplementary_offering_legacyid__4[[#Headers],[offeringid]:[json]],supplementary_offering_legacyid__4[[#This Row],[offeringid]:[ignore]])</f>
        <v>{"offeringid":"990001037","name":"Combo datos 15GB WA + Mail","mode":"I","offeringidATP":"990001037"}</v>
      </c>
      <c r="I1328" t="str">
        <f>ToJsonArray(supplementary_offering_legacyid__4[[#This Row],[semilla04]],supplementary_offering_legacyid__4[[#This Row],[json]])</f>
        <v>{"17083659271":{"offeringid":"990001037","name":"Combo datos 15GB WA + Mail","mode":"I","offeringidATP":"990001037"}}</v>
      </c>
    </row>
    <row r="1329" spans="1:9" x14ac:dyDescent="0.25">
      <c r="A1329" s="60" t="s">
        <v>5743</v>
      </c>
      <c r="B1329" s="60" t="str">
        <f>findKey(supplementary_offering_legacyid__4[[#This Row],[PRODUCCION]])</f>
        <v>17083660807</v>
      </c>
      <c r="C1329" s="61" t="s">
        <v>5744</v>
      </c>
      <c r="D1329" t="s">
        <v>1045</v>
      </c>
      <c r="E1329" t="s">
        <v>2189</v>
      </c>
      <c r="F1329" s="61" t="s">
        <v>5744</v>
      </c>
      <c r="H1329" t="str">
        <f>ToJsonArray(supplementary_offering_legacyid__4[[#Headers],[offeringid]:[json]],supplementary_offering_legacyid__4[[#This Row],[offeringid]:[ignore]])</f>
        <v>{"offeringid":"990001049","name":"Combo datos 20GB WA + Mail","mode":"I","offeringidATP":"990001049"}</v>
      </c>
      <c r="I1329" t="str">
        <f>ToJsonArray(supplementary_offering_legacyid__4[[#This Row],[semilla04]],supplementary_offering_legacyid__4[[#This Row],[json]])</f>
        <v>{"17083660807":{"offeringid":"990001049","name":"Combo datos 20GB WA + Mail","mode":"I","offeringidATP":"990001049"}}</v>
      </c>
    </row>
    <row r="1330" spans="1:9" x14ac:dyDescent="0.25">
      <c r="A1330" s="60" t="s">
        <v>5745</v>
      </c>
      <c r="B1330" s="60" t="str">
        <f>findKey(supplementary_offering_legacyid__4[[#This Row],[PRODUCCION]])</f>
        <v>17083091782</v>
      </c>
      <c r="C1330" s="61" t="s">
        <v>5746</v>
      </c>
      <c r="D1330" t="s">
        <v>1137</v>
      </c>
      <c r="E1330" t="s">
        <v>2189</v>
      </c>
      <c r="F1330" s="61" t="s">
        <v>5746</v>
      </c>
      <c r="H1330" t="str">
        <f>ToJsonArray(supplementary_offering_legacyid__4[[#Headers],[offeringid]:[json]],supplementary_offering_legacyid__4[[#This Row],[offeringid]:[ignore]])</f>
        <v>{"offeringid":"990001023","name":"PQT Reventa TodoDestino 900MIN","mode":"I","offeringidATP":"990001023"}</v>
      </c>
      <c r="I1330" t="str">
        <f>ToJsonArray(supplementary_offering_legacyid__4[[#This Row],[semilla04]],supplementary_offering_legacyid__4[[#This Row],[json]])</f>
        <v>{"17083091782":{"offeringid":"990001023","name":"PQT Reventa TodoDestino 900MIN","mode":"I","offeringidATP":"990001023"}}</v>
      </c>
    </row>
    <row r="1331" spans="1:9" x14ac:dyDescent="0.25">
      <c r="A1331" s="60" t="s">
        <v>5747</v>
      </c>
      <c r="B1331" s="60" t="str">
        <f>findKey(supplementary_offering_legacyid__4[[#This Row],[PRODUCCION]])</f>
        <v>17083121151</v>
      </c>
      <c r="C1331" s="61" t="s">
        <v>5748</v>
      </c>
      <c r="D1331" t="s">
        <v>1138</v>
      </c>
      <c r="E1331" t="s">
        <v>2189</v>
      </c>
      <c r="F1331" s="61" t="s">
        <v>5748</v>
      </c>
      <c r="H1331" t="str">
        <f>ToJsonArray(supplementary_offering_legacyid__4[[#Headers],[offeringid]:[json]],supplementary_offering_legacyid__4[[#This Row],[offeringid]:[ignore]])</f>
        <v>{"offeringid":"990001024","name":"PQT Reventa TodoDestino 1000MIN","mode":"I","offeringidATP":"990001024"}</v>
      </c>
      <c r="I1331" t="str">
        <f>ToJsonArray(supplementary_offering_legacyid__4[[#This Row],[semilla04]],supplementary_offering_legacyid__4[[#This Row],[json]])</f>
        <v>{"17083121151":{"offeringid":"990001024","name":"PQT Reventa TodoDestino 1000MIN","mode":"I","offeringidATP":"990001024"}}</v>
      </c>
    </row>
    <row r="1332" spans="1:9" x14ac:dyDescent="0.25">
      <c r="A1332" s="60" t="s">
        <v>5749</v>
      </c>
      <c r="B1332" s="60" t="str">
        <f>findKey(supplementary_offering_legacyid__4[[#This Row],[PRODUCCION]])</f>
        <v>17101192520</v>
      </c>
      <c r="C1332" s="61" t="s">
        <v>5750</v>
      </c>
      <c r="D1332" t="s">
        <v>1320</v>
      </c>
      <c r="E1332" t="s">
        <v>2189</v>
      </c>
      <c r="F1332" s="61" t="s">
        <v>5750</v>
      </c>
      <c r="H1332" t="str">
        <f>ToJsonArray(supplementary_offering_legacyid__4[[#Headers],[offeringid]:[json]],supplementary_offering_legacyid__4[[#This Row],[offeringid]:[ignore]])</f>
        <v>{"offeringid":"990001061","name":"Combo B2B ilimitado 12 GB P1","mode":"I","offeringidATP":"990001061"}</v>
      </c>
      <c r="I1332" t="str">
        <f>ToJsonArray(supplementary_offering_legacyid__4[[#This Row],[semilla04]],supplementary_offering_legacyid__4[[#This Row],[json]])</f>
        <v>{"17101192520":{"offeringid":"990001061","name":"Combo B2B ilimitado 12 GB P1","mode":"I","offeringidATP":"990001061"}}</v>
      </c>
    </row>
    <row r="1333" spans="1:9" x14ac:dyDescent="0.25">
      <c r="A1333" s="60" t="s">
        <v>5751</v>
      </c>
      <c r="B1333" s="60" t="str">
        <f>findKey(supplementary_offering_legacyid__4[[#This Row],[PRODUCCION]])</f>
        <v>17101190984</v>
      </c>
      <c r="C1333" s="61" t="s">
        <v>5752</v>
      </c>
      <c r="D1333" t="s">
        <v>1321</v>
      </c>
      <c r="E1333" t="s">
        <v>2189</v>
      </c>
      <c r="F1333" s="61" t="s">
        <v>5752</v>
      </c>
      <c r="H1333" t="str">
        <f>ToJsonArray(supplementary_offering_legacyid__4[[#Headers],[offeringid]:[json]],supplementary_offering_legacyid__4[[#This Row],[offeringid]:[ignore]])</f>
        <v>{"offeringid":"990001060","name":"Combo B2B ilimitado 12 GB P2","mode":"I","offeringidATP":"990001060"}</v>
      </c>
      <c r="I1333" t="str">
        <f>ToJsonArray(supplementary_offering_legacyid__4[[#This Row],[semilla04]],supplementary_offering_legacyid__4[[#This Row],[json]])</f>
        <v>{"17101190984":{"offeringid":"990001060","name":"Combo B2B ilimitado 12 GB P2","mode":"I","offeringidATP":"990001060"}}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exportJson">
                <anchor moveWithCells="1" sizeWithCells="1">
                  <from>
                    <xdr:col>9</xdr:col>
                    <xdr:colOff>333375</xdr:colOff>
                    <xdr:row>1</xdr:row>
                    <xdr:rowOff>133350</xdr:rowOff>
                  </from>
                  <to>
                    <xdr:col>11</xdr:col>
                    <xdr:colOff>304800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3A7C4-B9AB-4BB7-AB5E-05613E889A2C}">
  <sheetPr codeName="Hoja6">
    <tabColor rgb="FFFF0000"/>
  </sheetPr>
  <dimension ref="A1:AD1912"/>
  <sheetViews>
    <sheetView workbookViewId="0">
      <pane ySplit="2" topLeftCell="A1807" activePane="bottomLeft" state="frozen"/>
      <selection activeCell="B1" sqref="B1"/>
      <selection pane="bottomLeft" activeCell="E1816" sqref="E1816"/>
    </sheetView>
  </sheetViews>
  <sheetFormatPr baseColWidth="10" defaultColWidth="9.140625" defaultRowHeight="15" x14ac:dyDescent="0.25"/>
  <cols>
    <col min="1" max="1" width="22.28515625" style="25" bestFit="1" customWidth="1"/>
    <col min="2" max="2" width="17.5703125" customWidth="1"/>
    <col min="3" max="3" width="48.42578125" customWidth="1"/>
    <col min="4" max="4" width="18" style="59" customWidth="1"/>
    <col min="5" max="5" width="16.28515625" style="59" customWidth="1"/>
    <col min="6" max="6" width="50.42578125" bestFit="1" customWidth="1"/>
    <col min="7" max="8" width="19.5703125" customWidth="1"/>
    <col min="9" max="9" width="7.5703125" customWidth="1"/>
    <col min="10" max="10" width="59.5703125" style="45" bestFit="1" customWidth="1"/>
    <col min="11" max="11" width="22.28515625" style="46" customWidth="1"/>
    <col min="12" max="12" width="22.28515625" style="47" customWidth="1"/>
    <col min="13" max="13" width="38.28515625" style="56" customWidth="1"/>
    <col min="14" max="14" width="17.42578125" style="56" customWidth="1"/>
    <col min="15" max="15" width="17.140625" style="56" customWidth="1"/>
    <col min="16" max="16" width="32.140625" style="56" bestFit="1" customWidth="1"/>
    <col min="17" max="17" width="60.85546875" style="57" bestFit="1" customWidth="1"/>
    <col min="18" max="19" width="18.140625" style="57" customWidth="1"/>
    <col min="20" max="20" width="32.140625" style="57" bestFit="1" customWidth="1"/>
    <col min="21" max="21" width="60.85546875" style="58" bestFit="1" customWidth="1"/>
    <col min="22" max="23" width="23.140625" style="58" customWidth="1"/>
    <col min="24" max="24" width="32.140625" style="58" bestFit="1" customWidth="1"/>
    <col min="25" max="25" width="26.28515625" style="58" customWidth="1"/>
    <col min="26" max="26" width="40.5703125" style="51" customWidth="1"/>
    <col min="27" max="27" width="9.140625" style="51"/>
    <col min="28" max="28" width="11.42578125" style="51" bestFit="1" customWidth="1"/>
    <col min="29" max="29" width="15.7109375" style="51" bestFit="1" customWidth="1"/>
  </cols>
  <sheetData>
    <row r="1" spans="1:30" x14ac:dyDescent="0.25">
      <c r="C1" s="63" t="s">
        <v>95</v>
      </c>
      <c r="D1" s="63"/>
      <c r="E1" s="63"/>
      <c r="F1" s="63"/>
      <c r="G1" s="32"/>
      <c r="H1" s="32"/>
      <c r="I1" s="32"/>
      <c r="J1" s="64" t="s">
        <v>96</v>
      </c>
      <c r="K1" s="64"/>
      <c r="L1" s="64"/>
      <c r="M1" s="65" t="s">
        <v>97</v>
      </c>
      <c r="N1" s="65"/>
      <c r="O1" s="65"/>
      <c r="P1" s="65"/>
      <c r="Q1" s="66" t="s">
        <v>98</v>
      </c>
      <c r="R1" s="66"/>
      <c r="S1" s="66"/>
      <c r="T1" s="66"/>
      <c r="U1" s="67" t="s">
        <v>99</v>
      </c>
      <c r="V1" s="68"/>
      <c r="W1" s="68"/>
      <c r="X1" s="68"/>
      <c r="Y1" s="69"/>
      <c r="Z1" s="62" t="s">
        <v>100</v>
      </c>
      <c r="AA1" s="62"/>
      <c r="AB1" s="62"/>
      <c r="AC1" s="62"/>
      <c r="AD1" s="33"/>
    </row>
    <row r="2" spans="1:30" x14ac:dyDescent="0.25">
      <c r="A2" s="25" t="s">
        <v>101</v>
      </c>
      <c r="B2" t="s">
        <v>102</v>
      </c>
      <c r="C2" s="34" t="s">
        <v>100</v>
      </c>
      <c r="D2" s="34" t="s">
        <v>103</v>
      </c>
      <c r="E2" s="34" t="s">
        <v>104</v>
      </c>
      <c r="F2" s="35" t="s">
        <v>105</v>
      </c>
      <c r="G2" s="35" t="s">
        <v>106</v>
      </c>
      <c r="H2" s="35" t="s">
        <v>107</v>
      </c>
      <c r="I2" s="35" t="s">
        <v>108</v>
      </c>
      <c r="J2" s="36" t="s">
        <v>109</v>
      </c>
      <c r="K2" s="37" t="s">
        <v>110</v>
      </c>
      <c r="L2" s="38" t="s">
        <v>111</v>
      </c>
      <c r="M2" s="39" t="s">
        <v>100</v>
      </c>
      <c r="N2" s="39" t="s">
        <v>103</v>
      </c>
      <c r="O2" s="39" t="s">
        <v>104</v>
      </c>
      <c r="P2" s="39" t="s">
        <v>105</v>
      </c>
      <c r="Q2" s="40" t="s">
        <v>100</v>
      </c>
      <c r="R2" s="40" t="s">
        <v>103</v>
      </c>
      <c r="S2" s="40" t="s">
        <v>104</v>
      </c>
      <c r="T2" s="40" t="s">
        <v>105</v>
      </c>
      <c r="U2" s="41" t="s">
        <v>100</v>
      </c>
      <c r="V2" s="41" t="s">
        <v>103</v>
      </c>
      <c r="W2" s="41" t="s">
        <v>104</v>
      </c>
      <c r="X2" s="41" t="s">
        <v>105</v>
      </c>
      <c r="Y2" s="41" t="s">
        <v>112</v>
      </c>
      <c r="Z2" s="42" t="s">
        <v>100</v>
      </c>
      <c r="AA2" s="42" t="s">
        <v>108</v>
      </c>
      <c r="AB2" s="42" t="s">
        <v>113</v>
      </c>
      <c r="AC2" s="42" t="s">
        <v>114</v>
      </c>
    </row>
    <row r="3" spans="1:30" x14ac:dyDescent="0.25">
      <c r="A3" s="25" t="s">
        <v>115</v>
      </c>
      <c r="B3" t="b">
        <v>0</v>
      </c>
      <c r="C3" s="43" t="s">
        <v>116</v>
      </c>
      <c r="D3" s="43">
        <v>320148</v>
      </c>
      <c r="E3" s="43">
        <v>301691</v>
      </c>
      <c r="F3" s="44" t="s">
        <v>117</v>
      </c>
      <c r="G3" s="44" t="b">
        <v>0</v>
      </c>
      <c r="H3" s="44" t="b">
        <v>0</v>
      </c>
      <c r="I3" s="44"/>
      <c r="M3" s="48" t="s">
        <v>116</v>
      </c>
      <c r="N3" s="48">
        <v>17088571060</v>
      </c>
      <c r="O3" s="48">
        <v>17088568944</v>
      </c>
      <c r="P3" s="48" t="s">
        <v>117</v>
      </c>
      <c r="Q3" s="49" t="s">
        <v>116</v>
      </c>
      <c r="R3" s="49">
        <v>17083129194</v>
      </c>
      <c r="S3" s="49">
        <v>17083124642</v>
      </c>
      <c r="T3" s="49" t="s">
        <v>117</v>
      </c>
      <c r="U3" s="50" t="s">
        <v>116</v>
      </c>
      <c r="V3" s="50">
        <v>17083129194</v>
      </c>
      <c r="W3" s="50">
        <v>17083124642</v>
      </c>
      <c r="X3" s="50" t="s">
        <v>117</v>
      </c>
      <c r="Y3" s="50"/>
    </row>
    <row r="4" spans="1:30" x14ac:dyDescent="0.25">
      <c r="A4" s="25" t="s">
        <v>115</v>
      </c>
      <c r="B4" t="b">
        <v>0</v>
      </c>
      <c r="C4" s="43" t="s">
        <v>118</v>
      </c>
      <c r="D4" s="43">
        <v>322196</v>
      </c>
      <c r="E4" s="43">
        <v>303083</v>
      </c>
      <c r="F4" s="44" t="s">
        <v>119</v>
      </c>
      <c r="G4" s="44" t="b">
        <v>0</v>
      </c>
      <c r="H4" s="44" t="b">
        <v>0</v>
      </c>
      <c r="I4" s="44"/>
      <c r="M4" s="48" t="s">
        <v>118</v>
      </c>
      <c r="N4" s="48">
        <v>17088571916</v>
      </c>
      <c r="O4" s="48">
        <v>17088565744</v>
      </c>
      <c r="P4" s="48" t="s">
        <v>119</v>
      </c>
      <c r="Q4" s="49" t="s">
        <v>118</v>
      </c>
      <c r="R4" s="49">
        <v>17083128474</v>
      </c>
      <c r="S4" s="49">
        <v>17083123554</v>
      </c>
      <c r="T4" s="49" t="s">
        <v>119</v>
      </c>
      <c r="U4" s="50" t="s">
        <v>118</v>
      </c>
      <c r="V4" s="50">
        <v>17083128474</v>
      </c>
      <c r="W4" s="50">
        <v>17083123554</v>
      </c>
      <c r="X4" s="50" t="s">
        <v>119</v>
      </c>
      <c r="Y4" s="50"/>
    </row>
    <row r="5" spans="1:30" x14ac:dyDescent="0.25">
      <c r="A5" s="25" t="s">
        <v>115</v>
      </c>
      <c r="B5" t="b">
        <v>0</v>
      </c>
      <c r="C5" s="43" t="s">
        <v>120</v>
      </c>
      <c r="D5" s="43">
        <v>321172</v>
      </c>
      <c r="E5" s="43">
        <v>300443</v>
      </c>
      <c r="F5" s="44" t="s">
        <v>119</v>
      </c>
      <c r="G5" s="44" t="b">
        <v>0</v>
      </c>
      <c r="H5" s="44" t="b">
        <v>0</v>
      </c>
      <c r="I5" s="44"/>
      <c r="M5" s="48" t="s">
        <v>120</v>
      </c>
      <c r="N5" s="48">
        <v>17088573364</v>
      </c>
      <c r="O5" s="48">
        <v>17088567536</v>
      </c>
      <c r="P5" s="48" t="s">
        <v>119</v>
      </c>
      <c r="Q5" s="49" t="s">
        <v>120</v>
      </c>
      <c r="R5" s="49">
        <v>17083129066</v>
      </c>
      <c r="S5" s="49">
        <v>17083125346</v>
      </c>
      <c r="T5" s="49" t="s">
        <v>119</v>
      </c>
      <c r="U5" s="50" t="s">
        <v>120</v>
      </c>
      <c r="V5" s="50">
        <v>17083129066</v>
      </c>
      <c r="W5" s="50">
        <v>17083125346</v>
      </c>
      <c r="X5" s="50" t="s">
        <v>119</v>
      </c>
      <c r="Y5" s="50"/>
    </row>
    <row r="6" spans="1:30" x14ac:dyDescent="0.25">
      <c r="A6" s="25" t="s">
        <v>115</v>
      </c>
      <c r="B6" t="b">
        <v>0</v>
      </c>
      <c r="C6" s="43" t="s">
        <v>121</v>
      </c>
      <c r="D6" s="43">
        <v>323220</v>
      </c>
      <c r="E6" s="43">
        <v>301191</v>
      </c>
      <c r="F6" s="44" t="s">
        <v>119</v>
      </c>
      <c r="G6" s="44" t="b">
        <v>0</v>
      </c>
      <c r="H6" s="44" t="b">
        <v>0</v>
      </c>
      <c r="I6" s="44"/>
      <c r="M6" s="48" t="s">
        <v>121</v>
      </c>
      <c r="N6" s="48">
        <v>17088571188</v>
      </c>
      <c r="O6" s="48">
        <v>17088568496</v>
      </c>
      <c r="P6" s="48" t="s">
        <v>119</v>
      </c>
      <c r="Q6" s="49" t="s">
        <v>121</v>
      </c>
      <c r="R6" s="49">
        <v>17083128426</v>
      </c>
      <c r="S6" s="49">
        <v>17083124002</v>
      </c>
      <c r="T6" s="49" t="s">
        <v>119</v>
      </c>
      <c r="U6" s="50" t="s">
        <v>121</v>
      </c>
      <c r="V6" s="50">
        <v>17083128426</v>
      </c>
      <c r="W6" s="50">
        <v>17083124002</v>
      </c>
      <c r="X6" s="50" t="s">
        <v>119</v>
      </c>
      <c r="Y6" s="50"/>
    </row>
    <row r="7" spans="1:30" x14ac:dyDescent="0.25">
      <c r="A7" s="25" t="s">
        <v>115</v>
      </c>
      <c r="B7" t="b">
        <v>0</v>
      </c>
      <c r="C7" s="43" t="s">
        <v>122</v>
      </c>
      <c r="D7" s="43">
        <v>319892</v>
      </c>
      <c r="E7" s="43">
        <v>301575</v>
      </c>
      <c r="F7" s="44" t="s">
        <v>123</v>
      </c>
      <c r="G7" s="44" t="b">
        <v>0</v>
      </c>
      <c r="H7" s="44" t="b">
        <v>0</v>
      </c>
      <c r="I7" s="44"/>
      <c r="M7" s="48" t="s">
        <v>122</v>
      </c>
      <c r="N7" s="48">
        <v>17088572212</v>
      </c>
      <c r="O7" s="48">
        <v>17088566704</v>
      </c>
      <c r="P7" s="48" t="s">
        <v>123</v>
      </c>
      <c r="Q7" s="49" t="s">
        <v>122</v>
      </c>
      <c r="R7" s="49">
        <v>17083126378</v>
      </c>
      <c r="S7" s="49">
        <v>17083121826</v>
      </c>
      <c r="T7" s="49" t="s">
        <v>123</v>
      </c>
      <c r="U7" s="50" t="s">
        <v>122</v>
      </c>
      <c r="V7" s="50">
        <v>17083126378</v>
      </c>
      <c r="W7" s="50">
        <v>17083121826</v>
      </c>
      <c r="X7" s="50" t="s">
        <v>123</v>
      </c>
      <c r="Y7" s="50"/>
    </row>
    <row r="8" spans="1:30" x14ac:dyDescent="0.25">
      <c r="A8" s="25" t="s">
        <v>115</v>
      </c>
      <c r="B8" t="b">
        <v>0</v>
      </c>
      <c r="C8" s="43" t="s">
        <v>124</v>
      </c>
      <c r="D8" s="43">
        <v>321940</v>
      </c>
      <c r="E8" s="43">
        <v>287271</v>
      </c>
      <c r="F8" s="44" t="s">
        <v>125</v>
      </c>
      <c r="G8" s="44" t="b">
        <v>1</v>
      </c>
      <c r="H8" s="44" t="b">
        <v>0</v>
      </c>
      <c r="I8" s="44" t="s">
        <v>126</v>
      </c>
      <c r="M8" s="48" t="s">
        <v>124</v>
      </c>
      <c r="N8" s="48">
        <v>17088570294</v>
      </c>
      <c r="O8" s="48">
        <v>17088559212</v>
      </c>
      <c r="P8" s="48" t="s">
        <v>125</v>
      </c>
      <c r="Q8" s="49" t="s">
        <v>124</v>
      </c>
      <c r="R8" s="49">
        <v>17083127129</v>
      </c>
      <c r="S8" s="49">
        <v>17083091482</v>
      </c>
      <c r="T8" s="49" t="s">
        <v>125</v>
      </c>
      <c r="U8" s="50" t="s">
        <v>124</v>
      </c>
      <c r="V8" s="50">
        <v>17083127129</v>
      </c>
      <c r="W8" s="50">
        <v>17083091482</v>
      </c>
      <c r="X8" s="50" t="s">
        <v>125</v>
      </c>
      <c r="Y8" s="50">
        <v>110334</v>
      </c>
    </row>
    <row r="9" spans="1:30" x14ac:dyDescent="0.25">
      <c r="A9" s="25" t="s">
        <v>115</v>
      </c>
      <c r="B9" t="b">
        <v>0</v>
      </c>
      <c r="C9" s="43" t="s">
        <v>127</v>
      </c>
      <c r="D9" s="43">
        <v>320916</v>
      </c>
      <c r="E9" s="43">
        <v>290279</v>
      </c>
      <c r="F9" s="44" t="s">
        <v>117</v>
      </c>
      <c r="G9" s="44" t="b">
        <v>0</v>
      </c>
      <c r="H9" s="44" t="b">
        <v>0</v>
      </c>
      <c r="I9" s="44"/>
      <c r="M9" s="48" t="s">
        <v>127</v>
      </c>
      <c r="N9" s="48">
        <v>17088569398</v>
      </c>
      <c r="O9" s="48">
        <v>17088560812</v>
      </c>
      <c r="P9" s="48" t="s">
        <v>117</v>
      </c>
      <c r="Q9" s="49" t="s">
        <v>127</v>
      </c>
      <c r="R9" s="49">
        <v>17083128217</v>
      </c>
      <c r="S9" s="49">
        <v>17083092458</v>
      </c>
      <c r="T9" s="49" t="s">
        <v>117</v>
      </c>
      <c r="U9" s="50" t="s">
        <v>127</v>
      </c>
      <c r="V9" s="50">
        <v>17083128217</v>
      </c>
      <c r="W9" s="50">
        <v>17083092458</v>
      </c>
      <c r="X9" s="50" t="s">
        <v>117</v>
      </c>
      <c r="Y9" s="50"/>
    </row>
    <row r="10" spans="1:30" x14ac:dyDescent="0.25">
      <c r="A10" s="25" t="s">
        <v>115</v>
      </c>
      <c r="B10" t="b">
        <v>0</v>
      </c>
      <c r="C10" s="43" t="s">
        <v>128</v>
      </c>
      <c r="D10" s="43">
        <v>322964</v>
      </c>
      <c r="E10" s="43">
        <v>302331</v>
      </c>
      <c r="F10" s="44" t="s">
        <v>125</v>
      </c>
      <c r="G10" s="44" t="b">
        <v>0</v>
      </c>
      <c r="H10" s="44" t="b">
        <v>0</v>
      </c>
      <c r="I10" s="44"/>
      <c r="M10" s="48" t="s">
        <v>128</v>
      </c>
      <c r="N10" s="48">
        <v>17088572084</v>
      </c>
      <c r="O10" s="48">
        <v>17088565872</v>
      </c>
      <c r="P10" s="48" t="s">
        <v>125</v>
      </c>
      <c r="Q10" s="49" t="s">
        <v>128</v>
      </c>
      <c r="R10" s="49">
        <v>17083127146</v>
      </c>
      <c r="S10" s="49">
        <v>17083123106</v>
      </c>
      <c r="T10" s="49" t="s">
        <v>125</v>
      </c>
      <c r="U10" s="50" t="s">
        <v>128</v>
      </c>
      <c r="V10" s="50">
        <v>17083127146</v>
      </c>
      <c r="W10" s="50">
        <v>17083123106</v>
      </c>
      <c r="X10" s="50" t="s">
        <v>125</v>
      </c>
      <c r="Y10" s="50"/>
    </row>
    <row r="11" spans="1:30" x14ac:dyDescent="0.25">
      <c r="A11" s="25" t="s">
        <v>115</v>
      </c>
      <c r="B11" t="b">
        <v>0</v>
      </c>
      <c r="C11" s="43" t="s">
        <v>129</v>
      </c>
      <c r="D11" s="43">
        <v>320404</v>
      </c>
      <c r="E11" s="43">
        <v>289351</v>
      </c>
      <c r="F11" s="44" t="s">
        <v>117</v>
      </c>
      <c r="G11" s="44" t="b">
        <v>0</v>
      </c>
      <c r="H11" s="44" t="b">
        <v>0</v>
      </c>
      <c r="I11" s="44"/>
      <c r="M11" s="48" t="s">
        <v>129</v>
      </c>
      <c r="N11" s="48">
        <v>17088570486</v>
      </c>
      <c r="O11" s="48">
        <v>17088560492</v>
      </c>
      <c r="P11" s="48" t="s">
        <v>117</v>
      </c>
      <c r="Q11" s="49" t="s">
        <v>129</v>
      </c>
      <c r="R11" s="49">
        <v>17083129049</v>
      </c>
      <c r="S11" s="49">
        <v>17083092762</v>
      </c>
      <c r="T11" s="49" t="s">
        <v>117</v>
      </c>
      <c r="U11" s="50" t="s">
        <v>129</v>
      </c>
      <c r="V11" s="50">
        <v>17083129049</v>
      </c>
      <c r="W11" s="50">
        <v>17083092762</v>
      </c>
      <c r="X11" s="50" t="s">
        <v>117</v>
      </c>
      <c r="Y11" s="50"/>
    </row>
    <row r="12" spans="1:30" x14ac:dyDescent="0.25">
      <c r="A12" s="25" t="s">
        <v>115</v>
      </c>
      <c r="B12" t="b">
        <v>0</v>
      </c>
      <c r="C12" s="43" t="s">
        <v>130</v>
      </c>
      <c r="D12" s="43">
        <v>322452</v>
      </c>
      <c r="E12" s="43">
        <v>299399</v>
      </c>
      <c r="F12" s="44" t="s">
        <v>119</v>
      </c>
      <c r="G12" s="44" t="b">
        <v>0</v>
      </c>
      <c r="H12" s="44" t="b">
        <v>0</v>
      </c>
      <c r="I12" s="44"/>
      <c r="M12" s="48" t="s">
        <v>130</v>
      </c>
      <c r="N12" s="48">
        <v>17088570228</v>
      </c>
      <c r="O12" s="48">
        <v>17088566064</v>
      </c>
      <c r="P12" s="48" t="s">
        <v>119</v>
      </c>
      <c r="Q12" s="49" t="s">
        <v>130</v>
      </c>
      <c r="R12" s="49">
        <v>17083126298</v>
      </c>
      <c r="S12" s="49">
        <v>17083122722</v>
      </c>
      <c r="T12" s="49" t="s">
        <v>119</v>
      </c>
      <c r="U12" s="50" t="s">
        <v>130</v>
      </c>
      <c r="V12" s="50">
        <v>17083126298</v>
      </c>
      <c r="W12" s="50">
        <v>17083122722</v>
      </c>
      <c r="X12" s="50" t="s">
        <v>119</v>
      </c>
      <c r="Y12" s="50"/>
    </row>
    <row r="13" spans="1:30" x14ac:dyDescent="0.25">
      <c r="A13" s="25" t="s">
        <v>115</v>
      </c>
      <c r="B13" t="b">
        <v>0</v>
      </c>
      <c r="C13" s="43" t="s">
        <v>131</v>
      </c>
      <c r="D13" s="43">
        <v>323476</v>
      </c>
      <c r="E13" s="43">
        <v>287047</v>
      </c>
      <c r="F13" s="44" t="s">
        <v>132</v>
      </c>
      <c r="G13" s="44" t="b">
        <v>0</v>
      </c>
      <c r="H13" s="44" t="b">
        <v>0</v>
      </c>
      <c r="I13" s="44"/>
      <c r="M13" s="48" t="s">
        <v>131</v>
      </c>
      <c r="N13" s="48">
        <v>17088573110</v>
      </c>
      <c r="O13" s="48">
        <v>17088557420</v>
      </c>
      <c r="P13" s="48" t="s">
        <v>132</v>
      </c>
      <c r="Q13" s="49" t="s">
        <v>131</v>
      </c>
      <c r="R13" s="49">
        <v>17083126361</v>
      </c>
      <c r="S13" s="49">
        <v>17083089690</v>
      </c>
      <c r="T13" s="49" t="s">
        <v>132</v>
      </c>
      <c r="U13" s="50" t="s">
        <v>131</v>
      </c>
      <c r="V13" s="50">
        <v>17083126361</v>
      </c>
      <c r="W13" s="50">
        <v>17083089690</v>
      </c>
      <c r="X13" s="50" t="s">
        <v>132</v>
      </c>
      <c r="Y13" s="50"/>
    </row>
    <row r="14" spans="1:30" x14ac:dyDescent="0.25">
      <c r="A14" s="25" t="s">
        <v>115</v>
      </c>
      <c r="B14" t="b">
        <v>0</v>
      </c>
      <c r="C14" s="43" t="s">
        <v>133</v>
      </c>
      <c r="D14" s="43">
        <v>319572</v>
      </c>
      <c r="E14" s="43">
        <v>290151</v>
      </c>
      <c r="F14" s="44" t="s">
        <v>123</v>
      </c>
      <c r="G14" s="44" t="b">
        <v>1</v>
      </c>
      <c r="H14" s="44" t="b">
        <v>0</v>
      </c>
      <c r="I14" s="44" t="s">
        <v>134</v>
      </c>
      <c r="M14" s="48" t="s">
        <v>133</v>
      </c>
      <c r="N14" s="48">
        <v>17088573046</v>
      </c>
      <c r="O14" s="48">
        <v>17088558508</v>
      </c>
      <c r="P14" s="48" t="s">
        <v>123</v>
      </c>
      <c r="Q14" s="49" t="s">
        <v>133</v>
      </c>
      <c r="R14" s="49">
        <v>17083127513</v>
      </c>
      <c r="S14" s="49">
        <v>17083090922</v>
      </c>
      <c r="T14" s="49" t="s">
        <v>123</v>
      </c>
      <c r="U14" s="50" t="s">
        <v>133</v>
      </c>
      <c r="V14" s="50">
        <v>17083127513</v>
      </c>
      <c r="W14" s="50">
        <v>17083090922</v>
      </c>
      <c r="X14" s="50" t="s">
        <v>123</v>
      </c>
      <c r="Y14" s="50">
        <v>150105</v>
      </c>
    </row>
    <row r="15" spans="1:30" x14ac:dyDescent="0.25">
      <c r="A15" s="25" t="s">
        <v>115</v>
      </c>
      <c r="B15" t="b">
        <v>0</v>
      </c>
      <c r="C15" s="43" t="s">
        <v>135</v>
      </c>
      <c r="D15" s="43">
        <v>321620</v>
      </c>
      <c r="E15" s="43">
        <v>287815</v>
      </c>
      <c r="F15" s="44" t="s">
        <v>132</v>
      </c>
      <c r="G15" s="44" t="b">
        <v>0</v>
      </c>
      <c r="H15" s="44" t="b">
        <v>0</v>
      </c>
      <c r="I15" s="44"/>
      <c r="M15" s="48" t="s">
        <v>135</v>
      </c>
      <c r="N15" s="48">
        <v>17088572982</v>
      </c>
      <c r="O15" s="48">
        <v>17088558956</v>
      </c>
      <c r="P15" s="48" t="s">
        <v>132</v>
      </c>
      <c r="Q15" s="49" t="s">
        <v>135</v>
      </c>
      <c r="R15" s="49">
        <v>17083128729</v>
      </c>
      <c r="S15" s="49">
        <v>17083090074</v>
      </c>
      <c r="T15" s="49" t="s">
        <v>132</v>
      </c>
      <c r="U15" s="50" t="s">
        <v>135</v>
      </c>
      <c r="V15" s="50">
        <v>17083128729</v>
      </c>
      <c r="W15" s="50">
        <v>17083090074</v>
      </c>
      <c r="X15" s="50" t="s">
        <v>132</v>
      </c>
      <c r="Y15" s="50"/>
    </row>
    <row r="16" spans="1:30" x14ac:dyDescent="0.25">
      <c r="A16" s="25" t="s">
        <v>115</v>
      </c>
      <c r="B16" t="b">
        <v>0</v>
      </c>
      <c r="C16" s="43" t="s">
        <v>136</v>
      </c>
      <c r="D16" s="43">
        <v>320596</v>
      </c>
      <c r="E16" s="43">
        <v>302427</v>
      </c>
      <c r="F16" s="44" t="s">
        <v>123</v>
      </c>
      <c r="G16" s="44" t="b">
        <v>0</v>
      </c>
      <c r="H16" s="44" t="b">
        <v>0</v>
      </c>
      <c r="I16" s="44"/>
      <c r="M16" s="48" t="s">
        <v>136</v>
      </c>
      <c r="N16" s="48">
        <v>17088572788</v>
      </c>
      <c r="O16" s="48">
        <v>17088566128</v>
      </c>
      <c r="P16" s="48" t="s">
        <v>123</v>
      </c>
      <c r="Q16" s="49" t="s">
        <v>136</v>
      </c>
      <c r="R16" s="49">
        <v>17083128858</v>
      </c>
      <c r="S16" s="49">
        <v>17083122786</v>
      </c>
      <c r="T16" s="49" t="s">
        <v>123</v>
      </c>
      <c r="U16" s="50" t="s">
        <v>136</v>
      </c>
      <c r="V16" s="50">
        <v>17083128858</v>
      </c>
      <c r="W16" s="50">
        <v>17083122786</v>
      </c>
      <c r="X16" s="50" t="s">
        <v>123</v>
      </c>
      <c r="Y16" s="50"/>
    </row>
    <row r="17" spans="1:25" x14ac:dyDescent="0.25">
      <c r="A17" s="25" t="s">
        <v>115</v>
      </c>
      <c r="B17" t="b">
        <v>0</v>
      </c>
      <c r="C17" s="43" t="s">
        <v>137</v>
      </c>
      <c r="D17" s="43">
        <v>322644</v>
      </c>
      <c r="E17" s="43">
        <v>287099</v>
      </c>
      <c r="F17" s="44" t="s">
        <v>123</v>
      </c>
      <c r="G17" s="44" t="b">
        <v>0</v>
      </c>
      <c r="H17" s="44" t="b">
        <v>0</v>
      </c>
      <c r="I17" s="44" t="s">
        <v>134</v>
      </c>
      <c r="M17" s="48" t="s">
        <v>137</v>
      </c>
      <c r="N17" s="48">
        <v>17088571510</v>
      </c>
      <c r="O17" s="48">
        <v>17088560412</v>
      </c>
      <c r="P17" s="48" t="s">
        <v>123</v>
      </c>
      <c r="Q17" s="49" t="s">
        <v>137</v>
      </c>
      <c r="R17" s="49">
        <v>17083127001</v>
      </c>
      <c r="S17" s="49">
        <v>17083092314</v>
      </c>
      <c r="T17" s="49" t="s">
        <v>123</v>
      </c>
      <c r="U17" s="50" t="s">
        <v>137</v>
      </c>
      <c r="V17" s="50">
        <v>17083127001</v>
      </c>
      <c r="W17" s="50">
        <v>17083092314</v>
      </c>
      <c r="X17" s="50" t="s">
        <v>123</v>
      </c>
      <c r="Y17" s="50"/>
    </row>
    <row r="18" spans="1:25" x14ac:dyDescent="0.25">
      <c r="A18" s="25" t="s">
        <v>115</v>
      </c>
      <c r="B18" t="b">
        <v>0</v>
      </c>
      <c r="C18" s="43" t="s">
        <v>138</v>
      </c>
      <c r="D18" s="43">
        <v>320084</v>
      </c>
      <c r="E18" s="43">
        <v>301031</v>
      </c>
      <c r="F18" s="44" t="s">
        <v>117</v>
      </c>
      <c r="G18" s="44" t="b">
        <v>1</v>
      </c>
      <c r="H18" s="44" t="b">
        <v>0</v>
      </c>
      <c r="I18" s="44"/>
      <c r="M18" s="48" t="s">
        <v>138</v>
      </c>
      <c r="N18" s="48">
        <v>17088571582</v>
      </c>
      <c r="O18" s="48">
        <v>17088564187</v>
      </c>
      <c r="P18" s="48" t="s">
        <v>117</v>
      </c>
      <c r="Q18" s="49" t="s">
        <v>138</v>
      </c>
      <c r="R18" s="49">
        <v>17083128914</v>
      </c>
      <c r="S18" s="49">
        <v>17083124136</v>
      </c>
      <c r="T18" s="49" t="s">
        <v>117</v>
      </c>
      <c r="U18" s="50" t="s">
        <v>138</v>
      </c>
      <c r="V18" s="50">
        <v>17083128914</v>
      </c>
      <c r="W18" s="50">
        <v>17083124136</v>
      </c>
      <c r="X18" s="50" t="s">
        <v>117</v>
      </c>
      <c r="Y18" s="50">
        <v>150193</v>
      </c>
    </row>
    <row r="19" spans="1:25" x14ac:dyDescent="0.25">
      <c r="A19" s="25" t="s">
        <v>115</v>
      </c>
      <c r="B19" t="b">
        <v>0</v>
      </c>
      <c r="C19" s="43" t="s">
        <v>139</v>
      </c>
      <c r="D19" s="43">
        <v>322132</v>
      </c>
      <c r="E19" s="43">
        <v>286971</v>
      </c>
      <c r="F19" s="44" t="s">
        <v>123</v>
      </c>
      <c r="G19" s="44" t="b">
        <v>0</v>
      </c>
      <c r="H19" s="44" t="b">
        <v>0</v>
      </c>
      <c r="I19" s="44"/>
      <c r="M19" s="48" t="s">
        <v>139</v>
      </c>
      <c r="N19" s="48">
        <v>17088570934</v>
      </c>
      <c r="O19" s="48">
        <v>17088559084</v>
      </c>
      <c r="P19" s="48" t="s">
        <v>123</v>
      </c>
      <c r="Q19" s="49" t="s">
        <v>139</v>
      </c>
      <c r="R19" s="49">
        <v>17083126681</v>
      </c>
      <c r="S19" s="49">
        <v>17083088986</v>
      </c>
      <c r="T19" s="49" t="s">
        <v>123</v>
      </c>
      <c r="U19" s="50" t="s">
        <v>139</v>
      </c>
      <c r="V19" s="50">
        <v>17083126681</v>
      </c>
      <c r="W19" s="50">
        <v>17083088986</v>
      </c>
      <c r="X19" s="50" t="s">
        <v>123</v>
      </c>
      <c r="Y19" s="50"/>
    </row>
    <row r="20" spans="1:25" x14ac:dyDescent="0.25">
      <c r="A20" s="25" t="s">
        <v>115</v>
      </c>
      <c r="B20" t="b">
        <v>0</v>
      </c>
      <c r="C20" s="43" t="s">
        <v>140</v>
      </c>
      <c r="D20" s="43">
        <v>321108</v>
      </c>
      <c r="E20" s="43">
        <v>302103</v>
      </c>
      <c r="F20" s="44" t="s">
        <v>125</v>
      </c>
      <c r="G20" s="44" t="b">
        <v>0</v>
      </c>
      <c r="H20" s="44" t="b">
        <v>0</v>
      </c>
      <c r="I20" s="44"/>
      <c r="M20" s="48" t="s">
        <v>140</v>
      </c>
      <c r="N20" s="48">
        <v>17088571148</v>
      </c>
      <c r="O20" s="48">
        <v>17088567720</v>
      </c>
      <c r="P20" s="48" t="s">
        <v>125</v>
      </c>
      <c r="Q20" s="49" t="s">
        <v>140</v>
      </c>
      <c r="R20" s="49">
        <v>17083129050</v>
      </c>
      <c r="S20" s="49">
        <v>17083122226</v>
      </c>
      <c r="T20" s="49" t="s">
        <v>125</v>
      </c>
      <c r="U20" s="50" t="s">
        <v>140</v>
      </c>
      <c r="V20" s="50">
        <v>17083129050</v>
      </c>
      <c r="W20" s="50">
        <v>17083122226</v>
      </c>
      <c r="X20" s="50" t="s">
        <v>125</v>
      </c>
      <c r="Y20" s="50"/>
    </row>
    <row r="21" spans="1:25" x14ac:dyDescent="0.25">
      <c r="A21" s="25" t="s">
        <v>115</v>
      </c>
      <c r="B21" t="b">
        <v>0</v>
      </c>
      <c r="C21" s="43" t="s">
        <v>141</v>
      </c>
      <c r="D21" s="43">
        <v>323156</v>
      </c>
      <c r="E21" s="43">
        <v>287867</v>
      </c>
      <c r="F21" s="44" t="s">
        <v>142</v>
      </c>
      <c r="G21" s="44" t="b">
        <v>0</v>
      </c>
      <c r="H21" s="44" t="b">
        <v>0</v>
      </c>
      <c r="I21" s="44"/>
      <c r="M21" s="48" t="s">
        <v>141</v>
      </c>
      <c r="N21" s="48">
        <v>17088570366</v>
      </c>
      <c r="O21" s="48">
        <v>17088563607</v>
      </c>
      <c r="P21" s="48" t="s">
        <v>142</v>
      </c>
      <c r="Q21" s="49" t="s">
        <v>141</v>
      </c>
      <c r="R21" s="49">
        <v>17083128498</v>
      </c>
      <c r="S21" s="49">
        <v>17083124932</v>
      </c>
      <c r="T21" s="49" t="s">
        <v>142</v>
      </c>
      <c r="U21" s="50" t="s">
        <v>141</v>
      </c>
      <c r="V21" s="50">
        <v>17083128498</v>
      </c>
      <c r="W21" s="50">
        <v>17083124932</v>
      </c>
      <c r="X21" s="50" t="s">
        <v>142</v>
      </c>
      <c r="Y21" s="50"/>
    </row>
    <row r="22" spans="1:25" x14ac:dyDescent="0.25">
      <c r="A22" s="25" t="s">
        <v>115</v>
      </c>
      <c r="B22" t="b">
        <v>0</v>
      </c>
      <c r="C22" s="43" t="s">
        <v>143</v>
      </c>
      <c r="D22" s="43">
        <v>319828</v>
      </c>
      <c r="E22" s="43">
        <v>289703</v>
      </c>
      <c r="F22" s="44" t="s">
        <v>125</v>
      </c>
      <c r="G22" s="44" t="b">
        <v>1</v>
      </c>
      <c r="H22" s="44" t="b">
        <v>0</v>
      </c>
      <c r="I22" s="44" t="s">
        <v>126</v>
      </c>
      <c r="M22" s="48" t="s">
        <v>143</v>
      </c>
      <c r="N22" s="48">
        <v>17088572926</v>
      </c>
      <c r="O22" s="48">
        <v>17088561895</v>
      </c>
      <c r="P22" s="48" t="s">
        <v>125</v>
      </c>
      <c r="Q22" s="49" t="s">
        <v>143</v>
      </c>
      <c r="R22" s="49">
        <v>17083126450</v>
      </c>
      <c r="S22" s="49">
        <v>17083123460</v>
      </c>
      <c r="T22" s="49" t="s">
        <v>125</v>
      </c>
      <c r="U22" s="50" t="s">
        <v>143</v>
      </c>
      <c r="V22" s="50">
        <v>17083126450</v>
      </c>
      <c r="W22" s="50">
        <v>17083123460</v>
      </c>
      <c r="X22" s="50" t="s">
        <v>125</v>
      </c>
      <c r="Y22" s="50">
        <v>120401</v>
      </c>
    </row>
    <row r="23" spans="1:25" x14ac:dyDescent="0.25">
      <c r="A23" s="25" t="s">
        <v>115</v>
      </c>
      <c r="B23" t="b">
        <v>0</v>
      </c>
      <c r="C23" s="43" t="s">
        <v>144</v>
      </c>
      <c r="D23" s="43">
        <v>321876</v>
      </c>
      <c r="E23" s="43">
        <v>287687</v>
      </c>
      <c r="F23" s="44" t="s">
        <v>119</v>
      </c>
      <c r="G23" s="44" t="b">
        <v>0</v>
      </c>
      <c r="H23" s="44" t="b">
        <v>0</v>
      </c>
      <c r="I23" s="44"/>
      <c r="M23" s="48" t="s">
        <v>144</v>
      </c>
      <c r="N23" s="48">
        <v>17088570878</v>
      </c>
      <c r="O23" s="48">
        <v>17088564759</v>
      </c>
      <c r="P23" s="48" t="s">
        <v>119</v>
      </c>
      <c r="Q23" s="49" t="s">
        <v>144</v>
      </c>
      <c r="R23" s="49">
        <v>17083129010</v>
      </c>
      <c r="S23" s="49">
        <v>17083123780</v>
      </c>
      <c r="T23" s="49" t="s">
        <v>119</v>
      </c>
      <c r="U23" s="50" t="s">
        <v>144</v>
      </c>
      <c r="V23" s="50">
        <v>17083129010</v>
      </c>
      <c r="W23" s="50">
        <v>17083123780</v>
      </c>
      <c r="X23" s="50" t="s">
        <v>119</v>
      </c>
      <c r="Y23" s="50"/>
    </row>
    <row r="24" spans="1:25" x14ac:dyDescent="0.25">
      <c r="A24" s="25" t="s">
        <v>115</v>
      </c>
      <c r="B24" t="b">
        <v>0</v>
      </c>
      <c r="C24" s="43" t="s">
        <v>145</v>
      </c>
      <c r="D24" s="43">
        <v>320852</v>
      </c>
      <c r="E24" s="43">
        <v>300743</v>
      </c>
      <c r="F24" s="44" t="s">
        <v>119</v>
      </c>
      <c r="G24" s="44" t="b">
        <v>0</v>
      </c>
      <c r="H24" s="44" t="b">
        <v>0</v>
      </c>
      <c r="I24" s="44"/>
      <c r="M24" s="48" t="s">
        <v>145</v>
      </c>
      <c r="N24" s="48">
        <v>17088571660</v>
      </c>
      <c r="O24" s="48">
        <v>17088567784</v>
      </c>
      <c r="P24" s="48" t="s">
        <v>119</v>
      </c>
      <c r="Q24" s="49" t="s">
        <v>145</v>
      </c>
      <c r="R24" s="49">
        <v>17083129434</v>
      </c>
      <c r="S24" s="49">
        <v>17083122290</v>
      </c>
      <c r="T24" s="49" t="s">
        <v>119</v>
      </c>
      <c r="U24" s="50" t="s">
        <v>145</v>
      </c>
      <c r="V24" s="50">
        <v>17083129434</v>
      </c>
      <c r="W24" s="50">
        <v>17083122290</v>
      </c>
      <c r="X24" s="50" t="s">
        <v>119</v>
      </c>
      <c r="Y24" s="50"/>
    </row>
    <row r="25" spans="1:25" x14ac:dyDescent="0.25">
      <c r="A25" s="25" t="s">
        <v>115</v>
      </c>
      <c r="B25" t="b">
        <v>0</v>
      </c>
      <c r="C25" s="43" t="s">
        <v>146</v>
      </c>
      <c r="D25" s="43">
        <v>322900</v>
      </c>
      <c r="E25" s="43">
        <v>302407</v>
      </c>
      <c r="F25" s="44" t="s">
        <v>132</v>
      </c>
      <c r="G25" s="44" t="b">
        <v>0</v>
      </c>
      <c r="H25" s="44" t="b">
        <v>0</v>
      </c>
      <c r="I25" s="44"/>
      <c r="M25" s="48" t="s">
        <v>146</v>
      </c>
      <c r="N25" s="48">
        <v>17088572300</v>
      </c>
      <c r="O25" s="48">
        <v>17088566808</v>
      </c>
      <c r="P25" s="48" t="s">
        <v>132</v>
      </c>
      <c r="Q25" s="49" t="s">
        <v>146</v>
      </c>
      <c r="R25" s="49">
        <v>17083129018</v>
      </c>
      <c r="S25" s="49">
        <v>17083123954</v>
      </c>
      <c r="T25" s="49" t="s">
        <v>132</v>
      </c>
      <c r="U25" s="50" t="s">
        <v>146</v>
      </c>
      <c r="V25" s="50">
        <v>17083129018</v>
      </c>
      <c r="W25" s="50">
        <v>17083123954</v>
      </c>
      <c r="X25" s="50" t="s">
        <v>132</v>
      </c>
      <c r="Y25" s="50"/>
    </row>
    <row r="26" spans="1:25" x14ac:dyDescent="0.25">
      <c r="A26" s="25" t="s">
        <v>115</v>
      </c>
      <c r="B26" t="b">
        <v>0</v>
      </c>
      <c r="C26" s="43" t="s">
        <v>147</v>
      </c>
      <c r="D26" s="43">
        <v>320340</v>
      </c>
      <c r="E26" s="43">
        <v>300615</v>
      </c>
      <c r="F26" s="44" t="s">
        <v>119</v>
      </c>
      <c r="G26" s="44" t="b">
        <v>0</v>
      </c>
      <c r="H26" s="44" t="b">
        <v>0</v>
      </c>
      <c r="I26" s="44"/>
      <c r="M26" s="48" t="s">
        <v>147</v>
      </c>
      <c r="N26" s="48">
        <v>17088569932</v>
      </c>
      <c r="O26" s="48">
        <v>17088567576</v>
      </c>
      <c r="P26" s="48" t="s">
        <v>119</v>
      </c>
      <c r="Q26" s="49" t="s">
        <v>147</v>
      </c>
      <c r="R26" s="49">
        <v>17083125882</v>
      </c>
      <c r="S26" s="49">
        <v>17083122418</v>
      </c>
      <c r="T26" s="49" t="s">
        <v>119</v>
      </c>
      <c r="U26" s="50" t="s">
        <v>147</v>
      </c>
      <c r="V26" s="50">
        <v>17083125882</v>
      </c>
      <c r="W26" s="50">
        <v>17083122418</v>
      </c>
      <c r="X26" s="50" t="s">
        <v>119</v>
      </c>
      <c r="Y26" s="50"/>
    </row>
    <row r="27" spans="1:25" x14ac:dyDescent="0.25">
      <c r="A27" s="25" t="s">
        <v>115</v>
      </c>
      <c r="B27" t="b">
        <v>0</v>
      </c>
      <c r="C27" s="43" t="s">
        <v>148</v>
      </c>
      <c r="D27" s="43">
        <v>322388</v>
      </c>
      <c r="E27" s="43">
        <v>288055</v>
      </c>
      <c r="F27" s="44" t="s">
        <v>132</v>
      </c>
      <c r="G27" s="44" t="b">
        <v>0</v>
      </c>
      <c r="H27" s="44" t="b">
        <v>0</v>
      </c>
      <c r="I27" s="44"/>
      <c r="M27" s="48" t="s">
        <v>148</v>
      </c>
      <c r="N27" s="48">
        <v>17088573174</v>
      </c>
      <c r="O27" s="48">
        <v>17088558498</v>
      </c>
      <c r="P27" s="48" t="s">
        <v>132</v>
      </c>
      <c r="Q27" s="49" t="s">
        <v>148</v>
      </c>
      <c r="R27" s="49">
        <v>17083125817</v>
      </c>
      <c r="S27" s="49">
        <v>17083091046</v>
      </c>
      <c r="T27" s="49" t="s">
        <v>132</v>
      </c>
      <c r="U27" s="50" t="s">
        <v>148</v>
      </c>
      <c r="V27" s="50">
        <v>17083125817</v>
      </c>
      <c r="W27" s="50">
        <v>17083091046</v>
      </c>
      <c r="X27" s="50" t="s">
        <v>132</v>
      </c>
      <c r="Y27" s="50"/>
    </row>
    <row r="28" spans="1:25" x14ac:dyDescent="0.25">
      <c r="A28" s="25" t="s">
        <v>115</v>
      </c>
      <c r="B28" t="b">
        <v>0</v>
      </c>
      <c r="C28" s="43" t="s">
        <v>149</v>
      </c>
      <c r="D28" s="43">
        <v>321364</v>
      </c>
      <c r="E28" s="43">
        <v>289447</v>
      </c>
      <c r="F28" s="44" t="s">
        <v>125</v>
      </c>
      <c r="G28" s="44" t="b">
        <v>1</v>
      </c>
      <c r="H28" s="44" t="b">
        <v>0</v>
      </c>
      <c r="I28" s="44" t="s">
        <v>126</v>
      </c>
      <c r="M28" s="48" t="s">
        <v>149</v>
      </c>
      <c r="N28" s="48">
        <v>17088573310</v>
      </c>
      <c r="O28" s="48">
        <v>17088564967</v>
      </c>
      <c r="P28" s="48" t="s">
        <v>125</v>
      </c>
      <c r="Q28" s="49" t="s">
        <v>149</v>
      </c>
      <c r="R28" s="49">
        <v>17083126578</v>
      </c>
      <c r="S28" s="49">
        <v>17083123844</v>
      </c>
      <c r="T28" s="49" t="s">
        <v>125</v>
      </c>
      <c r="U28" s="50" t="s">
        <v>149</v>
      </c>
      <c r="V28" s="50">
        <v>17083126578</v>
      </c>
      <c r="W28" s="50">
        <v>17083123844</v>
      </c>
      <c r="X28" s="50" t="s">
        <v>125</v>
      </c>
      <c r="Y28" s="50">
        <v>120506</v>
      </c>
    </row>
    <row r="29" spans="1:25" x14ac:dyDescent="0.25">
      <c r="A29" s="25" t="s">
        <v>115</v>
      </c>
      <c r="B29" t="b">
        <v>0</v>
      </c>
      <c r="C29" s="43" t="s">
        <v>150</v>
      </c>
      <c r="D29" s="43">
        <v>323412</v>
      </c>
      <c r="E29" s="43">
        <v>300775</v>
      </c>
      <c r="F29" s="44" t="s">
        <v>125</v>
      </c>
      <c r="G29" s="44" t="b">
        <v>1</v>
      </c>
      <c r="H29" s="44" t="b">
        <v>0</v>
      </c>
      <c r="I29" s="44" t="s">
        <v>126</v>
      </c>
      <c r="M29" s="48" t="s">
        <v>150</v>
      </c>
      <c r="N29" s="48">
        <v>17088572492</v>
      </c>
      <c r="O29" s="48">
        <v>17088567400</v>
      </c>
      <c r="P29" s="48" t="s">
        <v>125</v>
      </c>
      <c r="Q29" s="49" t="s">
        <v>150</v>
      </c>
      <c r="R29" s="49">
        <v>17083129786</v>
      </c>
      <c r="S29" s="49">
        <v>17083122482</v>
      </c>
      <c r="T29" s="49" t="s">
        <v>125</v>
      </c>
      <c r="U29" s="50" t="s">
        <v>150</v>
      </c>
      <c r="V29" s="50">
        <v>17083129786</v>
      </c>
      <c r="W29" s="50">
        <v>17083122482</v>
      </c>
      <c r="X29" s="50" t="s">
        <v>125</v>
      </c>
      <c r="Y29" s="50">
        <v>120481</v>
      </c>
    </row>
    <row r="30" spans="1:25" x14ac:dyDescent="0.25">
      <c r="A30" s="25" t="s">
        <v>115</v>
      </c>
      <c r="B30" t="b">
        <v>0</v>
      </c>
      <c r="C30" s="43" t="s">
        <v>151</v>
      </c>
      <c r="D30" s="43">
        <v>319700</v>
      </c>
      <c r="E30" s="43">
        <v>302279</v>
      </c>
      <c r="F30" s="44" t="s">
        <v>132</v>
      </c>
      <c r="G30" s="44" t="b">
        <v>0</v>
      </c>
      <c r="H30" s="44" t="b">
        <v>0</v>
      </c>
      <c r="I30" s="44"/>
      <c r="M30" s="48" t="s">
        <v>151</v>
      </c>
      <c r="N30" s="48">
        <v>17088572172</v>
      </c>
      <c r="O30" s="48">
        <v>17088567272</v>
      </c>
      <c r="P30" s="48" t="s">
        <v>132</v>
      </c>
      <c r="Q30" s="49" t="s">
        <v>151</v>
      </c>
      <c r="R30" s="49">
        <v>17083127002</v>
      </c>
      <c r="S30" s="49">
        <v>17083124082</v>
      </c>
      <c r="T30" s="49" t="s">
        <v>132</v>
      </c>
      <c r="U30" s="50" t="s">
        <v>151</v>
      </c>
      <c r="V30" s="50">
        <v>17083127002</v>
      </c>
      <c r="W30" s="50">
        <v>17083124082</v>
      </c>
      <c r="X30" s="50" t="s">
        <v>132</v>
      </c>
      <c r="Y30" s="50"/>
    </row>
    <row r="31" spans="1:25" x14ac:dyDescent="0.25">
      <c r="A31" s="25" t="s">
        <v>115</v>
      </c>
      <c r="B31" t="b">
        <v>0</v>
      </c>
      <c r="C31" s="43" t="s">
        <v>152</v>
      </c>
      <c r="D31" s="43">
        <v>321748</v>
      </c>
      <c r="E31" s="43">
        <v>289879</v>
      </c>
      <c r="F31" s="44" t="s">
        <v>123</v>
      </c>
      <c r="G31" s="44" t="b">
        <v>0</v>
      </c>
      <c r="H31" s="44" t="b">
        <v>0</v>
      </c>
      <c r="I31" s="44"/>
      <c r="M31" s="48" t="s">
        <v>152</v>
      </c>
      <c r="N31" s="48">
        <v>17088571126</v>
      </c>
      <c r="O31" s="48">
        <v>17088557922</v>
      </c>
      <c r="P31" s="48" t="s">
        <v>123</v>
      </c>
      <c r="Q31" s="49" t="s">
        <v>152</v>
      </c>
      <c r="R31" s="49">
        <v>17083129817</v>
      </c>
      <c r="S31" s="49">
        <v>17083092198</v>
      </c>
      <c r="T31" s="49" t="s">
        <v>123</v>
      </c>
      <c r="U31" s="50" t="s">
        <v>152</v>
      </c>
      <c r="V31" s="50">
        <v>17083129817</v>
      </c>
      <c r="W31" s="50">
        <v>17083092198</v>
      </c>
      <c r="X31" s="50" t="s">
        <v>123</v>
      </c>
      <c r="Y31" s="50"/>
    </row>
    <row r="32" spans="1:25" x14ac:dyDescent="0.25">
      <c r="A32" s="25" t="s">
        <v>115</v>
      </c>
      <c r="B32" t="b">
        <v>1</v>
      </c>
      <c r="C32" s="43" t="s">
        <v>153</v>
      </c>
      <c r="D32" s="43">
        <v>320724</v>
      </c>
      <c r="E32" s="43">
        <v>287703</v>
      </c>
      <c r="F32" s="44" t="s">
        <v>132</v>
      </c>
      <c r="G32" s="44" t="b">
        <v>0</v>
      </c>
      <c r="H32" s="44" t="b">
        <v>0</v>
      </c>
      <c r="I32" s="44"/>
      <c r="J32" s="45" t="s">
        <v>154</v>
      </c>
      <c r="K32" s="46">
        <v>287703</v>
      </c>
      <c r="L32" s="47">
        <v>990000568</v>
      </c>
      <c r="M32" s="48" t="s">
        <v>153</v>
      </c>
      <c r="N32" s="48">
        <v>17088572942</v>
      </c>
      <c r="O32" s="48">
        <v>17088558178</v>
      </c>
      <c r="P32" s="48" t="s">
        <v>132</v>
      </c>
      <c r="Q32" s="49" t="s">
        <v>153</v>
      </c>
      <c r="R32" s="49">
        <v>17083128505</v>
      </c>
      <c r="S32" s="49">
        <v>17083091302</v>
      </c>
      <c r="T32" s="49" t="s">
        <v>132</v>
      </c>
      <c r="U32" s="50" t="s">
        <v>153</v>
      </c>
      <c r="V32" s="50">
        <v>17083128505</v>
      </c>
      <c r="W32" s="50">
        <v>17083091302</v>
      </c>
      <c r="X32" s="50" t="s">
        <v>132</v>
      </c>
      <c r="Y32" s="50"/>
    </row>
    <row r="33" spans="1:25" x14ac:dyDescent="0.25">
      <c r="A33" s="25" t="s">
        <v>115</v>
      </c>
      <c r="B33" t="b">
        <v>0</v>
      </c>
      <c r="C33" s="43" t="s">
        <v>155</v>
      </c>
      <c r="D33" s="43">
        <v>322772</v>
      </c>
      <c r="E33" s="43">
        <v>287063</v>
      </c>
      <c r="F33" s="44" t="s">
        <v>132</v>
      </c>
      <c r="G33" s="44" t="b">
        <v>0</v>
      </c>
      <c r="H33" s="44" t="b">
        <v>0</v>
      </c>
      <c r="I33" s="44"/>
      <c r="M33" s="48" t="s">
        <v>155</v>
      </c>
      <c r="N33" s="48">
        <v>17088570894</v>
      </c>
      <c r="O33" s="48">
        <v>17088559458</v>
      </c>
      <c r="P33" s="48" t="s">
        <v>132</v>
      </c>
      <c r="Q33" s="49" t="s">
        <v>155</v>
      </c>
      <c r="R33" s="49">
        <v>17083126457</v>
      </c>
      <c r="S33" s="49">
        <v>17083089126</v>
      </c>
      <c r="T33" s="49" t="s">
        <v>132</v>
      </c>
      <c r="U33" s="50" t="s">
        <v>155</v>
      </c>
      <c r="V33" s="50">
        <v>17083126457</v>
      </c>
      <c r="W33" s="50">
        <v>17083089126</v>
      </c>
      <c r="X33" s="50" t="s">
        <v>132</v>
      </c>
      <c r="Y33" s="50"/>
    </row>
    <row r="34" spans="1:25" x14ac:dyDescent="0.25">
      <c r="A34" s="25" t="s">
        <v>115</v>
      </c>
      <c r="B34" t="b">
        <v>0</v>
      </c>
      <c r="C34" s="43" t="s">
        <v>156</v>
      </c>
      <c r="D34" s="43">
        <v>320212</v>
      </c>
      <c r="E34" s="43">
        <v>290503</v>
      </c>
      <c r="F34" s="44" t="s">
        <v>119</v>
      </c>
      <c r="G34" s="44" t="b">
        <v>0</v>
      </c>
      <c r="H34" s="44" t="b">
        <v>0</v>
      </c>
      <c r="I34" s="44"/>
      <c r="J34" s="45" t="s">
        <v>156</v>
      </c>
      <c r="K34" s="46">
        <v>290503</v>
      </c>
      <c r="L34" s="47">
        <v>990000674</v>
      </c>
      <c r="M34" s="48" t="s">
        <v>156</v>
      </c>
      <c r="N34" s="48">
        <v>17088573374</v>
      </c>
      <c r="O34" s="48">
        <v>17088561943</v>
      </c>
      <c r="P34" s="48" t="s">
        <v>119</v>
      </c>
      <c r="Q34" s="49" t="s">
        <v>156</v>
      </c>
      <c r="R34" s="49">
        <v>17083127506</v>
      </c>
      <c r="S34" s="49">
        <v>17083123268</v>
      </c>
      <c r="T34" s="49" t="s">
        <v>119</v>
      </c>
      <c r="U34" s="50" t="s">
        <v>156</v>
      </c>
      <c r="V34" s="50">
        <v>17083127506</v>
      </c>
      <c r="W34" s="50">
        <v>17083123268</v>
      </c>
      <c r="X34" s="50" t="s">
        <v>119</v>
      </c>
      <c r="Y34" s="50"/>
    </row>
    <row r="35" spans="1:25" x14ac:dyDescent="0.25">
      <c r="A35" s="25" t="s">
        <v>115</v>
      </c>
      <c r="B35" t="b">
        <v>0</v>
      </c>
      <c r="C35" s="43" t="s">
        <v>157</v>
      </c>
      <c r="D35" s="43">
        <v>322260</v>
      </c>
      <c r="E35" s="43">
        <v>286887</v>
      </c>
      <c r="F35" s="44" t="s">
        <v>125</v>
      </c>
      <c r="G35" s="44" t="b">
        <v>1</v>
      </c>
      <c r="H35" s="44" t="b">
        <v>0</v>
      </c>
      <c r="I35" s="44" t="s">
        <v>126</v>
      </c>
      <c r="M35" s="48" t="s">
        <v>157</v>
      </c>
      <c r="N35" s="48">
        <v>17088570113</v>
      </c>
      <c r="O35" s="48">
        <v>17088562151</v>
      </c>
      <c r="P35" s="48" t="s">
        <v>125</v>
      </c>
      <c r="Q35" s="49" t="s">
        <v>157</v>
      </c>
      <c r="R35" s="49">
        <v>17083126386</v>
      </c>
      <c r="S35" s="49">
        <v>17083123332</v>
      </c>
      <c r="T35" s="49" t="s">
        <v>125</v>
      </c>
      <c r="U35" s="50" t="s">
        <v>157</v>
      </c>
      <c r="V35" s="50">
        <v>17083126386</v>
      </c>
      <c r="W35" s="50">
        <v>17083123332</v>
      </c>
      <c r="X35" s="50" t="s">
        <v>125</v>
      </c>
      <c r="Y35" s="50">
        <v>120501</v>
      </c>
    </row>
    <row r="36" spans="1:25" x14ac:dyDescent="0.25">
      <c r="A36" s="25" t="s">
        <v>115</v>
      </c>
      <c r="B36" t="b">
        <v>0</v>
      </c>
      <c r="C36" s="43" t="s">
        <v>158</v>
      </c>
      <c r="D36" s="43">
        <v>321236</v>
      </c>
      <c r="E36" s="43">
        <v>300583</v>
      </c>
      <c r="F36" s="44" t="s">
        <v>123</v>
      </c>
      <c r="G36" s="44" t="b">
        <v>0</v>
      </c>
      <c r="H36" s="44" t="b">
        <v>0</v>
      </c>
      <c r="I36" s="44"/>
      <c r="M36" s="48" t="s">
        <v>158</v>
      </c>
      <c r="N36" s="48">
        <v>17088570444</v>
      </c>
      <c r="O36" s="48">
        <v>17088565992</v>
      </c>
      <c r="P36" s="48" t="s">
        <v>123</v>
      </c>
      <c r="Q36" s="49" t="s">
        <v>158</v>
      </c>
      <c r="R36" s="49">
        <v>17083127738</v>
      </c>
      <c r="S36" s="49">
        <v>17083125682</v>
      </c>
      <c r="T36" s="49" t="s">
        <v>123</v>
      </c>
      <c r="U36" s="50" t="s">
        <v>158</v>
      </c>
      <c r="V36" s="50">
        <v>17083127738</v>
      </c>
      <c r="W36" s="50">
        <v>17083125682</v>
      </c>
      <c r="X36" s="50" t="s">
        <v>123</v>
      </c>
      <c r="Y36" s="50"/>
    </row>
    <row r="37" spans="1:25" x14ac:dyDescent="0.25">
      <c r="A37" s="25" t="s">
        <v>115</v>
      </c>
      <c r="B37" t="b">
        <v>0</v>
      </c>
      <c r="C37" s="43" t="s">
        <v>159</v>
      </c>
      <c r="D37" s="43">
        <v>323284</v>
      </c>
      <c r="E37" s="43">
        <v>299239</v>
      </c>
      <c r="F37" s="44" t="s">
        <v>125</v>
      </c>
      <c r="G37" s="44" t="b">
        <v>0</v>
      </c>
      <c r="H37" s="44" t="b">
        <v>0</v>
      </c>
      <c r="I37" s="44" t="s">
        <v>126</v>
      </c>
      <c r="M37" s="48" t="s">
        <v>159</v>
      </c>
      <c r="N37" s="48">
        <v>17088571788</v>
      </c>
      <c r="O37" s="48">
        <v>17088568936</v>
      </c>
      <c r="P37" s="48" t="s">
        <v>125</v>
      </c>
      <c r="Q37" s="49" t="s">
        <v>159</v>
      </c>
      <c r="R37" s="49">
        <v>17083127098</v>
      </c>
      <c r="S37" s="49">
        <v>17083122866</v>
      </c>
      <c r="T37" s="49" t="s">
        <v>125</v>
      </c>
      <c r="U37" s="50" t="s">
        <v>159</v>
      </c>
      <c r="V37" s="50">
        <v>17083127098</v>
      </c>
      <c r="W37" s="50">
        <v>17083122866</v>
      </c>
      <c r="X37" s="50" t="s">
        <v>125</v>
      </c>
      <c r="Y37" s="50"/>
    </row>
    <row r="38" spans="1:25" x14ac:dyDescent="0.25">
      <c r="A38" s="25" t="s">
        <v>115</v>
      </c>
      <c r="B38" t="b">
        <v>0</v>
      </c>
      <c r="C38" s="43" t="s">
        <v>160</v>
      </c>
      <c r="D38" s="43">
        <v>319956</v>
      </c>
      <c r="E38" s="43">
        <v>289911</v>
      </c>
      <c r="F38" s="44" t="s">
        <v>123</v>
      </c>
      <c r="G38" s="44" t="b">
        <v>0</v>
      </c>
      <c r="H38" s="44" t="b">
        <v>0</v>
      </c>
      <c r="I38" s="44"/>
      <c r="M38" s="48" t="s">
        <v>160</v>
      </c>
      <c r="N38" s="48">
        <v>17088573302</v>
      </c>
      <c r="O38" s="48">
        <v>17088560930</v>
      </c>
      <c r="P38" s="48" t="s">
        <v>123</v>
      </c>
      <c r="Q38" s="49" t="s">
        <v>160</v>
      </c>
      <c r="R38" s="49">
        <v>17083128793</v>
      </c>
      <c r="S38" s="49">
        <v>17083090598</v>
      </c>
      <c r="T38" s="49" t="s">
        <v>123</v>
      </c>
      <c r="U38" s="50" t="s">
        <v>160</v>
      </c>
      <c r="V38" s="50">
        <v>17083128793</v>
      </c>
      <c r="W38" s="50">
        <v>17083090598</v>
      </c>
      <c r="X38" s="50" t="s">
        <v>123</v>
      </c>
      <c r="Y38" s="50"/>
    </row>
    <row r="39" spans="1:25" x14ac:dyDescent="0.25">
      <c r="A39" s="25" t="s">
        <v>115</v>
      </c>
      <c r="B39" t="b">
        <v>0</v>
      </c>
      <c r="C39" s="43" t="s">
        <v>161</v>
      </c>
      <c r="D39" s="43">
        <v>322004</v>
      </c>
      <c r="E39" s="43">
        <v>286839</v>
      </c>
      <c r="F39" s="44" t="s">
        <v>123</v>
      </c>
      <c r="G39" s="44" t="b">
        <v>0</v>
      </c>
      <c r="H39" s="44" t="b">
        <v>0</v>
      </c>
      <c r="I39" s="44"/>
      <c r="M39" s="48" t="s">
        <v>161</v>
      </c>
      <c r="N39" s="48">
        <v>17088569998</v>
      </c>
      <c r="O39" s="48">
        <v>17088558242</v>
      </c>
      <c r="P39" s="48" t="s">
        <v>123</v>
      </c>
      <c r="Q39" s="49" t="s">
        <v>161</v>
      </c>
      <c r="R39" s="49">
        <v>17083126393</v>
      </c>
      <c r="S39" s="49">
        <v>17083091366</v>
      </c>
      <c r="T39" s="49" t="s">
        <v>123</v>
      </c>
      <c r="U39" s="50" t="s">
        <v>161</v>
      </c>
      <c r="V39" s="50">
        <v>17083126393</v>
      </c>
      <c r="W39" s="50">
        <v>17083091366</v>
      </c>
      <c r="X39" s="50" t="s">
        <v>123</v>
      </c>
      <c r="Y39" s="50"/>
    </row>
    <row r="40" spans="1:25" x14ac:dyDescent="0.25">
      <c r="A40" s="25" t="s">
        <v>115</v>
      </c>
      <c r="B40" t="b">
        <v>0</v>
      </c>
      <c r="C40" s="43" t="s">
        <v>162</v>
      </c>
      <c r="D40" s="43">
        <v>320980</v>
      </c>
      <c r="E40" s="43">
        <v>287943</v>
      </c>
      <c r="F40" s="44" t="s">
        <v>119</v>
      </c>
      <c r="G40" s="44" t="b">
        <v>0</v>
      </c>
      <c r="H40" s="44" t="b">
        <v>0</v>
      </c>
      <c r="I40" s="44"/>
      <c r="J40" s="45" t="s">
        <v>162</v>
      </c>
      <c r="K40" s="46">
        <v>287943</v>
      </c>
      <c r="L40" s="47">
        <v>990000672</v>
      </c>
      <c r="M40" s="48" t="s">
        <v>162</v>
      </c>
      <c r="N40" s="48">
        <v>17088572673</v>
      </c>
      <c r="O40" s="48">
        <v>17088563351</v>
      </c>
      <c r="P40" s="48" t="s">
        <v>119</v>
      </c>
      <c r="Q40" s="49" t="s">
        <v>162</v>
      </c>
      <c r="R40" s="49">
        <v>17083128946</v>
      </c>
      <c r="S40" s="49">
        <v>17083125060</v>
      </c>
      <c r="T40" s="49" t="s">
        <v>119</v>
      </c>
      <c r="U40" s="50" t="s">
        <v>162</v>
      </c>
      <c r="V40" s="50">
        <v>17083128946</v>
      </c>
      <c r="W40" s="50">
        <v>17083125060</v>
      </c>
      <c r="X40" s="50" t="s">
        <v>119</v>
      </c>
      <c r="Y40" s="50"/>
    </row>
    <row r="41" spans="1:25" x14ac:dyDescent="0.25">
      <c r="A41" s="25" t="s">
        <v>115</v>
      </c>
      <c r="B41" t="b">
        <v>0</v>
      </c>
      <c r="C41" s="43" t="s">
        <v>163</v>
      </c>
      <c r="D41" s="43">
        <v>323028</v>
      </c>
      <c r="E41" s="43">
        <v>302679</v>
      </c>
      <c r="F41" s="44" t="s">
        <v>123</v>
      </c>
      <c r="G41" s="44" t="b">
        <v>0</v>
      </c>
      <c r="H41" s="44" t="b">
        <v>0</v>
      </c>
      <c r="I41" s="44"/>
      <c r="M41" s="48" t="s">
        <v>163</v>
      </c>
      <c r="N41" s="48">
        <v>17088570252</v>
      </c>
      <c r="O41" s="48">
        <v>17088568488</v>
      </c>
      <c r="P41" s="48" t="s">
        <v>123</v>
      </c>
      <c r="Q41" s="49" t="s">
        <v>163</v>
      </c>
      <c r="R41" s="49">
        <v>17083126970</v>
      </c>
      <c r="S41" s="49">
        <v>17083123666</v>
      </c>
      <c r="T41" s="49" t="s">
        <v>123</v>
      </c>
      <c r="U41" s="50" t="s">
        <v>163</v>
      </c>
      <c r="V41" s="50">
        <v>17083126970</v>
      </c>
      <c r="W41" s="50">
        <v>17083123666</v>
      </c>
      <c r="X41" s="50" t="s">
        <v>123</v>
      </c>
      <c r="Y41" s="50"/>
    </row>
    <row r="42" spans="1:25" x14ac:dyDescent="0.25">
      <c r="A42" s="25" t="s">
        <v>115</v>
      </c>
      <c r="B42" t="b">
        <v>0</v>
      </c>
      <c r="C42" s="43" t="s">
        <v>164</v>
      </c>
      <c r="D42" s="43">
        <v>320468</v>
      </c>
      <c r="E42" s="43">
        <v>300871</v>
      </c>
      <c r="F42" s="44" t="s">
        <v>119</v>
      </c>
      <c r="G42" s="44" t="b">
        <v>0</v>
      </c>
      <c r="H42" s="44" t="b">
        <v>0</v>
      </c>
      <c r="I42" s="44"/>
      <c r="M42" s="48" t="s">
        <v>164</v>
      </c>
      <c r="N42" s="48">
        <v>17088572940</v>
      </c>
      <c r="O42" s="48">
        <v>17088567320</v>
      </c>
      <c r="P42" s="48" t="s">
        <v>119</v>
      </c>
      <c r="Q42" s="49" t="s">
        <v>164</v>
      </c>
      <c r="R42" s="49">
        <v>17083129242</v>
      </c>
      <c r="S42" s="49">
        <v>17083122546</v>
      </c>
      <c r="T42" s="49" t="s">
        <v>119</v>
      </c>
      <c r="U42" s="50" t="s">
        <v>164</v>
      </c>
      <c r="V42" s="50">
        <v>17083129242</v>
      </c>
      <c r="W42" s="50">
        <v>17083122546</v>
      </c>
      <c r="X42" s="50" t="s">
        <v>119</v>
      </c>
      <c r="Y42" s="50"/>
    </row>
    <row r="43" spans="1:25" x14ac:dyDescent="0.25">
      <c r="A43" s="25" t="s">
        <v>115</v>
      </c>
      <c r="B43" t="b">
        <v>0</v>
      </c>
      <c r="C43" s="43" t="s">
        <v>165</v>
      </c>
      <c r="D43" s="43">
        <v>322516</v>
      </c>
      <c r="E43" s="43">
        <v>286903</v>
      </c>
      <c r="F43" s="44" t="s">
        <v>125</v>
      </c>
      <c r="G43" s="44" t="b">
        <v>1</v>
      </c>
      <c r="H43" s="44" t="b">
        <v>0</v>
      </c>
      <c r="I43" s="44" t="s">
        <v>126</v>
      </c>
      <c r="M43" s="48" t="s">
        <v>165</v>
      </c>
      <c r="N43" s="48">
        <v>17088572406</v>
      </c>
      <c r="O43" s="48">
        <v>17088559778</v>
      </c>
      <c r="P43" s="48" t="s">
        <v>125</v>
      </c>
      <c r="Q43" s="49" t="s">
        <v>165</v>
      </c>
      <c r="R43" s="49">
        <v>17083128121</v>
      </c>
      <c r="S43" s="49">
        <v>17083089830</v>
      </c>
      <c r="T43" s="49" t="s">
        <v>125</v>
      </c>
      <c r="U43" s="50" t="s">
        <v>165</v>
      </c>
      <c r="V43" s="50">
        <v>17083128121</v>
      </c>
      <c r="W43" s="50">
        <v>17083089830</v>
      </c>
      <c r="X43" s="50" t="s">
        <v>125</v>
      </c>
      <c r="Y43" s="50">
        <v>110339</v>
      </c>
    </row>
    <row r="44" spans="1:25" x14ac:dyDescent="0.25">
      <c r="A44" s="25" t="s">
        <v>115</v>
      </c>
      <c r="B44" t="b">
        <v>0</v>
      </c>
      <c r="C44" s="43" t="s">
        <v>166</v>
      </c>
      <c r="D44" s="43">
        <v>321492</v>
      </c>
      <c r="E44" s="43">
        <v>300711</v>
      </c>
      <c r="F44" s="44" t="s">
        <v>119</v>
      </c>
      <c r="G44" s="44" t="b">
        <v>0</v>
      </c>
      <c r="H44" s="44" t="b">
        <v>0</v>
      </c>
      <c r="I44" s="44"/>
      <c r="M44" s="48" t="s">
        <v>166</v>
      </c>
      <c r="N44" s="48">
        <v>17088569740</v>
      </c>
      <c r="O44" s="48">
        <v>17088568168</v>
      </c>
      <c r="P44" s="48" t="s">
        <v>119</v>
      </c>
      <c r="Q44" s="49" t="s">
        <v>166</v>
      </c>
      <c r="R44" s="49">
        <v>17083128122</v>
      </c>
      <c r="S44" s="49">
        <v>17083122098</v>
      </c>
      <c r="T44" s="49" t="s">
        <v>119</v>
      </c>
      <c r="U44" s="50" t="s">
        <v>166</v>
      </c>
      <c r="V44" s="50">
        <v>17083128122</v>
      </c>
      <c r="W44" s="50">
        <v>17083122098</v>
      </c>
      <c r="X44" s="50" t="s">
        <v>119</v>
      </c>
      <c r="Y44" s="50"/>
    </row>
    <row r="45" spans="1:25" x14ac:dyDescent="0.25">
      <c r="A45" s="25" t="s">
        <v>115</v>
      </c>
      <c r="B45" t="b">
        <v>0</v>
      </c>
      <c r="C45" s="43" t="s">
        <v>167</v>
      </c>
      <c r="D45" s="43">
        <v>323540</v>
      </c>
      <c r="E45" s="43">
        <v>299607</v>
      </c>
      <c r="F45" s="44" t="s">
        <v>123</v>
      </c>
      <c r="G45" s="44" t="b">
        <v>0</v>
      </c>
      <c r="H45" s="44" t="b">
        <v>0</v>
      </c>
      <c r="I45" s="44"/>
      <c r="M45" s="48" t="s">
        <v>167</v>
      </c>
      <c r="N45" s="48">
        <v>17088569996</v>
      </c>
      <c r="O45" s="48">
        <v>17088566952</v>
      </c>
      <c r="P45" s="48" t="s">
        <v>123</v>
      </c>
      <c r="Q45" s="49" t="s">
        <v>167</v>
      </c>
      <c r="R45" s="49">
        <v>17083127866</v>
      </c>
      <c r="S45" s="49">
        <v>17083123762</v>
      </c>
      <c r="T45" s="49" t="s">
        <v>123</v>
      </c>
      <c r="U45" s="50" t="s">
        <v>167</v>
      </c>
      <c r="V45" s="50">
        <v>17083127866</v>
      </c>
      <c r="W45" s="50">
        <v>17083123762</v>
      </c>
      <c r="X45" s="50" t="s">
        <v>123</v>
      </c>
      <c r="Y45" s="50"/>
    </row>
    <row r="46" spans="1:25" x14ac:dyDescent="0.25">
      <c r="A46" s="25" t="s">
        <v>115</v>
      </c>
      <c r="B46" t="b">
        <v>0</v>
      </c>
      <c r="C46" s="43" t="s">
        <v>168</v>
      </c>
      <c r="D46" s="43">
        <v>319540</v>
      </c>
      <c r="E46" s="43">
        <v>289239</v>
      </c>
      <c r="F46" s="44" t="s">
        <v>117</v>
      </c>
      <c r="G46" s="44" t="b">
        <v>0</v>
      </c>
      <c r="H46" s="44" t="b">
        <v>0</v>
      </c>
      <c r="I46" s="44"/>
      <c r="M46" s="48" t="s">
        <v>168</v>
      </c>
      <c r="N46" s="48">
        <v>17088571894</v>
      </c>
      <c r="O46" s="48">
        <v>17088559714</v>
      </c>
      <c r="P46" s="48" t="s">
        <v>117</v>
      </c>
      <c r="Q46" s="49" t="s">
        <v>168</v>
      </c>
      <c r="R46" s="49">
        <v>17083129401</v>
      </c>
      <c r="S46" s="49">
        <v>17083089766</v>
      </c>
      <c r="T46" s="49" t="s">
        <v>117</v>
      </c>
      <c r="U46" s="50" t="s">
        <v>168</v>
      </c>
      <c r="V46" s="50">
        <v>17083129401</v>
      </c>
      <c r="W46" s="50">
        <v>17083089766</v>
      </c>
      <c r="X46" s="50" t="s">
        <v>117</v>
      </c>
      <c r="Y46" s="50"/>
    </row>
    <row r="47" spans="1:25" x14ac:dyDescent="0.25">
      <c r="A47" s="25" t="s">
        <v>115</v>
      </c>
      <c r="B47" t="b">
        <v>0</v>
      </c>
      <c r="C47" s="43" t="s">
        <v>169</v>
      </c>
      <c r="D47" s="43">
        <v>321588</v>
      </c>
      <c r="E47" s="43">
        <v>300375</v>
      </c>
      <c r="F47" s="44" t="s">
        <v>119</v>
      </c>
      <c r="G47" s="44" t="b">
        <v>0</v>
      </c>
      <c r="H47" s="44" t="b">
        <v>0</v>
      </c>
      <c r="I47" s="44"/>
      <c r="M47" s="48" t="s">
        <v>169</v>
      </c>
      <c r="N47" s="48">
        <v>17088572556</v>
      </c>
      <c r="O47" s="48">
        <v>17088566056</v>
      </c>
      <c r="P47" s="48" t="s">
        <v>119</v>
      </c>
      <c r="Q47" s="49" t="s">
        <v>169</v>
      </c>
      <c r="R47" s="49">
        <v>17083125818</v>
      </c>
      <c r="S47" s="49">
        <v>17083125458</v>
      </c>
      <c r="T47" s="49" t="s">
        <v>119</v>
      </c>
      <c r="U47" s="50" t="s">
        <v>169</v>
      </c>
      <c r="V47" s="50">
        <v>17083125818</v>
      </c>
      <c r="W47" s="50">
        <v>17083125458</v>
      </c>
      <c r="X47" s="50" t="s">
        <v>119</v>
      </c>
      <c r="Y47" s="50"/>
    </row>
    <row r="48" spans="1:25" x14ac:dyDescent="0.25">
      <c r="A48" s="25" t="s">
        <v>115</v>
      </c>
      <c r="B48" t="b">
        <v>0</v>
      </c>
      <c r="C48" s="43" t="s">
        <v>170</v>
      </c>
      <c r="D48" s="43">
        <v>320564</v>
      </c>
      <c r="E48" s="43">
        <v>301543</v>
      </c>
      <c r="F48" s="44" t="s">
        <v>123</v>
      </c>
      <c r="G48" s="44" t="b">
        <v>1</v>
      </c>
      <c r="H48" s="44" t="b">
        <v>0</v>
      </c>
      <c r="I48" s="44"/>
      <c r="M48" s="48" t="s">
        <v>170</v>
      </c>
      <c r="N48" s="48">
        <v>17088570956</v>
      </c>
      <c r="O48" s="48">
        <v>17088566184</v>
      </c>
      <c r="P48" s="48" t="s">
        <v>123</v>
      </c>
      <c r="Q48" s="49" t="s">
        <v>170</v>
      </c>
      <c r="R48" s="49">
        <v>17083127162</v>
      </c>
      <c r="S48" s="49">
        <v>17083125298</v>
      </c>
      <c r="T48" s="49" t="s">
        <v>123</v>
      </c>
      <c r="U48" s="50" t="s">
        <v>170</v>
      </c>
      <c r="V48" s="50">
        <v>17083127162</v>
      </c>
      <c r="W48" s="50">
        <v>17083125298</v>
      </c>
      <c r="X48" s="50" t="s">
        <v>123</v>
      </c>
      <c r="Y48" s="50">
        <v>150202</v>
      </c>
    </row>
    <row r="49" spans="1:29" x14ac:dyDescent="0.25">
      <c r="A49" s="25" t="s">
        <v>115</v>
      </c>
      <c r="B49" t="b">
        <v>0</v>
      </c>
      <c r="C49" s="43" t="s">
        <v>171</v>
      </c>
      <c r="D49" s="43">
        <v>322612</v>
      </c>
      <c r="E49" s="43">
        <v>301927</v>
      </c>
      <c r="F49" s="44" t="s">
        <v>125</v>
      </c>
      <c r="G49" s="44" t="b">
        <v>0</v>
      </c>
      <c r="H49" s="44" t="b">
        <v>0</v>
      </c>
      <c r="I49" s="44"/>
      <c r="M49" s="48" t="s">
        <v>171</v>
      </c>
      <c r="N49" s="48">
        <v>17088570508</v>
      </c>
      <c r="O49" s="48">
        <v>17088566632</v>
      </c>
      <c r="P49" s="48" t="s">
        <v>125</v>
      </c>
      <c r="Q49" s="49" t="s">
        <v>171</v>
      </c>
      <c r="R49" s="49">
        <v>17083129818</v>
      </c>
      <c r="S49" s="49">
        <v>17083124402</v>
      </c>
      <c r="T49" s="49" t="s">
        <v>125</v>
      </c>
      <c r="U49" s="50" t="s">
        <v>171</v>
      </c>
      <c r="V49" s="50">
        <v>17083129818</v>
      </c>
      <c r="W49" s="50">
        <v>17083124402</v>
      </c>
      <c r="X49" s="50" t="s">
        <v>125</v>
      </c>
      <c r="Y49" s="50"/>
    </row>
    <row r="50" spans="1:29" x14ac:dyDescent="0.25">
      <c r="A50" s="25" t="b">
        <v>1</v>
      </c>
      <c r="B50" t="b">
        <v>1</v>
      </c>
      <c r="C50" s="43" t="s">
        <v>172</v>
      </c>
      <c r="D50" s="43">
        <v>18301075416</v>
      </c>
      <c r="E50" s="43">
        <v>18301072728</v>
      </c>
      <c r="F50" s="44" t="s">
        <v>173</v>
      </c>
      <c r="G50" s="44" t="b">
        <v>0</v>
      </c>
      <c r="H50" s="44" t="b">
        <v>0</v>
      </c>
      <c r="I50" s="44"/>
      <c r="J50" s="45" t="s">
        <v>172</v>
      </c>
      <c r="K50" s="46">
        <v>18301072728</v>
      </c>
      <c r="M50" s="48" t="s">
        <v>172</v>
      </c>
      <c r="N50" s="48">
        <v>17088573294</v>
      </c>
      <c r="O50" s="48">
        <v>17088560580</v>
      </c>
      <c r="P50" s="48" t="s">
        <v>173</v>
      </c>
      <c r="Q50" s="49" t="s">
        <v>172</v>
      </c>
      <c r="R50" s="49">
        <v>17083125881</v>
      </c>
      <c r="S50" s="49">
        <v>17083091682</v>
      </c>
      <c r="T50" s="49" t="s">
        <v>173</v>
      </c>
      <c r="U50" s="50" t="s">
        <v>172</v>
      </c>
      <c r="V50" s="50">
        <v>17083125881</v>
      </c>
      <c r="W50" s="50">
        <v>17083091682</v>
      </c>
      <c r="X50" s="50" t="s">
        <v>173</v>
      </c>
      <c r="Y50" s="50"/>
    </row>
    <row r="51" spans="1:29" x14ac:dyDescent="0.25">
      <c r="A51" s="25" t="b">
        <v>1</v>
      </c>
      <c r="B51" t="b">
        <v>0</v>
      </c>
      <c r="C51" s="43" t="s">
        <v>174</v>
      </c>
      <c r="D51" s="43">
        <v>18301071416</v>
      </c>
      <c r="E51" s="43">
        <v>18301074264</v>
      </c>
      <c r="F51" s="44" t="s">
        <v>173</v>
      </c>
      <c r="G51" s="44" t="b">
        <v>0</v>
      </c>
      <c r="H51" s="44" t="b">
        <v>0</v>
      </c>
      <c r="I51" s="44"/>
      <c r="J51" s="45" t="s">
        <v>174</v>
      </c>
      <c r="K51" s="46">
        <v>18301074264</v>
      </c>
      <c r="M51" s="48" t="s">
        <v>174</v>
      </c>
      <c r="N51" s="48">
        <v>17088571550</v>
      </c>
      <c r="O51" s="48">
        <v>17088559276</v>
      </c>
      <c r="P51" s="48" t="s">
        <v>173</v>
      </c>
      <c r="Q51" s="49" t="s">
        <v>174</v>
      </c>
      <c r="R51" s="49">
        <v>17083129337</v>
      </c>
      <c r="S51" s="49">
        <v>17083091690</v>
      </c>
      <c r="T51" s="49" t="s">
        <v>173</v>
      </c>
      <c r="U51" s="50" t="s">
        <v>174</v>
      </c>
      <c r="V51" s="50">
        <v>17083129337</v>
      </c>
      <c r="W51" s="50">
        <v>17083091690</v>
      </c>
      <c r="X51" s="50" t="s">
        <v>173</v>
      </c>
      <c r="Y51" s="50"/>
    </row>
    <row r="52" spans="1:29" x14ac:dyDescent="0.25">
      <c r="A52" s="25" t="b">
        <v>1</v>
      </c>
      <c r="B52" t="b">
        <v>0</v>
      </c>
      <c r="C52" s="43" t="s">
        <v>175</v>
      </c>
      <c r="D52" s="43">
        <v>18301073464</v>
      </c>
      <c r="E52" s="43">
        <v>18301071576</v>
      </c>
      <c r="F52" s="44" t="s">
        <v>173</v>
      </c>
      <c r="G52" s="44" t="b">
        <v>0</v>
      </c>
      <c r="H52" s="44" t="b">
        <v>0</v>
      </c>
      <c r="I52" s="44"/>
      <c r="J52" s="45" t="s">
        <v>175</v>
      </c>
      <c r="K52" s="46">
        <v>18301071576</v>
      </c>
      <c r="M52" s="48" t="s">
        <v>175</v>
      </c>
      <c r="N52" s="48">
        <v>17088569950</v>
      </c>
      <c r="O52" s="48">
        <v>17088559394</v>
      </c>
      <c r="P52" s="48" t="s">
        <v>173</v>
      </c>
      <c r="Q52" s="49" t="s">
        <v>175</v>
      </c>
      <c r="R52" s="49">
        <v>17083127429</v>
      </c>
      <c r="S52" s="49">
        <v>17083089862</v>
      </c>
      <c r="T52" s="49" t="s">
        <v>173</v>
      </c>
      <c r="U52" s="50" t="s">
        <v>175</v>
      </c>
      <c r="V52" s="50">
        <v>17083127429</v>
      </c>
      <c r="W52" s="50">
        <v>17083089862</v>
      </c>
      <c r="X52" s="50" t="s">
        <v>173</v>
      </c>
      <c r="Y52" s="50"/>
    </row>
    <row r="53" spans="1:29" x14ac:dyDescent="0.25">
      <c r="A53" s="25" t="b">
        <v>1</v>
      </c>
      <c r="B53" t="b">
        <v>0</v>
      </c>
      <c r="C53" s="43" t="s">
        <v>176</v>
      </c>
      <c r="D53" s="43">
        <v>18301072440</v>
      </c>
      <c r="E53" s="43">
        <v>18301074648</v>
      </c>
      <c r="F53" s="44" t="s">
        <v>173</v>
      </c>
      <c r="G53" s="44" t="b">
        <v>0</v>
      </c>
      <c r="H53" s="44" t="b">
        <v>0</v>
      </c>
      <c r="I53" s="44"/>
      <c r="J53" s="45" t="s">
        <v>176</v>
      </c>
      <c r="K53" s="46">
        <v>18301074648</v>
      </c>
      <c r="M53" s="48" t="s">
        <v>176</v>
      </c>
      <c r="N53" s="48">
        <v>17088571966</v>
      </c>
      <c r="O53" s="48">
        <v>17088558706</v>
      </c>
      <c r="P53" s="48" t="s">
        <v>173</v>
      </c>
      <c r="Q53" s="49" t="s">
        <v>176</v>
      </c>
      <c r="R53" s="49">
        <v>17083126754</v>
      </c>
      <c r="S53" s="49">
        <v>17083120511</v>
      </c>
      <c r="T53" s="49" t="s">
        <v>173</v>
      </c>
      <c r="U53" s="50" t="s">
        <v>176</v>
      </c>
      <c r="V53" s="50">
        <v>17083126754</v>
      </c>
      <c r="W53" s="50">
        <v>17083120511</v>
      </c>
      <c r="X53" s="50" t="s">
        <v>173</v>
      </c>
      <c r="Y53" s="50"/>
    </row>
    <row r="54" spans="1:29" x14ac:dyDescent="0.25">
      <c r="A54" s="25" t="s">
        <v>115</v>
      </c>
      <c r="B54" t="b">
        <v>0</v>
      </c>
      <c r="C54" s="43" t="s">
        <v>177</v>
      </c>
      <c r="D54" s="43">
        <v>18301074488</v>
      </c>
      <c r="E54" s="43">
        <v>18301073112</v>
      </c>
      <c r="F54" s="44" t="s">
        <v>125</v>
      </c>
      <c r="G54" s="44" t="b">
        <v>1</v>
      </c>
      <c r="H54" s="44" t="b">
        <v>0</v>
      </c>
      <c r="I54" s="44" t="s">
        <v>126</v>
      </c>
      <c r="M54" s="48" t="s">
        <v>177</v>
      </c>
      <c r="N54" s="48">
        <v>17088573020</v>
      </c>
      <c r="O54" s="48">
        <v>17088565774</v>
      </c>
      <c r="P54" s="48" t="s">
        <v>125</v>
      </c>
      <c r="Q54" s="49" t="s">
        <v>177</v>
      </c>
      <c r="R54" s="49">
        <v>17083127382</v>
      </c>
      <c r="S54" s="49">
        <v>17083121785</v>
      </c>
      <c r="T54" s="49" t="s">
        <v>125</v>
      </c>
      <c r="U54" s="50" t="s">
        <v>177</v>
      </c>
      <c r="V54" s="50">
        <v>17083127382</v>
      </c>
      <c r="W54" s="50">
        <v>17083121785</v>
      </c>
      <c r="X54" s="50" t="s">
        <v>125</v>
      </c>
      <c r="Y54" s="50">
        <v>120412</v>
      </c>
    </row>
    <row r="55" spans="1:29" x14ac:dyDescent="0.25">
      <c r="A55" s="25" t="b">
        <v>1</v>
      </c>
      <c r="B55" t="b">
        <v>0</v>
      </c>
      <c r="C55" s="43" t="s">
        <v>178</v>
      </c>
      <c r="D55" s="43">
        <v>18301071928</v>
      </c>
      <c r="E55" s="43">
        <v>18301072344</v>
      </c>
      <c r="F55" s="44" t="s">
        <v>173</v>
      </c>
      <c r="G55" s="44" t="b">
        <v>0</v>
      </c>
      <c r="H55" s="44" t="b">
        <v>0</v>
      </c>
      <c r="I55" s="44"/>
      <c r="J55" s="45" t="s">
        <v>178</v>
      </c>
      <c r="K55" s="46">
        <v>18301072344</v>
      </c>
      <c r="M55" s="48" t="s">
        <v>178</v>
      </c>
      <c r="N55" s="48">
        <v>17088571442</v>
      </c>
      <c r="O55" s="48">
        <v>17088568373</v>
      </c>
      <c r="P55" s="48" t="s">
        <v>173</v>
      </c>
      <c r="Q55" s="49" t="s">
        <v>178</v>
      </c>
      <c r="R55" s="49">
        <v>17083129710</v>
      </c>
      <c r="S55" s="49">
        <v>17083121675</v>
      </c>
      <c r="T55" s="49" t="s">
        <v>173</v>
      </c>
      <c r="U55" s="50" t="s">
        <v>178</v>
      </c>
      <c r="V55" s="50">
        <v>17083129710</v>
      </c>
      <c r="W55" s="50">
        <v>17083121675</v>
      </c>
      <c r="X55" s="50" t="s">
        <v>173</v>
      </c>
      <c r="Y55" s="50"/>
    </row>
    <row r="56" spans="1:29" x14ac:dyDescent="0.25">
      <c r="A56" s="25" t="b">
        <v>1</v>
      </c>
      <c r="B56" t="b">
        <v>0</v>
      </c>
      <c r="C56" s="43" t="s">
        <v>179</v>
      </c>
      <c r="D56" s="43">
        <v>18301073976</v>
      </c>
      <c r="E56" s="43">
        <v>18301073880</v>
      </c>
      <c r="F56" s="44" t="s">
        <v>173</v>
      </c>
      <c r="G56" s="44" t="b">
        <v>0</v>
      </c>
      <c r="H56" s="44" t="b">
        <v>0</v>
      </c>
      <c r="I56" s="44"/>
      <c r="J56" s="45" t="s">
        <v>179</v>
      </c>
      <c r="K56" s="46">
        <v>18301073880</v>
      </c>
      <c r="M56" s="48" t="s">
        <v>179</v>
      </c>
      <c r="N56" s="48">
        <v>17088571388</v>
      </c>
      <c r="O56" s="48">
        <v>17088568846</v>
      </c>
      <c r="P56" s="48" t="s">
        <v>173</v>
      </c>
      <c r="Q56" s="49" t="s">
        <v>179</v>
      </c>
      <c r="R56" s="49">
        <v>17083127350</v>
      </c>
      <c r="S56" s="49">
        <v>17083124857</v>
      </c>
      <c r="T56" s="49" t="s">
        <v>173</v>
      </c>
      <c r="U56" s="50" t="s">
        <v>179</v>
      </c>
      <c r="V56" s="50">
        <v>17083127350</v>
      </c>
      <c r="W56" s="50">
        <v>17083124857</v>
      </c>
      <c r="X56" s="50" t="s">
        <v>173</v>
      </c>
      <c r="Y56" s="50"/>
    </row>
    <row r="57" spans="1:29" x14ac:dyDescent="0.25">
      <c r="A57" s="25" t="b">
        <v>1</v>
      </c>
      <c r="B57" t="b">
        <v>0</v>
      </c>
      <c r="C57" s="43" t="s">
        <v>180</v>
      </c>
      <c r="D57" s="43">
        <v>152824920230</v>
      </c>
      <c r="E57" s="43">
        <v>152824919078</v>
      </c>
      <c r="F57" s="44" t="s">
        <v>173</v>
      </c>
      <c r="G57" s="44" t="b">
        <v>0</v>
      </c>
      <c r="H57" s="44" t="b">
        <v>0</v>
      </c>
      <c r="I57" s="44"/>
      <c r="J57" s="45" t="s">
        <v>180</v>
      </c>
      <c r="K57" s="46">
        <v>152824919078</v>
      </c>
      <c r="M57" s="48" t="s">
        <v>180</v>
      </c>
      <c r="N57" s="48">
        <v>17092785159</v>
      </c>
      <c r="O57" s="48">
        <v>17092791195</v>
      </c>
      <c r="P57" s="48" t="s">
        <v>173</v>
      </c>
      <c r="Q57" s="49"/>
      <c r="R57" s="49"/>
      <c r="S57" s="49"/>
      <c r="T57" s="49"/>
      <c r="U57" s="50"/>
      <c r="V57" s="50"/>
      <c r="W57" s="50"/>
      <c r="X57" s="50"/>
      <c r="Y57" s="50"/>
    </row>
    <row r="58" spans="1:29" x14ac:dyDescent="0.25">
      <c r="A58" s="25" t="b">
        <v>1</v>
      </c>
      <c r="B58" t="b">
        <v>0</v>
      </c>
      <c r="C58" s="43" t="s">
        <v>181</v>
      </c>
      <c r="D58" s="43">
        <v>152824919206</v>
      </c>
      <c r="E58" s="43">
        <v>152824920614</v>
      </c>
      <c r="F58" s="44" t="s">
        <v>173</v>
      </c>
      <c r="G58" s="44" t="b">
        <v>0</v>
      </c>
      <c r="H58" s="44" t="b">
        <v>0</v>
      </c>
      <c r="I58" s="44"/>
      <c r="J58" s="45" t="s">
        <v>181</v>
      </c>
      <c r="K58" s="46">
        <v>152824920614</v>
      </c>
      <c r="M58" s="48" t="s">
        <v>181</v>
      </c>
      <c r="N58" s="48">
        <v>17092787207</v>
      </c>
      <c r="O58" s="48">
        <v>17092788315</v>
      </c>
      <c r="P58" s="48" t="s">
        <v>173</v>
      </c>
      <c r="Q58" s="49"/>
      <c r="R58" s="49"/>
      <c r="S58" s="49"/>
      <c r="T58" s="49"/>
      <c r="U58" s="50"/>
      <c r="V58" s="50"/>
      <c r="W58" s="50"/>
      <c r="X58" s="50"/>
      <c r="Y58" s="50"/>
    </row>
    <row r="59" spans="1:29" x14ac:dyDescent="0.25">
      <c r="A59" s="25" t="b">
        <v>1</v>
      </c>
      <c r="B59" t="b">
        <v>0</v>
      </c>
      <c r="C59" s="43" t="s">
        <v>182</v>
      </c>
      <c r="D59" s="43">
        <v>152824921254</v>
      </c>
      <c r="E59" s="43">
        <v>152824918310</v>
      </c>
      <c r="F59" s="44" t="s">
        <v>173</v>
      </c>
      <c r="G59" s="44" t="b">
        <v>0</v>
      </c>
      <c r="H59" s="44" t="b">
        <v>0</v>
      </c>
      <c r="I59" s="44"/>
      <c r="J59" s="45" t="s">
        <v>182</v>
      </c>
      <c r="K59" s="46">
        <v>152824918310</v>
      </c>
      <c r="M59" s="48" t="s">
        <v>182</v>
      </c>
      <c r="N59" s="48">
        <v>17092784647</v>
      </c>
      <c r="O59" s="48">
        <v>17092791387</v>
      </c>
      <c r="P59" s="48" t="s">
        <v>173</v>
      </c>
      <c r="Q59" s="49"/>
      <c r="R59" s="49"/>
      <c r="S59" s="49"/>
      <c r="T59" s="49"/>
      <c r="U59" s="50"/>
      <c r="V59" s="50"/>
      <c r="W59" s="50"/>
      <c r="X59" s="50"/>
      <c r="Y59" s="50"/>
    </row>
    <row r="60" spans="1:29" x14ac:dyDescent="0.25">
      <c r="A60" s="25" t="b">
        <v>1</v>
      </c>
      <c r="B60" t="b">
        <v>0</v>
      </c>
      <c r="C60" s="43" t="s">
        <v>183</v>
      </c>
      <c r="D60" s="43">
        <v>152824918694</v>
      </c>
      <c r="E60" s="43">
        <v>152824921382</v>
      </c>
      <c r="F60" s="44" t="s">
        <v>173</v>
      </c>
      <c r="G60" s="44" t="b">
        <v>0</v>
      </c>
      <c r="H60" s="44" t="b">
        <v>0</v>
      </c>
      <c r="I60" s="44"/>
      <c r="J60" s="45" t="s">
        <v>183</v>
      </c>
      <c r="K60" s="46">
        <v>152824921382</v>
      </c>
      <c r="M60" s="48" t="s">
        <v>183</v>
      </c>
      <c r="N60" s="48">
        <v>17092786695</v>
      </c>
      <c r="O60" s="48">
        <v>17092789851</v>
      </c>
      <c r="P60" s="48" t="s">
        <v>173</v>
      </c>
      <c r="Q60" s="49"/>
      <c r="R60" s="49"/>
      <c r="S60" s="49"/>
      <c r="T60" s="49"/>
      <c r="U60" s="50"/>
      <c r="V60" s="50"/>
      <c r="W60" s="50"/>
      <c r="X60" s="50"/>
      <c r="Y60" s="50"/>
    </row>
    <row r="61" spans="1:29" x14ac:dyDescent="0.25">
      <c r="A61" s="25" t="b">
        <v>1</v>
      </c>
      <c r="B61" t="b">
        <v>0</v>
      </c>
      <c r="C61" s="43" t="s">
        <v>184</v>
      </c>
      <c r="D61" s="43">
        <v>152824920742</v>
      </c>
      <c r="E61" s="43">
        <v>152824919846</v>
      </c>
      <c r="F61" s="44" t="s">
        <v>173</v>
      </c>
      <c r="G61" s="44" t="b">
        <v>0</v>
      </c>
      <c r="H61" s="44" t="b">
        <v>0</v>
      </c>
      <c r="I61" s="44"/>
      <c r="J61" s="45" t="s">
        <v>184</v>
      </c>
      <c r="K61" s="46">
        <v>152824919846</v>
      </c>
      <c r="M61" s="48" t="s">
        <v>184</v>
      </c>
      <c r="N61" s="48">
        <v>17092785671</v>
      </c>
      <c r="O61" s="48">
        <v>17092788219</v>
      </c>
      <c r="P61" s="48" t="s">
        <v>173</v>
      </c>
      <c r="Q61" s="49"/>
      <c r="R61" s="49"/>
      <c r="S61" s="49"/>
      <c r="T61" s="49"/>
      <c r="U61" s="50"/>
      <c r="V61" s="50"/>
      <c r="W61" s="50"/>
      <c r="X61" s="50"/>
      <c r="Y61" s="50"/>
    </row>
    <row r="62" spans="1:29" x14ac:dyDescent="0.25">
      <c r="A62" s="25" t="s">
        <v>115</v>
      </c>
      <c r="B62" t="b">
        <v>0</v>
      </c>
      <c r="C62" s="43" t="s">
        <v>185</v>
      </c>
      <c r="D62" s="43">
        <v>168771487520</v>
      </c>
      <c r="E62" s="43">
        <v>168771482751</v>
      </c>
      <c r="F62" s="44" t="s">
        <v>186</v>
      </c>
      <c r="G62" s="44" t="b">
        <v>0</v>
      </c>
      <c r="H62" s="44" t="b">
        <v>1</v>
      </c>
      <c r="I62" s="44"/>
      <c r="J62" s="45" t="s">
        <v>185</v>
      </c>
      <c r="K62" s="46">
        <v>168771482751</v>
      </c>
      <c r="L62" s="47">
        <v>990000507</v>
      </c>
      <c r="M62" s="48" t="s">
        <v>185</v>
      </c>
      <c r="N62" s="48">
        <v>17093150116</v>
      </c>
      <c r="O62" s="48">
        <v>17093148921</v>
      </c>
      <c r="P62" s="48" t="s">
        <v>186</v>
      </c>
      <c r="Q62" s="49" t="s">
        <v>185</v>
      </c>
      <c r="R62" s="49">
        <v>17086201860</v>
      </c>
      <c r="S62" s="49">
        <v>17085068585</v>
      </c>
      <c r="T62" s="49" t="s">
        <v>186</v>
      </c>
      <c r="U62" s="50"/>
      <c r="V62" s="50"/>
      <c r="W62" s="50"/>
      <c r="X62" s="50"/>
      <c r="Y62" s="50"/>
      <c r="Z62" s="51" t="s">
        <v>185</v>
      </c>
      <c r="AA62" s="51" t="s">
        <v>187</v>
      </c>
      <c r="AB62" s="51">
        <v>1293</v>
      </c>
      <c r="AC62" s="51">
        <v>1539</v>
      </c>
    </row>
    <row r="63" spans="1:29" x14ac:dyDescent="0.25">
      <c r="A63" s="25" t="s">
        <v>115</v>
      </c>
      <c r="B63" t="b">
        <v>0</v>
      </c>
      <c r="C63" s="43" t="s">
        <v>188</v>
      </c>
      <c r="D63" s="43">
        <v>168771489568</v>
      </c>
      <c r="E63" s="43">
        <v>168771485696</v>
      </c>
      <c r="F63" s="44" t="s">
        <v>125</v>
      </c>
      <c r="G63" s="44" t="b">
        <v>0</v>
      </c>
      <c r="H63" s="44" t="b">
        <v>1</v>
      </c>
      <c r="I63" s="44"/>
      <c r="M63" s="48" t="s">
        <v>188</v>
      </c>
      <c r="N63" s="48">
        <v>17093152164</v>
      </c>
      <c r="O63" s="48">
        <v>17093151237</v>
      </c>
      <c r="P63" s="48" t="s">
        <v>125</v>
      </c>
      <c r="Q63" s="49"/>
      <c r="R63" s="49"/>
      <c r="S63" s="49"/>
      <c r="T63" s="49"/>
      <c r="U63" s="50" t="s">
        <v>188</v>
      </c>
      <c r="V63" s="50">
        <v>17102546797</v>
      </c>
      <c r="W63" s="50">
        <v>17101201623</v>
      </c>
      <c r="X63" s="50" t="s">
        <v>125</v>
      </c>
      <c r="Y63" s="50"/>
      <c r="Z63" s="51" t="s">
        <v>188</v>
      </c>
      <c r="AA63" s="51" t="s">
        <v>189</v>
      </c>
      <c r="AB63" s="51">
        <v>15467</v>
      </c>
      <c r="AC63" s="51">
        <v>19024</v>
      </c>
    </row>
    <row r="64" spans="1:29" x14ac:dyDescent="0.25">
      <c r="A64" s="25" t="s">
        <v>115</v>
      </c>
      <c r="B64" t="b">
        <v>0</v>
      </c>
      <c r="C64" s="43" t="s">
        <v>190</v>
      </c>
      <c r="D64" s="43">
        <v>168771485856</v>
      </c>
      <c r="E64" s="43">
        <v>168771488768</v>
      </c>
      <c r="F64" s="44" t="s">
        <v>186</v>
      </c>
      <c r="G64" s="44" t="b">
        <v>0</v>
      </c>
      <c r="H64" s="44" t="b">
        <v>1</v>
      </c>
      <c r="I64" s="44"/>
      <c r="M64" s="48" t="s">
        <v>190</v>
      </c>
      <c r="N64" s="48">
        <v>17093152676</v>
      </c>
      <c r="O64" s="48">
        <v>17093148933</v>
      </c>
      <c r="P64" s="48" t="s">
        <v>186</v>
      </c>
      <c r="Q64" s="49"/>
      <c r="R64" s="49"/>
      <c r="S64" s="49"/>
      <c r="T64" s="49"/>
      <c r="U64" s="50" t="s">
        <v>190</v>
      </c>
      <c r="V64" s="50">
        <v>17102548845</v>
      </c>
      <c r="W64" s="50">
        <v>17101204695</v>
      </c>
      <c r="X64" s="50" t="s">
        <v>186</v>
      </c>
      <c r="Y64" s="50"/>
      <c r="Z64" s="51" t="s">
        <v>190</v>
      </c>
      <c r="AA64" s="51" t="s">
        <v>187</v>
      </c>
      <c r="AB64" s="51">
        <v>1293</v>
      </c>
      <c r="AC64" s="51">
        <v>1539</v>
      </c>
    </row>
    <row r="65" spans="1:29" x14ac:dyDescent="0.25">
      <c r="A65" s="25" t="s">
        <v>115</v>
      </c>
      <c r="B65" t="b">
        <v>0</v>
      </c>
      <c r="C65" s="43" t="s">
        <v>191</v>
      </c>
      <c r="D65" s="43">
        <v>168771487904</v>
      </c>
      <c r="E65" s="43">
        <v>168771487232</v>
      </c>
      <c r="F65" s="44" t="s">
        <v>132</v>
      </c>
      <c r="G65" s="44" t="b">
        <v>0</v>
      </c>
      <c r="H65" s="44" t="b">
        <v>1</v>
      </c>
      <c r="I65" s="44"/>
      <c r="M65" s="48" t="s">
        <v>191</v>
      </c>
      <c r="N65" s="48">
        <v>17093152740</v>
      </c>
      <c r="O65" s="48">
        <v>17093152005</v>
      </c>
      <c r="P65" s="48" t="s">
        <v>132</v>
      </c>
      <c r="Q65" s="49"/>
      <c r="R65" s="49"/>
      <c r="S65" s="49"/>
      <c r="T65" s="49"/>
      <c r="U65" s="50" t="s">
        <v>191</v>
      </c>
      <c r="V65" s="50">
        <v>17102545133</v>
      </c>
      <c r="W65" s="50">
        <v>17101203159</v>
      </c>
      <c r="X65" s="50" t="s">
        <v>132</v>
      </c>
      <c r="Y65" s="50"/>
      <c r="Z65" s="51" t="s">
        <v>191</v>
      </c>
      <c r="AA65" s="51" t="s">
        <v>192</v>
      </c>
      <c r="AB65" s="51">
        <v>24000</v>
      </c>
      <c r="AC65" s="51">
        <v>28560</v>
      </c>
    </row>
    <row r="66" spans="1:29" x14ac:dyDescent="0.25">
      <c r="A66" s="25" t="s">
        <v>115</v>
      </c>
      <c r="B66" t="b">
        <v>0</v>
      </c>
      <c r="C66" s="43" t="s">
        <v>193</v>
      </c>
      <c r="D66" s="43">
        <v>168771486880</v>
      </c>
      <c r="E66" s="43">
        <v>168771483039</v>
      </c>
      <c r="F66" s="44" t="s">
        <v>125</v>
      </c>
      <c r="G66" s="44" t="b">
        <v>0</v>
      </c>
      <c r="H66" s="44" t="b">
        <v>1</v>
      </c>
      <c r="I66" s="44"/>
      <c r="J66" s="45" t="s">
        <v>193</v>
      </c>
      <c r="K66" s="46">
        <v>168771483039</v>
      </c>
      <c r="L66" s="47">
        <v>990000510</v>
      </c>
      <c r="M66" s="48" t="s">
        <v>193</v>
      </c>
      <c r="N66" s="48">
        <v>17093148325</v>
      </c>
      <c r="O66" s="48">
        <v>17093145381</v>
      </c>
      <c r="P66" s="48" t="s">
        <v>125</v>
      </c>
      <c r="Q66" s="49" t="s">
        <v>193</v>
      </c>
      <c r="R66" s="49">
        <v>17086203908</v>
      </c>
      <c r="S66" s="49">
        <v>17085068049</v>
      </c>
      <c r="T66" s="49" t="s">
        <v>125</v>
      </c>
      <c r="U66" s="50"/>
      <c r="V66" s="50"/>
      <c r="W66" s="50"/>
      <c r="X66" s="50"/>
      <c r="Y66" s="50"/>
      <c r="Z66" s="51" t="s">
        <v>193</v>
      </c>
      <c r="AA66" s="51" t="s">
        <v>189</v>
      </c>
      <c r="AB66" s="51">
        <v>60109</v>
      </c>
      <c r="AC66" s="51">
        <v>71529</v>
      </c>
    </row>
    <row r="67" spans="1:29" x14ac:dyDescent="0.25">
      <c r="A67" s="25" t="s">
        <v>115</v>
      </c>
      <c r="B67" t="b">
        <v>0</v>
      </c>
      <c r="C67" s="43" t="s">
        <v>194</v>
      </c>
      <c r="D67" s="43">
        <v>168771488928</v>
      </c>
      <c r="E67" s="43">
        <v>168771481695</v>
      </c>
      <c r="F67" s="44" t="s">
        <v>132</v>
      </c>
      <c r="G67" s="44" t="b">
        <v>0</v>
      </c>
      <c r="H67" s="44" t="b">
        <v>1</v>
      </c>
      <c r="I67" s="44"/>
      <c r="J67" s="45" t="s">
        <v>194</v>
      </c>
      <c r="K67" s="46">
        <v>168771481695</v>
      </c>
      <c r="L67" s="47">
        <v>990000509</v>
      </c>
      <c r="M67" s="48" t="s">
        <v>194</v>
      </c>
      <c r="N67" s="48">
        <v>17093147301</v>
      </c>
      <c r="O67" s="48">
        <v>17093145765</v>
      </c>
      <c r="P67" s="48" t="s">
        <v>132</v>
      </c>
      <c r="Q67" s="49" t="s">
        <v>194</v>
      </c>
      <c r="R67" s="49">
        <v>17086204932</v>
      </c>
      <c r="S67" s="49">
        <v>17085067921</v>
      </c>
      <c r="T67" s="49" t="s">
        <v>132</v>
      </c>
      <c r="U67" s="50"/>
      <c r="V67" s="50"/>
      <c r="W67" s="50"/>
      <c r="X67" s="50"/>
      <c r="Y67" s="50"/>
      <c r="Z67" s="51" t="s">
        <v>194</v>
      </c>
      <c r="AA67" s="51" t="s">
        <v>192</v>
      </c>
      <c r="AB67" s="51">
        <v>93272</v>
      </c>
      <c r="AC67" s="51">
        <v>110993</v>
      </c>
    </row>
    <row r="68" spans="1:29" x14ac:dyDescent="0.25">
      <c r="A68" s="25" t="s">
        <v>115</v>
      </c>
      <c r="B68" t="b">
        <v>0</v>
      </c>
      <c r="C68" s="43" t="s">
        <v>195</v>
      </c>
      <c r="D68" s="43">
        <v>168771486368</v>
      </c>
      <c r="E68" s="43">
        <v>168771484575</v>
      </c>
      <c r="F68" s="44" t="s">
        <v>186</v>
      </c>
      <c r="G68" s="44" t="b">
        <v>0</v>
      </c>
      <c r="H68" s="44" t="b">
        <v>1</v>
      </c>
      <c r="I68" s="44"/>
      <c r="J68" s="45" t="s">
        <v>195</v>
      </c>
      <c r="K68" s="46">
        <v>168771484575</v>
      </c>
      <c r="L68" s="47">
        <v>990000511</v>
      </c>
      <c r="M68" s="48" t="s">
        <v>195</v>
      </c>
      <c r="N68" s="48">
        <v>17093146277</v>
      </c>
      <c r="O68" s="48">
        <v>17093148453</v>
      </c>
      <c r="P68" s="48" t="s">
        <v>186</v>
      </c>
      <c r="Q68" s="49" t="s">
        <v>195</v>
      </c>
      <c r="R68" s="49">
        <v>17086202884</v>
      </c>
      <c r="S68" s="49">
        <v>17085067409</v>
      </c>
      <c r="T68" s="49" t="s">
        <v>186</v>
      </c>
      <c r="U68" s="50"/>
      <c r="V68" s="50"/>
      <c r="W68" s="50"/>
      <c r="X68" s="50"/>
      <c r="Y68" s="50"/>
      <c r="Z68" s="51" t="s">
        <v>195</v>
      </c>
      <c r="AA68" s="51" t="s">
        <v>187</v>
      </c>
      <c r="AB68" s="51">
        <v>1445</v>
      </c>
      <c r="AC68" s="51">
        <v>1720</v>
      </c>
    </row>
    <row r="69" spans="1:29" x14ac:dyDescent="0.25">
      <c r="A69" s="25" t="s">
        <v>115</v>
      </c>
      <c r="B69" t="b">
        <v>0</v>
      </c>
      <c r="C69" s="43" t="s">
        <v>196</v>
      </c>
      <c r="D69" s="43">
        <v>168771488416</v>
      </c>
      <c r="E69" s="43">
        <v>168771484767</v>
      </c>
      <c r="F69" s="44" t="s">
        <v>125</v>
      </c>
      <c r="G69" s="44" t="b">
        <v>0</v>
      </c>
      <c r="H69" s="44" t="b">
        <v>1</v>
      </c>
      <c r="I69" s="44"/>
      <c r="J69" s="45" t="s">
        <v>196</v>
      </c>
      <c r="K69" s="46">
        <v>168771484767</v>
      </c>
      <c r="L69" s="47">
        <v>990000514</v>
      </c>
      <c r="M69" s="48" t="s">
        <v>196</v>
      </c>
      <c r="N69" s="48">
        <v>17093149604</v>
      </c>
      <c r="O69" s="48">
        <v>17093151045</v>
      </c>
      <c r="P69" s="48" t="s">
        <v>125</v>
      </c>
      <c r="Q69" s="49" t="s">
        <v>196</v>
      </c>
      <c r="R69" s="49">
        <v>17086202372</v>
      </c>
      <c r="S69" s="49">
        <v>17085067665</v>
      </c>
      <c r="T69" s="49" t="s">
        <v>125</v>
      </c>
      <c r="U69" s="50"/>
      <c r="V69" s="50"/>
      <c r="W69" s="50"/>
      <c r="X69" s="50"/>
      <c r="Y69" s="50"/>
      <c r="Z69" s="51" t="s">
        <v>196</v>
      </c>
      <c r="AA69" s="51" t="s">
        <v>189</v>
      </c>
      <c r="AB69" s="51">
        <v>28081</v>
      </c>
      <c r="AC69" s="51">
        <v>33416</v>
      </c>
    </row>
    <row r="70" spans="1:29" x14ac:dyDescent="0.25">
      <c r="A70" s="25" t="s">
        <v>115</v>
      </c>
      <c r="B70" t="b">
        <v>0</v>
      </c>
      <c r="C70" s="43" t="s">
        <v>197</v>
      </c>
      <c r="D70" s="43">
        <v>168771487392</v>
      </c>
      <c r="E70" s="43">
        <v>168771483231</v>
      </c>
      <c r="F70" s="44" t="s">
        <v>186</v>
      </c>
      <c r="G70" s="44" t="b">
        <v>0</v>
      </c>
      <c r="H70" s="44" t="b">
        <v>1</v>
      </c>
      <c r="I70" s="44"/>
      <c r="J70" s="45" t="s">
        <v>197</v>
      </c>
      <c r="K70" s="46">
        <v>168771483231</v>
      </c>
      <c r="L70" s="47">
        <v>990000512</v>
      </c>
      <c r="M70" s="48" t="s">
        <v>197</v>
      </c>
      <c r="N70" s="48">
        <v>17093151652</v>
      </c>
      <c r="O70" s="48">
        <v>17093149509</v>
      </c>
      <c r="P70" s="48" t="s">
        <v>186</v>
      </c>
      <c r="Q70" s="49" t="s">
        <v>197</v>
      </c>
      <c r="R70" s="49">
        <v>17086204420</v>
      </c>
      <c r="S70" s="49">
        <v>17085068177</v>
      </c>
      <c r="T70" s="49" t="s">
        <v>186</v>
      </c>
      <c r="U70" s="50"/>
      <c r="V70" s="50"/>
      <c r="W70" s="50"/>
      <c r="X70" s="50"/>
      <c r="Y70" s="50"/>
      <c r="Z70" s="51" t="s">
        <v>197</v>
      </c>
      <c r="AA70" s="51" t="s">
        <v>187</v>
      </c>
      <c r="AB70" s="51">
        <v>1445</v>
      </c>
      <c r="AC70" s="51">
        <v>1720</v>
      </c>
    </row>
    <row r="71" spans="1:29" x14ac:dyDescent="0.25">
      <c r="A71" s="25" t="s">
        <v>115</v>
      </c>
      <c r="B71" t="b">
        <v>0</v>
      </c>
      <c r="C71" s="43" t="s">
        <v>198</v>
      </c>
      <c r="D71" s="43">
        <v>168771489440</v>
      </c>
      <c r="E71" s="43">
        <v>168771483999</v>
      </c>
      <c r="F71" s="44" t="s">
        <v>132</v>
      </c>
      <c r="G71" s="44" t="b">
        <v>0</v>
      </c>
      <c r="H71" s="44" t="b">
        <v>1</v>
      </c>
      <c r="I71" s="44"/>
      <c r="J71" s="45" t="s">
        <v>198</v>
      </c>
      <c r="K71" s="46">
        <v>168771483999</v>
      </c>
      <c r="L71" s="47">
        <v>990000513</v>
      </c>
      <c r="M71" s="48" t="s">
        <v>198</v>
      </c>
      <c r="N71" s="48">
        <v>17093150628</v>
      </c>
      <c r="O71" s="48">
        <v>17093152581</v>
      </c>
      <c r="P71" s="48" t="s">
        <v>132</v>
      </c>
      <c r="Q71" s="49" t="s">
        <v>198</v>
      </c>
      <c r="R71" s="49">
        <v>17086203396</v>
      </c>
      <c r="S71" s="49">
        <v>17085067345</v>
      </c>
      <c r="T71" s="49" t="s">
        <v>132</v>
      </c>
      <c r="U71" s="50"/>
      <c r="V71" s="50"/>
      <c r="W71" s="50"/>
      <c r="X71" s="50"/>
      <c r="Y71" s="50"/>
      <c r="Z71" s="51" t="s">
        <v>198</v>
      </c>
      <c r="AA71" s="51" t="s">
        <v>192</v>
      </c>
      <c r="AB71" s="51">
        <v>43574</v>
      </c>
      <c r="AC71" s="51">
        <v>51852</v>
      </c>
    </row>
    <row r="72" spans="1:29" x14ac:dyDescent="0.25">
      <c r="A72" s="25" t="s">
        <v>115</v>
      </c>
      <c r="B72" t="b">
        <v>0</v>
      </c>
      <c r="C72" s="43" t="s">
        <v>199</v>
      </c>
      <c r="D72" s="43">
        <v>168771486112</v>
      </c>
      <c r="E72" s="43">
        <v>168771482463</v>
      </c>
      <c r="F72" s="44" t="s">
        <v>125</v>
      </c>
      <c r="G72" s="44" t="b">
        <v>0</v>
      </c>
      <c r="H72" s="44" t="b">
        <v>1</v>
      </c>
      <c r="I72" s="44"/>
      <c r="J72" s="45" t="s">
        <v>199</v>
      </c>
      <c r="K72" s="46">
        <v>168771482463</v>
      </c>
      <c r="L72" s="47">
        <v>990000515</v>
      </c>
      <c r="M72" s="48" t="s">
        <v>199</v>
      </c>
      <c r="N72" s="48">
        <v>17093149380</v>
      </c>
      <c r="O72" s="48">
        <v>17093151044</v>
      </c>
      <c r="P72" s="48" t="s">
        <v>125</v>
      </c>
      <c r="Q72" s="49"/>
      <c r="R72" s="49"/>
      <c r="S72" s="49"/>
      <c r="T72" s="49"/>
      <c r="U72" s="50"/>
      <c r="V72" s="50"/>
      <c r="W72" s="50"/>
      <c r="X72" s="50"/>
      <c r="Y72" s="50"/>
      <c r="Z72" s="51" t="s">
        <v>199</v>
      </c>
      <c r="AA72" s="51" t="s">
        <v>189</v>
      </c>
      <c r="AB72" s="51">
        <v>41800</v>
      </c>
      <c r="AC72" s="51">
        <v>51414</v>
      </c>
    </row>
    <row r="73" spans="1:29" x14ac:dyDescent="0.25">
      <c r="A73" s="25" t="s">
        <v>115</v>
      </c>
      <c r="B73" t="b">
        <v>0</v>
      </c>
      <c r="C73" s="43" t="s">
        <v>200</v>
      </c>
      <c r="D73" s="43">
        <v>168771488160</v>
      </c>
      <c r="E73" s="43">
        <v>168771485535</v>
      </c>
      <c r="F73" s="44" t="s">
        <v>186</v>
      </c>
      <c r="G73" s="44" t="b">
        <v>0</v>
      </c>
      <c r="H73" s="44" t="b">
        <v>1</v>
      </c>
      <c r="I73" s="44"/>
      <c r="J73" s="45" t="s">
        <v>200</v>
      </c>
      <c r="K73" s="46">
        <v>168771485535</v>
      </c>
      <c r="L73" s="47">
        <v>990000517</v>
      </c>
      <c r="M73" s="48" t="s">
        <v>200</v>
      </c>
      <c r="N73" s="48">
        <v>17093151940</v>
      </c>
      <c r="O73" s="48">
        <v>17093149508</v>
      </c>
      <c r="P73" s="48" t="s">
        <v>186</v>
      </c>
      <c r="Q73" s="49"/>
      <c r="R73" s="49"/>
      <c r="S73" s="49"/>
      <c r="T73" s="49"/>
      <c r="U73" s="50" t="s">
        <v>200</v>
      </c>
      <c r="V73" s="50">
        <v>17102547181</v>
      </c>
      <c r="W73" s="50">
        <v>17101203927</v>
      </c>
      <c r="X73" s="50" t="s">
        <v>186</v>
      </c>
      <c r="Y73" s="50"/>
      <c r="Z73" s="51" t="s">
        <v>200</v>
      </c>
      <c r="AA73" s="51" t="s">
        <v>187</v>
      </c>
      <c r="AB73" s="51">
        <v>1293</v>
      </c>
      <c r="AC73" s="51">
        <v>1539</v>
      </c>
    </row>
    <row r="74" spans="1:29" x14ac:dyDescent="0.25">
      <c r="A74" s="25" t="s">
        <v>115</v>
      </c>
      <c r="B74" t="b">
        <v>0</v>
      </c>
      <c r="C74" s="43" t="s">
        <v>201</v>
      </c>
      <c r="D74" s="43">
        <v>168771487136</v>
      </c>
      <c r="E74" s="43">
        <v>168771482847</v>
      </c>
      <c r="F74" s="44" t="s">
        <v>132</v>
      </c>
      <c r="G74" s="44" t="b">
        <v>0</v>
      </c>
      <c r="H74" s="44" t="b">
        <v>1</v>
      </c>
      <c r="I74" s="44"/>
      <c r="J74" s="45" t="s">
        <v>201</v>
      </c>
      <c r="K74" s="46">
        <v>168771482847</v>
      </c>
      <c r="L74" s="47">
        <v>990000516</v>
      </c>
      <c r="M74" s="48" t="s">
        <v>201</v>
      </c>
      <c r="N74" s="48">
        <v>17093149892</v>
      </c>
      <c r="O74" s="48">
        <v>17093152580</v>
      </c>
      <c r="P74" s="48" t="s">
        <v>132</v>
      </c>
      <c r="Q74" s="49"/>
      <c r="R74" s="49"/>
      <c r="S74" s="49"/>
      <c r="T74" s="49"/>
      <c r="U74" s="50" t="s">
        <v>201</v>
      </c>
      <c r="V74" s="50">
        <v>17102546157</v>
      </c>
      <c r="W74" s="50">
        <v>17101202391</v>
      </c>
      <c r="X74" s="50" t="s">
        <v>132</v>
      </c>
      <c r="Y74" s="50"/>
      <c r="Z74" s="51" t="s">
        <v>201</v>
      </c>
      <c r="AA74" s="51" t="s">
        <v>192</v>
      </c>
      <c r="AB74" s="51">
        <v>64862</v>
      </c>
      <c r="AC74" s="51">
        <v>77186</v>
      </c>
    </row>
    <row r="75" spans="1:29" x14ac:dyDescent="0.25">
      <c r="A75" s="25" t="s">
        <v>115</v>
      </c>
      <c r="B75" t="b">
        <v>0</v>
      </c>
      <c r="C75" s="43" t="s">
        <v>202</v>
      </c>
      <c r="D75" s="43">
        <v>168771489184</v>
      </c>
      <c r="E75" s="43">
        <v>168771486464</v>
      </c>
      <c r="F75" s="44" t="s">
        <v>125</v>
      </c>
      <c r="G75" s="44" t="b">
        <v>0</v>
      </c>
      <c r="H75" s="44" t="b">
        <v>1</v>
      </c>
      <c r="I75" s="44"/>
      <c r="J75" s="45" t="s">
        <v>202</v>
      </c>
      <c r="K75" s="46">
        <v>168771486464</v>
      </c>
      <c r="L75" s="47">
        <v>990000518</v>
      </c>
      <c r="M75" s="48" t="s">
        <v>202</v>
      </c>
      <c r="N75" s="48">
        <v>17093148613</v>
      </c>
      <c r="O75" s="48">
        <v>17093145285</v>
      </c>
      <c r="P75" s="48" t="s">
        <v>125</v>
      </c>
      <c r="Q75" s="49" t="s">
        <v>202</v>
      </c>
      <c r="R75" s="49">
        <v>17086198151</v>
      </c>
      <c r="S75" s="49">
        <v>17085068881</v>
      </c>
      <c r="T75" s="49" t="s">
        <v>125</v>
      </c>
      <c r="U75" s="50"/>
      <c r="V75" s="50"/>
      <c r="W75" s="50"/>
      <c r="X75" s="50"/>
      <c r="Y75" s="50"/>
      <c r="Z75" s="51" t="s">
        <v>202</v>
      </c>
      <c r="AA75" s="51" t="s">
        <v>189</v>
      </c>
      <c r="AB75" s="51">
        <v>30688</v>
      </c>
      <c r="AC75" s="51">
        <v>36519</v>
      </c>
    </row>
    <row r="76" spans="1:29" x14ac:dyDescent="0.25">
      <c r="A76" s="25" t="s">
        <v>115</v>
      </c>
      <c r="B76" t="b">
        <v>0</v>
      </c>
      <c r="C76" s="43" t="s">
        <v>203</v>
      </c>
      <c r="D76" s="43">
        <v>168771486624</v>
      </c>
      <c r="E76" s="43">
        <v>168771488000</v>
      </c>
      <c r="F76" s="44" t="s">
        <v>186</v>
      </c>
      <c r="G76" s="44" t="b">
        <v>0</v>
      </c>
      <c r="H76" s="44" t="b">
        <v>1</v>
      </c>
      <c r="I76" s="44"/>
      <c r="J76" s="45" t="s">
        <v>203</v>
      </c>
      <c r="K76" s="46">
        <v>168771488000</v>
      </c>
      <c r="L76" s="47">
        <v>990000519</v>
      </c>
      <c r="M76" s="48" t="s">
        <v>203</v>
      </c>
      <c r="N76" s="48">
        <v>17093146565</v>
      </c>
      <c r="O76" s="48">
        <v>17093148357</v>
      </c>
      <c r="P76" s="48" t="s">
        <v>186</v>
      </c>
      <c r="Q76" s="49" t="s">
        <v>203</v>
      </c>
      <c r="R76" s="49">
        <v>17086200199</v>
      </c>
      <c r="S76" s="49">
        <v>17085068625</v>
      </c>
      <c r="T76" s="49" t="s">
        <v>186</v>
      </c>
      <c r="U76" s="50"/>
      <c r="V76" s="50"/>
      <c r="W76" s="50"/>
      <c r="X76" s="50"/>
      <c r="Y76" s="50"/>
      <c r="Z76" s="51" t="s">
        <v>203</v>
      </c>
      <c r="AA76" s="51" t="s">
        <v>187</v>
      </c>
      <c r="AB76" s="51">
        <v>1445</v>
      </c>
      <c r="AC76" s="51">
        <v>1720</v>
      </c>
    </row>
    <row r="77" spans="1:29" x14ac:dyDescent="0.25">
      <c r="A77" s="25" t="s">
        <v>115</v>
      </c>
      <c r="B77" t="b">
        <v>0</v>
      </c>
      <c r="C77" s="43" t="s">
        <v>204</v>
      </c>
      <c r="D77" s="43">
        <v>168771488672</v>
      </c>
      <c r="E77" s="43">
        <v>168771489536</v>
      </c>
      <c r="F77" s="44" t="s">
        <v>132</v>
      </c>
      <c r="G77" s="44" t="b">
        <v>0</v>
      </c>
      <c r="H77" s="44" t="b">
        <v>1</v>
      </c>
      <c r="I77" s="44"/>
      <c r="J77" s="45" t="s">
        <v>204</v>
      </c>
      <c r="K77" s="46">
        <v>168771489536</v>
      </c>
      <c r="L77" s="47">
        <v>990000520</v>
      </c>
      <c r="M77" s="48" t="s">
        <v>204</v>
      </c>
      <c r="N77" s="48">
        <v>17093147589</v>
      </c>
      <c r="O77" s="48">
        <v>17093146053</v>
      </c>
      <c r="P77" s="48" t="s">
        <v>132</v>
      </c>
      <c r="Q77" s="49" t="s">
        <v>204</v>
      </c>
      <c r="R77" s="49">
        <v>17086199175</v>
      </c>
      <c r="S77" s="49">
        <v>17085069137</v>
      </c>
      <c r="T77" s="49" t="s">
        <v>132</v>
      </c>
      <c r="U77" s="50"/>
      <c r="V77" s="50"/>
      <c r="W77" s="50"/>
      <c r="X77" s="50"/>
      <c r="Y77" s="50"/>
      <c r="Z77" s="51" t="s">
        <v>204</v>
      </c>
      <c r="AA77" s="51" t="s">
        <v>192</v>
      </c>
      <c r="AB77" s="51">
        <v>47619</v>
      </c>
      <c r="AC77" s="51">
        <v>56667</v>
      </c>
    </row>
    <row r="78" spans="1:29" x14ac:dyDescent="0.25">
      <c r="A78" s="25" t="s">
        <v>115</v>
      </c>
      <c r="B78" t="b">
        <v>0</v>
      </c>
      <c r="C78" s="43" t="s">
        <v>205</v>
      </c>
      <c r="D78" s="43">
        <v>168771487648</v>
      </c>
      <c r="E78" s="43">
        <v>168771486848</v>
      </c>
      <c r="F78" s="44" t="s">
        <v>125</v>
      </c>
      <c r="G78" s="44" t="b">
        <v>0</v>
      </c>
      <c r="H78" s="44" t="b">
        <v>1</v>
      </c>
      <c r="I78" s="44"/>
      <c r="J78" s="45" t="s">
        <v>205</v>
      </c>
      <c r="K78" s="46">
        <v>168771486848</v>
      </c>
      <c r="L78" s="47">
        <v>990000522</v>
      </c>
      <c r="M78" s="48" t="s">
        <v>205</v>
      </c>
      <c r="N78" s="48">
        <v>17093182434</v>
      </c>
      <c r="O78" s="48">
        <v>17093183714</v>
      </c>
      <c r="P78" s="48" t="s">
        <v>125</v>
      </c>
      <c r="Q78" s="49" t="s">
        <v>205</v>
      </c>
      <c r="R78" s="49">
        <v>17086201223</v>
      </c>
      <c r="S78" s="49">
        <v>17085068497</v>
      </c>
      <c r="T78" s="49" t="s">
        <v>125</v>
      </c>
      <c r="U78" s="50"/>
      <c r="V78" s="50"/>
      <c r="W78" s="50"/>
      <c r="X78" s="50"/>
      <c r="Y78" s="50"/>
      <c r="Z78" s="51" t="s">
        <v>205</v>
      </c>
      <c r="AA78" s="51" t="s">
        <v>189</v>
      </c>
      <c r="AB78" s="51">
        <v>34040</v>
      </c>
      <c r="AC78" s="51">
        <v>40508</v>
      </c>
    </row>
    <row r="79" spans="1:29" x14ac:dyDescent="0.25">
      <c r="A79" s="25" t="s">
        <v>115</v>
      </c>
      <c r="B79" t="b">
        <v>0</v>
      </c>
      <c r="C79" s="43" t="s">
        <v>206</v>
      </c>
      <c r="D79" s="43">
        <v>168771489696</v>
      </c>
      <c r="E79" s="43">
        <v>168771488384</v>
      </c>
      <c r="F79" s="44" t="s">
        <v>186</v>
      </c>
      <c r="G79" s="44" t="b">
        <v>0</v>
      </c>
      <c r="H79" s="44" t="b">
        <v>1</v>
      </c>
      <c r="I79" s="44"/>
      <c r="J79" s="45" t="s">
        <v>206</v>
      </c>
      <c r="K79" s="46">
        <v>168771488384</v>
      </c>
      <c r="L79" s="47">
        <v>990000523</v>
      </c>
      <c r="M79" s="48" t="s">
        <v>206</v>
      </c>
      <c r="N79" s="48">
        <v>17093184994</v>
      </c>
      <c r="O79" s="48">
        <v>17093182178</v>
      </c>
      <c r="P79" s="48" t="s">
        <v>186</v>
      </c>
      <c r="Q79" s="49" t="s">
        <v>206</v>
      </c>
      <c r="R79" s="49">
        <v>17086198663</v>
      </c>
      <c r="S79" s="49">
        <v>17085069009</v>
      </c>
      <c r="T79" s="49" t="s">
        <v>186</v>
      </c>
      <c r="U79" s="50"/>
      <c r="V79" s="50"/>
      <c r="W79" s="50"/>
      <c r="X79" s="50"/>
      <c r="Y79" s="50"/>
      <c r="Z79" s="51" t="s">
        <v>206</v>
      </c>
      <c r="AA79" s="51" t="s">
        <v>187</v>
      </c>
      <c r="AB79" s="51">
        <v>1445</v>
      </c>
      <c r="AC79" s="51">
        <v>1720</v>
      </c>
    </row>
    <row r="80" spans="1:29" x14ac:dyDescent="0.25">
      <c r="A80" s="25" t="s">
        <v>115</v>
      </c>
      <c r="B80" t="b">
        <v>0</v>
      </c>
      <c r="C80" s="43" t="s">
        <v>207</v>
      </c>
      <c r="D80" s="43">
        <v>168771485792</v>
      </c>
      <c r="E80" s="43">
        <v>168771486080</v>
      </c>
      <c r="F80" s="44" t="s">
        <v>132</v>
      </c>
      <c r="G80" s="44" t="b">
        <v>0</v>
      </c>
      <c r="H80" s="44" t="b">
        <v>1</v>
      </c>
      <c r="I80" s="44"/>
      <c r="J80" s="45" t="s">
        <v>207</v>
      </c>
      <c r="K80" s="46">
        <v>168771486080</v>
      </c>
      <c r="L80" s="47">
        <v>990000521</v>
      </c>
      <c r="M80" s="48" t="s">
        <v>207</v>
      </c>
      <c r="N80" s="48">
        <v>17093182946</v>
      </c>
      <c r="O80" s="48">
        <v>17093185250</v>
      </c>
      <c r="P80" s="48" t="s">
        <v>132</v>
      </c>
      <c r="Q80" s="49" t="s">
        <v>207</v>
      </c>
      <c r="R80" s="49">
        <v>17086200711</v>
      </c>
      <c r="S80" s="49">
        <v>17085068753</v>
      </c>
      <c r="T80" s="49" t="s">
        <v>132</v>
      </c>
      <c r="U80" s="50"/>
      <c r="V80" s="50"/>
      <c r="W80" s="50"/>
      <c r="X80" s="50"/>
      <c r="Y80" s="50"/>
      <c r="Z80" s="51" t="s">
        <v>207</v>
      </c>
      <c r="AA80" s="51" t="s">
        <v>192</v>
      </c>
      <c r="AB80" s="51">
        <v>52820</v>
      </c>
      <c r="AC80" s="51">
        <v>62855</v>
      </c>
    </row>
    <row r="81" spans="1:29" x14ac:dyDescent="0.25">
      <c r="A81" s="25" t="s">
        <v>115</v>
      </c>
      <c r="B81" t="b">
        <v>0</v>
      </c>
      <c r="C81" s="43" t="s">
        <v>208</v>
      </c>
      <c r="D81" s="43">
        <v>168771487840</v>
      </c>
      <c r="E81" s="43">
        <v>168771489152</v>
      </c>
      <c r="F81" s="44" t="s">
        <v>125</v>
      </c>
      <c r="G81" s="44" t="b">
        <v>0</v>
      </c>
      <c r="H81" s="44" t="b">
        <v>1</v>
      </c>
      <c r="I81" s="44"/>
      <c r="J81" s="45" t="s">
        <v>208</v>
      </c>
      <c r="K81" s="46">
        <v>168771489152</v>
      </c>
      <c r="L81" s="47">
        <v>990000526</v>
      </c>
      <c r="M81" s="48" t="s">
        <v>208</v>
      </c>
      <c r="N81" s="48">
        <v>17093098033</v>
      </c>
      <c r="O81" s="48">
        <v>17093096913</v>
      </c>
      <c r="P81" s="48" t="s">
        <v>125</v>
      </c>
      <c r="Q81" s="49"/>
      <c r="R81" s="49"/>
      <c r="S81" s="49"/>
      <c r="T81" s="49"/>
      <c r="U81" s="50"/>
      <c r="V81" s="50"/>
      <c r="W81" s="50"/>
      <c r="X81" s="50"/>
      <c r="Y81" s="50"/>
      <c r="Z81" s="51" t="s">
        <v>208</v>
      </c>
      <c r="AA81" s="51" t="s">
        <v>189</v>
      </c>
      <c r="AB81" s="51">
        <v>39253</v>
      </c>
      <c r="AC81" s="51">
        <v>46711</v>
      </c>
    </row>
    <row r="82" spans="1:29" x14ac:dyDescent="0.25">
      <c r="A82" s="25" t="s">
        <v>115</v>
      </c>
      <c r="B82" t="b">
        <v>0</v>
      </c>
      <c r="C82" s="43" t="s">
        <v>209</v>
      </c>
      <c r="D82" s="43">
        <v>168771486816</v>
      </c>
      <c r="E82" s="43">
        <v>168771487616</v>
      </c>
      <c r="F82" s="44" t="s">
        <v>186</v>
      </c>
      <c r="G82" s="44" t="b">
        <v>0</v>
      </c>
      <c r="H82" s="44" t="b">
        <v>1</v>
      </c>
      <c r="I82" s="44"/>
      <c r="J82" s="45" t="s">
        <v>209</v>
      </c>
      <c r="K82" s="46">
        <v>168771487616</v>
      </c>
      <c r="L82" s="47">
        <v>990000524</v>
      </c>
      <c r="M82" s="48" t="s">
        <v>209</v>
      </c>
      <c r="N82" s="48">
        <v>17093095985</v>
      </c>
      <c r="O82" s="48">
        <v>17093098449</v>
      </c>
      <c r="P82" s="48" t="s">
        <v>186</v>
      </c>
      <c r="Q82" s="49" t="s">
        <v>209</v>
      </c>
      <c r="R82" s="49">
        <v>17086199687</v>
      </c>
      <c r="S82" s="49">
        <v>17085068337</v>
      </c>
      <c r="T82" s="49" t="s">
        <v>186</v>
      </c>
      <c r="U82" s="50"/>
      <c r="V82" s="50"/>
      <c r="W82" s="50"/>
      <c r="X82" s="50"/>
      <c r="Y82" s="50"/>
      <c r="Z82" s="51" t="s">
        <v>209</v>
      </c>
      <c r="AA82" s="51" t="s">
        <v>187</v>
      </c>
      <c r="AB82" s="51">
        <v>1445</v>
      </c>
      <c r="AC82" s="51">
        <v>1720</v>
      </c>
    </row>
    <row r="83" spans="1:29" x14ac:dyDescent="0.25">
      <c r="A83" s="25" t="s">
        <v>115</v>
      </c>
      <c r="B83" t="b">
        <v>0</v>
      </c>
      <c r="C83" s="43" t="s">
        <v>210</v>
      </c>
      <c r="D83" s="43">
        <v>168771488864</v>
      </c>
      <c r="E83" s="43">
        <v>168771487808</v>
      </c>
      <c r="F83" s="44" t="s">
        <v>132</v>
      </c>
      <c r="G83" s="44" t="b">
        <v>0</v>
      </c>
      <c r="H83" s="44" t="b">
        <v>1</v>
      </c>
      <c r="I83" s="44"/>
      <c r="J83" s="45" t="s">
        <v>210</v>
      </c>
      <c r="K83" s="46">
        <v>168771487808</v>
      </c>
      <c r="L83" s="47">
        <v>990000525</v>
      </c>
      <c r="M83" s="48" t="s">
        <v>210</v>
      </c>
      <c r="N83" s="48">
        <v>17093098545</v>
      </c>
      <c r="O83" s="48">
        <v>17093095473</v>
      </c>
      <c r="P83" s="48" t="s">
        <v>132</v>
      </c>
      <c r="Q83" s="49"/>
      <c r="R83" s="49"/>
      <c r="S83" s="49"/>
      <c r="T83" s="49"/>
      <c r="U83" s="50"/>
      <c r="V83" s="50"/>
      <c r="W83" s="50"/>
      <c r="X83" s="50"/>
      <c r="Y83" s="50"/>
      <c r="Z83" s="51" t="s">
        <v>210</v>
      </c>
      <c r="AA83" s="51" t="s">
        <v>192</v>
      </c>
      <c r="AB83" s="51">
        <v>60911</v>
      </c>
      <c r="AC83" s="51">
        <v>72484</v>
      </c>
    </row>
    <row r="84" spans="1:29" x14ac:dyDescent="0.25">
      <c r="A84" s="25" t="s">
        <v>115</v>
      </c>
      <c r="B84" t="b">
        <v>0</v>
      </c>
      <c r="C84" s="43" t="s">
        <v>211</v>
      </c>
      <c r="D84" s="43">
        <v>168771486304</v>
      </c>
      <c r="E84" s="43">
        <v>168771486272</v>
      </c>
      <c r="F84" s="44" t="s">
        <v>125</v>
      </c>
      <c r="G84" s="44" t="b">
        <v>0</v>
      </c>
      <c r="H84" s="44" t="b">
        <v>1</v>
      </c>
      <c r="I84" s="44"/>
      <c r="J84" s="45" t="s">
        <v>211</v>
      </c>
      <c r="K84" s="46">
        <v>168771486272</v>
      </c>
      <c r="L84" s="47">
        <v>990000527</v>
      </c>
      <c r="M84" s="48" t="s">
        <v>211</v>
      </c>
      <c r="N84" s="48">
        <v>17093098417</v>
      </c>
      <c r="O84" s="48">
        <v>17093096625</v>
      </c>
      <c r="P84" s="48" t="s">
        <v>125</v>
      </c>
      <c r="Q84" s="49" t="s">
        <v>211</v>
      </c>
      <c r="R84" s="49">
        <v>17086201735</v>
      </c>
      <c r="S84" s="49">
        <v>17085068593</v>
      </c>
      <c r="T84" s="49" t="s">
        <v>125</v>
      </c>
      <c r="U84" s="50"/>
      <c r="V84" s="50"/>
      <c r="W84" s="50"/>
      <c r="X84" s="50"/>
      <c r="Y84" s="50"/>
      <c r="Z84" s="51" t="s">
        <v>211</v>
      </c>
      <c r="AA84" s="51" t="s">
        <v>189</v>
      </c>
      <c r="AB84" s="51">
        <v>44467</v>
      </c>
      <c r="AC84" s="51">
        <v>52916</v>
      </c>
    </row>
    <row r="85" spans="1:29" x14ac:dyDescent="0.25">
      <c r="A85" s="25" t="s">
        <v>115</v>
      </c>
      <c r="B85" t="b">
        <v>0</v>
      </c>
      <c r="C85" s="43" t="s">
        <v>212</v>
      </c>
      <c r="D85" s="43">
        <v>168771488352</v>
      </c>
      <c r="E85" s="43">
        <v>168771489344</v>
      </c>
      <c r="F85" s="44" t="s">
        <v>186</v>
      </c>
      <c r="G85" s="44" t="b">
        <v>0</v>
      </c>
      <c r="H85" s="44" t="b">
        <v>1</v>
      </c>
      <c r="I85" s="44"/>
      <c r="J85" s="45" t="s">
        <v>212</v>
      </c>
      <c r="K85" s="46">
        <v>168771489344</v>
      </c>
      <c r="L85" s="47">
        <v>990000529</v>
      </c>
      <c r="M85" s="48" t="s">
        <v>212</v>
      </c>
      <c r="N85" s="48">
        <v>17093096369</v>
      </c>
      <c r="O85" s="48">
        <v>17093098161</v>
      </c>
      <c r="P85" s="48" t="s">
        <v>186</v>
      </c>
      <c r="Q85" s="49" t="s">
        <v>212</v>
      </c>
      <c r="R85" s="49">
        <v>17086197831</v>
      </c>
      <c r="S85" s="49">
        <v>17085069105</v>
      </c>
      <c r="T85" s="49" t="s">
        <v>186</v>
      </c>
      <c r="U85" s="50"/>
      <c r="V85" s="50"/>
      <c r="W85" s="50"/>
      <c r="X85" s="50"/>
      <c r="Y85" s="50"/>
      <c r="Z85" s="51" t="s">
        <v>212</v>
      </c>
      <c r="AA85" s="51" t="s">
        <v>187</v>
      </c>
      <c r="AB85" s="51">
        <v>1445</v>
      </c>
      <c r="AC85" s="51">
        <v>1720</v>
      </c>
    </row>
    <row r="86" spans="1:29" x14ac:dyDescent="0.25">
      <c r="A86" s="25" t="s">
        <v>115</v>
      </c>
      <c r="B86" t="b">
        <v>0</v>
      </c>
      <c r="C86" s="43" t="s">
        <v>213</v>
      </c>
      <c r="D86" s="43">
        <v>168771487328</v>
      </c>
      <c r="E86" s="43">
        <v>168771487040</v>
      </c>
      <c r="F86" s="44" t="s">
        <v>132</v>
      </c>
      <c r="G86" s="44" t="b">
        <v>0</v>
      </c>
      <c r="H86" s="44" t="b">
        <v>1</v>
      </c>
      <c r="I86" s="44"/>
      <c r="J86" s="45" t="s">
        <v>213</v>
      </c>
      <c r="K86" s="46">
        <v>168771487040</v>
      </c>
      <c r="L86" s="47">
        <v>990000528</v>
      </c>
      <c r="M86" s="48" t="s">
        <v>213</v>
      </c>
      <c r="N86" s="48">
        <v>17093098929</v>
      </c>
      <c r="O86" s="48">
        <v>17093095857</v>
      </c>
      <c r="P86" s="48" t="s">
        <v>132</v>
      </c>
      <c r="Q86" s="49" t="s">
        <v>213</v>
      </c>
      <c r="R86" s="49">
        <v>17086199879</v>
      </c>
      <c r="S86" s="49">
        <v>17085068465</v>
      </c>
      <c r="T86" s="49" t="s">
        <v>132</v>
      </c>
      <c r="U86" s="50"/>
      <c r="V86" s="50"/>
      <c r="W86" s="50"/>
      <c r="X86" s="50"/>
      <c r="Y86" s="50"/>
      <c r="Z86" s="51" t="s">
        <v>213</v>
      </c>
      <c r="AA86" s="51" t="s">
        <v>192</v>
      </c>
      <c r="AB86" s="51">
        <v>69001</v>
      </c>
      <c r="AC86" s="51">
        <v>82111</v>
      </c>
    </row>
    <row r="87" spans="1:29" x14ac:dyDescent="0.25">
      <c r="A87" s="25" t="s">
        <v>115</v>
      </c>
      <c r="B87" t="b">
        <v>0</v>
      </c>
      <c r="C87" s="43" t="s">
        <v>214</v>
      </c>
      <c r="D87" s="43">
        <v>168771489376</v>
      </c>
      <c r="E87" s="43">
        <v>168771488576</v>
      </c>
      <c r="F87" s="44" t="s">
        <v>125</v>
      </c>
      <c r="G87" s="44" t="b">
        <v>0</v>
      </c>
      <c r="H87" s="44" t="b">
        <v>1</v>
      </c>
      <c r="I87" s="44"/>
      <c r="J87" s="45" t="s">
        <v>214</v>
      </c>
      <c r="K87" s="46">
        <v>168771488576</v>
      </c>
      <c r="L87" s="47">
        <v>990000534</v>
      </c>
      <c r="M87" s="48" t="s">
        <v>214</v>
      </c>
      <c r="N87" s="48">
        <v>17093146726</v>
      </c>
      <c r="O87" s="48">
        <v>17093146278</v>
      </c>
      <c r="P87" s="48" t="s">
        <v>125</v>
      </c>
      <c r="Q87" s="49" t="s">
        <v>214</v>
      </c>
      <c r="R87" s="49">
        <v>17086200391</v>
      </c>
      <c r="S87" s="49">
        <v>17085068977</v>
      </c>
      <c r="T87" s="49" t="s">
        <v>125</v>
      </c>
      <c r="U87" s="50"/>
      <c r="V87" s="50"/>
      <c r="W87" s="50"/>
      <c r="X87" s="50"/>
      <c r="Y87" s="50"/>
      <c r="Z87" s="51" t="s">
        <v>214</v>
      </c>
      <c r="AA87" s="51" t="s">
        <v>189</v>
      </c>
      <c r="AB87" s="51">
        <v>44771</v>
      </c>
      <c r="AC87" s="51">
        <v>53277</v>
      </c>
    </row>
    <row r="88" spans="1:29" x14ac:dyDescent="0.25">
      <c r="A88" s="25" t="s">
        <v>115</v>
      </c>
      <c r="B88" t="b">
        <v>0</v>
      </c>
      <c r="C88" s="43" t="s">
        <v>215</v>
      </c>
      <c r="D88" s="43">
        <v>168771486048</v>
      </c>
      <c r="E88" s="43">
        <v>168771488960</v>
      </c>
      <c r="F88" s="44" t="s">
        <v>132</v>
      </c>
      <c r="G88" s="44" t="b">
        <v>0</v>
      </c>
      <c r="H88" s="44" t="b">
        <v>1</v>
      </c>
      <c r="I88" s="44"/>
      <c r="J88" s="45" t="s">
        <v>215</v>
      </c>
      <c r="K88" s="46">
        <v>168771488960</v>
      </c>
      <c r="L88" s="47">
        <v>990000535</v>
      </c>
      <c r="M88" s="48" t="s">
        <v>215</v>
      </c>
      <c r="N88" s="48">
        <v>17093148582</v>
      </c>
      <c r="O88" s="48">
        <v>17093145510</v>
      </c>
      <c r="P88" s="48" t="s">
        <v>132</v>
      </c>
      <c r="Q88" s="49" t="s">
        <v>215</v>
      </c>
      <c r="R88" s="49">
        <v>17086201415</v>
      </c>
      <c r="S88" s="49">
        <v>17085069233</v>
      </c>
      <c r="T88" s="49" t="s">
        <v>132</v>
      </c>
      <c r="U88" s="50"/>
      <c r="V88" s="50"/>
      <c r="W88" s="50"/>
      <c r="X88" s="50"/>
      <c r="Y88" s="50"/>
      <c r="Z88" s="51" t="s">
        <v>215</v>
      </c>
      <c r="AA88" s="51" t="s">
        <v>192</v>
      </c>
      <c r="AB88" s="51">
        <v>69472</v>
      </c>
      <c r="AC88" s="51">
        <v>82672</v>
      </c>
    </row>
    <row r="89" spans="1:29" x14ac:dyDescent="0.25">
      <c r="A89" s="25" t="s">
        <v>115</v>
      </c>
      <c r="B89" t="b">
        <v>0</v>
      </c>
      <c r="C89" s="43" t="s">
        <v>216</v>
      </c>
      <c r="D89" s="43">
        <v>168771488096</v>
      </c>
      <c r="E89" s="43">
        <v>168771485888</v>
      </c>
      <c r="F89" s="44" t="s">
        <v>186</v>
      </c>
      <c r="G89" s="44" t="b">
        <v>0</v>
      </c>
      <c r="H89" s="44" t="b">
        <v>1</v>
      </c>
      <c r="I89" s="44"/>
      <c r="J89" s="45" t="s">
        <v>216</v>
      </c>
      <c r="K89" s="46">
        <v>168771485888</v>
      </c>
      <c r="L89" s="47">
        <v>990000533</v>
      </c>
      <c r="M89" s="48" t="s">
        <v>216</v>
      </c>
      <c r="N89" s="48">
        <v>17093144678</v>
      </c>
      <c r="O89" s="48">
        <v>17093147046</v>
      </c>
      <c r="P89" s="48" t="s">
        <v>186</v>
      </c>
      <c r="Q89" s="49" t="s">
        <v>216</v>
      </c>
      <c r="R89" s="49">
        <v>17086199367</v>
      </c>
      <c r="S89" s="49">
        <v>17085068721</v>
      </c>
      <c r="T89" s="49" t="s">
        <v>186</v>
      </c>
      <c r="U89" s="50"/>
      <c r="V89" s="50"/>
      <c r="W89" s="50"/>
      <c r="X89" s="50"/>
      <c r="Y89" s="50"/>
      <c r="Z89" s="51" t="s">
        <v>216</v>
      </c>
      <c r="AA89" s="51" t="s">
        <v>187</v>
      </c>
      <c r="AB89" s="51">
        <v>1332</v>
      </c>
      <c r="AC89" s="51">
        <v>1585</v>
      </c>
    </row>
    <row r="90" spans="1:29" x14ac:dyDescent="0.25">
      <c r="A90" s="25" t="s">
        <v>115</v>
      </c>
      <c r="B90" t="b">
        <v>0</v>
      </c>
      <c r="C90" s="43" t="s">
        <v>217</v>
      </c>
      <c r="D90" s="43">
        <v>206588231954</v>
      </c>
      <c r="E90" s="43">
        <v>206588234258</v>
      </c>
      <c r="F90" s="44" t="s">
        <v>125</v>
      </c>
      <c r="G90" s="44" t="b">
        <v>1</v>
      </c>
      <c r="H90" s="44" t="b">
        <v>0</v>
      </c>
      <c r="I90" s="44" t="s">
        <v>126</v>
      </c>
      <c r="M90" s="48" t="s">
        <v>217</v>
      </c>
      <c r="N90" s="48">
        <v>17093564202</v>
      </c>
      <c r="O90" s="48">
        <v>17092815004</v>
      </c>
      <c r="P90" s="48" t="s">
        <v>125</v>
      </c>
      <c r="Q90" s="49" t="s">
        <v>217</v>
      </c>
      <c r="R90" s="49">
        <v>17084167929</v>
      </c>
      <c r="S90" s="49">
        <v>17084169465</v>
      </c>
      <c r="T90" s="49" t="s">
        <v>125</v>
      </c>
      <c r="U90" s="50" t="s">
        <v>217</v>
      </c>
      <c r="V90" s="50">
        <v>17084355737</v>
      </c>
      <c r="W90" s="50">
        <v>17084358425</v>
      </c>
      <c r="X90" s="50" t="s">
        <v>125</v>
      </c>
      <c r="Y90" s="50">
        <v>120386</v>
      </c>
    </row>
    <row r="91" spans="1:29" x14ac:dyDescent="0.25">
      <c r="A91" s="25" t="b">
        <v>1</v>
      </c>
      <c r="B91" t="b">
        <v>0</v>
      </c>
      <c r="C91" s="43" t="s">
        <v>218</v>
      </c>
      <c r="D91" s="43">
        <v>317783658186</v>
      </c>
      <c r="E91" s="43">
        <v>317783662002</v>
      </c>
      <c r="F91" s="44" t="s">
        <v>219</v>
      </c>
      <c r="G91" s="44" t="b">
        <v>0</v>
      </c>
      <c r="H91" s="44" t="b">
        <v>0</v>
      </c>
      <c r="I91" s="44"/>
      <c r="J91" s="45" t="s">
        <v>218</v>
      </c>
      <c r="K91" s="46">
        <v>317783662002</v>
      </c>
      <c r="L91" s="47">
        <v>990000611</v>
      </c>
      <c r="M91" s="48" t="s">
        <v>218</v>
      </c>
      <c r="N91" s="48">
        <v>17095719415</v>
      </c>
      <c r="O91" s="48">
        <v>17095719879</v>
      </c>
      <c r="P91" s="48" t="s">
        <v>219</v>
      </c>
      <c r="Q91" s="49" t="s">
        <v>218</v>
      </c>
      <c r="R91" s="49">
        <v>17084644813</v>
      </c>
      <c r="S91" s="49">
        <v>17084644716</v>
      </c>
      <c r="T91" s="49" t="s">
        <v>219</v>
      </c>
      <c r="U91" s="50" t="s">
        <v>218</v>
      </c>
      <c r="V91" s="50">
        <v>17085306260</v>
      </c>
      <c r="W91" s="50">
        <v>17085303926</v>
      </c>
      <c r="X91" s="50" t="s">
        <v>219</v>
      </c>
      <c r="Y91" s="50"/>
    </row>
    <row r="92" spans="1:29" x14ac:dyDescent="0.25">
      <c r="A92" s="25" t="b">
        <v>1</v>
      </c>
      <c r="B92" t="b">
        <v>0</v>
      </c>
      <c r="C92" s="43" t="s">
        <v>220</v>
      </c>
      <c r="D92" s="43">
        <v>67111533162</v>
      </c>
      <c r="E92" s="43">
        <v>67111531626</v>
      </c>
      <c r="F92" s="44" t="s">
        <v>173</v>
      </c>
      <c r="G92" s="44" t="b">
        <v>0</v>
      </c>
      <c r="H92" s="44" t="b">
        <v>1</v>
      </c>
      <c r="I92" s="44"/>
      <c r="J92" s="45" t="s">
        <v>221</v>
      </c>
      <c r="K92" s="46">
        <v>67111531626</v>
      </c>
      <c r="L92" s="47">
        <v>990000562</v>
      </c>
      <c r="M92" s="48" t="s">
        <v>220</v>
      </c>
      <c r="N92" s="48">
        <v>17091412276</v>
      </c>
      <c r="O92" s="48">
        <v>17090417487</v>
      </c>
      <c r="P92" s="48" t="s">
        <v>173</v>
      </c>
      <c r="Q92" s="49" t="s">
        <v>220</v>
      </c>
      <c r="R92" s="49">
        <v>17086157894</v>
      </c>
      <c r="S92" s="49">
        <v>17083658503</v>
      </c>
      <c r="T92" s="49" t="s">
        <v>173</v>
      </c>
      <c r="U92" s="50" t="s">
        <v>220</v>
      </c>
      <c r="V92" s="50">
        <v>17102548749</v>
      </c>
      <c r="W92" s="50">
        <v>17083658503</v>
      </c>
      <c r="X92" s="50" t="s">
        <v>173</v>
      </c>
      <c r="Y92" s="50"/>
      <c r="Z92" s="51" t="s">
        <v>222</v>
      </c>
      <c r="AA92" s="51" t="s">
        <v>223</v>
      </c>
      <c r="AB92" s="51">
        <v>8414</v>
      </c>
      <c r="AC92" s="51" t="s">
        <v>224</v>
      </c>
    </row>
    <row r="93" spans="1:29" x14ac:dyDescent="0.25">
      <c r="A93" s="25" t="b">
        <v>1</v>
      </c>
      <c r="B93" t="b">
        <v>0</v>
      </c>
      <c r="C93" s="43" t="s">
        <v>225</v>
      </c>
      <c r="D93" s="43">
        <v>67111532138</v>
      </c>
      <c r="E93" s="43">
        <v>67111531434</v>
      </c>
      <c r="F93" s="44" t="s">
        <v>173</v>
      </c>
      <c r="G93" s="44" t="b">
        <v>0</v>
      </c>
      <c r="H93" s="44" t="b">
        <v>1</v>
      </c>
      <c r="I93" s="44"/>
      <c r="J93" s="45" t="s">
        <v>226</v>
      </c>
      <c r="K93" s="46">
        <v>67111531434</v>
      </c>
      <c r="L93" s="47">
        <v>990000549</v>
      </c>
      <c r="M93" s="48" t="s">
        <v>225</v>
      </c>
      <c r="N93" s="48">
        <v>17090418087</v>
      </c>
      <c r="O93" s="48">
        <v>17090419655</v>
      </c>
      <c r="P93" s="48" t="s">
        <v>173</v>
      </c>
      <c r="Q93" s="49" t="s">
        <v>225</v>
      </c>
      <c r="R93" s="49">
        <v>17083665307</v>
      </c>
      <c r="S93" s="49">
        <v>17083662363</v>
      </c>
      <c r="T93" s="49" t="s">
        <v>173</v>
      </c>
      <c r="U93" s="50" t="s">
        <v>225</v>
      </c>
      <c r="V93" s="50">
        <v>17083665307</v>
      </c>
      <c r="W93" s="50">
        <v>17083662363</v>
      </c>
      <c r="X93" s="50" t="s">
        <v>173</v>
      </c>
      <c r="Y93" s="50"/>
      <c r="Z93" s="51" t="s">
        <v>227</v>
      </c>
      <c r="AA93" s="51" t="s">
        <v>223</v>
      </c>
      <c r="AB93" s="51">
        <v>5784</v>
      </c>
      <c r="AC93" s="51" t="s">
        <v>228</v>
      </c>
    </row>
    <row r="94" spans="1:29" x14ac:dyDescent="0.25">
      <c r="A94" s="25" t="b">
        <v>1</v>
      </c>
      <c r="B94" t="b">
        <v>0</v>
      </c>
      <c r="C94" s="43" t="s">
        <v>229</v>
      </c>
      <c r="D94" s="43">
        <v>67111534186</v>
      </c>
      <c r="E94" s="43">
        <v>67111534506</v>
      </c>
      <c r="F94" s="44" t="s">
        <v>173</v>
      </c>
      <c r="G94" s="44" t="b">
        <v>0</v>
      </c>
      <c r="H94" s="44" t="b">
        <v>1</v>
      </c>
      <c r="I94" s="44"/>
      <c r="J94" s="45" t="s">
        <v>230</v>
      </c>
      <c r="K94" s="46">
        <v>67111534506</v>
      </c>
      <c r="M94" s="48" t="s">
        <v>229</v>
      </c>
      <c r="N94" s="48">
        <v>17090420135</v>
      </c>
      <c r="O94" s="48">
        <v>17090416679</v>
      </c>
      <c r="P94" s="48" t="s">
        <v>173</v>
      </c>
      <c r="Q94" s="49" t="s">
        <v>229</v>
      </c>
      <c r="R94" s="49">
        <v>17083664283</v>
      </c>
      <c r="S94" s="49">
        <v>17083665435</v>
      </c>
      <c r="T94" s="49" t="s">
        <v>173</v>
      </c>
      <c r="U94" s="50" t="s">
        <v>229</v>
      </c>
      <c r="V94" s="50">
        <v>17083664283</v>
      </c>
      <c r="W94" s="50">
        <v>17083665435</v>
      </c>
      <c r="X94" s="50" t="s">
        <v>173</v>
      </c>
      <c r="Y94" s="50"/>
      <c r="Z94" s="51" t="s">
        <v>231</v>
      </c>
      <c r="AA94" s="51" t="s">
        <v>223</v>
      </c>
      <c r="AB94" s="51">
        <v>8414</v>
      </c>
      <c r="AC94" s="51" t="s">
        <v>224</v>
      </c>
    </row>
    <row r="95" spans="1:29" x14ac:dyDescent="0.25">
      <c r="A95" s="25" t="s">
        <v>115</v>
      </c>
      <c r="B95" t="b">
        <v>0</v>
      </c>
      <c r="C95" s="43" t="s">
        <v>232</v>
      </c>
      <c r="D95" s="43">
        <v>367988472380</v>
      </c>
      <c r="E95" s="43">
        <v>367988470748</v>
      </c>
      <c r="F95" s="44" t="s">
        <v>186</v>
      </c>
      <c r="G95" s="44" t="b">
        <v>0</v>
      </c>
      <c r="H95" s="44" t="b">
        <v>0</v>
      </c>
      <c r="I95" s="44"/>
      <c r="J95" s="45" t="s">
        <v>232</v>
      </c>
      <c r="K95" s="46">
        <v>367988470748</v>
      </c>
      <c r="L95" s="47">
        <v>990000210</v>
      </c>
      <c r="M95" s="48" t="s">
        <v>232</v>
      </c>
      <c r="N95" s="48">
        <v>17101907255</v>
      </c>
      <c r="O95" s="48">
        <v>17101913447</v>
      </c>
      <c r="P95" s="48" t="s">
        <v>186</v>
      </c>
      <c r="Q95" s="49" t="s">
        <v>232</v>
      </c>
      <c r="R95" s="49">
        <v>17086104591</v>
      </c>
      <c r="S95" s="49">
        <v>17086106103</v>
      </c>
      <c r="T95" s="49" t="s">
        <v>186</v>
      </c>
      <c r="U95" s="50" t="s">
        <v>232</v>
      </c>
      <c r="V95" s="50">
        <v>17088897334</v>
      </c>
      <c r="W95" s="50">
        <v>17088901078</v>
      </c>
      <c r="X95" s="50" t="s">
        <v>186</v>
      </c>
      <c r="Y95" s="50"/>
    </row>
    <row r="96" spans="1:29" x14ac:dyDescent="0.25">
      <c r="A96" s="25" t="s">
        <v>115</v>
      </c>
      <c r="B96" t="b">
        <v>1</v>
      </c>
      <c r="C96" s="43" t="s">
        <v>233</v>
      </c>
      <c r="D96" s="43">
        <v>367988471356</v>
      </c>
      <c r="E96" s="43">
        <v>367988473820</v>
      </c>
      <c r="F96" s="44" t="s">
        <v>186</v>
      </c>
      <c r="G96" s="44" t="b">
        <v>0</v>
      </c>
      <c r="H96" s="44" t="b">
        <v>0</v>
      </c>
      <c r="I96" s="44"/>
      <c r="J96" s="45" t="s">
        <v>233</v>
      </c>
      <c r="K96" s="46">
        <v>367988473820</v>
      </c>
      <c r="L96" s="47">
        <v>990000213</v>
      </c>
      <c r="M96" s="48" t="s">
        <v>233</v>
      </c>
      <c r="N96" s="48">
        <v>17102218085</v>
      </c>
      <c r="O96" s="48">
        <v>17102218853</v>
      </c>
      <c r="P96" s="48" t="s">
        <v>186</v>
      </c>
      <c r="Q96" s="49" t="s">
        <v>233</v>
      </c>
      <c r="R96" s="49">
        <v>17086106639</v>
      </c>
      <c r="S96" s="49">
        <v>17086104567</v>
      </c>
      <c r="T96" s="49" t="s">
        <v>186</v>
      </c>
      <c r="U96" s="50" t="s">
        <v>233</v>
      </c>
      <c r="V96" s="50">
        <v>17088899382</v>
      </c>
      <c r="W96" s="50">
        <v>17088898102</v>
      </c>
      <c r="X96" s="50" t="s">
        <v>186</v>
      </c>
      <c r="Y96" s="50"/>
    </row>
    <row r="97" spans="1:25" x14ac:dyDescent="0.25">
      <c r="A97" s="25" t="s">
        <v>115</v>
      </c>
      <c r="B97" t="b">
        <v>1</v>
      </c>
      <c r="C97" s="43" t="s">
        <v>234</v>
      </c>
      <c r="D97" s="43">
        <v>367988473404</v>
      </c>
      <c r="E97" s="43">
        <v>367988470844</v>
      </c>
      <c r="F97" s="44" t="s">
        <v>186</v>
      </c>
      <c r="G97" s="44" t="b">
        <v>0</v>
      </c>
      <c r="H97" s="44" t="b">
        <v>0</v>
      </c>
      <c r="I97" s="44"/>
      <c r="J97" s="45" t="s">
        <v>234</v>
      </c>
      <c r="K97" s="46">
        <v>367988470844</v>
      </c>
      <c r="L97" s="47">
        <v>990000216</v>
      </c>
      <c r="M97" s="48" t="s">
        <v>234</v>
      </c>
      <c r="N97" s="48">
        <v>17101917893</v>
      </c>
      <c r="O97" s="48">
        <v>17101918021</v>
      </c>
      <c r="P97" s="48" t="s">
        <v>186</v>
      </c>
      <c r="Q97" s="49" t="s">
        <v>234</v>
      </c>
      <c r="R97" s="49">
        <v>17086104079</v>
      </c>
      <c r="S97" s="49">
        <v>17086107639</v>
      </c>
      <c r="T97" s="49" t="s">
        <v>186</v>
      </c>
      <c r="U97" s="50" t="s">
        <v>234</v>
      </c>
      <c r="V97" s="50">
        <v>17088898358</v>
      </c>
      <c r="W97" s="50">
        <v>17088899638</v>
      </c>
      <c r="X97" s="50" t="s">
        <v>186</v>
      </c>
      <c r="Y97" s="50"/>
    </row>
    <row r="98" spans="1:25" x14ac:dyDescent="0.25">
      <c r="A98" s="25" t="s">
        <v>115</v>
      </c>
      <c r="B98" t="b">
        <v>0</v>
      </c>
      <c r="C98" s="43" t="s">
        <v>235</v>
      </c>
      <c r="D98" s="43">
        <v>367988470076</v>
      </c>
      <c r="E98" s="43">
        <v>367988473052</v>
      </c>
      <c r="F98" s="44" t="s">
        <v>132</v>
      </c>
      <c r="G98" s="44" t="b">
        <v>0</v>
      </c>
      <c r="H98" s="44" t="b">
        <v>0</v>
      </c>
      <c r="I98" s="44"/>
      <c r="J98" s="45" t="s">
        <v>235</v>
      </c>
      <c r="K98" s="46">
        <v>367988473052</v>
      </c>
      <c r="L98" s="47">
        <v>990000211</v>
      </c>
      <c r="M98" s="48" t="s">
        <v>235</v>
      </c>
      <c r="N98" s="48">
        <v>17101908279</v>
      </c>
      <c r="O98" s="48">
        <v>17101911911</v>
      </c>
      <c r="P98" s="48" t="s">
        <v>132</v>
      </c>
      <c r="Q98" s="49" t="s">
        <v>235</v>
      </c>
      <c r="R98" s="49">
        <v>17086106127</v>
      </c>
      <c r="S98" s="49">
        <v>17086103799</v>
      </c>
      <c r="T98" s="49" t="s">
        <v>132</v>
      </c>
      <c r="U98" s="50" t="s">
        <v>235</v>
      </c>
      <c r="V98" s="50">
        <v>17088900406</v>
      </c>
      <c r="W98" s="50">
        <v>17088898774</v>
      </c>
      <c r="X98" s="50" t="s">
        <v>132</v>
      </c>
      <c r="Y98" s="50"/>
    </row>
    <row r="99" spans="1:25" x14ac:dyDescent="0.25">
      <c r="A99" s="25" t="s">
        <v>115</v>
      </c>
      <c r="B99" t="b">
        <v>1</v>
      </c>
      <c r="C99" s="43" t="s">
        <v>236</v>
      </c>
      <c r="D99" s="43">
        <v>367988472124</v>
      </c>
      <c r="E99" s="43">
        <v>367988471516</v>
      </c>
      <c r="F99" s="44" t="s">
        <v>132</v>
      </c>
      <c r="G99" s="44" t="b">
        <v>0</v>
      </c>
      <c r="H99" s="44" t="b">
        <v>0</v>
      </c>
      <c r="I99" s="44"/>
      <c r="J99" s="45" t="s">
        <v>236</v>
      </c>
      <c r="K99" s="46">
        <v>367988471516</v>
      </c>
      <c r="L99" s="47">
        <v>990000214</v>
      </c>
      <c r="M99" s="48" t="s">
        <v>236</v>
      </c>
      <c r="N99" s="48">
        <v>17102220133</v>
      </c>
      <c r="O99" s="48">
        <v>17102220389</v>
      </c>
      <c r="P99" s="48" t="s">
        <v>132</v>
      </c>
      <c r="Q99" s="49" t="s">
        <v>236</v>
      </c>
      <c r="R99" s="49">
        <v>17086105103</v>
      </c>
      <c r="S99" s="49">
        <v>17086106871</v>
      </c>
      <c r="T99" s="49" t="s">
        <v>132</v>
      </c>
      <c r="U99" s="50" t="s">
        <v>236</v>
      </c>
      <c r="V99" s="50">
        <v>17088897846</v>
      </c>
      <c r="W99" s="50">
        <v>17088899542</v>
      </c>
      <c r="X99" s="50" t="s">
        <v>132</v>
      </c>
      <c r="Y99" s="50"/>
    </row>
    <row r="100" spans="1:25" x14ac:dyDescent="0.25">
      <c r="A100" s="25" t="s">
        <v>115</v>
      </c>
      <c r="B100" t="b">
        <v>1</v>
      </c>
      <c r="C100" s="43" t="s">
        <v>237</v>
      </c>
      <c r="D100" s="43">
        <v>367988471100</v>
      </c>
      <c r="E100" s="43">
        <v>367988472284</v>
      </c>
      <c r="F100" s="44" t="s">
        <v>132</v>
      </c>
      <c r="G100" s="44" t="b">
        <v>0</v>
      </c>
      <c r="H100" s="44" t="b">
        <v>0</v>
      </c>
      <c r="I100" s="44"/>
      <c r="J100" s="45" t="s">
        <v>237</v>
      </c>
      <c r="K100" s="46">
        <v>367988472284</v>
      </c>
      <c r="L100" s="47">
        <v>990000217</v>
      </c>
      <c r="M100" s="48" t="s">
        <v>237</v>
      </c>
      <c r="N100" s="48">
        <v>17101916869</v>
      </c>
      <c r="O100" s="48">
        <v>17101916485</v>
      </c>
      <c r="P100" s="48" t="s">
        <v>132</v>
      </c>
      <c r="Q100" s="49" t="s">
        <v>237</v>
      </c>
      <c r="R100" s="49">
        <v>17086107151</v>
      </c>
      <c r="S100" s="49">
        <v>17086105335</v>
      </c>
      <c r="T100" s="49" t="s">
        <v>132</v>
      </c>
      <c r="U100" s="50" t="s">
        <v>237</v>
      </c>
      <c r="V100" s="50">
        <v>17088899894</v>
      </c>
      <c r="W100" s="50">
        <v>17088898006</v>
      </c>
      <c r="X100" s="50" t="s">
        <v>132</v>
      </c>
      <c r="Y100" s="50"/>
    </row>
    <row r="101" spans="1:25" x14ac:dyDescent="0.25">
      <c r="A101" s="25" t="s">
        <v>115</v>
      </c>
      <c r="B101" t="b">
        <v>0</v>
      </c>
      <c r="C101" s="43" t="s">
        <v>238</v>
      </c>
      <c r="D101" s="43">
        <v>367988473148</v>
      </c>
      <c r="E101" s="43">
        <v>367988471132</v>
      </c>
      <c r="F101" s="44" t="s">
        <v>125</v>
      </c>
      <c r="G101" s="44" t="b">
        <v>1</v>
      </c>
      <c r="H101" s="44" t="b">
        <v>0</v>
      </c>
      <c r="I101" s="44" t="s">
        <v>126</v>
      </c>
      <c r="J101" s="45" t="s">
        <v>239</v>
      </c>
      <c r="K101" s="46">
        <v>367988471132</v>
      </c>
      <c r="L101" s="47">
        <v>990000209</v>
      </c>
      <c r="M101" s="48" t="s">
        <v>238</v>
      </c>
      <c r="N101" s="48">
        <v>17101909303</v>
      </c>
      <c r="O101" s="48">
        <v>17101910375</v>
      </c>
      <c r="P101" s="48" t="s">
        <v>125</v>
      </c>
      <c r="Q101" s="49" t="s">
        <v>238</v>
      </c>
      <c r="R101" s="49">
        <v>17086103823</v>
      </c>
      <c r="S101" s="49">
        <v>17086107255</v>
      </c>
      <c r="T101" s="49" t="s">
        <v>125</v>
      </c>
      <c r="U101" s="50" t="s">
        <v>238</v>
      </c>
      <c r="V101" s="50">
        <v>17088898870</v>
      </c>
      <c r="W101" s="50">
        <v>17088899926</v>
      </c>
      <c r="X101" s="50" t="s">
        <v>125</v>
      </c>
      <c r="Y101" s="50">
        <v>120387</v>
      </c>
    </row>
    <row r="102" spans="1:25" x14ac:dyDescent="0.25">
      <c r="A102" s="25" t="s">
        <v>115</v>
      </c>
      <c r="B102" t="b">
        <v>1</v>
      </c>
      <c r="C102" s="43" t="s">
        <v>240</v>
      </c>
      <c r="D102" s="43">
        <v>367988470588</v>
      </c>
      <c r="E102" s="43">
        <v>367988472668</v>
      </c>
      <c r="F102" s="44" t="s">
        <v>125</v>
      </c>
      <c r="G102" s="44" t="b">
        <v>1</v>
      </c>
      <c r="H102" s="44" t="b">
        <v>0</v>
      </c>
      <c r="I102" s="44" t="s">
        <v>126</v>
      </c>
      <c r="J102" s="45" t="s">
        <v>241</v>
      </c>
      <c r="K102" s="46">
        <v>367988472668</v>
      </c>
      <c r="L102" s="47">
        <v>990000212</v>
      </c>
      <c r="M102" s="48" t="s">
        <v>240</v>
      </c>
      <c r="N102" s="48">
        <v>17102219109</v>
      </c>
      <c r="O102" s="48">
        <v>17102219621</v>
      </c>
      <c r="P102" s="48" t="s">
        <v>125</v>
      </c>
      <c r="Q102" s="49" t="s">
        <v>240</v>
      </c>
      <c r="R102" s="49">
        <v>17086105871</v>
      </c>
      <c r="S102" s="49">
        <v>17086104951</v>
      </c>
      <c r="T102" s="49" t="s">
        <v>125</v>
      </c>
      <c r="U102" s="50" t="s">
        <v>240</v>
      </c>
      <c r="V102" s="50">
        <v>17088900918</v>
      </c>
      <c r="W102" s="50">
        <v>17088897238</v>
      </c>
      <c r="X102" s="50" t="s">
        <v>125</v>
      </c>
      <c r="Y102" s="50">
        <v>120388</v>
      </c>
    </row>
    <row r="103" spans="1:25" x14ac:dyDescent="0.25">
      <c r="A103" s="25" t="s">
        <v>115</v>
      </c>
      <c r="B103" t="b">
        <v>1</v>
      </c>
      <c r="C103" s="34" t="s">
        <v>242</v>
      </c>
      <c r="D103" s="43">
        <v>367988472636</v>
      </c>
      <c r="E103" s="43">
        <v>367988469980</v>
      </c>
      <c r="F103" s="44" t="s">
        <v>125</v>
      </c>
      <c r="G103" s="44" t="b">
        <v>1</v>
      </c>
      <c r="H103" s="44" t="b">
        <v>0</v>
      </c>
      <c r="I103" s="44" t="s">
        <v>126</v>
      </c>
      <c r="J103" s="45" t="s">
        <v>243</v>
      </c>
      <c r="K103" s="46">
        <v>367988469980</v>
      </c>
      <c r="L103" s="47">
        <v>990000215</v>
      </c>
      <c r="M103" s="48" t="s">
        <v>242</v>
      </c>
      <c r="N103" s="48">
        <v>17101917381</v>
      </c>
      <c r="O103" s="48">
        <v>17101917253</v>
      </c>
      <c r="P103" s="48" t="s">
        <v>125</v>
      </c>
      <c r="Q103" s="49" t="s">
        <v>242</v>
      </c>
      <c r="R103" s="49">
        <v>17086104847</v>
      </c>
      <c r="S103" s="49">
        <v>17086106487</v>
      </c>
      <c r="T103" s="49" t="s">
        <v>125</v>
      </c>
      <c r="U103" s="50" t="s">
        <v>242</v>
      </c>
      <c r="V103" s="50">
        <v>17088897206</v>
      </c>
      <c r="W103" s="50">
        <v>17088900310</v>
      </c>
      <c r="X103" s="50" t="s">
        <v>125</v>
      </c>
      <c r="Y103" s="50">
        <v>120514</v>
      </c>
    </row>
    <row r="104" spans="1:25" x14ac:dyDescent="0.25">
      <c r="A104" s="25" t="s">
        <v>115</v>
      </c>
      <c r="B104" t="b">
        <v>0</v>
      </c>
      <c r="C104" s="43" t="s">
        <v>244</v>
      </c>
      <c r="D104" s="43">
        <v>319808</v>
      </c>
      <c r="E104" s="43">
        <v>302946</v>
      </c>
      <c r="F104" s="44" t="s">
        <v>125</v>
      </c>
      <c r="G104" s="44" t="b">
        <v>0</v>
      </c>
      <c r="H104" s="44" t="b">
        <v>0</v>
      </c>
      <c r="I104" s="44"/>
      <c r="M104" s="48" t="s">
        <v>244</v>
      </c>
      <c r="N104" s="48">
        <v>17088571890</v>
      </c>
      <c r="O104" s="48">
        <v>17088568693</v>
      </c>
      <c r="P104" s="48" t="s">
        <v>125</v>
      </c>
      <c r="Q104" s="49" t="s">
        <v>244</v>
      </c>
      <c r="R104" s="49">
        <v>17083128094</v>
      </c>
      <c r="S104" s="49">
        <v>17083121995</v>
      </c>
      <c r="T104" s="49" t="s">
        <v>125</v>
      </c>
      <c r="U104" s="50" t="s">
        <v>244</v>
      </c>
      <c r="V104" s="50">
        <v>17083128094</v>
      </c>
      <c r="W104" s="50">
        <v>17083121995</v>
      </c>
      <c r="X104" s="50" t="s">
        <v>125</v>
      </c>
      <c r="Y104" s="50"/>
    </row>
    <row r="105" spans="1:25" x14ac:dyDescent="0.25">
      <c r="A105" s="25" t="s">
        <v>115</v>
      </c>
      <c r="B105" t="b">
        <v>0</v>
      </c>
      <c r="C105" s="43" t="s">
        <v>245</v>
      </c>
      <c r="D105" s="43">
        <v>321856</v>
      </c>
      <c r="E105" s="43">
        <v>301090</v>
      </c>
      <c r="F105" s="44" t="s">
        <v>132</v>
      </c>
      <c r="G105" s="44" t="b">
        <v>0</v>
      </c>
      <c r="H105" s="44" t="b">
        <v>0</v>
      </c>
      <c r="I105" s="44"/>
      <c r="M105" s="48" t="s">
        <v>245</v>
      </c>
      <c r="N105" s="48">
        <v>17088569842</v>
      </c>
      <c r="O105" s="48">
        <v>17088569333</v>
      </c>
      <c r="P105" s="48" t="s">
        <v>132</v>
      </c>
      <c r="Q105" s="49" t="s">
        <v>245</v>
      </c>
      <c r="R105" s="49">
        <v>17083126046</v>
      </c>
      <c r="S105" s="49">
        <v>17083122635</v>
      </c>
      <c r="T105" s="49" t="s">
        <v>132</v>
      </c>
      <c r="U105" s="50" t="s">
        <v>245</v>
      </c>
      <c r="V105" s="50">
        <v>17083126046</v>
      </c>
      <c r="W105" s="50">
        <v>17083122635</v>
      </c>
      <c r="X105" s="50" t="s">
        <v>132</v>
      </c>
      <c r="Y105" s="50"/>
    </row>
    <row r="106" spans="1:25" x14ac:dyDescent="0.25">
      <c r="A106" s="25" t="s">
        <v>115</v>
      </c>
      <c r="B106" t="b">
        <v>0</v>
      </c>
      <c r="C106" s="43" t="s">
        <v>246</v>
      </c>
      <c r="D106" s="43">
        <v>320832</v>
      </c>
      <c r="E106" s="43">
        <v>300954</v>
      </c>
      <c r="F106" s="44" t="s">
        <v>132</v>
      </c>
      <c r="G106" s="44" t="b">
        <v>0</v>
      </c>
      <c r="H106" s="44" t="b">
        <v>0</v>
      </c>
      <c r="I106" s="44"/>
      <c r="M106" s="48" t="s">
        <v>246</v>
      </c>
      <c r="N106" s="48">
        <v>17088571932</v>
      </c>
      <c r="O106" s="48">
        <v>17088569046</v>
      </c>
      <c r="P106" s="48" t="s">
        <v>132</v>
      </c>
      <c r="Q106" s="49" t="s">
        <v>246</v>
      </c>
      <c r="R106" s="49">
        <v>17083126294</v>
      </c>
      <c r="S106" s="49">
        <v>17083123161</v>
      </c>
      <c r="T106" s="49" t="s">
        <v>132</v>
      </c>
      <c r="U106" s="50" t="s">
        <v>246</v>
      </c>
      <c r="V106" s="50">
        <v>17083126294</v>
      </c>
      <c r="W106" s="50">
        <v>17083123161</v>
      </c>
      <c r="X106" s="50" t="s">
        <v>132</v>
      </c>
      <c r="Y106" s="50"/>
    </row>
    <row r="107" spans="1:25" x14ac:dyDescent="0.25">
      <c r="A107" s="25" t="s">
        <v>115</v>
      </c>
      <c r="B107" t="b">
        <v>0</v>
      </c>
      <c r="C107" s="43" t="s">
        <v>247</v>
      </c>
      <c r="D107" s="43">
        <v>322880</v>
      </c>
      <c r="E107" s="43">
        <v>299986</v>
      </c>
      <c r="F107" s="44" t="s">
        <v>123</v>
      </c>
      <c r="G107" s="44" t="b">
        <v>0</v>
      </c>
      <c r="H107" s="44" t="b">
        <v>0</v>
      </c>
      <c r="I107" s="44"/>
      <c r="M107" s="48" t="s">
        <v>247</v>
      </c>
      <c r="N107" s="48">
        <v>17088572322</v>
      </c>
      <c r="O107" s="48">
        <v>17088566129</v>
      </c>
      <c r="P107" s="48" t="s">
        <v>123</v>
      </c>
      <c r="Q107" s="49" t="s">
        <v>247</v>
      </c>
      <c r="R107" s="49">
        <v>17083128974</v>
      </c>
      <c r="S107" s="49">
        <v>17083122541</v>
      </c>
      <c r="T107" s="49" t="s">
        <v>123</v>
      </c>
      <c r="U107" s="50" t="s">
        <v>247</v>
      </c>
      <c r="V107" s="50">
        <v>17083128974</v>
      </c>
      <c r="W107" s="50">
        <v>17083122541</v>
      </c>
      <c r="X107" s="50" t="s">
        <v>123</v>
      </c>
      <c r="Y107" s="50"/>
    </row>
    <row r="108" spans="1:25" x14ac:dyDescent="0.25">
      <c r="A108" s="25" t="s">
        <v>248</v>
      </c>
      <c r="B108" t="b">
        <v>0</v>
      </c>
      <c r="C108" s="43" t="s">
        <v>249</v>
      </c>
      <c r="D108" s="43">
        <v>320320</v>
      </c>
      <c r="E108" s="43">
        <v>299026</v>
      </c>
      <c r="F108" s="44" t="s">
        <v>173</v>
      </c>
      <c r="G108" s="44" t="b">
        <v>0</v>
      </c>
      <c r="H108" s="44" t="b">
        <v>0</v>
      </c>
      <c r="I108" s="44"/>
      <c r="J108" s="45" t="s">
        <v>249</v>
      </c>
      <c r="K108" s="46">
        <v>299026</v>
      </c>
      <c r="M108" s="48" t="s">
        <v>249</v>
      </c>
      <c r="N108" s="48">
        <v>17088570890</v>
      </c>
      <c r="O108" s="48">
        <v>17088567989</v>
      </c>
      <c r="P108" s="48" t="s">
        <v>173</v>
      </c>
      <c r="Q108" s="49" t="s">
        <v>249</v>
      </c>
      <c r="R108" s="49">
        <v>17083126174</v>
      </c>
      <c r="S108" s="49">
        <v>17083122827</v>
      </c>
      <c r="T108" s="49" t="s">
        <v>173</v>
      </c>
      <c r="U108" s="50" t="s">
        <v>249</v>
      </c>
      <c r="V108" s="50">
        <v>17083126174</v>
      </c>
      <c r="W108" s="50">
        <v>17083122827</v>
      </c>
      <c r="X108" s="50" t="s">
        <v>173</v>
      </c>
      <c r="Y108" s="50"/>
    </row>
    <row r="109" spans="1:25" x14ac:dyDescent="0.25">
      <c r="A109" s="25" t="s">
        <v>115</v>
      </c>
      <c r="B109" t="b">
        <v>0</v>
      </c>
      <c r="C109" s="43" t="s">
        <v>250</v>
      </c>
      <c r="D109" s="43">
        <v>322368</v>
      </c>
      <c r="E109" s="43">
        <v>303010</v>
      </c>
      <c r="F109" s="44" t="s">
        <v>132</v>
      </c>
      <c r="G109" s="44" t="b">
        <v>0</v>
      </c>
      <c r="H109" s="44" t="b">
        <v>0</v>
      </c>
      <c r="I109" s="44"/>
      <c r="M109" s="48" t="s">
        <v>250</v>
      </c>
      <c r="N109" s="48">
        <v>17088572914</v>
      </c>
      <c r="O109" s="48">
        <v>17088567541</v>
      </c>
      <c r="P109" s="48" t="s">
        <v>132</v>
      </c>
      <c r="Q109" s="49" t="s">
        <v>250</v>
      </c>
      <c r="R109" s="49">
        <v>17083127070</v>
      </c>
      <c r="S109" s="49">
        <v>17083123531</v>
      </c>
      <c r="T109" s="49" t="s">
        <v>132</v>
      </c>
      <c r="U109" s="50" t="s">
        <v>250</v>
      </c>
      <c r="V109" s="50">
        <v>17083127070</v>
      </c>
      <c r="W109" s="50">
        <v>17083123531</v>
      </c>
      <c r="X109" s="50" t="s">
        <v>132</v>
      </c>
      <c r="Y109" s="50"/>
    </row>
    <row r="110" spans="1:25" x14ac:dyDescent="0.25">
      <c r="A110" s="25" t="s">
        <v>115</v>
      </c>
      <c r="B110" t="b">
        <v>0</v>
      </c>
      <c r="C110" s="43" t="s">
        <v>251</v>
      </c>
      <c r="D110" s="43">
        <v>321344</v>
      </c>
      <c r="E110" s="43">
        <v>301786</v>
      </c>
      <c r="F110" s="44" t="s">
        <v>119</v>
      </c>
      <c r="G110" s="44" t="b">
        <v>0</v>
      </c>
      <c r="H110" s="44" t="b">
        <v>0</v>
      </c>
      <c r="I110" s="44"/>
      <c r="M110" s="48" t="s">
        <v>251</v>
      </c>
      <c r="N110" s="48">
        <v>17088572268</v>
      </c>
      <c r="O110" s="48">
        <v>17088566486</v>
      </c>
      <c r="P110" s="48" t="s">
        <v>119</v>
      </c>
      <c r="Q110" s="49" t="s">
        <v>251</v>
      </c>
      <c r="R110" s="49">
        <v>17083129190</v>
      </c>
      <c r="S110" s="49">
        <v>17083124441</v>
      </c>
      <c r="T110" s="49" t="s">
        <v>119</v>
      </c>
      <c r="U110" s="50" t="s">
        <v>251</v>
      </c>
      <c r="V110" s="50">
        <v>17083129190</v>
      </c>
      <c r="W110" s="50">
        <v>17083124441</v>
      </c>
      <c r="X110" s="50" t="s">
        <v>119</v>
      </c>
      <c r="Y110" s="50"/>
    </row>
    <row r="111" spans="1:25" x14ac:dyDescent="0.25">
      <c r="A111" s="25" t="s">
        <v>115</v>
      </c>
      <c r="B111" t="b">
        <v>0</v>
      </c>
      <c r="C111" s="43" t="s">
        <v>252</v>
      </c>
      <c r="D111" s="43">
        <v>323392</v>
      </c>
      <c r="E111" s="43">
        <v>300746</v>
      </c>
      <c r="F111" s="44" t="s">
        <v>142</v>
      </c>
      <c r="G111" s="44" t="b">
        <v>0</v>
      </c>
      <c r="H111" s="44" t="b">
        <v>0</v>
      </c>
      <c r="I111" s="44"/>
      <c r="M111" s="48" t="s">
        <v>252</v>
      </c>
      <c r="N111" s="48">
        <v>17088569954</v>
      </c>
      <c r="O111" s="48">
        <v>17088568433</v>
      </c>
      <c r="P111" s="48" t="s">
        <v>142</v>
      </c>
      <c r="Q111" s="49" t="s">
        <v>252</v>
      </c>
      <c r="R111" s="49">
        <v>17083128206</v>
      </c>
      <c r="S111" s="49">
        <v>17083124845</v>
      </c>
      <c r="T111" s="49" t="s">
        <v>142</v>
      </c>
      <c r="U111" s="50" t="s">
        <v>252</v>
      </c>
      <c r="V111" s="50">
        <v>17083128206</v>
      </c>
      <c r="W111" s="50">
        <v>17083124845</v>
      </c>
      <c r="X111" s="50" t="s">
        <v>142</v>
      </c>
      <c r="Y111" s="50"/>
    </row>
    <row r="112" spans="1:25" x14ac:dyDescent="0.25">
      <c r="A112" s="25" t="s">
        <v>115</v>
      </c>
      <c r="B112" t="b">
        <v>0</v>
      </c>
      <c r="C112" s="43" t="s">
        <v>253</v>
      </c>
      <c r="D112" s="43">
        <v>321728</v>
      </c>
      <c r="E112" s="43">
        <v>300130</v>
      </c>
      <c r="F112" s="44" t="s">
        <v>132</v>
      </c>
      <c r="G112" s="44" t="b">
        <v>0</v>
      </c>
      <c r="H112" s="44" t="b">
        <v>0</v>
      </c>
      <c r="I112" s="44"/>
      <c r="J112" s="45" t="s">
        <v>253</v>
      </c>
      <c r="K112" s="46">
        <v>300130</v>
      </c>
      <c r="L112" s="47">
        <v>990000628</v>
      </c>
      <c r="M112" s="48" t="s">
        <v>253</v>
      </c>
      <c r="N112" s="48">
        <v>17088571530</v>
      </c>
      <c r="O112" s="48">
        <v>17088567157</v>
      </c>
      <c r="P112" s="48" t="s">
        <v>132</v>
      </c>
      <c r="Q112" s="49" t="s">
        <v>253</v>
      </c>
      <c r="R112" s="49">
        <v>17083127902</v>
      </c>
      <c r="S112" s="49">
        <v>17083125067</v>
      </c>
      <c r="T112" s="49" t="s">
        <v>132</v>
      </c>
      <c r="U112" s="50" t="s">
        <v>253</v>
      </c>
      <c r="V112" s="50">
        <v>17083127902</v>
      </c>
      <c r="W112" s="50">
        <v>17083125067</v>
      </c>
      <c r="X112" s="50" t="s">
        <v>132</v>
      </c>
      <c r="Y112" s="50"/>
    </row>
    <row r="113" spans="1:25" x14ac:dyDescent="0.25">
      <c r="A113" s="25" t="s">
        <v>115</v>
      </c>
      <c r="B113" t="b">
        <v>0</v>
      </c>
      <c r="C113" s="43" t="s">
        <v>254</v>
      </c>
      <c r="D113" s="43">
        <v>320704</v>
      </c>
      <c r="E113" s="43">
        <v>299554</v>
      </c>
      <c r="F113" s="44" t="s">
        <v>119</v>
      </c>
      <c r="G113" s="44" t="b">
        <v>0</v>
      </c>
      <c r="H113" s="44" t="b">
        <v>0</v>
      </c>
      <c r="I113" s="44"/>
      <c r="M113" s="48" t="s">
        <v>254</v>
      </c>
      <c r="N113" s="48">
        <v>17088571378</v>
      </c>
      <c r="O113" s="48">
        <v>17088566773</v>
      </c>
      <c r="P113" s="48" t="s">
        <v>119</v>
      </c>
      <c r="Q113" s="49" t="s">
        <v>254</v>
      </c>
      <c r="R113" s="49">
        <v>17083126942</v>
      </c>
      <c r="S113" s="49">
        <v>17083125451</v>
      </c>
      <c r="T113" s="49" t="s">
        <v>119</v>
      </c>
      <c r="U113" s="50" t="s">
        <v>254</v>
      </c>
      <c r="V113" s="50">
        <v>17083126942</v>
      </c>
      <c r="W113" s="50">
        <v>17083125451</v>
      </c>
      <c r="X113" s="50" t="s">
        <v>119</v>
      </c>
      <c r="Y113" s="50"/>
    </row>
    <row r="114" spans="1:25" x14ac:dyDescent="0.25">
      <c r="A114" s="25" t="s">
        <v>115</v>
      </c>
      <c r="B114" t="b">
        <v>0</v>
      </c>
      <c r="C114" s="43" t="s">
        <v>255</v>
      </c>
      <c r="D114" s="43">
        <v>322752</v>
      </c>
      <c r="E114" s="43">
        <v>301794</v>
      </c>
      <c r="F114" s="44" t="s">
        <v>125</v>
      </c>
      <c r="G114" s="44" t="b">
        <v>0</v>
      </c>
      <c r="H114" s="44" t="b">
        <v>0</v>
      </c>
      <c r="I114" s="44"/>
      <c r="M114" s="48" t="s">
        <v>255</v>
      </c>
      <c r="N114" s="48">
        <v>17088572402</v>
      </c>
      <c r="O114" s="48">
        <v>17088568245</v>
      </c>
      <c r="P114" s="48" t="s">
        <v>125</v>
      </c>
      <c r="Q114" s="49" t="s">
        <v>255</v>
      </c>
      <c r="R114" s="49">
        <v>17083127966</v>
      </c>
      <c r="S114" s="49">
        <v>17083123083</v>
      </c>
      <c r="T114" s="49" t="s">
        <v>125</v>
      </c>
      <c r="U114" s="50" t="s">
        <v>255</v>
      </c>
      <c r="V114" s="50">
        <v>17083127966</v>
      </c>
      <c r="W114" s="50">
        <v>17083123083</v>
      </c>
      <c r="X114" s="50" t="s">
        <v>125</v>
      </c>
      <c r="Y114" s="50"/>
    </row>
    <row r="115" spans="1:25" x14ac:dyDescent="0.25">
      <c r="A115" s="25" t="s">
        <v>115</v>
      </c>
      <c r="B115" t="b">
        <v>0</v>
      </c>
      <c r="C115" s="43" t="s">
        <v>256</v>
      </c>
      <c r="D115" s="43">
        <v>320192</v>
      </c>
      <c r="E115" s="43">
        <v>302226</v>
      </c>
      <c r="F115" s="44" t="s">
        <v>119</v>
      </c>
      <c r="G115" s="44" t="b">
        <v>0</v>
      </c>
      <c r="H115" s="44" t="b">
        <v>0</v>
      </c>
      <c r="I115" s="44"/>
      <c r="M115" s="48" t="s">
        <v>256</v>
      </c>
      <c r="N115" s="48">
        <v>17088569530</v>
      </c>
      <c r="O115" s="48">
        <v>17088568107</v>
      </c>
      <c r="P115" s="48" t="s">
        <v>119</v>
      </c>
      <c r="Q115" s="49" t="s">
        <v>256</v>
      </c>
      <c r="R115" s="49">
        <v>17083129153</v>
      </c>
      <c r="S115" s="49">
        <v>17083122223</v>
      </c>
      <c r="T115" s="49" t="s">
        <v>119</v>
      </c>
      <c r="U115" s="50" t="s">
        <v>256</v>
      </c>
      <c r="V115" s="50">
        <v>17083129153</v>
      </c>
      <c r="W115" s="50">
        <v>17083122223</v>
      </c>
      <c r="X115" s="50" t="s">
        <v>119</v>
      </c>
      <c r="Y115" s="50"/>
    </row>
    <row r="116" spans="1:25" x14ac:dyDescent="0.25">
      <c r="A116" s="25" t="s">
        <v>115</v>
      </c>
      <c r="B116" t="b">
        <v>0</v>
      </c>
      <c r="C116" s="43" t="s">
        <v>257</v>
      </c>
      <c r="D116" s="43">
        <v>321216</v>
      </c>
      <c r="E116" s="43">
        <v>299802</v>
      </c>
      <c r="F116" s="44" t="s">
        <v>186</v>
      </c>
      <c r="G116" s="44" t="b">
        <v>0</v>
      </c>
      <c r="H116" s="44" t="b">
        <v>0</v>
      </c>
      <c r="I116" s="44"/>
      <c r="M116" s="48" t="s">
        <v>257</v>
      </c>
      <c r="N116" s="48">
        <v>17088571874</v>
      </c>
      <c r="O116" s="48">
        <v>17088567337</v>
      </c>
      <c r="P116" s="48" t="s">
        <v>186</v>
      </c>
      <c r="Q116" s="49" t="s">
        <v>257</v>
      </c>
      <c r="R116" s="49">
        <v>17083129678</v>
      </c>
      <c r="S116" s="49">
        <v>17083122525</v>
      </c>
      <c r="T116" s="49" t="s">
        <v>186</v>
      </c>
      <c r="U116" s="50" t="s">
        <v>257</v>
      </c>
      <c r="V116" s="50">
        <v>17083129678</v>
      </c>
      <c r="W116" s="50">
        <v>17083122525</v>
      </c>
      <c r="X116" s="50" t="s">
        <v>186</v>
      </c>
      <c r="Y116" s="50"/>
    </row>
    <row r="117" spans="1:25" x14ac:dyDescent="0.25">
      <c r="A117" s="25" t="s">
        <v>115</v>
      </c>
      <c r="B117" t="b">
        <v>0</v>
      </c>
      <c r="C117" s="43" t="s">
        <v>258</v>
      </c>
      <c r="D117" s="43">
        <v>323264</v>
      </c>
      <c r="E117" s="43">
        <v>302666</v>
      </c>
      <c r="F117" s="44" t="s">
        <v>132</v>
      </c>
      <c r="G117" s="44" t="b">
        <v>0</v>
      </c>
      <c r="H117" s="44" t="b">
        <v>0</v>
      </c>
      <c r="I117" s="44"/>
      <c r="M117" s="48" t="s">
        <v>258</v>
      </c>
      <c r="N117" s="48">
        <v>17088573258</v>
      </c>
      <c r="O117" s="48">
        <v>17088568525</v>
      </c>
      <c r="P117" s="48" t="s">
        <v>132</v>
      </c>
      <c r="Q117" s="49" t="s">
        <v>258</v>
      </c>
      <c r="R117" s="49">
        <v>17083127518</v>
      </c>
      <c r="S117" s="49">
        <v>17083124075</v>
      </c>
      <c r="T117" s="49" t="s">
        <v>132</v>
      </c>
      <c r="U117" s="50" t="s">
        <v>258</v>
      </c>
      <c r="V117" s="50">
        <v>17083127518</v>
      </c>
      <c r="W117" s="50">
        <v>17083124075</v>
      </c>
      <c r="X117" s="50" t="s">
        <v>132</v>
      </c>
      <c r="Y117" s="50"/>
    </row>
    <row r="118" spans="1:25" x14ac:dyDescent="0.25">
      <c r="A118" s="25" t="s">
        <v>115</v>
      </c>
      <c r="B118" t="b">
        <v>0</v>
      </c>
      <c r="C118" s="43" t="s">
        <v>259</v>
      </c>
      <c r="D118" s="43">
        <v>319936</v>
      </c>
      <c r="E118" s="43">
        <v>300298</v>
      </c>
      <c r="F118" s="44" t="s">
        <v>132</v>
      </c>
      <c r="G118" s="44" t="b">
        <v>0</v>
      </c>
      <c r="H118" s="44" t="b">
        <v>0</v>
      </c>
      <c r="I118" s="44"/>
      <c r="M118" s="48" t="s">
        <v>259</v>
      </c>
      <c r="N118" s="48">
        <v>17088571786</v>
      </c>
      <c r="O118" s="48">
        <v>17088565549</v>
      </c>
      <c r="P118" s="48" t="s">
        <v>132</v>
      </c>
      <c r="Q118" s="49" t="s">
        <v>259</v>
      </c>
      <c r="R118" s="49">
        <v>17083127390</v>
      </c>
      <c r="S118" s="49">
        <v>17083123691</v>
      </c>
      <c r="T118" s="49" t="s">
        <v>132</v>
      </c>
      <c r="U118" s="50" t="s">
        <v>259</v>
      </c>
      <c r="V118" s="50">
        <v>17083127390</v>
      </c>
      <c r="W118" s="50">
        <v>17083123691</v>
      </c>
      <c r="X118" s="50" t="s">
        <v>132</v>
      </c>
      <c r="Y118" s="50"/>
    </row>
    <row r="119" spans="1:25" x14ac:dyDescent="0.25">
      <c r="A119" s="25" t="s">
        <v>115</v>
      </c>
      <c r="B119" t="b">
        <v>0</v>
      </c>
      <c r="C119" s="43" t="s">
        <v>260</v>
      </c>
      <c r="D119" s="43">
        <v>321984</v>
      </c>
      <c r="E119" s="43">
        <v>299530</v>
      </c>
      <c r="F119" s="44" t="s">
        <v>132</v>
      </c>
      <c r="G119" s="44" t="b">
        <v>0</v>
      </c>
      <c r="H119" s="44" t="b">
        <v>0</v>
      </c>
      <c r="I119" s="44"/>
      <c r="M119" s="48" t="s">
        <v>260</v>
      </c>
      <c r="N119" s="48">
        <v>17088573322</v>
      </c>
      <c r="O119" s="48">
        <v>17088567085</v>
      </c>
      <c r="P119" s="48" t="s">
        <v>132</v>
      </c>
      <c r="Q119" s="49" t="s">
        <v>260</v>
      </c>
      <c r="R119" s="49">
        <v>17083126622</v>
      </c>
      <c r="S119" s="49">
        <v>17083122203</v>
      </c>
      <c r="T119" s="49" t="s">
        <v>132</v>
      </c>
      <c r="U119" s="50" t="s">
        <v>260</v>
      </c>
      <c r="V119" s="50">
        <v>17083126622</v>
      </c>
      <c r="W119" s="50">
        <v>17083122203</v>
      </c>
      <c r="X119" s="50" t="s">
        <v>132</v>
      </c>
      <c r="Y119" s="50"/>
    </row>
    <row r="120" spans="1:25" x14ac:dyDescent="0.25">
      <c r="A120" s="25" t="s">
        <v>115</v>
      </c>
      <c r="B120" t="b">
        <v>0</v>
      </c>
      <c r="C120" s="43" t="s">
        <v>261</v>
      </c>
      <c r="D120" s="43">
        <v>320960</v>
      </c>
      <c r="E120" s="43">
        <v>301066</v>
      </c>
      <c r="F120" s="44" t="s">
        <v>132</v>
      </c>
      <c r="G120" s="44" t="b">
        <v>0</v>
      </c>
      <c r="H120" s="44" t="b">
        <v>0</v>
      </c>
      <c r="I120" s="44"/>
      <c r="M120" s="48" t="s">
        <v>261</v>
      </c>
      <c r="N120" s="48">
        <v>17088570570</v>
      </c>
      <c r="O120" s="48">
        <v>17088567469</v>
      </c>
      <c r="P120" s="48" t="s">
        <v>132</v>
      </c>
      <c r="Q120" s="49" t="s">
        <v>261</v>
      </c>
      <c r="R120" s="49">
        <v>17083126750</v>
      </c>
      <c r="S120" s="49">
        <v>17083125275</v>
      </c>
      <c r="T120" s="49" t="s">
        <v>132</v>
      </c>
      <c r="U120" s="50" t="s">
        <v>261</v>
      </c>
      <c r="V120" s="50">
        <v>17083126750</v>
      </c>
      <c r="W120" s="50">
        <v>17083125275</v>
      </c>
      <c r="X120" s="50" t="s">
        <v>132</v>
      </c>
      <c r="Y120" s="50"/>
    </row>
    <row r="121" spans="1:25" x14ac:dyDescent="0.25">
      <c r="A121" s="25" t="s">
        <v>115</v>
      </c>
      <c r="B121" t="b">
        <v>0</v>
      </c>
      <c r="C121" s="43" t="s">
        <v>262</v>
      </c>
      <c r="D121" s="43">
        <v>323008</v>
      </c>
      <c r="E121" s="43">
        <v>301734</v>
      </c>
      <c r="F121" s="44" t="s">
        <v>119</v>
      </c>
      <c r="G121" s="44" t="b">
        <v>0</v>
      </c>
      <c r="H121" s="44" t="b">
        <v>0</v>
      </c>
      <c r="I121" s="44"/>
      <c r="M121" s="48" t="s">
        <v>262</v>
      </c>
      <c r="N121" s="48">
        <v>17088570204</v>
      </c>
      <c r="O121" s="48">
        <v>17088566046</v>
      </c>
      <c r="P121" s="48" t="s">
        <v>119</v>
      </c>
      <c r="Q121" s="49" t="s">
        <v>262</v>
      </c>
      <c r="R121" s="49">
        <v>17083129174</v>
      </c>
      <c r="S121" s="49">
        <v>17083123557</v>
      </c>
      <c r="T121" s="49" t="s">
        <v>119</v>
      </c>
      <c r="U121" s="50" t="s">
        <v>262</v>
      </c>
      <c r="V121" s="50">
        <v>17083129174</v>
      </c>
      <c r="W121" s="50">
        <v>17083123557</v>
      </c>
      <c r="X121" s="50" t="s">
        <v>119</v>
      </c>
      <c r="Y121" s="50"/>
    </row>
    <row r="122" spans="1:25" x14ac:dyDescent="0.25">
      <c r="A122" s="25" t="s">
        <v>115</v>
      </c>
      <c r="B122" t="b">
        <v>0</v>
      </c>
      <c r="C122" s="43" t="s">
        <v>263</v>
      </c>
      <c r="D122" s="43">
        <v>320448</v>
      </c>
      <c r="E122" s="43">
        <v>301078</v>
      </c>
      <c r="F122" s="44" t="s">
        <v>125</v>
      </c>
      <c r="G122" s="44" t="b">
        <v>0</v>
      </c>
      <c r="H122" s="44" t="b">
        <v>0</v>
      </c>
      <c r="I122" s="44"/>
      <c r="M122" s="48" t="s">
        <v>263</v>
      </c>
      <c r="N122" s="48">
        <v>17088571996</v>
      </c>
      <c r="O122" s="48">
        <v>17088566814</v>
      </c>
      <c r="P122" s="48" t="s">
        <v>125</v>
      </c>
      <c r="Q122" s="49" t="s">
        <v>263</v>
      </c>
      <c r="R122" s="49">
        <v>17083128406</v>
      </c>
      <c r="S122" s="49">
        <v>17083122021</v>
      </c>
      <c r="T122" s="49" t="s">
        <v>125</v>
      </c>
      <c r="U122" s="50" t="s">
        <v>263</v>
      </c>
      <c r="V122" s="50">
        <v>17083128406</v>
      </c>
      <c r="W122" s="50">
        <v>17083122021</v>
      </c>
      <c r="X122" s="50" t="s">
        <v>125</v>
      </c>
      <c r="Y122" s="50"/>
    </row>
    <row r="123" spans="1:25" x14ac:dyDescent="0.25">
      <c r="A123" s="25" t="s">
        <v>115</v>
      </c>
      <c r="B123" t="b">
        <v>0</v>
      </c>
      <c r="C123" s="43" t="s">
        <v>264</v>
      </c>
      <c r="D123" s="43">
        <v>322496</v>
      </c>
      <c r="E123" s="43">
        <v>301834</v>
      </c>
      <c r="F123" s="44" t="s">
        <v>132</v>
      </c>
      <c r="G123" s="44" t="b">
        <v>0</v>
      </c>
      <c r="H123" s="44" t="b">
        <v>0</v>
      </c>
      <c r="I123" s="44"/>
      <c r="M123" s="48" t="s">
        <v>264</v>
      </c>
      <c r="N123" s="48">
        <v>17088571274</v>
      </c>
      <c r="O123" s="48">
        <v>17088567853</v>
      </c>
      <c r="P123" s="48" t="s">
        <v>132</v>
      </c>
      <c r="Q123" s="49" t="s">
        <v>264</v>
      </c>
      <c r="R123" s="49">
        <v>17083129182</v>
      </c>
      <c r="S123" s="49">
        <v>17083125227</v>
      </c>
      <c r="T123" s="49" t="s">
        <v>132</v>
      </c>
      <c r="U123" s="50" t="s">
        <v>264</v>
      </c>
      <c r="V123" s="50">
        <v>17083129182</v>
      </c>
      <c r="W123" s="50">
        <v>17083125227</v>
      </c>
      <c r="X123" s="50" t="s">
        <v>132</v>
      </c>
      <c r="Y123" s="50"/>
    </row>
    <row r="124" spans="1:25" x14ac:dyDescent="0.25">
      <c r="A124" s="25" t="s">
        <v>115</v>
      </c>
      <c r="B124" t="b">
        <v>0</v>
      </c>
      <c r="C124" s="43" t="s">
        <v>265</v>
      </c>
      <c r="D124" s="43">
        <v>321472</v>
      </c>
      <c r="E124" s="43">
        <v>301898</v>
      </c>
      <c r="F124" s="44" t="s">
        <v>125</v>
      </c>
      <c r="G124" s="44" t="b">
        <v>0</v>
      </c>
      <c r="H124" s="44" t="b">
        <v>0</v>
      </c>
      <c r="I124" s="44"/>
      <c r="M124" s="48" t="s">
        <v>265</v>
      </c>
      <c r="N124" s="48">
        <v>17088570954</v>
      </c>
      <c r="O124" s="48">
        <v>17088568141</v>
      </c>
      <c r="P124" s="48" t="s">
        <v>125</v>
      </c>
      <c r="Q124" s="49" t="s">
        <v>265</v>
      </c>
      <c r="R124" s="49">
        <v>17083129694</v>
      </c>
      <c r="S124" s="49">
        <v>17083124843</v>
      </c>
      <c r="T124" s="49" t="s">
        <v>125</v>
      </c>
      <c r="U124" s="50" t="s">
        <v>265</v>
      </c>
      <c r="V124" s="50">
        <v>17083129694</v>
      </c>
      <c r="W124" s="50">
        <v>17083124843</v>
      </c>
      <c r="X124" s="50" t="s">
        <v>125</v>
      </c>
      <c r="Y124" s="50"/>
    </row>
    <row r="125" spans="1:25" x14ac:dyDescent="0.25">
      <c r="A125" s="25" t="s">
        <v>115</v>
      </c>
      <c r="B125" t="b">
        <v>0</v>
      </c>
      <c r="C125" s="43" t="s">
        <v>266</v>
      </c>
      <c r="D125" s="43">
        <v>323520</v>
      </c>
      <c r="E125" s="43">
        <v>302882</v>
      </c>
      <c r="F125" s="44" t="s">
        <v>119</v>
      </c>
      <c r="G125" s="44" t="b">
        <v>0</v>
      </c>
      <c r="H125" s="44" t="b">
        <v>0</v>
      </c>
      <c r="I125" s="44"/>
      <c r="M125" s="48" t="s">
        <v>266</v>
      </c>
      <c r="N125" s="48">
        <v>17088569786</v>
      </c>
      <c r="O125" s="48">
        <v>17088568299</v>
      </c>
      <c r="P125" s="48" t="s">
        <v>119</v>
      </c>
      <c r="Q125" s="49" t="s">
        <v>266</v>
      </c>
      <c r="R125" s="49">
        <v>17083126977</v>
      </c>
      <c r="S125" s="49">
        <v>17083124975</v>
      </c>
      <c r="T125" s="49" t="s">
        <v>119</v>
      </c>
      <c r="U125" s="50" t="s">
        <v>266</v>
      </c>
      <c r="V125" s="50">
        <v>17083126977</v>
      </c>
      <c r="W125" s="50">
        <v>17083124975</v>
      </c>
      <c r="X125" s="50" t="s">
        <v>119</v>
      </c>
      <c r="Y125" s="50"/>
    </row>
    <row r="126" spans="1:25" x14ac:dyDescent="0.25">
      <c r="A126" s="25" t="s">
        <v>115</v>
      </c>
      <c r="B126" t="b">
        <v>0</v>
      </c>
      <c r="C126" s="43" t="s">
        <v>267</v>
      </c>
      <c r="D126" s="43">
        <v>319520</v>
      </c>
      <c r="E126" s="43">
        <v>301654</v>
      </c>
      <c r="F126" s="44" t="s">
        <v>123</v>
      </c>
      <c r="G126" s="44" t="b">
        <v>0</v>
      </c>
      <c r="H126" s="44" t="b">
        <v>0</v>
      </c>
      <c r="I126" s="44"/>
      <c r="M126" s="48" t="s">
        <v>267</v>
      </c>
      <c r="N126" s="48">
        <v>17088570780</v>
      </c>
      <c r="O126" s="48">
        <v>17088567278</v>
      </c>
      <c r="P126" s="48" t="s">
        <v>123</v>
      </c>
      <c r="Q126" s="49" t="s">
        <v>267</v>
      </c>
      <c r="R126" s="49">
        <v>17083129494</v>
      </c>
      <c r="S126" s="49">
        <v>17083121765</v>
      </c>
      <c r="T126" s="49" t="s">
        <v>123</v>
      </c>
      <c r="U126" s="50" t="s">
        <v>267</v>
      </c>
      <c r="V126" s="50">
        <v>17083129494</v>
      </c>
      <c r="W126" s="50">
        <v>17083121765</v>
      </c>
      <c r="X126" s="50" t="s">
        <v>123</v>
      </c>
      <c r="Y126" s="50"/>
    </row>
    <row r="127" spans="1:25" x14ac:dyDescent="0.25">
      <c r="A127" s="25" t="b">
        <v>1</v>
      </c>
      <c r="B127" t="b">
        <v>0</v>
      </c>
      <c r="C127" s="43" t="s">
        <v>268</v>
      </c>
      <c r="D127" s="43">
        <v>321568</v>
      </c>
      <c r="E127" s="43">
        <v>302874</v>
      </c>
      <c r="F127" s="44" t="s">
        <v>173</v>
      </c>
      <c r="G127" s="44" t="b">
        <v>0</v>
      </c>
      <c r="H127" s="44" t="b">
        <v>0</v>
      </c>
      <c r="I127" s="44"/>
      <c r="J127" s="45" t="s">
        <v>268</v>
      </c>
      <c r="K127" s="46">
        <v>302874</v>
      </c>
      <c r="M127" s="48" t="s">
        <v>268</v>
      </c>
      <c r="N127" s="48">
        <v>17088569826</v>
      </c>
      <c r="O127" s="48">
        <v>17088567241</v>
      </c>
      <c r="P127" s="48" t="s">
        <v>173</v>
      </c>
      <c r="Q127" s="49" t="s">
        <v>268</v>
      </c>
      <c r="R127" s="49">
        <v>17083127630</v>
      </c>
      <c r="S127" s="49">
        <v>17083124061</v>
      </c>
      <c r="T127" s="49" t="s">
        <v>173</v>
      </c>
      <c r="U127" s="50" t="s">
        <v>268</v>
      </c>
      <c r="V127" s="50">
        <v>17083127630</v>
      </c>
      <c r="W127" s="50">
        <v>17083124061</v>
      </c>
      <c r="X127" s="50" t="s">
        <v>173</v>
      </c>
      <c r="Y127" s="50"/>
    </row>
    <row r="128" spans="1:25" x14ac:dyDescent="0.25">
      <c r="A128" s="25" t="s">
        <v>115</v>
      </c>
      <c r="B128" t="b">
        <v>0</v>
      </c>
      <c r="C128" s="43" t="s">
        <v>269</v>
      </c>
      <c r="D128" s="43">
        <v>320544</v>
      </c>
      <c r="E128" s="43">
        <v>299402</v>
      </c>
      <c r="F128" s="44" t="s">
        <v>119</v>
      </c>
      <c r="G128" s="44" t="b">
        <v>0</v>
      </c>
      <c r="H128" s="44" t="b">
        <v>0</v>
      </c>
      <c r="I128" s="44"/>
      <c r="M128" s="48" t="s">
        <v>269</v>
      </c>
      <c r="N128" s="48">
        <v>17088573066</v>
      </c>
      <c r="O128" s="48">
        <v>17088568781</v>
      </c>
      <c r="P128" s="48" t="s">
        <v>119</v>
      </c>
      <c r="Q128" s="49" t="s">
        <v>269</v>
      </c>
      <c r="R128" s="49">
        <v>17083128926</v>
      </c>
      <c r="S128" s="49">
        <v>17083123947</v>
      </c>
      <c r="T128" s="49" t="s">
        <v>119</v>
      </c>
      <c r="U128" s="50" t="s">
        <v>269</v>
      </c>
      <c r="V128" s="50">
        <v>17083128926</v>
      </c>
      <c r="W128" s="50">
        <v>17083123947</v>
      </c>
      <c r="X128" s="50" t="s">
        <v>119</v>
      </c>
      <c r="Y128" s="50"/>
    </row>
    <row r="129" spans="1:25" x14ac:dyDescent="0.25">
      <c r="A129" s="25" t="s">
        <v>115</v>
      </c>
      <c r="B129" t="b">
        <v>0</v>
      </c>
      <c r="C129" s="43" t="s">
        <v>270</v>
      </c>
      <c r="D129" s="43">
        <v>322592</v>
      </c>
      <c r="E129" s="43">
        <v>299506</v>
      </c>
      <c r="F129" s="44" t="s">
        <v>132</v>
      </c>
      <c r="G129" s="44" t="b">
        <v>0</v>
      </c>
      <c r="H129" s="44" t="b">
        <v>0</v>
      </c>
      <c r="I129" s="44"/>
      <c r="M129" s="48" t="s">
        <v>270</v>
      </c>
      <c r="N129" s="48">
        <v>17088572298</v>
      </c>
      <c r="O129" s="48">
        <v>17088566701</v>
      </c>
      <c r="P129" s="48" t="s">
        <v>132</v>
      </c>
      <c r="Q129" s="49" t="s">
        <v>270</v>
      </c>
      <c r="R129" s="49">
        <v>17083127134</v>
      </c>
      <c r="S129" s="49">
        <v>17083121819</v>
      </c>
      <c r="T129" s="49" t="s">
        <v>132</v>
      </c>
      <c r="U129" s="50" t="s">
        <v>270</v>
      </c>
      <c r="V129" s="50">
        <v>17083127134</v>
      </c>
      <c r="W129" s="50">
        <v>17083121819</v>
      </c>
      <c r="X129" s="50" t="s">
        <v>132</v>
      </c>
      <c r="Y129" s="50"/>
    </row>
    <row r="130" spans="1:25" x14ac:dyDescent="0.25">
      <c r="A130" s="25" t="s">
        <v>115</v>
      </c>
      <c r="B130" t="b">
        <v>0</v>
      </c>
      <c r="C130" s="43" t="s">
        <v>271</v>
      </c>
      <c r="D130" s="43">
        <v>320032</v>
      </c>
      <c r="E130" s="43">
        <v>299210</v>
      </c>
      <c r="F130" s="44" t="s">
        <v>125</v>
      </c>
      <c r="G130" s="44" t="b">
        <v>0</v>
      </c>
      <c r="H130" s="44" t="b">
        <v>0</v>
      </c>
      <c r="I130" s="44"/>
      <c r="M130" s="48" t="s">
        <v>271</v>
      </c>
      <c r="N130" s="48">
        <v>17088571210</v>
      </c>
      <c r="O130" s="48">
        <v>17088566605</v>
      </c>
      <c r="P130" s="48" t="s">
        <v>125</v>
      </c>
      <c r="Q130" s="49" t="s">
        <v>271</v>
      </c>
      <c r="R130" s="49">
        <v>17083128542</v>
      </c>
      <c r="S130" s="49">
        <v>17083121771</v>
      </c>
      <c r="T130" s="49" t="s">
        <v>125</v>
      </c>
      <c r="U130" s="50" t="s">
        <v>271</v>
      </c>
      <c r="V130" s="50">
        <v>17083128542</v>
      </c>
      <c r="W130" s="50">
        <v>17083121771</v>
      </c>
      <c r="X130" s="50" t="s">
        <v>125</v>
      </c>
      <c r="Y130" s="50"/>
    </row>
    <row r="131" spans="1:25" x14ac:dyDescent="0.25">
      <c r="A131" s="25" t="s">
        <v>115</v>
      </c>
      <c r="B131" t="b">
        <v>0</v>
      </c>
      <c r="C131" s="43" t="s">
        <v>272</v>
      </c>
      <c r="D131" s="43">
        <v>322080</v>
      </c>
      <c r="E131" s="43">
        <v>301394</v>
      </c>
      <c r="F131" s="44" t="s">
        <v>125</v>
      </c>
      <c r="G131" s="44" t="b">
        <v>0</v>
      </c>
      <c r="H131" s="44" t="b">
        <v>0</v>
      </c>
      <c r="I131" s="44"/>
      <c r="M131" s="48" t="s">
        <v>272</v>
      </c>
      <c r="N131" s="48">
        <v>17088570250</v>
      </c>
      <c r="O131" s="48">
        <v>17088566381</v>
      </c>
      <c r="P131" s="48" t="s">
        <v>125</v>
      </c>
      <c r="Q131" s="49" t="s">
        <v>272</v>
      </c>
      <c r="R131" s="49">
        <v>17083128158</v>
      </c>
      <c r="S131" s="49">
        <v>17083122075</v>
      </c>
      <c r="T131" s="49" t="s">
        <v>125</v>
      </c>
      <c r="U131" s="50" t="s">
        <v>272</v>
      </c>
      <c r="V131" s="50">
        <v>17083128158</v>
      </c>
      <c r="W131" s="50">
        <v>17083122075</v>
      </c>
      <c r="X131" s="50" t="s">
        <v>125</v>
      </c>
      <c r="Y131" s="50"/>
    </row>
    <row r="132" spans="1:25" x14ac:dyDescent="0.25">
      <c r="A132" s="25" t="s">
        <v>115</v>
      </c>
      <c r="B132" t="b">
        <v>0</v>
      </c>
      <c r="C132" s="43" t="s">
        <v>273</v>
      </c>
      <c r="D132" s="43">
        <v>321056</v>
      </c>
      <c r="E132" s="43">
        <v>299794</v>
      </c>
      <c r="F132" s="44" t="s">
        <v>123</v>
      </c>
      <c r="G132" s="44" t="b">
        <v>0</v>
      </c>
      <c r="H132" s="44" t="b">
        <v>0</v>
      </c>
      <c r="I132" s="44"/>
      <c r="M132" s="48" t="s">
        <v>273</v>
      </c>
      <c r="N132" s="48">
        <v>17088570630</v>
      </c>
      <c r="O132" s="48">
        <v>17088565931</v>
      </c>
      <c r="P132" s="48" t="s">
        <v>123</v>
      </c>
      <c r="Q132" s="49" t="s">
        <v>273</v>
      </c>
      <c r="R132" s="49">
        <v>17083126561</v>
      </c>
      <c r="S132" s="49">
        <v>17083125039</v>
      </c>
      <c r="T132" s="49" t="s">
        <v>123</v>
      </c>
      <c r="U132" s="50" t="s">
        <v>273</v>
      </c>
      <c r="V132" s="50">
        <v>17083126561</v>
      </c>
      <c r="W132" s="50">
        <v>17083125039</v>
      </c>
      <c r="X132" s="50" t="s">
        <v>123</v>
      </c>
      <c r="Y132" s="50"/>
    </row>
    <row r="133" spans="1:25" x14ac:dyDescent="0.25">
      <c r="A133" s="25" t="s">
        <v>115</v>
      </c>
      <c r="B133" t="b">
        <v>0</v>
      </c>
      <c r="C133" s="43" t="s">
        <v>274</v>
      </c>
      <c r="D133" s="43">
        <v>323104</v>
      </c>
      <c r="E133" s="43">
        <v>300090</v>
      </c>
      <c r="F133" s="44" t="s">
        <v>125</v>
      </c>
      <c r="G133" s="44" t="b">
        <v>1</v>
      </c>
      <c r="H133" s="44" t="b">
        <v>0</v>
      </c>
      <c r="I133" s="44" t="s">
        <v>126</v>
      </c>
      <c r="M133" s="48" t="s">
        <v>274</v>
      </c>
      <c r="N133" s="48">
        <v>17088572386</v>
      </c>
      <c r="O133" s="48">
        <v>17088566985</v>
      </c>
      <c r="P133" s="48" t="s">
        <v>125</v>
      </c>
      <c r="Q133" s="49" t="s">
        <v>274</v>
      </c>
      <c r="R133" s="49">
        <v>17083126990</v>
      </c>
      <c r="S133" s="49">
        <v>17083123805</v>
      </c>
      <c r="T133" s="49" t="s">
        <v>125</v>
      </c>
      <c r="U133" s="50" t="s">
        <v>274</v>
      </c>
      <c r="V133" s="50">
        <v>17083126990</v>
      </c>
      <c r="W133" s="50">
        <v>17083123805</v>
      </c>
      <c r="X133" s="50" t="s">
        <v>125</v>
      </c>
      <c r="Y133" s="50">
        <v>120459</v>
      </c>
    </row>
    <row r="134" spans="1:25" x14ac:dyDescent="0.25">
      <c r="A134" s="25" t="s">
        <v>115</v>
      </c>
      <c r="B134" t="b">
        <v>0</v>
      </c>
      <c r="C134" s="43" t="s">
        <v>275</v>
      </c>
      <c r="D134" s="43">
        <v>319776</v>
      </c>
      <c r="E134" s="43">
        <v>301290</v>
      </c>
      <c r="F134" s="44" t="s">
        <v>123</v>
      </c>
      <c r="G134" s="44" t="b">
        <v>0</v>
      </c>
      <c r="H134" s="44" t="b">
        <v>0</v>
      </c>
      <c r="I134" s="44"/>
      <c r="M134" s="48" t="s">
        <v>275</v>
      </c>
      <c r="N134" s="48">
        <v>17088572178</v>
      </c>
      <c r="O134" s="48">
        <v>17088565801</v>
      </c>
      <c r="P134" s="48" t="s">
        <v>123</v>
      </c>
      <c r="Q134" s="49" t="s">
        <v>275</v>
      </c>
      <c r="R134" s="49">
        <v>17083128270</v>
      </c>
      <c r="S134" s="49">
        <v>17083125597</v>
      </c>
      <c r="T134" s="49" t="s">
        <v>123</v>
      </c>
      <c r="U134" s="50" t="s">
        <v>275</v>
      </c>
      <c r="V134" s="50">
        <v>17083128270</v>
      </c>
      <c r="W134" s="50">
        <v>17083125597</v>
      </c>
      <c r="X134" s="50" t="s">
        <v>123</v>
      </c>
      <c r="Y134" s="50"/>
    </row>
    <row r="135" spans="1:25" x14ac:dyDescent="0.25">
      <c r="A135" s="25" t="s">
        <v>115</v>
      </c>
      <c r="B135" t="b">
        <v>0</v>
      </c>
      <c r="C135" s="43" t="s">
        <v>276</v>
      </c>
      <c r="D135" s="43">
        <v>321824</v>
      </c>
      <c r="E135" s="43">
        <v>301962</v>
      </c>
      <c r="F135" s="44" t="s">
        <v>119</v>
      </c>
      <c r="G135" s="44" t="b">
        <v>0</v>
      </c>
      <c r="H135" s="44" t="b">
        <v>0</v>
      </c>
      <c r="I135" s="44"/>
      <c r="M135" s="48" t="s">
        <v>276</v>
      </c>
      <c r="N135" s="48">
        <v>17088572810</v>
      </c>
      <c r="O135" s="48">
        <v>17088566989</v>
      </c>
      <c r="P135" s="48" t="s">
        <v>119</v>
      </c>
      <c r="Q135" s="49" t="s">
        <v>276</v>
      </c>
      <c r="R135" s="49">
        <v>17083126110</v>
      </c>
      <c r="S135" s="49">
        <v>17083122539</v>
      </c>
      <c r="T135" s="49" t="s">
        <v>119</v>
      </c>
      <c r="U135" s="50" t="s">
        <v>276</v>
      </c>
      <c r="V135" s="50">
        <v>17083126110</v>
      </c>
      <c r="W135" s="50">
        <v>17083122539</v>
      </c>
      <c r="X135" s="50" t="s">
        <v>119</v>
      </c>
      <c r="Y135" s="50"/>
    </row>
    <row r="136" spans="1:25" x14ac:dyDescent="0.25">
      <c r="A136" s="25" t="s">
        <v>115</v>
      </c>
      <c r="B136" t="b">
        <v>0</v>
      </c>
      <c r="C136" s="43" t="s">
        <v>277</v>
      </c>
      <c r="D136" s="43">
        <v>320800</v>
      </c>
      <c r="E136" s="43">
        <v>300626</v>
      </c>
      <c r="F136" s="44" t="s">
        <v>125</v>
      </c>
      <c r="G136" s="44" t="b">
        <v>0</v>
      </c>
      <c r="H136" s="44" t="b">
        <v>0</v>
      </c>
      <c r="I136" s="44"/>
      <c r="M136" s="48" t="s">
        <v>277</v>
      </c>
      <c r="N136" s="48">
        <v>17088570186</v>
      </c>
      <c r="O136" s="48">
        <v>17088567917</v>
      </c>
      <c r="P136" s="48" t="s">
        <v>125</v>
      </c>
      <c r="Q136" s="49" t="s">
        <v>277</v>
      </c>
      <c r="R136" s="49">
        <v>17083129054</v>
      </c>
      <c r="S136" s="49">
        <v>17083125147</v>
      </c>
      <c r="T136" s="49" t="s">
        <v>125</v>
      </c>
      <c r="U136" s="50" t="s">
        <v>277</v>
      </c>
      <c r="V136" s="50">
        <v>17083129054</v>
      </c>
      <c r="W136" s="50">
        <v>17083125147</v>
      </c>
      <c r="X136" s="50" t="s">
        <v>125</v>
      </c>
      <c r="Y136" s="50"/>
    </row>
    <row r="137" spans="1:25" x14ac:dyDescent="0.25">
      <c r="A137" s="25" t="s">
        <v>115</v>
      </c>
      <c r="B137" t="b">
        <v>0</v>
      </c>
      <c r="C137" s="43" t="s">
        <v>278</v>
      </c>
      <c r="D137" s="43">
        <v>322848</v>
      </c>
      <c r="E137" s="43">
        <v>300434</v>
      </c>
      <c r="F137" s="44" t="s">
        <v>119</v>
      </c>
      <c r="G137" s="44" t="b">
        <v>0</v>
      </c>
      <c r="H137" s="44" t="b">
        <v>0</v>
      </c>
      <c r="I137" s="44"/>
      <c r="M137" s="48" t="s">
        <v>278</v>
      </c>
      <c r="N137" s="48">
        <v>17088570874</v>
      </c>
      <c r="O137" s="48">
        <v>17088566827</v>
      </c>
      <c r="P137" s="48" t="s">
        <v>119</v>
      </c>
      <c r="Q137" s="49" t="s">
        <v>278</v>
      </c>
      <c r="R137" s="49">
        <v>17083127329</v>
      </c>
      <c r="S137" s="49">
        <v>17083124687</v>
      </c>
      <c r="T137" s="49" t="s">
        <v>119</v>
      </c>
      <c r="U137" s="50" t="s">
        <v>278</v>
      </c>
      <c r="V137" s="50">
        <v>17083127329</v>
      </c>
      <c r="W137" s="50">
        <v>17083124687</v>
      </c>
      <c r="X137" s="50" t="s">
        <v>119</v>
      </c>
      <c r="Y137" s="50"/>
    </row>
    <row r="138" spans="1:25" x14ac:dyDescent="0.25">
      <c r="A138" s="25" t="s">
        <v>115</v>
      </c>
      <c r="B138" t="b">
        <v>0</v>
      </c>
      <c r="C138" s="43" t="s">
        <v>279</v>
      </c>
      <c r="D138" s="43">
        <v>320288</v>
      </c>
      <c r="E138" s="43">
        <v>301990</v>
      </c>
      <c r="F138" s="44" t="s">
        <v>132</v>
      </c>
      <c r="G138" s="44" t="b">
        <v>0</v>
      </c>
      <c r="H138" s="44" t="b">
        <v>0</v>
      </c>
      <c r="I138" s="44"/>
      <c r="M138" s="48" t="s">
        <v>279</v>
      </c>
      <c r="N138" s="48">
        <v>17088569436</v>
      </c>
      <c r="O138" s="48">
        <v>17088567582</v>
      </c>
      <c r="P138" s="48" t="s">
        <v>132</v>
      </c>
      <c r="Q138" s="49" t="s">
        <v>279</v>
      </c>
      <c r="R138" s="49">
        <v>17083125846</v>
      </c>
      <c r="S138" s="49">
        <v>17083125093</v>
      </c>
      <c r="T138" s="49" t="s">
        <v>132</v>
      </c>
      <c r="U138" s="50" t="s">
        <v>279</v>
      </c>
      <c r="V138" s="50">
        <v>17083125846</v>
      </c>
      <c r="W138" s="50">
        <v>17083125093</v>
      </c>
      <c r="X138" s="50" t="s">
        <v>132</v>
      </c>
      <c r="Y138" s="50"/>
    </row>
    <row r="139" spans="1:25" x14ac:dyDescent="0.25">
      <c r="A139" s="25" t="s">
        <v>115</v>
      </c>
      <c r="B139" t="b">
        <v>0</v>
      </c>
      <c r="C139" s="43" t="s">
        <v>280</v>
      </c>
      <c r="D139" s="43">
        <v>322336</v>
      </c>
      <c r="E139" s="43">
        <v>299542</v>
      </c>
      <c r="F139" s="44" t="s">
        <v>123</v>
      </c>
      <c r="G139" s="44" t="b">
        <v>0</v>
      </c>
      <c r="H139" s="44" t="b">
        <v>0</v>
      </c>
      <c r="I139" s="44"/>
      <c r="M139" s="48" t="s">
        <v>280</v>
      </c>
      <c r="N139" s="48">
        <v>17088569500</v>
      </c>
      <c r="O139" s="48">
        <v>17088568350</v>
      </c>
      <c r="P139" s="48" t="s">
        <v>123</v>
      </c>
      <c r="Q139" s="49" t="s">
        <v>280</v>
      </c>
      <c r="R139" s="49">
        <v>17083129110</v>
      </c>
      <c r="S139" s="49">
        <v>17083124325</v>
      </c>
      <c r="T139" s="49" t="s">
        <v>123</v>
      </c>
      <c r="U139" s="50" t="s">
        <v>280</v>
      </c>
      <c r="V139" s="50">
        <v>17083129110</v>
      </c>
      <c r="W139" s="50">
        <v>17083124325</v>
      </c>
      <c r="X139" s="50" t="s">
        <v>123</v>
      </c>
      <c r="Y139" s="50"/>
    </row>
    <row r="140" spans="1:25" x14ac:dyDescent="0.25">
      <c r="A140" s="25" t="s">
        <v>115</v>
      </c>
      <c r="B140" t="b">
        <v>0</v>
      </c>
      <c r="C140" s="43" t="s">
        <v>281</v>
      </c>
      <c r="D140" s="43">
        <v>321312</v>
      </c>
      <c r="E140" s="43">
        <v>302042</v>
      </c>
      <c r="F140" s="44" t="s">
        <v>123</v>
      </c>
      <c r="G140" s="44" t="b">
        <v>1</v>
      </c>
      <c r="H140" s="44" t="b">
        <v>0</v>
      </c>
      <c r="I140" s="44" t="s">
        <v>134</v>
      </c>
      <c r="M140" s="48" t="s">
        <v>281</v>
      </c>
      <c r="N140" s="48">
        <v>17088572130</v>
      </c>
      <c r="O140" s="48">
        <v>17088567753</v>
      </c>
      <c r="P140" s="48" t="s">
        <v>123</v>
      </c>
      <c r="Q140" s="49" t="s">
        <v>281</v>
      </c>
      <c r="R140" s="49">
        <v>17083126606</v>
      </c>
      <c r="S140" s="49">
        <v>17083122269</v>
      </c>
      <c r="T140" s="49" t="s">
        <v>123</v>
      </c>
      <c r="U140" s="50" t="s">
        <v>281</v>
      </c>
      <c r="V140" s="50">
        <v>17083126606</v>
      </c>
      <c r="W140" s="50">
        <v>17083122269</v>
      </c>
      <c r="X140" s="50" t="s">
        <v>123</v>
      </c>
      <c r="Y140" s="50">
        <v>150148</v>
      </c>
    </row>
    <row r="141" spans="1:25" x14ac:dyDescent="0.25">
      <c r="A141" s="25" t="s">
        <v>115</v>
      </c>
      <c r="B141" t="b">
        <v>0</v>
      </c>
      <c r="C141" s="43" t="s">
        <v>282</v>
      </c>
      <c r="D141" s="43">
        <v>323360</v>
      </c>
      <c r="E141" s="43">
        <v>302602</v>
      </c>
      <c r="F141" s="44" t="s">
        <v>132</v>
      </c>
      <c r="G141" s="44" t="b">
        <v>0</v>
      </c>
      <c r="H141" s="44" t="b">
        <v>0</v>
      </c>
      <c r="I141" s="44"/>
      <c r="M141" s="48" t="s">
        <v>282</v>
      </c>
      <c r="N141" s="48">
        <v>17088569738</v>
      </c>
      <c r="O141" s="48">
        <v>17088568621</v>
      </c>
      <c r="P141" s="48" t="s">
        <v>132</v>
      </c>
      <c r="Q141" s="49" t="s">
        <v>282</v>
      </c>
      <c r="R141" s="49">
        <v>17083128414</v>
      </c>
      <c r="S141" s="49">
        <v>17083123739</v>
      </c>
      <c r="T141" s="49" t="s">
        <v>132</v>
      </c>
      <c r="U141" s="50" t="s">
        <v>282</v>
      </c>
      <c r="V141" s="50">
        <v>17083128414</v>
      </c>
      <c r="W141" s="50">
        <v>17083123739</v>
      </c>
      <c r="X141" s="50" t="s">
        <v>132</v>
      </c>
      <c r="Y141" s="50"/>
    </row>
    <row r="142" spans="1:25" x14ac:dyDescent="0.25">
      <c r="A142" s="25" t="s">
        <v>115</v>
      </c>
      <c r="B142" t="b">
        <v>0</v>
      </c>
      <c r="C142" s="43" t="s">
        <v>283</v>
      </c>
      <c r="D142" s="43">
        <v>319648</v>
      </c>
      <c r="E142" s="43">
        <v>299250</v>
      </c>
      <c r="F142" s="44" t="s">
        <v>119</v>
      </c>
      <c r="G142" s="44" t="b">
        <v>0</v>
      </c>
      <c r="H142" s="44" t="b">
        <v>0</v>
      </c>
      <c r="I142" s="44"/>
      <c r="M142" s="48" t="s">
        <v>283</v>
      </c>
      <c r="N142" s="48">
        <v>17088571978</v>
      </c>
      <c r="O142" s="48">
        <v>17088568237</v>
      </c>
      <c r="P142" s="48" t="s">
        <v>119</v>
      </c>
      <c r="Q142" s="49" t="s">
        <v>283</v>
      </c>
      <c r="R142" s="49">
        <v>17083127646</v>
      </c>
      <c r="S142" s="49">
        <v>17083124891</v>
      </c>
      <c r="T142" s="49" t="s">
        <v>119</v>
      </c>
      <c r="U142" s="50" t="s">
        <v>283</v>
      </c>
      <c r="V142" s="50">
        <v>17083127646</v>
      </c>
      <c r="W142" s="50">
        <v>17083124891</v>
      </c>
      <c r="X142" s="50" t="s">
        <v>119</v>
      </c>
      <c r="Y142" s="50"/>
    </row>
    <row r="143" spans="1:25" x14ac:dyDescent="0.25">
      <c r="A143" s="25" t="s">
        <v>115</v>
      </c>
      <c r="B143" t="b">
        <v>0</v>
      </c>
      <c r="C143" s="43" t="s">
        <v>284</v>
      </c>
      <c r="D143" s="43">
        <v>321696</v>
      </c>
      <c r="E143" s="43">
        <v>300374</v>
      </c>
      <c r="F143" s="44" t="s">
        <v>123</v>
      </c>
      <c r="G143" s="44" t="b">
        <v>0</v>
      </c>
      <c r="H143" s="44" t="b">
        <v>0</v>
      </c>
      <c r="I143" s="44"/>
      <c r="M143" s="48" t="s">
        <v>267</v>
      </c>
      <c r="N143" s="48">
        <v>17088570780</v>
      </c>
      <c r="O143" s="48">
        <v>17088567278</v>
      </c>
      <c r="P143" s="48" t="s">
        <v>123</v>
      </c>
      <c r="Q143" s="49" t="s">
        <v>267</v>
      </c>
      <c r="R143" s="49">
        <v>17083129494</v>
      </c>
      <c r="S143" s="49">
        <v>17083121765</v>
      </c>
      <c r="T143" s="49" t="s">
        <v>123</v>
      </c>
      <c r="U143" s="50" t="s">
        <v>267</v>
      </c>
      <c r="V143" s="50">
        <v>17083129494</v>
      </c>
      <c r="W143" s="50">
        <v>17083121765</v>
      </c>
      <c r="X143" s="50" t="s">
        <v>123</v>
      </c>
      <c r="Y143" s="50"/>
    </row>
    <row r="144" spans="1:25" x14ac:dyDescent="0.25">
      <c r="A144" s="25" t="s">
        <v>115</v>
      </c>
      <c r="B144" t="b">
        <v>0</v>
      </c>
      <c r="C144" s="43" t="s">
        <v>285</v>
      </c>
      <c r="D144" s="43">
        <v>320672</v>
      </c>
      <c r="E144" s="43">
        <v>300218</v>
      </c>
      <c r="F144" s="44" t="s">
        <v>125</v>
      </c>
      <c r="G144" s="44" t="b">
        <v>0</v>
      </c>
      <c r="H144" s="44" t="b">
        <v>0</v>
      </c>
      <c r="I144" s="44" t="s">
        <v>126</v>
      </c>
      <c r="M144" s="48" t="s">
        <v>285</v>
      </c>
      <c r="N144" s="48">
        <v>17088570082</v>
      </c>
      <c r="O144" s="48">
        <v>17088568905</v>
      </c>
      <c r="P144" s="48" t="s">
        <v>125</v>
      </c>
      <c r="Q144" s="49" t="s">
        <v>285</v>
      </c>
      <c r="R144" s="49">
        <v>17083129166</v>
      </c>
      <c r="S144" s="49">
        <v>17083122845</v>
      </c>
      <c r="T144" s="49" t="s">
        <v>125</v>
      </c>
      <c r="U144" s="50" t="s">
        <v>285</v>
      </c>
      <c r="V144" s="50">
        <v>17083129166</v>
      </c>
      <c r="W144" s="50">
        <v>17083122845</v>
      </c>
      <c r="X144" s="50" t="s">
        <v>125</v>
      </c>
      <c r="Y144" s="50"/>
    </row>
    <row r="145" spans="1:25" x14ac:dyDescent="0.25">
      <c r="A145" s="25" t="s">
        <v>115</v>
      </c>
      <c r="B145" t="b">
        <v>0</v>
      </c>
      <c r="C145" s="43" t="s">
        <v>286</v>
      </c>
      <c r="D145" s="43">
        <v>917780</v>
      </c>
      <c r="E145" s="43">
        <v>920084</v>
      </c>
      <c r="F145" s="44" t="s">
        <v>186</v>
      </c>
      <c r="G145" s="44" t="b">
        <v>0</v>
      </c>
      <c r="H145" s="44" t="b">
        <v>0</v>
      </c>
      <c r="I145" s="44"/>
      <c r="M145" s="48" t="s">
        <v>286</v>
      </c>
      <c r="N145" s="48">
        <v>17088570778</v>
      </c>
      <c r="O145" s="48">
        <v>17088569063</v>
      </c>
      <c r="P145" s="48" t="s">
        <v>186</v>
      </c>
      <c r="Q145" s="49" t="s">
        <v>286</v>
      </c>
      <c r="R145" s="49">
        <v>17083129281</v>
      </c>
      <c r="S145" s="49">
        <v>17083126624</v>
      </c>
      <c r="T145" s="49" t="s">
        <v>186</v>
      </c>
      <c r="U145" s="50" t="s">
        <v>286</v>
      </c>
      <c r="V145" s="50">
        <v>17083129281</v>
      </c>
      <c r="W145" s="50">
        <v>17083126624</v>
      </c>
      <c r="X145" s="50" t="s">
        <v>186</v>
      </c>
      <c r="Y145" s="50"/>
    </row>
    <row r="146" spans="1:25" x14ac:dyDescent="0.25">
      <c r="A146" s="25" t="s">
        <v>115</v>
      </c>
      <c r="B146" t="b">
        <v>0</v>
      </c>
      <c r="C146" s="43" t="s">
        <v>287</v>
      </c>
      <c r="D146" s="43">
        <v>3251169840</v>
      </c>
      <c r="E146" s="43">
        <v>3251170768</v>
      </c>
      <c r="F146" s="44" t="s">
        <v>123</v>
      </c>
      <c r="G146" s="44" t="b">
        <v>1</v>
      </c>
      <c r="H146" s="44" t="b">
        <v>0</v>
      </c>
      <c r="I146" s="44" t="s">
        <v>126</v>
      </c>
      <c r="M146" s="48" t="s">
        <v>287</v>
      </c>
      <c r="N146" s="48">
        <v>17088573346</v>
      </c>
      <c r="O146" s="48">
        <v>17088567678</v>
      </c>
      <c r="P146" s="48" t="s">
        <v>123</v>
      </c>
      <c r="Q146" s="49" t="s">
        <v>287</v>
      </c>
      <c r="R146" s="49">
        <v>17083127798</v>
      </c>
      <c r="S146" s="49">
        <v>17083123029</v>
      </c>
      <c r="T146" s="49" t="s">
        <v>123</v>
      </c>
      <c r="U146" s="50" t="s">
        <v>287</v>
      </c>
      <c r="V146" s="50">
        <v>17083127798</v>
      </c>
      <c r="W146" s="50">
        <v>17083123029</v>
      </c>
      <c r="X146" s="50" t="s">
        <v>123</v>
      </c>
      <c r="Y146" s="50">
        <v>140406</v>
      </c>
    </row>
    <row r="147" spans="1:25" x14ac:dyDescent="0.25">
      <c r="A147" s="25" t="s">
        <v>115</v>
      </c>
      <c r="B147" t="b">
        <v>0</v>
      </c>
      <c r="C147" s="43" t="s">
        <v>288</v>
      </c>
      <c r="D147" s="43">
        <v>3251168816</v>
      </c>
      <c r="E147" s="43">
        <v>3251167280</v>
      </c>
      <c r="F147" s="44" t="s">
        <v>123</v>
      </c>
      <c r="G147" s="44" t="b">
        <v>1</v>
      </c>
      <c r="H147" s="44" t="b">
        <v>0</v>
      </c>
      <c r="I147" s="44" t="s">
        <v>126</v>
      </c>
      <c r="M147" s="48" t="s">
        <v>288</v>
      </c>
      <c r="N147" s="48">
        <v>17088570386</v>
      </c>
      <c r="O147" s="48">
        <v>17088566497</v>
      </c>
      <c r="P147" s="48" t="s">
        <v>123</v>
      </c>
      <c r="Q147" s="49" t="s">
        <v>288</v>
      </c>
      <c r="R147" s="49">
        <v>17083128718</v>
      </c>
      <c r="S147" s="49">
        <v>17083123853</v>
      </c>
      <c r="T147" s="49" t="s">
        <v>123</v>
      </c>
      <c r="U147" s="50" t="s">
        <v>288</v>
      </c>
      <c r="V147" s="50">
        <v>17083128718</v>
      </c>
      <c r="W147" s="50">
        <v>17083123853</v>
      </c>
      <c r="X147" s="50" t="s">
        <v>123</v>
      </c>
      <c r="Y147" s="50">
        <v>140405</v>
      </c>
    </row>
    <row r="148" spans="1:25" x14ac:dyDescent="0.25">
      <c r="A148" s="25" t="b">
        <v>1</v>
      </c>
      <c r="B148" t="b">
        <v>0</v>
      </c>
      <c r="C148" s="43" t="s">
        <v>289</v>
      </c>
      <c r="D148" s="43">
        <v>16044300047</v>
      </c>
      <c r="E148" s="43">
        <v>16044298423</v>
      </c>
      <c r="F148" s="44" t="s">
        <v>173</v>
      </c>
      <c r="G148" s="44" t="b">
        <v>0</v>
      </c>
      <c r="H148" s="44" t="b">
        <v>0</v>
      </c>
      <c r="I148" s="44"/>
      <c r="J148" s="45" t="s">
        <v>289</v>
      </c>
      <c r="K148" s="46">
        <v>16044298423</v>
      </c>
      <c r="M148" s="48" t="s">
        <v>289</v>
      </c>
      <c r="N148" s="48">
        <v>17088573250</v>
      </c>
      <c r="O148" s="48">
        <v>17088569185</v>
      </c>
      <c r="P148" s="48" t="s">
        <v>173</v>
      </c>
      <c r="Q148" s="49" t="s">
        <v>289</v>
      </c>
      <c r="R148" s="49">
        <v>17083127286</v>
      </c>
      <c r="S148" s="49">
        <v>17083123469</v>
      </c>
      <c r="T148" s="49" t="s">
        <v>173</v>
      </c>
      <c r="U148" s="50" t="s">
        <v>289</v>
      </c>
      <c r="V148" s="50">
        <v>17083127286</v>
      </c>
      <c r="W148" s="50">
        <v>17083123469</v>
      </c>
      <c r="X148" s="50" t="s">
        <v>173</v>
      </c>
      <c r="Y148" s="50"/>
    </row>
    <row r="149" spans="1:25" x14ac:dyDescent="0.25">
      <c r="A149" s="25" t="s">
        <v>115</v>
      </c>
      <c r="B149" t="b">
        <v>0</v>
      </c>
      <c r="C149" s="43" t="s">
        <v>290</v>
      </c>
      <c r="D149" s="43">
        <v>16044302095</v>
      </c>
      <c r="E149" s="43">
        <v>16044301495</v>
      </c>
      <c r="F149" s="44" t="s">
        <v>173</v>
      </c>
      <c r="G149" s="44" t="b">
        <v>0</v>
      </c>
      <c r="H149" s="44" t="b">
        <v>0</v>
      </c>
      <c r="I149" s="44"/>
      <c r="M149" s="48" t="s">
        <v>290</v>
      </c>
      <c r="N149" s="48">
        <v>17088570476</v>
      </c>
      <c r="O149" s="48">
        <v>17088566906</v>
      </c>
      <c r="P149" s="48" t="s">
        <v>173</v>
      </c>
      <c r="Q149" s="49" t="s">
        <v>290</v>
      </c>
      <c r="R149" s="49">
        <v>17083127718</v>
      </c>
      <c r="S149" s="49">
        <v>17083124233</v>
      </c>
      <c r="T149" s="49" t="s">
        <v>173</v>
      </c>
      <c r="U149" s="50" t="s">
        <v>290</v>
      </c>
      <c r="V149" s="50">
        <v>17083127718</v>
      </c>
      <c r="W149" s="50">
        <v>17083124233</v>
      </c>
      <c r="X149" s="50" t="s">
        <v>173</v>
      </c>
      <c r="Y149" s="50"/>
    </row>
    <row r="150" spans="1:25" x14ac:dyDescent="0.25">
      <c r="A150" s="25" t="b">
        <v>1</v>
      </c>
      <c r="B150" t="b">
        <v>0</v>
      </c>
      <c r="C150" s="43" t="s">
        <v>291</v>
      </c>
      <c r="D150" s="43">
        <v>16044298383</v>
      </c>
      <c r="E150" s="43">
        <v>16044302007</v>
      </c>
      <c r="F150" s="44" t="s">
        <v>173</v>
      </c>
      <c r="G150" s="44" t="b">
        <v>0</v>
      </c>
      <c r="H150" s="44" t="b">
        <v>0</v>
      </c>
      <c r="I150" s="44"/>
      <c r="J150" s="45" t="s">
        <v>291</v>
      </c>
      <c r="K150" s="46">
        <v>16044302007</v>
      </c>
      <c r="M150" s="48" t="s">
        <v>291</v>
      </c>
      <c r="N150" s="48">
        <v>17088573146</v>
      </c>
      <c r="O150" s="48">
        <v>17088566255</v>
      </c>
      <c r="P150" s="48" t="s">
        <v>173</v>
      </c>
      <c r="Q150" s="49" t="s">
        <v>291</v>
      </c>
      <c r="R150" s="49">
        <v>17083128929</v>
      </c>
      <c r="S150" s="49">
        <v>17083129832</v>
      </c>
      <c r="T150" s="49" t="s">
        <v>173</v>
      </c>
      <c r="U150" s="50" t="s">
        <v>291</v>
      </c>
      <c r="V150" s="50">
        <v>17083128929</v>
      </c>
      <c r="W150" s="50">
        <v>17083129832</v>
      </c>
      <c r="X150" s="50" t="s">
        <v>173</v>
      </c>
      <c r="Y150" s="50"/>
    </row>
    <row r="151" spans="1:25" x14ac:dyDescent="0.25">
      <c r="A151" s="25" t="b">
        <v>1</v>
      </c>
      <c r="B151" t="b">
        <v>0</v>
      </c>
      <c r="C151" s="43" t="s">
        <v>292</v>
      </c>
      <c r="D151" s="43">
        <v>16044300431</v>
      </c>
      <c r="E151" s="43">
        <v>16044299703</v>
      </c>
      <c r="F151" s="44" t="s">
        <v>173</v>
      </c>
      <c r="G151" s="44" t="b">
        <v>0</v>
      </c>
      <c r="H151" s="44" t="b">
        <v>0</v>
      </c>
      <c r="I151" s="44"/>
      <c r="J151" s="45" t="s">
        <v>292</v>
      </c>
      <c r="K151" s="46">
        <v>16044299703</v>
      </c>
      <c r="M151" s="48" t="s">
        <v>292</v>
      </c>
      <c r="N151" s="48">
        <v>17088572738</v>
      </c>
      <c r="O151" s="48">
        <v>17088568137</v>
      </c>
      <c r="P151" s="48" t="s">
        <v>173</v>
      </c>
      <c r="Q151" s="49" t="s">
        <v>292</v>
      </c>
      <c r="R151" s="49">
        <v>17083127950</v>
      </c>
      <c r="S151" s="49">
        <v>17083122077</v>
      </c>
      <c r="T151" s="49" t="s">
        <v>173</v>
      </c>
      <c r="U151" s="50" t="s">
        <v>292</v>
      </c>
      <c r="V151" s="50">
        <v>17083127950</v>
      </c>
      <c r="W151" s="50">
        <v>17083122077</v>
      </c>
      <c r="X151" s="50" t="s">
        <v>173</v>
      </c>
      <c r="Y151" s="50"/>
    </row>
    <row r="152" spans="1:25" x14ac:dyDescent="0.25">
      <c r="A152" s="25" t="b">
        <v>1</v>
      </c>
      <c r="B152" t="b">
        <v>0</v>
      </c>
      <c r="C152" s="43" t="s">
        <v>293</v>
      </c>
      <c r="D152" s="43">
        <v>16044299407</v>
      </c>
      <c r="E152" s="43">
        <v>16044298359</v>
      </c>
      <c r="F152" s="44" t="s">
        <v>173</v>
      </c>
      <c r="G152" s="44" t="b">
        <v>0</v>
      </c>
      <c r="H152" s="44" t="b">
        <v>0</v>
      </c>
      <c r="I152" s="44"/>
      <c r="J152" s="45" t="s">
        <v>293</v>
      </c>
      <c r="K152" s="46">
        <v>16044298359</v>
      </c>
      <c r="M152" s="48" t="s">
        <v>293</v>
      </c>
      <c r="N152" s="48">
        <v>17088572746</v>
      </c>
      <c r="O152" s="48">
        <v>17088567115</v>
      </c>
      <c r="P152" s="48" t="s">
        <v>173</v>
      </c>
      <c r="Q152" s="49" t="s">
        <v>293</v>
      </c>
      <c r="R152" s="49">
        <v>17083128702</v>
      </c>
      <c r="S152" s="49">
        <v>17083124303</v>
      </c>
      <c r="T152" s="49" t="s">
        <v>173</v>
      </c>
      <c r="U152" s="50" t="s">
        <v>293</v>
      </c>
      <c r="V152" s="50">
        <v>17083128702</v>
      </c>
      <c r="W152" s="50">
        <v>17083124303</v>
      </c>
      <c r="X152" s="50" t="s">
        <v>173</v>
      </c>
      <c r="Y152" s="50"/>
    </row>
    <row r="153" spans="1:25" x14ac:dyDescent="0.25">
      <c r="A153" s="25" t="b">
        <v>1</v>
      </c>
      <c r="B153" t="b">
        <v>0</v>
      </c>
      <c r="C153" s="43" t="s">
        <v>294</v>
      </c>
      <c r="D153" s="43">
        <v>16044301455</v>
      </c>
      <c r="E153" s="43">
        <v>16044298871</v>
      </c>
      <c r="F153" s="44" t="s">
        <v>173</v>
      </c>
      <c r="G153" s="44" t="b">
        <v>0</v>
      </c>
      <c r="H153" s="44" t="b">
        <v>0</v>
      </c>
      <c r="I153" s="44"/>
      <c r="J153" s="45" t="s">
        <v>294</v>
      </c>
      <c r="K153" s="46">
        <v>16044298871</v>
      </c>
      <c r="M153" s="48" t="s">
        <v>294</v>
      </c>
      <c r="N153" s="48">
        <v>17088570774</v>
      </c>
      <c r="O153" s="48">
        <v>17088559140</v>
      </c>
      <c r="P153" s="48" t="s">
        <v>173</v>
      </c>
      <c r="Q153" s="49" t="s">
        <v>294</v>
      </c>
      <c r="R153" s="49">
        <v>17083128553</v>
      </c>
      <c r="S153" s="49">
        <v>17083089426</v>
      </c>
      <c r="T153" s="49" t="s">
        <v>173</v>
      </c>
      <c r="U153" s="50" t="s">
        <v>294</v>
      </c>
      <c r="V153" s="50">
        <v>17083128553</v>
      </c>
      <c r="W153" s="50">
        <v>17083089426</v>
      </c>
      <c r="X153" s="50" t="s">
        <v>173</v>
      </c>
      <c r="Y153" s="50"/>
    </row>
    <row r="154" spans="1:25" x14ac:dyDescent="0.25">
      <c r="A154" s="25" t="b">
        <v>1</v>
      </c>
      <c r="B154" t="b">
        <v>0</v>
      </c>
      <c r="C154" s="43" t="s">
        <v>295</v>
      </c>
      <c r="D154" s="43">
        <v>16044298895</v>
      </c>
      <c r="E154" s="43">
        <v>16044301943</v>
      </c>
      <c r="F154" s="44" t="s">
        <v>173</v>
      </c>
      <c r="G154" s="44" t="b">
        <v>0</v>
      </c>
      <c r="H154" s="44" t="b">
        <v>0</v>
      </c>
      <c r="I154" s="44"/>
      <c r="J154" s="45" t="s">
        <v>295</v>
      </c>
      <c r="K154" s="46">
        <v>16044301943</v>
      </c>
      <c r="M154" s="48" t="s">
        <v>295</v>
      </c>
      <c r="N154" s="48">
        <v>17088572114</v>
      </c>
      <c r="O154" s="48">
        <v>17088567373</v>
      </c>
      <c r="P154" s="48" t="s">
        <v>173</v>
      </c>
      <c r="Q154" s="49" t="s">
        <v>295</v>
      </c>
      <c r="R154" s="49">
        <v>17083127278</v>
      </c>
      <c r="S154" s="49">
        <v>17083125419</v>
      </c>
      <c r="T154" s="49" t="s">
        <v>173</v>
      </c>
      <c r="U154" s="50" t="s">
        <v>295</v>
      </c>
      <c r="V154" s="50">
        <v>17083127278</v>
      </c>
      <c r="W154" s="50">
        <v>17083125419</v>
      </c>
      <c r="X154" s="50" t="s">
        <v>173</v>
      </c>
      <c r="Y154" s="50"/>
    </row>
    <row r="155" spans="1:25" x14ac:dyDescent="0.25">
      <c r="A155" s="25" t="b">
        <v>1</v>
      </c>
      <c r="B155" t="b">
        <v>0</v>
      </c>
      <c r="C155" s="43" t="s">
        <v>296</v>
      </c>
      <c r="D155" s="43">
        <v>16044300943</v>
      </c>
      <c r="E155" s="43">
        <v>16044301175</v>
      </c>
      <c r="F155" s="44" t="s">
        <v>173</v>
      </c>
      <c r="G155" s="44" t="b">
        <v>0</v>
      </c>
      <c r="H155" s="44" t="b">
        <v>0</v>
      </c>
      <c r="I155" s="44"/>
      <c r="J155" s="45" t="s">
        <v>296</v>
      </c>
      <c r="K155" s="46">
        <v>16044301175</v>
      </c>
      <c r="M155" s="48" t="s">
        <v>296</v>
      </c>
      <c r="N155" s="48">
        <v>17088571678</v>
      </c>
      <c r="O155" s="48">
        <v>17088564955</v>
      </c>
      <c r="P155" s="48" t="s">
        <v>173</v>
      </c>
      <c r="Q155" s="49" t="s">
        <v>296</v>
      </c>
      <c r="R155" s="49">
        <v>17083127778</v>
      </c>
      <c r="S155" s="49">
        <v>17083124904</v>
      </c>
      <c r="T155" s="49" t="s">
        <v>173</v>
      </c>
      <c r="U155" s="50" t="s">
        <v>296</v>
      </c>
      <c r="V155" s="50">
        <v>17083127778</v>
      </c>
      <c r="W155" s="50">
        <v>17083124904</v>
      </c>
      <c r="X155" s="50" t="s">
        <v>173</v>
      </c>
      <c r="Y155" s="50"/>
    </row>
    <row r="156" spans="1:25" x14ac:dyDescent="0.25">
      <c r="A156" s="25" t="b">
        <v>1</v>
      </c>
      <c r="B156" t="b">
        <v>0</v>
      </c>
      <c r="C156" s="43" t="s">
        <v>297</v>
      </c>
      <c r="D156" s="43">
        <v>16044301967</v>
      </c>
      <c r="E156" s="43">
        <v>16044298487</v>
      </c>
      <c r="F156" s="44" t="s">
        <v>173</v>
      </c>
      <c r="G156" s="44" t="b">
        <v>0</v>
      </c>
      <c r="H156" s="44" t="b">
        <v>0</v>
      </c>
      <c r="I156" s="44"/>
      <c r="J156" s="45" t="s">
        <v>297</v>
      </c>
      <c r="K156" s="46">
        <v>16044298487</v>
      </c>
      <c r="M156" s="48" t="s">
        <v>297</v>
      </c>
      <c r="N156" s="48">
        <v>17088569345</v>
      </c>
      <c r="O156" s="48">
        <v>17088566304</v>
      </c>
      <c r="P156" s="48" t="s">
        <v>173</v>
      </c>
      <c r="Q156" s="49" t="s">
        <v>297</v>
      </c>
      <c r="R156" s="49">
        <v>17083127050</v>
      </c>
      <c r="S156" s="49">
        <v>17083124924</v>
      </c>
      <c r="T156" s="49" t="s">
        <v>173</v>
      </c>
      <c r="U156" s="50" t="s">
        <v>297</v>
      </c>
      <c r="V156" s="50">
        <v>17083127050</v>
      </c>
      <c r="W156" s="50">
        <v>17083124924</v>
      </c>
      <c r="X156" s="50" t="s">
        <v>173</v>
      </c>
      <c r="Y156" s="50"/>
    </row>
    <row r="157" spans="1:25" x14ac:dyDescent="0.25">
      <c r="A157" s="25" t="b">
        <v>1</v>
      </c>
      <c r="B157" t="b">
        <v>0</v>
      </c>
      <c r="C157" s="43" t="s">
        <v>298</v>
      </c>
      <c r="D157" s="43">
        <v>16044298639</v>
      </c>
      <c r="E157" s="43">
        <v>16044301559</v>
      </c>
      <c r="F157" s="44" t="s">
        <v>173</v>
      </c>
      <c r="G157" s="44" t="b">
        <v>0</v>
      </c>
      <c r="H157" s="44" t="b">
        <v>0</v>
      </c>
      <c r="I157" s="44"/>
      <c r="J157" s="45" t="s">
        <v>298</v>
      </c>
      <c r="K157" s="46">
        <v>16044301559</v>
      </c>
      <c r="M157" s="48" t="s">
        <v>298</v>
      </c>
      <c r="N157" s="48">
        <v>17088572786</v>
      </c>
      <c r="O157" s="48">
        <v>17088569251</v>
      </c>
      <c r="P157" s="48" t="s">
        <v>173</v>
      </c>
      <c r="Q157" s="49" t="s">
        <v>298</v>
      </c>
      <c r="R157" s="49">
        <v>17083127006</v>
      </c>
      <c r="S157" s="49">
        <v>17083121687</v>
      </c>
      <c r="T157" s="49" t="s">
        <v>173</v>
      </c>
      <c r="U157" s="50" t="s">
        <v>298</v>
      </c>
      <c r="V157" s="50">
        <v>17083127006</v>
      </c>
      <c r="W157" s="50">
        <v>17083121687</v>
      </c>
      <c r="X157" s="50" t="s">
        <v>173</v>
      </c>
      <c r="Y157" s="50"/>
    </row>
    <row r="158" spans="1:25" x14ac:dyDescent="0.25">
      <c r="A158" s="25" t="b">
        <v>1</v>
      </c>
      <c r="B158" t="b">
        <v>0</v>
      </c>
      <c r="C158" s="43" t="s">
        <v>299</v>
      </c>
      <c r="D158" s="43">
        <v>16044300687</v>
      </c>
      <c r="E158" s="43">
        <v>16044299255</v>
      </c>
      <c r="F158" s="44" t="s">
        <v>173</v>
      </c>
      <c r="G158" s="44" t="b">
        <v>0</v>
      </c>
      <c r="H158" s="44" t="b">
        <v>0</v>
      </c>
      <c r="I158" s="44"/>
      <c r="J158" s="45" t="s">
        <v>299</v>
      </c>
      <c r="K158" s="46">
        <v>16044299255</v>
      </c>
      <c r="M158" s="48" t="s">
        <v>299</v>
      </c>
      <c r="N158" s="48">
        <v>17088572842</v>
      </c>
      <c r="O158" s="48">
        <v>17088567527</v>
      </c>
      <c r="P158" s="48" t="s">
        <v>173</v>
      </c>
      <c r="Q158" s="49" t="s">
        <v>299</v>
      </c>
      <c r="R158" s="49">
        <v>17083129217</v>
      </c>
      <c r="S158" s="49">
        <v>17083127392</v>
      </c>
      <c r="T158" s="49" t="s">
        <v>173</v>
      </c>
      <c r="U158" s="50" t="s">
        <v>299</v>
      </c>
      <c r="V158" s="50">
        <v>17083129217</v>
      </c>
      <c r="W158" s="50">
        <v>17083127392</v>
      </c>
      <c r="X158" s="50" t="s">
        <v>173</v>
      </c>
      <c r="Y158" s="50"/>
    </row>
    <row r="159" spans="1:25" x14ac:dyDescent="0.25">
      <c r="A159" s="25" t="s">
        <v>115</v>
      </c>
      <c r="B159" t="b">
        <v>1</v>
      </c>
      <c r="C159" s="43" t="s">
        <v>300</v>
      </c>
      <c r="D159" s="43">
        <v>16618654411</v>
      </c>
      <c r="E159" s="43">
        <v>16618652915</v>
      </c>
      <c r="F159" s="44" t="s">
        <v>117</v>
      </c>
      <c r="G159" s="44" t="b">
        <v>1</v>
      </c>
      <c r="H159" s="44" t="b">
        <v>0</v>
      </c>
      <c r="I159" s="44" t="s">
        <v>134</v>
      </c>
      <c r="M159" s="48" t="s">
        <v>300</v>
      </c>
      <c r="N159" s="48">
        <v>17088571902</v>
      </c>
      <c r="O159" s="48">
        <v>17088562955</v>
      </c>
      <c r="P159" s="48" t="s">
        <v>117</v>
      </c>
      <c r="Q159" s="49" t="s">
        <v>300</v>
      </c>
      <c r="R159" s="49">
        <v>17083126866</v>
      </c>
      <c r="S159" s="49">
        <v>17083122512</v>
      </c>
      <c r="T159" s="49" t="s">
        <v>117</v>
      </c>
      <c r="U159" s="50" t="s">
        <v>300</v>
      </c>
      <c r="V159" s="50">
        <v>17083126866</v>
      </c>
      <c r="W159" s="50">
        <v>17083122512</v>
      </c>
      <c r="X159" s="50" t="s">
        <v>117</v>
      </c>
      <c r="Y159" s="50">
        <v>150002</v>
      </c>
    </row>
    <row r="160" spans="1:25" x14ac:dyDescent="0.25">
      <c r="A160" s="25" t="s">
        <v>115</v>
      </c>
      <c r="B160" t="b">
        <v>0</v>
      </c>
      <c r="C160" s="43" t="s">
        <v>301</v>
      </c>
      <c r="D160" s="43">
        <v>16618653387</v>
      </c>
      <c r="E160" s="43">
        <v>16618653171</v>
      </c>
      <c r="F160" s="44" t="s">
        <v>117</v>
      </c>
      <c r="G160" s="44" t="b">
        <v>1</v>
      </c>
      <c r="H160" s="44" t="b">
        <v>0</v>
      </c>
      <c r="I160" s="44"/>
      <c r="M160" s="48" t="s">
        <v>301</v>
      </c>
      <c r="N160" s="48">
        <v>17088571521</v>
      </c>
      <c r="O160" s="48">
        <v>17088565083</v>
      </c>
      <c r="P160" s="48" t="s">
        <v>117</v>
      </c>
      <c r="Q160" s="49" t="s">
        <v>301</v>
      </c>
      <c r="R160" s="49">
        <v>17083129682</v>
      </c>
      <c r="S160" s="49">
        <v>17083125032</v>
      </c>
      <c r="T160" s="49" t="s">
        <v>117</v>
      </c>
      <c r="U160" s="50" t="s">
        <v>301</v>
      </c>
      <c r="V160" s="50">
        <v>17083129682</v>
      </c>
      <c r="W160" s="50">
        <v>17083125032</v>
      </c>
      <c r="X160" s="50" t="s">
        <v>117</v>
      </c>
      <c r="Y160" s="50">
        <v>150192</v>
      </c>
    </row>
    <row r="161" spans="1:25" x14ac:dyDescent="0.25">
      <c r="A161" s="25" t="s">
        <v>115</v>
      </c>
      <c r="B161" t="b">
        <v>0</v>
      </c>
      <c r="C161" s="43" t="s">
        <v>302</v>
      </c>
      <c r="D161" s="43">
        <v>16618655435</v>
      </c>
      <c r="E161" s="43">
        <v>16618652683</v>
      </c>
      <c r="F161" s="44" t="s">
        <v>117</v>
      </c>
      <c r="G161" s="44" t="b">
        <v>1</v>
      </c>
      <c r="H161" s="44" t="b">
        <v>0</v>
      </c>
      <c r="I161" s="44"/>
      <c r="M161" s="48" t="s">
        <v>302</v>
      </c>
      <c r="N161" s="48">
        <v>17088573089</v>
      </c>
      <c r="O161" s="48">
        <v>17088562023</v>
      </c>
      <c r="P161" s="48" t="s">
        <v>117</v>
      </c>
      <c r="Q161" s="49" t="s">
        <v>302</v>
      </c>
      <c r="R161" s="49">
        <v>17083129354</v>
      </c>
      <c r="S161" s="49">
        <v>17083123204</v>
      </c>
      <c r="T161" s="49" t="s">
        <v>117</v>
      </c>
      <c r="U161" s="50" t="s">
        <v>302</v>
      </c>
      <c r="V161" s="50">
        <v>17083129354</v>
      </c>
      <c r="W161" s="50">
        <v>17083123204</v>
      </c>
      <c r="X161" s="50" t="s">
        <v>117</v>
      </c>
      <c r="Y161" s="50">
        <v>150185</v>
      </c>
    </row>
    <row r="162" spans="1:25" x14ac:dyDescent="0.25">
      <c r="A162" s="25" t="s">
        <v>115</v>
      </c>
      <c r="B162" t="b">
        <v>0</v>
      </c>
      <c r="C162" s="43" t="s">
        <v>303</v>
      </c>
      <c r="D162" s="43">
        <v>16618652107</v>
      </c>
      <c r="E162" s="43">
        <v>16618652939</v>
      </c>
      <c r="F162" s="44" t="s">
        <v>117</v>
      </c>
      <c r="G162" s="44" t="b">
        <v>1</v>
      </c>
      <c r="H162" s="44" t="b">
        <v>0</v>
      </c>
      <c r="I162" s="44"/>
      <c r="M162" s="48" t="s">
        <v>303</v>
      </c>
      <c r="N162" s="48">
        <v>17088571748</v>
      </c>
      <c r="O162" s="48">
        <v>17088562159</v>
      </c>
      <c r="P162" s="48" t="s">
        <v>117</v>
      </c>
      <c r="Q162" s="49" t="s">
        <v>303</v>
      </c>
      <c r="R162" s="49">
        <v>17083128010</v>
      </c>
      <c r="S162" s="49">
        <v>17083122828</v>
      </c>
      <c r="T162" s="49" t="s">
        <v>117</v>
      </c>
      <c r="U162" s="50" t="s">
        <v>303</v>
      </c>
      <c r="V162" s="50">
        <v>17083128010</v>
      </c>
      <c r="W162" s="50">
        <v>17083122828</v>
      </c>
      <c r="X162" s="50" t="s">
        <v>117</v>
      </c>
      <c r="Y162" s="50">
        <v>150178</v>
      </c>
    </row>
    <row r="163" spans="1:25" x14ac:dyDescent="0.25">
      <c r="A163" s="25" t="s">
        <v>115</v>
      </c>
      <c r="B163" t="b">
        <v>0</v>
      </c>
      <c r="C163" s="43" t="s">
        <v>304</v>
      </c>
      <c r="D163" s="43">
        <v>16618654155</v>
      </c>
      <c r="E163" s="43">
        <v>16618653835</v>
      </c>
      <c r="F163" s="44" t="s">
        <v>117</v>
      </c>
      <c r="G163" s="44" t="b">
        <v>1</v>
      </c>
      <c r="H163" s="44" t="b">
        <v>0</v>
      </c>
      <c r="I163" s="44"/>
      <c r="M163" s="48" t="s">
        <v>304</v>
      </c>
      <c r="N163" s="48">
        <v>17088571476</v>
      </c>
      <c r="O163" s="48">
        <v>17088568768</v>
      </c>
      <c r="P163" s="48" t="s">
        <v>117</v>
      </c>
      <c r="Q163" s="49" t="s">
        <v>304</v>
      </c>
      <c r="R163" s="49">
        <v>17083127338</v>
      </c>
      <c r="S163" s="49">
        <v>17083122492</v>
      </c>
      <c r="T163" s="49" t="s">
        <v>117</v>
      </c>
      <c r="U163" s="50" t="s">
        <v>304</v>
      </c>
      <c r="V163" s="50">
        <v>17083127338</v>
      </c>
      <c r="W163" s="50">
        <v>17083122492</v>
      </c>
      <c r="X163" s="50" t="s">
        <v>117</v>
      </c>
      <c r="Y163" s="50">
        <v>150176</v>
      </c>
    </row>
    <row r="164" spans="1:25" x14ac:dyDescent="0.25">
      <c r="A164" s="25" t="s">
        <v>115</v>
      </c>
      <c r="B164" t="b">
        <v>0</v>
      </c>
      <c r="C164" s="43" t="s">
        <v>305</v>
      </c>
      <c r="D164" s="43">
        <v>16618653131</v>
      </c>
      <c r="E164" s="43">
        <v>16618652043</v>
      </c>
      <c r="F164" s="44" t="s">
        <v>117</v>
      </c>
      <c r="G164" s="44" t="b">
        <v>1</v>
      </c>
      <c r="H164" s="44" t="b">
        <v>0</v>
      </c>
      <c r="I164" s="44"/>
      <c r="M164" s="48" t="s">
        <v>305</v>
      </c>
      <c r="N164" s="48">
        <v>17088572642</v>
      </c>
      <c r="O164" s="48">
        <v>17088568929</v>
      </c>
      <c r="P164" s="48" t="s">
        <v>117</v>
      </c>
      <c r="Q164" s="49" t="s">
        <v>305</v>
      </c>
      <c r="R164" s="49">
        <v>17083125902</v>
      </c>
      <c r="S164" s="49">
        <v>17083123213</v>
      </c>
      <c r="T164" s="49" t="s">
        <v>117</v>
      </c>
      <c r="U164" s="50" t="s">
        <v>305</v>
      </c>
      <c r="V164" s="50">
        <v>17083125902</v>
      </c>
      <c r="W164" s="50">
        <v>17083123213</v>
      </c>
      <c r="X164" s="50" t="s">
        <v>117</v>
      </c>
      <c r="Y164" s="50">
        <v>150043</v>
      </c>
    </row>
    <row r="165" spans="1:25" x14ac:dyDescent="0.25">
      <c r="A165" s="25" t="s">
        <v>115</v>
      </c>
      <c r="B165" t="b">
        <v>0</v>
      </c>
      <c r="C165" s="43" t="s">
        <v>306</v>
      </c>
      <c r="D165" s="43">
        <v>16618655179</v>
      </c>
      <c r="E165" s="43">
        <v>16618655627</v>
      </c>
      <c r="F165" s="44" t="s">
        <v>117</v>
      </c>
      <c r="G165" s="44" t="b">
        <v>1</v>
      </c>
      <c r="H165" s="44" t="b">
        <v>0</v>
      </c>
      <c r="I165" s="44"/>
      <c r="M165" s="48" t="s">
        <v>306</v>
      </c>
      <c r="N165" s="48">
        <v>17088571282</v>
      </c>
      <c r="O165" s="48">
        <v>17088569009</v>
      </c>
      <c r="P165" s="48" t="s">
        <v>117</v>
      </c>
      <c r="Q165" s="49" t="s">
        <v>306</v>
      </c>
      <c r="R165" s="49">
        <v>17083128526</v>
      </c>
      <c r="S165" s="49">
        <v>17083125421</v>
      </c>
      <c r="T165" s="49" t="s">
        <v>117</v>
      </c>
      <c r="U165" s="50" t="s">
        <v>306</v>
      </c>
      <c r="V165" s="50">
        <v>17083128526</v>
      </c>
      <c r="W165" s="50">
        <v>17083125421</v>
      </c>
      <c r="X165" s="50" t="s">
        <v>117</v>
      </c>
      <c r="Y165" s="50">
        <v>150044</v>
      </c>
    </row>
    <row r="166" spans="1:25" x14ac:dyDescent="0.25">
      <c r="A166" s="25" t="s">
        <v>115</v>
      </c>
      <c r="B166" t="b">
        <v>0</v>
      </c>
      <c r="C166" s="43" t="s">
        <v>307</v>
      </c>
      <c r="D166" s="43">
        <v>16618652619</v>
      </c>
      <c r="E166" s="43">
        <v>16618653259</v>
      </c>
      <c r="F166" s="44" t="s">
        <v>117</v>
      </c>
      <c r="G166" s="44" t="b">
        <v>1</v>
      </c>
      <c r="H166" s="44" t="b">
        <v>0</v>
      </c>
      <c r="I166" s="44"/>
      <c r="M166" s="48" t="s">
        <v>307</v>
      </c>
      <c r="N166" s="48">
        <v>17088569554</v>
      </c>
      <c r="O166" s="48">
        <v>17088565321</v>
      </c>
      <c r="P166" s="48" t="s">
        <v>117</v>
      </c>
      <c r="Q166" s="49" t="s">
        <v>307</v>
      </c>
      <c r="R166" s="49">
        <v>17083128366</v>
      </c>
      <c r="S166" s="49">
        <v>17083125021</v>
      </c>
      <c r="T166" s="49" t="s">
        <v>117</v>
      </c>
      <c r="U166" s="50" t="s">
        <v>307</v>
      </c>
      <c r="V166" s="50">
        <v>17083128366</v>
      </c>
      <c r="W166" s="50">
        <v>17083125021</v>
      </c>
      <c r="X166" s="50" t="s">
        <v>117</v>
      </c>
      <c r="Y166" s="50">
        <v>150203</v>
      </c>
    </row>
    <row r="167" spans="1:25" x14ac:dyDescent="0.25">
      <c r="A167" s="25" t="s">
        <v>115</v>
      </c>
      <c r="B167" t="b">
        <v>0</v>
      </c>
      <c r="C167" s="43" t="s">
        <v>308</v>
      </c>
      <c r="D167" s="43">
        <v>19265523747</v>
      </c>
      <c r="E167" s="43">
        <v>19265524035</v>
      </c>
      <c r="F167" s="44" t="s">
        <v>132</v>
      </c>
      <c r="G167" s="44" t="b">
        <v>0</v>
      </c>
      <c r="H167" s="44" t="b">
        <v>0</v>
      </c>
      <c r="I167" s="44"/>
      <c r="M167" s="48" t="s">
        <v>308</v>
      </c>
      <c r="N167" s="48">
        <v>17091099939</v>
      </c>
      <c r="O167" s="48">
        <v>17091096867</v>
      </c>
      <c r="P167" s="48" t="s">
        <v>132</v>
      </c>
      <c r="Q167" s="49"/>
      <c r="R167" s="49"/>
      <c r="S167" s="49"/>
      <c r="T167" s="49"/>
      <c r="U167" s="50"/>
      <c r="V167" s="50"/>
      <c r="W167" s="50"/>
      <c r="X167" s="50"/>
      <c r="Y167" s="50"/>
    </row>
    <row r="168" spans="1:25" x14ac:dyDescent="0.25">
      <c r="A168" s="25" t="s">
        <v>115</v>
      </c>
      <c r="B168" t="b">
        <v>0</v>
      </c>
      <c r="C168" s="43" t="s">
        <v>309</v>
      </c>
      <c r="D168" s="43">
        <v>19265525795</v>
      </c>
      <c r="E168" s="43">
        <v>19265527107</v>
      </c>
      <c r="F168" s="44" t="s">
        <v>132</v>
      </c>
      <c r="G168" s="44" t="b">
        <v>0</v>
      </c>
      <c r="H168" s="44" t="b">
        <v>0</v>
      </c>
      <c r="I168" s="44"/>
      <c r="M168" s="48"/>
      <c r="N168" s="48"/>
      <c r="O168" s="48"/>
      <c r="P168" s="48"/>
      <c r="Q168" s="49"/>
      <c r="R168" s="49"/>
      <c r="S168" s="49"/>
      <c r="T168" s="49"/>
      <c r="U168" s="50" t="s">
        <v>309</v>
      </c>
      <c r="V168" s="50">
        <v>17102548813</v>
      </c>
      <c r="W168" s="50">
        <v>17101191460</v>
      </c>
      <c r="X168" s="50" t="s">
        <v>132</v>
      </c>
      <c r="Y168" s="50"/>
    </row>
    <row r="169" spans="1:25" x14ac:dyDescent="0.25">
      <c r="A169" s="25" t="s">
        <v>115</v>
      </c>
      <c r="B169" t="b">
        <v>0</v>
      </c>
      <c r="C169" s="43" t="s">
        <v>310</v>
      </c>
      <c r="D169" s="43">
        <v>19265524771</v>
      </c>
      <c r="E169" s="43">
        <v>19265525571</v>
      </c>
      <c r="F169" s="44" t="s">
        <v>132</v>
      </c>
      <c r="G169" s="44" t="b">
        <v>0</v>
      </c>
      <c r="H169" s="44" t="b">
        <v>0</v>
      </c>
      <c r="I169" s="44"/>
      <c r="M169" s="48" t="s">
        <v>310</v>
      </c>
      <c r="N169" s="48">
        <v>17091097379</v>
      </c>
      <c r="O169" s="48">
        <v>17091097635</v>
      </c>
      <c r="P169" s="48" t="s">
        <v>132</v>
      </c>
      <c r="Q169" s="49"/>
      <c r="R169" s="49"/>
      <c r="S169" s="49"/>
      <c r="T169" s="49"/>
      <c r="U169" s="50"/>
      <c r="V169" s="50"/>
      <c r="W169" s="50"/>
      <c r="X169" s="50"/>
      <c r="Y169" s="50"/>
    </row>
    <row r="170" spans="1:25" x14ac:dyDescent="0.25">
      <c r="A170" s="25" t="s">
        <v>115</v>
      </c>
      <c r="B170" t="b">
        <v>0</v>
      </c>
      <c r="C170" s="43" t="s">
        <v>311</v>
      </c>
      <c r="D170" s="43">
        <v>19265526819</v>
      </c>
      <c r="E170" s="43">
        <v>19265525955</v>
      </c>
      <c r="F170" s="44" t="s">
        <v>132</v>
      </c>
      <c r="G170" s="44" t="b">
        <v>0</v>
      </c>
      <c r="H170" s="44" t="b">
        <v>0</v>
      </c>
      <c r="I170" s="44"/>
      <c r="M170" s="48"/>
      <c r="N170" s="48"/>
      <c r="O170" s="48"/>
      <c r="P170" s="48"/>
      <c r="Q170" s="49"/>
      <c r="R170" s="49"/>
      <c r="S170" s="49"/>
      <c r="T170" s="49"/>
      <c r="U170" s="50"/>
      <c r="V170" s="50"/>
      <c r="W170" s="50"/>
      <c r="X170" s="50"/>
      <c r="Y170" s="50"/>
    </row>
    <row r="171" spans="1:25" x14ac:dyDescent="0.25">
      <c r="A171" s="25" t="s">
        <v>115</v>
      </c>
      <c r="B171" t="b">
        <v>0</v>
      </c>
      <c r="C171" s="43" t="s">
        <v>312</v>
      </c>
      <c r="D171" s="43">
        <v>19265524259</v>
      </c>
      <c r="E171" s="43">
        <v>19265524419</v>
      </c>
      <c r="F171" s="44" t="s">
        <v>132</v>
      </c>
      <c r="G171" s="44" t="b">
        <v>0</v>
      </c>
      <c r="H171" s="44" t="b">
        <v>0</v>
      </c>
      <c r="I171" s="44"/>
      <c r="M171" s="48"/>
      <c r="N171" s="48"/>
      <c r="O171" s="48"/>
      <c r="P171" s="48"/>
      <c r="Q171" s="49"/>
      <c r="R171" s="49"/>
      <c r="S171" s="49"/>
      <c r="T171" s="49"/>
      <c r="U171" s="50" t="s">
        <v>312</v>
      </c>
      <c r="V171" s="50">
        <v>17102548621</v>
      </c>
      <c r="W171" s="50">
        <v>17101191172</v>
      </c>
      <c r="X171" s="50" t="s">
        <v>132</v>
      </c>
      <c r="Y171" s="50"/>
    </row>
    <row r="172" spans="1:25" x14ac:dyDescent="0.25">
      <c r="A172" s="25" t="s">
        <v>115</v>
      </c>
      <c r="B172" t="b">
        <v>0</v>
      </c>
      <c r="C172" s="43" t="s">
        <v>313</v>
      </c>
      <c r="D172" s="43">
        <v>19265526307</v>
      </c>
      <c r="E172" s="43">
        <v>19265527491</v>
      </c>
      <c r="F172" s="44" t="s">
        <v>132</v>
      </c>
      <c r="G172" s="44" t="b">
        <v>0</v>
      </c>
      <c r="H172" s="44" t="b">
        <v>0</v>
      </c>
      <c r="I172" s="44"/>
      <c r="M172" s="48"/>
      <c r="N172" s="48"/>
      <c r="O172" s="48"/>
      <c r="P172" s="48"/>
      <c r="Q172" s="49"/>
      <c r="R172" s="49"/>
      <c r="S172" s="49"/>
      <c r="T172" s="49"/>
      <c r="U172" s="50" t="s">
        <v>313</v>
      </c>
      <c r="V172" s="50">
        <v>17102545101</v>
      </c>
      <c r="W172" s="50">
        <v>17101189924</v>
      </c>
      <c r="X172" s="50" t="s">
        <v>132</v>
      </c>
      <c r="Y172" s="50"/>
    </row>
    <row r="173" spans="1:25" x14ac:dyDescent="0.25">
      <c r="A173" s="25" t="s">
        <v>115</v>
      </c>
      <c r="B173" t="b">
        <v>0</v>
      </c>
      <c r="C173" s="43" t="s">
        <v>314</v>
      </c>
      <c r="D173" s="43">
        <v>19265525283</v>
      </c>
      <c r="E173" s="43">
        <v>19265525187</v>
      </c>
      <c r="F173" s="44" t="s">
        <v>132</v>
      </c>
      <c r="G173" s="44" t="b">
        <v>0</v>
      </c>
      <c r="H173" s="44" t="b">
        <v>0</v>
      </c>
      <c r="I173" s="44"/>
      <c r="M173" s="48" t="s">
        <v>314</v>
      </c>
      <c r="N173" s="48">
        <v>17091099427</v>
      </c>
      <c r="O173" s="48">
        <v>17091099171</v>
      </c>
      <c r="P173" s="48" t="s">
        <v>132</v>
      </c>
      <c r="Q173" s="49"/>
      <c r="R173" s="49"/>
      <c r="S173" s="49"/>
      <c r="T173" s="49"/>
      <c r="U173" s="50"/>
      <c r="V173" s="50"/>
      <c r="W173" s="50"/>
      <c r="X173" s="50"/>
      <c r="Y173" s="50"/>
    </row>
    <row r="174" spans="1:25" x14ac:dyDescent="0.25">
      <c r="A174" s="25" t="s">
        <v>115</v>
      </c>
      <c r="B174" t="b">
        <v>0</v>
      </c>
      <c r="C174" s="43" t="s">
        <v>315</v>
      </c>
      <c r="D174" s="43">
        <v>19265527331</v>
      </c>
      <c r="E174" s="43">
        <v>19265526723</v>
      </c>
      <c r="F174" s="44" t="s">
        <v>132</v>
      </c>
      <c r="G174" s="44" t="b">
        <v>0</v>
      </c>
      <c r="H174" s="44" t="b">
        <v>0</v>
      </c>
      <c r="I174" s="44"/>
      <c r="M174" s="48"/>
      <c r="N174" s="48"/>
      <c r="O174" s="48"/>
      <c r="P174" s="48"/>
      <c r="Q174" s="49"/>
      <c r="R174" s="49"/>
      <c r="S174" s="49"/>
      <c r="T174" s="49"/>
      <c r="U174" s="50" t="s">
        <v>315</v>
      </c>
      <c r="V174" s="50">
        <v>17102547149</v>
      </c>
      <c r="W174" s="50">
        <v>17101192996</v>
      </c>
      <c r="X174" s="50" t="s">
        <v>132</v>
      </c>
      <c r="Y174" s="50"/>
    </row>
    <row r="175" spans="1:25" x14ac:dyDescent="0.25">
      <c r="A175" s="25" t="s">
        <v>115</v>
      </c>
      <c r="B175" t="b">
        <v>0</v>
      </c>
      <c r="C175" s="43" t="s">
        <v>316</v>
      </c>
      <c r="D175" s="43">
        <v>19372907335</v>
      </c>
      <c r="E175" s="43">
        <v>19372905543</v>
      </c>
      <c r="F175" s="44" t="s">
        <v>119</v>
      </c>
      <c r="G175" s="44" t="b">
        <v>0</v>
      </c>
      <c r="H175" s="44" t="b">
        <v>0</v>
      </c>
      <c r="I175" s="44"/>
      <c r="M175" s="48"/>
      <c r="N175" s="48"/>
      <c r="O175" s="48"/>
      <c r="P175" s="48"/>
      <c r="Q175" s="49"/>
      <c r="R175" s="49"/>
      <c r="S175" s="49"/>
      <c r="T175" s="49"/>
      <c r="U175" s="50" t="s">
        <v>316</v>
      </c>
      <c r="V175" s="50">
        <v>17102546989</v>
      </c>
      <c r="W175" s="50">
        <v>17101189588</v>
      </c>
      <c r="X175" s="50" t="s">
        <v>119</v>
      </c>
      <c r="Y175" s="50"/>
    </row>
    <row r="176" spans="1:25" x14ac:dyDescent="0.25">
      <c r="A176" s="25" t="s">
        <v>115</v>
      </c>
      <c r="B176" t="b">
        <v>0</v>
      </c>
      <c r="C176" s="43" t="s">
        <v>317</v>
      </c>
      <c r="D176" s="43">
        <v>19372906311</v>
      </c>
      <c r="E176" s="43">
        <v>19372907399</v>
      </c>
      <c r="F176" s="44" t="s">
        <v>119</v>
      </c>
      <c r="G176" s="44" t="b">
        <v>0</v>
      </c>
      <c r="H176" s="44" t="b">
        <v>0</v>
      </c>
      <c r="I176" s="44"/>
      <c r="M176" s="48"/>
      <c r="N176" s="48"/>
      <c r="O176" s="48"/>
      <c r="P176" s="48"/>
      <c r="Q176" s="49"/>
      <c r="R176" s="49"/>
      <c r="S176" s="49"/>
      <c r="T176" s="49"/>
      <c r="U176" s="50" t="s">
        <v>317</v>
      </c>
      <c r="V176" s="50">
        <v>17102544941</v>
      </c>
      <c r="W176" s="50">
        <v>17101192404</v>
      </c>
      <c r="X176" s="50" t="s">
        <v>119</v>
      </c>
      <c r="Y176" s="50"/>
    </row>
    <row r="177" spans="1:29" x14ac:dyDescent="0.25">
      <c r="A177" s="25" t="s">
        <v>115</v>
      </c>
      <c r="B177" t="b">
        <v>0</v>
      </c>
      <c r="C177" s="43" t="s">
        <v>318</v>
      </c>
      <c r="D177" s="43">
        <v>19372908359</v>
      </c>
      <c r="E177" s="43">
        <v>19372905799</v>
      </c>
      <c r="F177" s="44" t="s">
        <v>132</v>
      </c>
      <c r="G177" s="44" t="b">
        <v>0</v>
      </c>
      <c r="H177" s="44" t="b">
        <v>0</v>
      </c>
      <c r="I177" s="44"/>
      <c r="J177" s="45" t="s">
        <v>318</v>
      </c>
      <c r="K177" s="46">
        <v>19372905799</v>
      </c>
      <c r="L177" s="47">
        <v>990000622</v>
      </c>
      <c r="M177" s="48"/>
      <c r="N177" s="48"/>
      <c r="O177" s="48"/>
      <c r="P177" s="48"/>
      <c r="Q177" s="49"/>
      <c r="R177" s="49"/>
      <c r="S177" s="49"/>
      <c r="T177" s="49"/>
      <c r="U177" s="50"/>
      <c r="V177" s="50"/>
      <c r="W177" s="50"/>
      <c r="X177" s="50"/>
      <c r="Y177" s="50"/>
    </row>
    <row r="178" spans="1:29" x14ac:dyDescent="0.25">
      <c r="A178" s="25" t="s">
        <v>115</v>
      </c>
      <c r="B178" t="b">
        <v>0</v>
      </c>
      <c r="C178" s="43" t="s">
        <v>319</v>
      </c>
      <c r="D178" s="43">
        <v>19372904647</v>
      </c>
      <c r="E178" s="43">
        <v>19372908103</v>
      </c>
      <c r="F178" s="44" t="s">
        <v>132</v>
      </c>
      <c r="G178" s="44" t="b">
        <v>0</v>
      </c>
      <c r="H178" s="44" t="b">
        <v>0</v>
      </c>
      <c r="I178" s="44"/>
      <c r="J178" s="45" t="s">
        <v>319</v>
      </c>
      <c r="K178" s="46">
        <v>19372908103</v>
      </c>
      <c r="L178" s="47">
        <v>990000621</v>
      </c>
      <c r="M178" s="48"/>
      <c r="N178" s="48"/>
      <c r="O178" s="48"/>
      <c r="P178" s="48"/>
      <c r="Q178" s="49"/>
      <c r="R178" s="49"/>
      <c r="S178" s="49"/>
      <c r="T178" s="49"/>
      <c r="U178" s="50"/>
      <c r="V178" s="50"/>
      <c r="W178" s="50"/>
      <c r="X178" s="50"/>
      <c r="Y178" s="50"/>
    </row>
    <row r="179" spans="1:29" x14ac:dyDescent="0.25">
      <c r="A179" s="25" t="s">
        <v>115</v>
      </c>
      <c r="B179" t="b">
        <v>0</v>
      </c>
      <c r="C179" s="43" t="s">
        <v>320</v>
      </c>
      <c r="D179" s="43">
        <v>19372906695</v>
      </c>
      <c r="E179" s="43">
        <v>19372908167</v>
      </c>
      <c r="F179" s="44" t="s">
        <v>125</v>
      </c>
      <c r="G179" s="44" t="b">
        <v>1</v>
      </c>
      <c r="H179" s="44" t="b">
        <v>0</v>
      </c>
      <c r="I179" s="44" t="s">
        <v>126</v>
      </c>
      <c r="M179" s="48"/>
      <c r="N179" s="48"/>
      <c r="O179" s="48"/>
      <c r="P179" s="48"/>
      <c r="Q179" s="49"/>
      <c r="R179" s="49"/>
      <c r="S179" s="49"/>
      <c r="T179" s="49"/>
      <c r="U179" s="50"/>
      <c r="V179" s="50"/>
      <c r="W179" s="50"/>
      <c r="X179" s="50"/>
      <c r="Y179" s="50"/>
    </row>
    <row r="180" spans="1:29" x14ac:dyDescent="0.25">
      <c r="A180" s="25" t="s">
        <v>115</v>
      </c>
      <c r="B180" t="b">
        <v>0</v>
      </c>
      <c r="C180" s="43" t="s">
        <v>321</v>
      </c>
      <c r="D180" s="43">
        <v>19372905671</v>
      </c>
      <c r="E180" s="43">
        <v>19372905863</v>
      </c>
      <c r="F180" s="44" t="s">
        <v>125</v>
      </c>
      <c r="G180" s="44" t="b">
        <v>1</v>
      </c>
      <c r="H180" s="44" t="b">
        <v>0</v>
      </c>
      <c r="I180" s="44" t="s">
        <v>126</v>
      </c>
      <c r="M180" s="48"/>
      <c r="N180" s="48"/>
      <c r="O180" s="48"/>
      <c r="P180" s="48"/>
      <c r="Q180" s="49"/>
      <c r="R180" s="49"/>
      <c r="S180" s="49"/>
      <c r="T180" s="49"/>
      <c r="U180" s="50"/>
      <c r="V180" s="50"/>
      <c r="W180" s="50"/>
      <c r="X180" s="50"/>
      <c r="Y180" s="50"/>
    </row>
    <row r="181" spans="1:29" x14ac:dyDescent="0.25">
      <c r="A181" s="25" t="s">
        <v>115</v>
      </c>
      <c r="B181" t="b">
        <v>0</v>
      </c>
      <c r="C181" s="43" t="s">
        <v>322</v>
      </c>
      <c r="D181" s="43">
        <v>20112204091</v>
      </c>
      <c r="E181" s="43">
        <v>20112204859</v>
      </c>
      <c r="F181" s="44" t="s">
        <v>125</v>
      </c>
      <c r="G181" s="44" t="b">
        <v>1</v>
      </c>
      <c r="H181" s="44" t="b">
        <v>0</v>
      </c>
      <c r="I181" s="44" t="s">
        <v>126</v>
      </c>
      <c r="M181" s="48" t="s">
        <v>322</v>
      </c>
      <c r="N181" s="48">
        <v>17088573018</v>
      </c>
      <c r="O181" s="48">
        <v>17088568999</v>
      </c>
      <c r="P181" s="48" t="s">
        <v>125</v>
      </c>
      <c r="Q181" s="49" t="s">
        <v>322</v>
      </c>
      <c r="R181" s="49">
        <v>17083129377</v>
      </c>
      <c r="S181" s="49">
        <v>17083127584</v>
      </c>
      <c r="T181" s="49" t="s">
        <v>125</v>
      </c>
      <c r="U181" s="50" t="s">
        <v>322</v>
      </c>
      <c r="V181" s="50">
        <v>17083129377</v>
      </c>
      <c r="W181" s="50">
        <v>17083127584</v>
      </c>
      <c r="X181" s="50" t="s">
        <v>125</v>
      </c>
      <c r="Y181" s="50">
        <v>120474</v>
      </c>
    </row>
    <row r="182" spans="1:29" x14ac:dyDescent="0.25">
      <c r="A182" s="25" t="s">
        <v>115</v>
      </c>
      <c r="B182" t="b">
        <v>0</v>
      </c>
      <c r="C182" s="43" t="s">
        <v>323</v>
      </c>
      <c r="D182" s="43">
        <v>20112206139</v>
      </c>
      <c r="E182" s="43">
        <v>20112206395</v>
      </c>
      <c r="F182" s="44" t="s">
        <v>123</v>
      </c>
      <c r="G182" s="44" t="b">
        <v>1</v>
      </c>
      <c r="H182" s="44" t="b">
        <v>0</v>
      </c>
      <c r="I182" s="44"/>
      <c r="M182" s="48" t="s">
        <v>323</v>
      </c>
      <c r="N182" s="48">
        <v>17088569404</v>
      </c>
      <c r="O182" s="48">
        <v>17088566438</v>
      </c>
      <c r="P182" s="48" t="s">
        <v>123</v>
      </c>
      <c r="Q182" s="49" t="s">
        <v>323</v>
      </c>
      <c r="R182" s="49">
        <v>17083128982</v>
      </c>
      <c r="S182" s="49">
        <v>17083122857</v>
      </c>
      <c r="T182" s="49" t="s">
        <v>123</v>
      </c>
      <c r="U182" s="50" t="s">
        <v>323</v>
      </c>
      <c r="V182" s="50">
        <v>17083128982</v>
      </c>
      <c r="W182" s="50">
        <v>17083122857</v>
      </c>
      <c r="X182" s="50" t="s">
        <v>123</v>
      </c>
      <c r="Y182" s="50">
        <v>150169</v>
      </c>
    </row>
    <row r="183" spans="1:29" x14ac:dyDescent="0.25">
      <c r="A183" s="25" t="s">
        <v>115</v>
      </c>
      <c r="B183" t="b">
        <v>0</v>
      </c>
      <c r="C183" s="43" t="s">
        <v>324</v>
      </c>
      <c r="D183" s="43">
        <v>20112814497</v>
      </c>
      <c r="E183" s="43">
        <v>20112816129</v>
      </c>
      <c r="F183" s="44" t="s">
        <v>125</v>
      </c>
      <c r="G183" s="44" t="b">
        <v>0</v>
      </c>
      <c r="H183" s="44" t="b">
        <v>1</v>
      </c>
      <c r="I183" s="44"/>
      <c r="J183" s="45" t="s">
        <v>324</v>
      </c>
      <c r="K183" s="46">
        <v>20112816129</v>
      </c>
      <c r="L183" s="47">
        <v>990000450</v>
      </c>
      <c r="M183" s="48" t="s">
        <v>324</v>
      </c>
      <c r="N183" s="48">
        <v>17088572294</v>
      </c>
      <c r="O183" s="48">
        <v>17088565851</v>
      </c>
      <c r="P183" s="48" t="s">
        <v>125</v>
      </c>
      <c r="Q183" s="49" t="s">
        <v>324</v>
      </c>
      <c r="R183" s="49">
        <v>17083128737</v>
      </c>
      <c r="S183" s="49">
        <v>17083123103</v>
      </c>
      <c r="T183" s="49" t="s">
        <v>125</v>
      </c>
      <c r="U183" s="50" t="s">
        <v>324</v>
      </c>
      <c r="V183" s="50">
        <v>17083128737</v>
      </c>
      <c r="W183" s="50">
        <v>17083123103</v>
      </c>
      <c r="X183" s="50" t="s">
        <v>125</v>
      </c>
      <c r="Y183" s="50"/>
      <c r="Z183" s="51" t="s">
        <v>324</v>
      </c>
      <c r="AA183" s="51" t="s">
        <v>325</v>
      </c>
      <c r="AB183" s="51">
        <v>19264</v>
      </c>
      <c r="AC183" s="51">
        <v>22924</v>
      </c>
    </row>
    <row r="184" spans="1:29" x14ac:dyDescent="0.25">
      <c r="A184" s="25" t="s">
        <v>115</v>
      </c>
      <c r="B184" t="b">
        <v>0</v>
      </c>
      <c r="C184" s="43" t="s">
        <v>326</v>
      </c>
      <c r="D184" s="43">
        <v>20112816545</v>
      </c>
      <c r="E184" s="43">
        <v>20112814593</v>
      </c>
      <c r="F184" s="44" t="s">
        <v>125</v>
      </c>
      <c r="G184" s="44" t="b">
        <v>0</v>
      </c>
      <c r="H184" s="44" t="b">
        <v>1</v>
      </c>
      <c r="I184" s="44"/>
      <c r="J184" s="45" t="s">
        <v>326</v>
      </c>
      <c r="K184" s="46">
        <v>20112814593</v>
      </c>
      <c r="L184" s="47">
        <v>990000451</v>
      </c>
      <c r="M184" s="48" t="s">
        <v>326</v>
      </c>
      <c r="N184" s="48">
        <v>17088572326</v>
      </c>
      <c r="O184" s="48">
        <v>17088565927</v>
      </c>
      <c r="P184" s="48" t="s">
        <v>125</v>
      </c>
      <c r="Q184" s="49" t="s">
        <v>326</v>
      </c>
      <c r="R184" s="49">
        <v>17083128721</v>
      </c>
      <c r="S184" s="49">
        <v>17083128352</v>
      </c>
      <c r="T184" s="49" t="s">
        <v>125</v>
      </c>
      <c r="U184" s="50" t="s">
        <v>326</v>
      </c>
      <c r="V184" s="50">
        <v>17083128721</v>
      </c>
      <c r="W184" s="50">
        <v>17083128352</v>
      </c>
      <c r="X184" s="50" t="s">
        <v>125</v>
      </c>
      <c r="Y184" s="50"/>
      <c r="Z184" s="51" t="s">
        <v>326</v>
      </c>
      <c r="AA184" s="51" t="s">
        <v>325</v>
      </c>
      <c r="AB184" s="51">
        <v>33711</v>
      </c>
      <c r="AC184" s="51">
        <v>40116</v>
      </c>
    </row>
    <row r="185" spans="1:29" x14ac:dyDescent="0.25">
      <c r="A185" s="25" t="s">
        <v>115</v>
      </c>
      <c r="B185" t="b">
        <v>0</v>
      </c>
      <c r="C185" s="43" t="s">
        <v>327</v>
      </c>
      <c r="D185" s="43">
        <v>20112815521</v>
      </c>
      <c r="E185" s="43">
        <v>20112817665</v>
      </c>
      <c r="F185" s="44" t="s">
        <v>125</v>
      </c>
      <c r="G185" s="44" t="b">
        <v>0</v>
      </c>
      <c r="H185" s="44" t="b">
        <v>1</v>
      </c>
      <c r="I185" s="44"/>
      <c r="J185" s="45" t="s">
        <v>327</v>
      </c>
      <c r="K185" s="46">
        <v>20112817665</v>
      </c>
      <c r="L185" s="47">
        <v>990000452</v>
      </c>
      <c r="M185" s="48" t="s">
        <v>327</v>
      </c>
      <c r="N185" s="48">
        <v>17088570214</v>
      </c>
      <c r="O185" s="48">
        <v>17088567463</v>
      </c>
      <c r="P185" s="48" t="s">
        <v>125</v>
      </c>
      <c r="Q185" s="49" t="s">
        <v>327</v>
      </c>
      <c r="R185" s="49">
        <v>17083129041</v>
      </c>
      <c r="S185" s="49">
        <v>17083126816</v>
      </c>
      <c r="T185" s="49" t="s">
        <v>125</v>
      </c>
      <c r="U185" s="50" t="s">
        <v>327</v>
      </c>
      <c r="V185" s="50">
        <v>17083129041</v>
      </c>
      <c r="W185" s="50">
        <v>17083126816</v>
      </c>
      <c r="X185" s="50" t="s">
        <v>125</v>
      </c>
      <c r="Y185" s="50"/>
      <c r="Z185" s="51" t="s">
        <v>327</v>
      </c>
      <c r="AA185" s="51" t="s">
        <v>325</v>
      </c>
      <c r="AB185" s="51">
        <v>57790</v>
      </c>
      <c r="AC185" s="51">
        <v>68770</v>
      </c>
    </row>
    <row r="186" spans="1:29" x14ac:dyDescent="0.25">
      <c r="A186" s="25" t="s">
        <v>115</v>
      </c>
      <c r="B186" t="b">
        <v>0</v>
      </c>
      <c r="C186" s="43" t="s">
        <v>328</v>
      </c>
      <c r="D186" s="43">
        <v>20112817569</v>
      </c>
      <c r="E186" s="43">
        <v>20112815361</v>
      </c>
      <c r="F186" s="44" t="s">
        <v>125</v>
      </c>
      <c r="G186" s="44" t="b">
        <v>0</v>
      </c>
      <c r="H186" s="44" t="b">
        <v>1</v>
      </c>
      <c r="I186" s="44"/>
      <c r="J186" s="45" t="s">
        <v>328</v>
      </c>
      <c r="K186" s="46">
        <v>20112815361</v>
      </c>
      <c r="L186" s="47">
        <v>990000453</v>
      </c>
      <c r="M186" s="48" t="s">
        <v>328</v>
      </c>
      <c r="N186" s="48">
        <v>17088570150</v>
      </c>
      <c r="O186" s="48">
        <v>17088567079</v>
      </c>
      <c r="P186" s="48" t="s">
        <v>125</v>
      </c>
      <c r="Q186" s="49" t="s">
        <v>328</v>
      </c>
      <c r="R186" s="49">
        <v>17083126801</v>
      </c>
      <c r="S186" s="49">
        <v>17083129792</v>
      </c>
      <c r="T186" s="49" t="s">
        <v>125</v>
      </c>
      <c r="U186" s="50" t="s">
        <v>328</v>
      </c>
      <c r="V186" s="50">
        <v>17083126801</v>
      </c>
      <c r="W186" s="50">
        <v>17083129792</v>
      </c>
      <c r="X186" s="50" t="s">
        <v>125</v>
      </c>
      <c r="Y186" s="50"/>
      <c r="Z186" s="51" t="s">
        <v>328</v>
      </c>
      <c r="AA186" s="51" t="s">
        <v>325</v>
      </c>
      <c r="AB186" s="51">
        <v>96315</v>
      </c>
      <c r="AC186" s="51">
        <v>114615</v>
      </c>
    </row>
    <row r="187" spans="1:29" x14ac:dyDescent="0.25">
      <c r="A187" s="25" t="s">
        <v>115</v>
      </c>
      <c r="B187" t="b">
        <v>0</v>
      </c>
      <c r="C187" s="43" t="s">
        <v>329</v>
      </c>
      <c r="D187" s="43">
        <v>20112815009</v>
      </c>
      <c r="E187" s="43">
        <v>20112817281</v>
      </c>
      <c r="F187" s="44" t="s">
        <v>186</v>
      </c>
      <c r="G187" s="44" t="b">
        <v>0</v>
      </c>
      <c r="H187" s="44" t="b">
        <v>1</v>
      </c>
      <c r="I187" s="44"/>
      <c r="M187" s="48" t="s">
        <v>329</v>
      </c>
      <c r="N187" s="48">
        <v>17088572708</v>
      </c>
      <c r="O187" s="48">
        <v>17088563727</v>
      </c>
      <c r="P187" s="48" t="s">
        <v>186</v>
      </c>
      <c r="Q187" s="49" t="s">
        <v>329</v>
      </c>
      <c r="R187" s="49">
        <v>17083127178</v>
      </c>
      <c r="S187" s="49">
        <v>17083124756</v>
      </c>
      <c r="T187" s="49" t="s">
        <v>186</v>
      </c>
      <c r="U187" s="50" t="s">
        <v>329</v>
      </c>
      <c r="V187" s="50">
        <v>17083127178</v>
      </c>
      <c r="W187" s="50">
        <v>17083124756</v>
      </c>
      <c r="X187" s="50" t="s">
        <v>186</v>
      </c>
      <c r="Y187" s="50"/>
      <c r="Z187" s="51" t="s">
        <v>329</v>
      </c>
      <c r="AA187" s="51" t="s">
        <v>187</v>
      </c>
      <c r="AB187" s="51">
        <v>1156</v>
      </c>
      <c r="AC187" s="51">
        <v>1376</v>
      </c>
    </row>
    <row r="188" spans="1:29" x14ac:dyDescent="0.25">
      <c r="A188" s="25" t="s">
        <v>115</v>
      </c>
      <c r="B188" t="b">
        <v>0</v>
      </c>
      <c r="C188" s="43" t="s">
        <v>330</v>
      </c>
      <c r="D188" s="43">
        <v>20112817057</v>
      </c>
      <c r="E188" s="43">
        <v>20112816897</v>
      </c>
      <c r="F188" s="44" t="s">
        <v>186</v>
      </c>
      <c r="G188" s="44" t="b">
        <v>0</v>
      </c>
      <c r="H188" s="44" t="b">
        <v>1</v>
      </c>
      <c r="I188" s="44"/>
      <c r="M188" s="48" t="s">
        <v>330</v>
      </c>
      <c r="N188" s="48">
        <v>17088572052</v>
      </c>
      <c r="O188" s="48">
        <v>17088564671</v>
      </c>
      <c r="P188" s="48" t="s">
        <v>186</v>
      </c>
      <c r="Q188" s="49" t="s">
        <v>330</v>
      </c>
      <c r="R188" s="49">
        <v>17083127850</v>
      </c>
      <c r="S188" s="49">
        <v>17083123308</v>
      </c>
      <c r="T188" s="49" t="s">
        <v>186</v>
      </c>
      <c r="U188" s="50" t="s">
        <v>330</v>
      </c>
      <c r="V188" s="50">
        <v>17083127850</v>
      </c>
      <c r="W188" s="50">
        <v>17083123308</v>
      </c>
      <c r="X188" s="50" t="s">
        <v>186</v>
      </c>
      <c r="Y188" s="50"/>
      <c r="Z188" s="51" t="s">
        <v>330</v>
      </c>
      <c r="AA188" s="51" t="s">
        <v>187</v>
      </c>
      <c r="AB188" s="51">
        <v>2890</v>
      </c>
      <c r="AC188" s="51">
        <v>3439</v>
      </c>
    </row>
    <row r="189" spans="1:29" x14ac:dyDescent="0.25">
      <c r="A189" s="25" t="s">
        <v>115</v>
      </c>
      <c r="B189" t="b">
        <v>0</v>
      </c>
      <c r="C189" s="43" t="s">
        <v>331</v>
      </c>
      <c r="D189" s="43">
        <v>192486080971</v>
      </c>
      <c r="E189" s="43">
        <v>192486082653</v>
      </c>
      <c r="F189" s="44" t="s">
        <v>125</v>
      </c>
      <c r="G189" s="44" t="b">
        <v>1</v>
      </c>
      <c r="H189" s="44" t="b">
        <v>0</v>
      </c>
      <c r="I189" s="44" t="s">
        <v>126</v>
      </c>
      <c r="M189" s="48" t="s">
        <v>331</v>
      </c>
      <c r="N189" s="48">
        <v>17093054604</v>
      </c>
      <c r="O189" s="48">
        <v>17093053247</v>
      </c>
      <c r="P189" s="48" t="s">
        <v>125</v>
      </c>
      <c r="Q189" s="49"/>
      <c r="R189" s="49"/>
      <c r="S189" s="49"/>
      <c r="T189" s="49"/>
      <c r="U189" s="50" t="s">
        <v>331</v>
      </c>
      <c r="V189" s="50">
        <v>17084589282</v>
      </c>
      <c r="W189" s="50">
        <v>17084590004</v>
      </c>
      <c r="X189" s="50" t="s">
        <v>125</v>
      </c>
      <c r="Y189" s="50">
        <v>120438</v>
      </c>
    </row>
    <row r="190" spans="1:29" x14ac:dyDescent="0.25">
      <c r="A190" s="25" t="s">
        <v>115</v>
      </c>
      <c r="B190" t="b">
        <v>0</v>
      </c>
      <c r="C190" s="43" t="s">
        <v>332</v>
      </c>
      <c r="D190" s="43">
        <v>192486083019</v>
      </c>
      <c r="E190" s="43">
        <v>192486081117</v>
      </c>
      <c r="F190" s="44" t="s">
        <v>125</v>
      </c>
      <c r="G190" s="44" t="b">
        <v>1</v>
      </c>
      <c r="H190" s="44" t="b">
        <v>0</v>
      </c>
      <c r="I190" s="44"/>
      <c r="M190" s="48" t="s">
        <v>332</v>
      </c>
      <c r="N190" s="48">
        <v>17093056652</v>
      </c>
      <c r="O190" s="48">
        <v>17093050559</v>
      </c>
      <c r="P190" s="48" t="s">
        <v>125</v>
      </c>
      <c r="Q190" s="49"/>
      <c r="R190" s="49"/>
      <c r="S190" s="49"/>
      <c r="T190" s="49"/>
      <c r="U190" s="50" t="s">
        <v>332</v>
      </c>
      <c r="V190" s="50">
        <v>17084591330</v>
      </c>
      <c r="W190" s="50">
        <v>17084590196</v>
      </c>
      <c r="X190" s="50" t="s">
        <v>125</v>
      </c>
      <c r="Y190" s="50">
        <v>120425</v>
      </c>
    </row>
    <row r="191" spans="1:29" x14ac:dyDescent="0.25">
      <c r="A191" s="25" t="s">
        <v>115</v>
      </c>
      <c r="B191" t="b">
        <v>0</v>
      </c>
      <c r="C191" s="43" t="s">
        <v>333</v>
      </c>
      <c r="D191" s="43">
        <v>192486081995</v>
      </c>
      <c r="E191" s="43">
        <v>192486080733</v>
      </c>
      <c r="F191" s="44" t="s">
        <v>125</v>
      </c>
      <c r="G191" s="44" t="b">
        <v>1</v>
      </c>
      <c r="H191" s="44" t="b">
        <v>0</v>
      </c>
      <c r="I191" s="44" t="s">
        <v>126</v>
      </c>
      <c r="M191" s="48" t="s">
        <v>333</v>
      </c>
      <c r="N191" s="48">
        <v>17093055628</v>
      </c>
      <c r="O191" s="48">
        <v>17093051327</v>
      </c>
      <c r="P191" s="48" t="s">
        <v>125</v>
      </c>
      <c r="Q191" s="49"/>
      <c r="R191" s="49"/>
      <c r="S191" s="49"/>
      <c r="T191" s="49"/>
      <c r="U191" s="50" t="s">
        <v>333</v>
      </c>
      <c r="V191" s="50">
        <v>17084588770</v>
      </c>
      <c r="W191" s="50">
        <v>17084590964</v>
      </c>
      <c r="X191" s="50" t="s">
        <v>125</v>
      </c>
      <c r="Y191" s="50">
        <v>120421</v>
      </c>
    </row>
    <row r="192" spans="1:29" x14ac:dyDescent="0.25">
      <c r="A192" s="25" t="s">
        <v>115</v>
      </c>
      <c r="B192" t="b">
        <v>0</v>
      </c>
      <c r="C192" s="43" t="s">
        <v>334</v>
      </c>
      <c r="D192" s="43">
        <v>192486084043</v>
      </c>
      <c r="E192" s="43">
        <v>192486081885</v>
      </c>
      <c r="F192" s="44" t="s">
        <v>125</v>
      </c>
      <c r="G192" s="44" t="b">
        <v>1</v>
      </c>
      <c r="H192" s="44" t="b">
        <v>0</v>
      </c>
      <c r="I192" s="44" t="s">
        <v>126</v>
      </c>
      <c r="M192" s="48" t="s">
        <v>334</v>
      </c>
      <c r="N192" s="48">
        <v>17093057676</v>
      </c>
      <c r="O192" s="48">
        <v>17093052095</v>
      </c>
      <c r="P192" s="48" t="s">
        <v>125</v>
      </c>
      <c r="Q192" s="49" t="s">
        <v>334</v>
      </c>
      <c r="R192" s="49">
        <v>17085052602</v>
      </c>
      <c r="S192" s="49">
        <v>17085051066</v>
      </c>
      <c r="T192" s="49" t="s">
        <v>125</v>
      </c>
      <c r="U192" s="50" t="s">
        <v>334</v>
      </c>
      <c r="V192" s="50">
        <v>17084590818</v>
      </c>
      <c r="W192" s="50">
        <v>17084591732</v>
      </c>
      <c r="X192" s="50" t="s">
        <v>125</v>
      </c>
      <c r="Y192" s="50">
        <v>120430</v>
      </c>
    </row>
    <row r="193" spans="1:25" x14ac:dyDescent="0.25">
      <c r="A193" s="25" t="s">
        <v>115</v>
      </c>
      <c r="B193" t="b">
        <v>0</v>
      </c>
      <c r="C193" s="43" t="s">
        <v>335</v>
      </c>
      <c r="D193" s="43">
        <v>192486081483</v>
      </c>
      <c r="E193" s="43">
        <v>192486083421</v>
      </c>
      <c r="F193" s="44" t="s">
        <v>125</v>
      </c>
      <c r="G193" s="44" t="b">
        <v>1</v>
      </c>
      <c r="H193" s="44" t="b">
        <v>0</v>
      </c>
      <c r="I193" s="44"/>
      <c r="M193" s="48" t="s">
        <v>335</v>
      </c>
      <c r="N193" s="48">
        <v>17093055116</v>
      </c>
      <c r="O193" s="48">
        <v>17093052863</v>
      </c>
      <c r="P193" s="48" t="s">
        <v>125</v>
      </c>
      <c r="Q193" s="49"/>
      <c r="R193" s="49"/>
      <c r="S193" s="49"/>
      <c r="T193" s="49"/>
      <c r="U193" s="50" t="s">
        <v>335</v>
      </c>
      <c r="V193" s="50">
        <v>17084589794</v>
      </c>
      <c r="W193" s="50">
        <v>17084589428</v>
      </c>
      <c r="X193" s="50" t="s">
        <v>125</v>
      </c>
      <c r="Y193" s="50">
        <v>120447</v>
      </c>
    </row>
    <row r="194" spans="1:25" x14ac:dyDescent="0.25">
      <c r="A194" s="25" t="s">
        <v>115</v>
      </c>
      <c r="B194" t="b">
        <v>0</v>
      </c>
      <c r="C194" s="43" t="s">
        <v>336</v>
      </c>
      <c r="D194" s="43">
        <v>192486083531</v>
      </c>
      <c r="E194" s="43">
        <v>192486084189</v>
      </c>
      <c r="F194" s="44" t="s">
        <v>125</v>
      </c>
      <c r="G194" s="44" t="b">
        <v>1</v>
      </c>
      <c r="H194" s="44" t="b">
        <v>0</v>
      </c>
      <c r="I194" s="44" t="s">
        <v>126</v>
      </c>
      <c r="M194" s="48" t="s">
        <v>336</v>
      </c>
      <c r="N194" s="48">
        <v>17093057164</v>
      </c>
      <c r="O194" s="48">
        <v>17093053631</v>
      </c>
      <c r="P194" s="48" t="s">
        <v>125</v>
      </c>
      <c r="Q194" s="49"/>
      <c r="R194" s="49"/>
      <c r="S194" s="49"/>
      <c r="T194" s="49"/>
      <c r="U194" s="50" t="s">
        <v>336</v>
      </c>
      <c r="V194" s="50">
        <v>17084591842</v>
      </c>
      <c r="W194" s="50">
        <v>17084588660</v>
      </c>
      <c r="X194" s="50" t="s">
        <v>125</v>
      </c>
      <c r="Y194" s="50">
        <v>120453</v>
      </c>
    </row>
    <row r="195" spans="1:25" x14ac:dyDescent="0.25">
      <c r="A195" s="25" t="s">
        <v>115</v>
      </c>
      <c r="B195" t="b">
        <v>0</v>
      </c>
      <c r="C195" s="43" t="s">
        <v>337</v>
      </c>
      <c r="D195" s="43">
        <v>192486082507</v>
      </c>
      <c r="E195" s="43">
        <v>192486083805</v>
      </c>
      <c r="F195" s="44" t="s">
        <v>125</v>
      </c>
      <c r="G195" s="44" t="b">
        <v>1</v>
      </c>
      <c r="H195" s="44" t="b">
        <v>0</v>
      </c>
      <c r="I195" s="44"/>
      <c r="M195" s="48" t="s">
        <v>337</v>
      </c>
      <c r="N195" s="48">
        <v>17093056140</v>
      </c>
      <c r="O195" s="48">
        <v>17093054399</v>
      </c>
      <c r="P195" s="48" t="s">
        <v>125</v>
      </c>
      <c r="Q195" s="49"/>
      <c r="R195" s="49"/>
      <c r="S195" s="49"/>
      <c r="T195" s="49"/>
      <c r="U195" s="50" t="s">
        <v>337</v>
      </c>
      <c r="V195" s="50">
        <v>17084588980</v>
      </c>
      <c r="W195" s="50">
        <v>17084599558</v>
      </c>
      <c r="X195" s="50" t="s">
        <v>125</v>
      </c>
      <c r="Y195" s="50">
        <v>120450</v>
      </c>
    </row>
    <row r="196" spans="1:25" x14ac:dyDescent="0.25">
      <c r="A196" s="25" t="s">
        <v>115</v>
      </c>
      <c r="B196" t="b">
        <v>0</v>
      </c>
      <c r="C196" s="43" t="s">
        <v>338</v>
      </c>
      <c r="D196" s="43">
        <v>192486084555</v>
      </c>
      <c r="E196" s="43">
        <v>192486082269</v>
      </c>
      <c r="F196" s="44" t="s">
        <v>125</v>
      </c>
      <c r="G196" s="44" t="b">
        <v>1</v>
      </c>
      <c r="H196" s="44" t="b">
        <v>0</v>
      </c>
      <c r="I196" s="44" t="s">
        <v>126</v>
      </c>
      <c r="M196" s="48" t="s">
        <v>338</v>
      </c>
      <c r="N196" s="48">
        <v>17093058188</v>
      </c>
      <c r="O196" s="48">
        <v>17093051519</v>
      </c>
      <c r="P196" s="48" t="s">
        <v>125</v>
      </c>
      <c r="Q196" s="49"/>
      <c r="R196" s="49"/>
      <c r="S196" s="49"/>
      <c r="T196" s="49"/>
      <c r="U196" s="50" t="s">
        <v>338</v>
      </c>
      <c r="V196" s="50">
        <v>17084588514</v>
      </c>
      <c r="W196" s="50">
        <v>17084588276</v>
      </c>
      <c r="X196" s="50" t="s">
        <v>125</v>
      </c>
      <c r="Y196" s="50">
        <v>120435</v>
      </c>
    </row>
    <row r="197" spans="1:25" x14ac:dyDescent="0.25">
      <c r="A197" s="25" t="s">
        <v>115</v>
      </c>
      <c r="B197" t="b">
        <v>0</v>
      </c>
      <c r="C197" s="43" t="s">
        <v>339</v>
      </c>
      <c r="D197" s="43">
        <v>192486080555</v>
      </c>
      <c r="E197" s="43">
        <v>192486083037</v>
      </c>
      <c r="F197" s="44" t="s">
        <v>125</v>
      </c>
      <c r="G197" s="44" t="b">
        <v>1</v>
      </c>
      <c r="H197" s="44" t="b">
        <v>0</v>
      </c>
      <c r="I197" s="44"/>
      <c r="M197" s="48" t="s">
        <v>339</v>
      </c>
      <c r="N197" s="48">
        <v>17093054860</v>
      </c>
      <c r="O197" s="48">
        <v>17093053055</v>
      </c>
      <c r="P197" s="48" t="s">
        <v>125</v>
      </c>
      <c r="Q197" s="49"/>
      <c r="R197" s="49"/>
      <c r="S197" s="49"/>
      <c r="T197" s="49"/>
      <c r="U197" s="50" t="s">
        <v>339</v>
      </c>
      <c r="V197" s="50">
        <v>17084590562</v>
      </c>
      <c r="W197" s="50">
        <v>17084591348</v>
      </c>
      <c r="X197" s="50" t="s">
        <v>125</v>
      </c>
      <c r="Y197" s="50">
        <v>120443</v>
      </c>
    </row>
    <row r="198" spans="1:25" x14ac:dyDescent="0.25">
      <c r="A198" s="25" t="s">
        <v>115</v>
      </c>
      <c r="B198" t="b">
        <v>0</v>
      </c>
      <c r="C198" s="43" t="s">
        <v>340</v>
      </c>
      <c r="D198" s="43">
        <v>192486082603</v>
      </c>
      <c r="E198" s="43">
        <v>192486081843</v>
      </c>
      <c r="F198" s="44" t="s">
        <v>125</v>
      </c>
      <c r="G198" s="44" t="b">
        <v>1</v>
      </c>
      <c r="H198" s="44" t="b">
        <v>0</v>
      </c>
      <c r="I198" s="44" t="s">
        <v>126</v>
      </c>
      <c r="M198" s="48" t="s">
        <v>340</v>
      </c>
      <c r="N198" s="48">
        <v>17093056908</v>
      </c>
      <c r="O198" s="48">
        <v>17093056708</v>
      </c>
      <c r="P198" s="48" t="s">
        <v>125</v>
      </c>
      <c r="Q198" s="49"/>
      <c r="R198" s="49"/>
      <c r="S198" s="49"/>
      <c r="T198" s="49"/>
      <c r="U198" s="50" t="s">
        <v>340</v>
      </c>
      <c r="V198" s="50">
        <v>17084589538</v>
      </c>
      <c r="W198" s="50">
        <v>17084588546</v>
      </c>
      <c r="X198" s="50" t="s">
        <v>125</v>
      </c>
      <c r="Y198" s="50">
        <v>120428</v>
      </c>
    </row>
    <row r="199" spans="1:25" x14ac:dyDescent="0.25">
      <c r="A199" s="25" t="s">
        <v>115</v>
      </c>
      <c r="B199" t="b">
        <v>0</v>
      </c>
      <c r="C199" s="43" t="s">
        <v>341</v>
      </c>
      <c r="D199" s="43">
        <v>192486081579</v>
      </c>
      <c r="E199" s="43">
        <v>192486083379</v>
      </c>
      <c r="F199" s="44" t="s">
        <v>125</v>
      </c>
      <c r="G199" s="44" t="b">
        <v>1</v>
      </c>
      <c r="H199" s="44" t="b">
        <v>0</v>
      </c>
      <c r="I199" s="44" t="s">
        <v>126</v>
      </c>
      <c r="M199" s="48" t="s">
        <v>341</v>
      </c>
      <c r="N199" s="48">
        <v>17093055884</v>
      </c>
      <c r="O199" s="48">
        <v>17093055172</v>
      </c>
      <c r="P199" s="48" t="s">
        <v>125</v>
      </c>
      <c r="Q199" s="49"/>
      <c r="R199" s="49"/>
      <c r="S199" s="49"/>
      <c r="T199" s="49"/>
      <c r="U199" s="50" t="s">
        <v>341</v>
      </c>
      <c r="V199" s="50">
        <v>17084591586</v>
      </c>
      <c r="W199" s="50">
        <v>17084591618</v>
      </c>
      <c r="X199" s="50" t="s">
        <v>125</v>
      </c>
      <c r="Y199" s="50">
        <v>120445</v>
      </c>
    </row>
    <row r="200" spans="1:25" x14ac:dyDescent="0.25">
      <c r="A200" s="25" t="s">
        <v>115</v>
      </c>
      <c r="B200" t="b">
        <v>0</v>
      </c>
      <c r="C200" s="43" t="s">
        <v>342</v>
      </c>
      <c r="D200" s="43">
        <v>192486083627</v>
      </c>
      <c r="E200" s="43">
        <v>192486080691</v>
      </c>
      <c r="F200" s="44" t="s">
        <v>125</v>
      </c>
      <c r="G200" s="44" t="b">
        <v>1</v>
      </c>
      <c r="H200" s="44" t="b">
        <v>0</v>
      </c>
      <c r="I200" s="44" t="s">
        <v>126</v>
      </c>
      <c r="M200" s="48" t="s">
        <v>342</v>
      </c>
      <c r="N200" s="48">
        <v>17093057932</v>
      </c>
      <c r="O200" s="48">
        <v>17093058244</v>
      </c>
      <c r="P200" s="48" t="s">
        <v>125</v>
      </c>
      <c r="Q200" s="49" t="s">
        <v>342</v>
      </c>
      <c r="R200" s="49">
        <v>17085048711</v>
      </c>
      <c r="S200" s="49">
        <v>17085049863</v>
      </c>
      <c r="T200" s="49" t="s">
        <v>125</v>
      </c>
      <c r="U200" s="50" t="s">
        <v>342</v>
      </c>
      <c r="V200" s="50">
        <v>17084589026</v>
      </c>
      <c r="W200" s="50">
        <v>17084589314</v>
      </c>
      <c r="X200" s="50" t="s">
        <v>125</v>
      </c>
      <c r="Y200" s="50">
        <v>120419</v>
      </c>
    </row>
    <row r="201" spans="1:25" x14ac:dyDescent="0.25">
      <c r="A201" s="25" t="s">
        <v>115</v>
      </c>
      <c r="B201" t="b">
        <v>0</v>
      </c>
      <c r="C201" s="43" t="s">
        <v>343</v>
      </c>
      <c r="D201" s="43">
        <v>192486081067</v>
      </c>
      <c r="E201" s="43">
        <v>192486082621</v>
      </c>
      <c r="F201" s="44" t="s">
        <v>125</v>
      </c>
      <c r="G201" s="44" t="b">
        <v>1</v>
      </c>
      <c r="H201" s="44" t="b">
        <v>0</v>
      </c>
      <c r="I201" s="44" t="s">
        <v>126</v>
      </c>
      <c r="M201" s="48" t="s">
        <v>343</v>
      </c>
      <c r="N201" s="48">
        <v>17093054077</v>
      </c>
      <c r="O201" s="48">
        <v>17093053311</v>
      </c>
      <c r="P201" s="48" t="s">
        <v>125</v>
      </c>
      <c r="Q201" s="49"/>
      <c r="R201" s="49"/>
      <c r="S201" s="49"/>
      <c r="T201" s="49"/>
      <c r="U201" s="50" t="s">
        <v>343</v>
      </c>
      <c r="V201" s="50">
        <v>17084591074</v>
      </c>
      <c r="W201" s="50">
        <v>17084591604</v>
      </c>
      <c r="X201" s="50" t="s">
        <v>125</v>
      </c>
      <c r="Y201" s="50">
        <v>120437</v>
      </c>
    </row>
    <row r="202" spans="1:25" x14ac:dyDescent="0.25">
      <c r="A202" s="25" t="s">
        <v>115</v>
      </c>
      <c r="B202" t="b">
        <v>0</v>
      </c>
      <c r="C202" s="43" t="s">
        <v>344</v>
      </c>
      <c r="D202" s="43">
        <v>192486083115</v>
      </c>
      <c r="E202" s="43">
        <v>192486081085</v>
      </c>
      <c r="F202" s="44" t="s">
        <v>125</v>
      </c>
      <c r="G202" s="44" t="b">
        <v>1</v>
      </c>
      <c r="H202" s="44" t="b">
        <v>0</v>
      </c>
      <c r="I202" s="44"/>
      <c r="M202" s="48" t="s">
        <v>344</v>
      </c>
      <c r="N202" s="48">
        <v>17093050749</v>
      </c>
      <c r="O202" s="48">
        <v>17093050623</v>
      </c>
      <c r="P202" s="48" t="s">
        <v>125</v>
      </c>
      <c r="Q202" s="49"/>
      <c r="R202" s="49"/>
      <c r="S202" s="49"/>
      <c r="T202" s="49"/>
      <c r="U202" s="50" t="s">
        <v>344</v>
      </c>
      <c r="V202" s="50">
        <v>17084590050</v>
      </c>
      <c r="W202" s="50">
        <v>17084590068</v>
      </c>
      <c r="X202" s="50" t="s">
        <v>125</v>
      </c>
      <c r="Y202" s="50">
        <v>120424</v>
      </c>
    </row>
    <row r="203" spans="1:25" x14ac:dyDescent="0.25">
      <c r="A203" s="25" t="s">
        <v>115</v>
      </c>
      <c r="B203" t="b">
        <v>0</v>
      </c>
      <c r="C203" s="43" t="s">
        <v>345</v>
      </c>
      <c r="D203" s="43">
        <v>192486082091</v>
      </c>
      <c r="E203" s="43">
        <v>192486084157</v>
      </c>
      <c r="F203" s="44" t="s">
        <v>125</v>
      </c>
      <c r="G203" s="44" t="b">
        <v>1</v>
      </c>
      <c r="H203" s="44" t="b">
        <v>0</v>
      </c>
      <c r="I203" s="44" t="s">
        <v>126</v>
      </c>
      <c r="M203" s="48" t="s">
        <v>345</v>
      </c>
      <c r="N203" s="48">
        <v>17093052797</v>
      </c>
      <c r="O203" s="48">
        <v>17093053695</v>
      </c>
      <c r="P203" s="48" t="s">
        <v>125</v>
      </c>
      <c r="Q203" s="49"/>
      <c r="R203" s="49"/>
      <c r="S203" s="49"/>
      <c r="T203" s="49"/>
      <c r="U203" s="50" t="s">
        <v>345</v>
      </c>
      <c r="V203" s="50">
        <v>17084592098</v>
      </c>
      <c r="W203" s="50">
        <v>17084590092</v>
      </c>
      <c r="X203" s="50" t="s">
        <v>125</v>
      </c>
      <c r="Y203" s="50">
        <v>120452</v>
      </c>
    </row>
    <row r="204" spans="1:25" x14ac:dyDescent="0.25">
      <c r="A204" s="25" t="s">
        <v>115</v>
      </c>
      <c r="B204" t="b">
        <v>0</v>
      </c>
      <c r="C204" s="43" t="s">
        <v>346</v>
      </c>
      <c r="D204" s="43">
        <v>192486084139</v>
      </c>
      <c r="E204" s="43">
        <v>192486081853</v>
      </c>
      <c r="F204" s="44" t="s">
        <v>125</v>
      </c>
      <c r="G204" s="44" t="b">
        <v>1</v>
      </c>
      <c r="H204" s="44" t="b">
        <v>0</v>
      </c>
      <c r="I204" s="44" t="s">
        <v>126</v>
      </c>
      <c r="M204" s="48" t="s">
        <v>346</v>
      </c>
      <c r="N204" s="48">
        <v>17093057868</v>
      </c>
      <c r="O204" s="48">
        <v>17093052159</v>
      </c>
      <c r="P204" s="48" t="s">
        <v>125</v>
      </c>
      <c r="Q204" s="49"/>
      <c r="R204" s="49"/>
      <c r="S204" s="49"/>
      <c r="T204" s="49"/>
      <c r="U204" s="50" t="s">
        <v>346</v>
      </c>
      <c r="V204" s="50">
        <v>17084588050</v>
      </c>
      <c r="W204" s="50">
        <v>17084588556</v>
      </c>
      <c r="X204" s="50" t="s">
        <v>125</v>
      </c>
      <c r="Y204" s="50">
        <v>120429</v>
      </c>
    </row>
    <row r="205" spans="1:25" x14ac:dyDescent="0.25">
      <c r="A205" s="25" t="s">
        <v>115</v>
      </c>
      <c r="B205" t="b">
        <v>0</v>
      </c>
      <c r="C205" s="43" t="s">
        <v>347</v>
      </c>
      <c r="D205" s="43">
        <v>192486080811</v>
      </c>
      <c r="E205" s="43">
        <v>192486083389</v>
      </c>
      <c r="F205" s="44" t="s">
        <v>125</v>
      </c>
      <c r="G205" s="44" t="b">
        <v>1</v>
      </c>
      <c r="H205" s="44" t="b">
        <v>0</v>
      </c>
      <c r="I205" s="44"/>
      <c r="M205" s="48" t="s">
        <v>347</v>
      </c>
      <c r="N205" s="48">
        <v>17093055308</v>
      </c>
      <c r="O205" s="48">
        <v>17093052927</v>
      </c>
      <c r="P205" s="48" t="s">
        <v>125</v>
      </c>
      <c r="Q205" s="49"/>
      <c r="R205" s="49"/>
      <c r="S205" s="49"/>
      <c r="T205" s="49"/>
      <c r="U205" s="50" t="s">
        <v>347</v>
      </c>
      <c r="V205" s="50">
        <v>17084590098</v>
      </c>
      <c r="W205" s="50">
        <v>17084591628</v>
      </c>
      <c r="X205" s="50" t="s">
        <v>125</v>
      </c>
      <c r="Y205" s="50">
        <v>120446</v>
      </c>
    </row>
    <row r="206" spans="1:25" x14ac:dyDescent="0.25">
      <c r="A206" s="25" t="s">
        <v>115</v>
      </c>
      <c r="B206" t="b">
        <v>0</v>
      </c>
      <c r="C206" s="43" t="s">
        <v>348</v>
      </c>
      <c r="D206" s="43">
        <v>192486082859</v>
      </c>
      <c r="E206" s="43">
        <v>192486080701</v>
      </c>
      <c r="F206" s="44" t="s">
        <v>125</v>
      </c>
      <c r="G206" s="44" t="b">
        <v>1</v>
      </c>
      <c r="H206" s="44" t="b">
        <v>0</v>
      </c>
      <c r="I206" s="44" t="s">
        <v>126</v>
      </c>
      <c r="M206" s="48" t="s">
        <v>348</v>
      </c>
      <c r="N206" s="48">
        <v>17093057356</v>
      </c>
      <c r="O206" s="48">
        <v>17093051391</v>
      </c>
      <c r="P206" s="48" t="s">
        <v>125</v>
      </c>
      <c r="Q206" s="49"/>
      <c r="R206" s="49"/>
      <c r="S206" s="49"/>
      <c r="T206" s="49"/>
      <c r="U206" s="50" t="s">
        <v>348</v>
      </c>
      <c r="V206" s="50">
        <v>17084589074</v>
      </c>
      <c r="W206" s="50">
        <v>17084589324</v>
      </c>
      <c r="X206" s="50" t="s">
        <v>125</v>
      </c>
      <c r="Y206" s="50">
        <v>120420</v>
      </c>
    </row>
    <row r="207" spans="1:25" x14ac:dyDescent="0.25">
      <c r="A207" s="25" t="s">
        <v>115</v>
      </c>
      <c r="B207" t="b">
        <v>0</v>
      </c>
      <c r="C207" s="43" t="s">
        <v>349</v>
      </c>
      <c r="D207" s="43">
        <v>192486081835</v>
      </c>
      <c r="E207" s="43">
        <v>192486083773</v>
      </c>
      <c r="F207" s="44" t="s">
        <v>125</v>
      </c>
      <c r="G207" s="44" t="b">
        <v>1</v>
      </c>
      <c r="H207" s="44" t="b">
        <v>0</v>
      </c>
      <c r="I207" s="44"/>
      <c r="M207" s="48" t="s">
        <v>349</v>
      </c>
      <c r="N207" s="48">
        <v>17093056332</v>
      </c>
      <c r="O207" s="48">
        <v>17093054463</v>
      </c>
      <c r="P207" s="48" t="s">
        <v>125</v>
      </c>
      <c r="Q207" s="49" t="s">
        <v>349</v>
      </c>
      <c r="R207" s="49">
        <v>17085047687</v>
      </c>
      <c r="S207" s="49">
        <v>17085048327</v>
      </c>
      <c r="T207" s="49" t="s">
        <v>125</v>
      </c>
      <c r="U207" s="50" t="s">
        <v>349</v>
      </c>
      <c r="V207" s="50">
        <v>17084591122</v>
      </c>
      <c r="W207" s="50">
        <v>17084590860</v>
      </c>
      <c r="X207" s="50" t="s">
        <v>125</v>
      </c>
      <c r="Y207" s="50">
        <v>120449</v>
      </c>
    </row>
    <row r="208" spans="1:25" x14ac:dyDescent="0.25">
      <c r="A208" s="25" t="s">
        <v>115</v>
      </c>
      <c r="B208" t="b">
        <v>0</v>
      </c>
      <c r="C208" s="43" t="s">
        <v>350</v>
      </c>
      <c r="D208" s="43">
        <v>192486083883</v>
      </c>
      <c r="E208" s="43">
        <v>192486082237</v>
      </c>
      <c r="F208" s="44" t="s">
        <v>125</v>
      </c>
      <c r="G208" s="44" t="b">
        <v>1</v>
      </c>
      <c r="H208" s="44" t="b">
        <v>0</v>
      </c>
      <c r="I208" s="44" t="s">
        <v>126</v>
      </c>
      <c r="M208" s="48" t="s">
        <v>350</v>
      </c>
      <c r="N208" s="48">
        <v>17093058380</v>
      </c>
      <c r="O208" s="48">
        <v>17093055488</v>
      </c>
      <c r="P208" s="48" t="s">
        <v>125</v>
      </c>
      <c r="Q208" s="49"/>
      <c r="R208" s="49"/>
      <c r="S208" s="49"/>
      <c r="T208" s="49"/>
      <c r="U208" s="50" t="s">
        <v>350</v>
      </c>
      <c r="V208" s="50">
        <v>17084588562</v>
      </c>
      <c r="W208" s="50">
        <v>17084588172</v>
      </c>
      <c r="X208" s="50" t="s">
        <v>125</v>
      </c>
      <c r="Y208" s="50">
        <v>120434</v>
      </c>
    </row>
    <row r="209" spans="1:25" x14ac:dyDescent="0.25">
      <c r="A209" s="25" t="s">
        <v>115</v>
      </c>
      <c r="B209" t="b">
        <v>0</v>
      </c>
      <c r="C209" s="43" t="s">
        <v>351</v>
      </c>
      <c r="D209" s="43">
        <v>192486081323</v>
      </c>
      <c r="E209" s="43">
        <v>192486083005</v>
      </c>
      <c r="F209" s="44" t="s">
        <v>125</v>
      </c>
      <c r="G209" s="44" t="b">
        <v>1</v>
      </c>
      <c r="H209" s="44" t="b">
        <v>0</v>
      </c>
      <c r="I209" s="44"/>
      <c r="M209" s="48" t="s">
        <v>351</v>
      </c>
      <c r="N209" s="48">
        <v>17093054668</v>
      </c>
      <c r="O209" s="48">
        <v>17093057024</v>
      </c>
      <c r="P209" s="48" t="s">
        <v>125</v>
      </c>
      <c r="Q209" s="49"/>
      <c r="R209" s="49"/>
      <c r="S209" s="49"/>
      <c r="T209" s="49"/>
      <c r="U209" s="50" t="s">
        <v>351</v>
      </c>
      <c r="V209" s="50">
        <v>17084590610</v>
      </c>
      <c r="W209" s="50">
        <v>17084591244</v>
      </c>
      <c r="X209" s="50" t="s">
        <v>125</v>
      </c>
      <c r="Y209" s="50">
        <v>120442</v>
      </c>
    </row>
    <row r="210" spans="1:25" x14ac:dyDescent="0.25">
      <c r="A210" s="25" t="s">
        <v>115</v>
      </c>
      <c r="B210" t="b">
        <v>0</v>
      </c>
      <c r="C210" s="43" t="s">
        <v>352</v>
      </c>
      <c r="D210" s="43">
        <v>192486083371</v>
      </c>
      <c r="E210" s="43">
        <v>192486083763</v>
      </c>
      <c r="F210" s="44" t="s">
        <v>125</v>
      </c>
      <c r="G210" s="44" t="b">
        <v>1</v>
      </c>
      <c r="H210" s="44" t="b">
        <v>0</v>
      </c>
      <c r="I210" s="44" t="s">
        <v>126</v>
      </c>
      <c r="M210" s="48" t="s">
        <v>352</v>
      </c>
      <c r="N210" s="48">
        <v>17093056716</v>
      </c>
      <c r="O210" s="48">
        <v>17093055940</v>
      </c>
      <c r="P210" s="48" t="s">
        <v>125</v>
      </c>
      <c r="Q210" s="49"/>
      <c r="R210" s="49"/>
      <c r="S210" s="49"/>
      <c r="T210" s="49"/>
      <c r="U210" s="50" t="s">
        <v>352</v>
      </c>
      <c r="V210" s="50">
        <v>17084589586</v>
      </c>
      <c r="W210" s="50">
        <v>17084590850</v>
      </c>
      <c r="X210" s="50" t="s">
        <v>125</v>
      </c>
      <c r="Y210" s="50">
        <v>120448</v>
      </c>
    </row>
    <row r="211" spans="1:25" x14ac:dyDescent="0.25">
      <c r="A211" s="25" t="s">
        <v>115</v>
      </c>
      <c r="B211" t="b">
        <v>0</v>
      </c>
      <c r="C211" s="43" t="s">
        <v>353</v>
      </c>
      <c r="D211" s="43">
        <v>192486082347</v>
      </c>
      <c r="E211" s="43">
        <v>192486082227</v>
      </c>
      <c r="F211" s="44" t="s">
        <v>125</v>
      </c>
      <c r="G211" s="44" t="b">
        <v>1</v>
      </c>
      <c r="H211" s="44" t="b">
        <v>0</v>
      </c>
      <c r="I211" s="44" t="s">
        <v>126</v>
      </c>
      <c r="M211" s="48" t="s">
        <v>353</v>
      </c>
      <c r="N211" s="48">
        <v>17093055692</v>
      </c>
      <c r="O211" s="48">
        <v>17093057476</v>
      </c>
      <c r="P211" s="48" t="s">
        <v>125</v>
      </c>
      <c r="Q211" s="49" t="s">
        <v>353</v>
      </c>
      <c r="R211" s="49">
        <v>17085054650</v>
      </c>
      <c r="S211" s="49">
        <v>17085054138</v>
      </c>
      <c r="T211" s="49" t="s">
        <v>125</v>
      </c>
      <c r="U211" s="50" t="s">
        <v>353</v>
      </c>
      <c r="V211" s="50">
        <v>17084591634</v>
      </c>
      <c r="W211" s="50">
        <v>17084588162</v>
      </c>
      <c r="X211" s="50" t="s">
        <v>125</v>
      </c>
      <c r="Y211" s="50">
        <v>120433</v>
      </c>
    </row>
    <row r="212" spans="1:25" x14ac:dyDescent="0.25">
      <c r="A212" s="25" t="s">
        <v>115</v>
      </c>
      <c r="B212" t="b">
        <v>0</v>
      </c>
      <c r="C212" s="43" t="s">
        <v>354</v>
      </c>
      <c r="D212" s="43">
        <v>192486084395</v>
      </c>
      <c r="E212" s="43">
        <v>192486082995</v>
      </c>
      <c r="F212" s="44" t="s">
        <v>125</v>
      </c>
      <c r="G212" s="44" t="b">
        <v>1</v>
      </c>
      <c r="H212" s="44" t="b">
        <v>0</v>
      </c>
      <c r="I212" s="44" t="s">
        <v>126</v>
      </c>
      <c r="M212" s="48" t="s">
        <v>354</v>
      </c>
      <c r="N212" s="48">
        <v>17093057740</v>
      </c>
      <c r="O212" s="48">
        <v>17093054500</v>
      </c>
      <c r="P212" s="48" t="s">
        <v>125</v>
      </c>
      <c r="Q212" s="49"/>
      <c r="R212" s="49"/>
      <c r="S212" s="49"/>
      <c r="T212" s="49"/>
      <c r="U212" s="50" t="s">
        <v>354</v>
      </c>
      <c r="V212" s="50">
        <v>17084588306</v>
      </c>
      <c r="W212" s="50">
        <v>17084591234</v>
      </c>
      <c r="X212" s="50" t="s">
        <v>125</v>
      </c>
      <c r="Y212" s="50">
        <v>120441</v>
      </c>
    </row>
    <row r="213" spans="1:25" x14ac:dyDescent="0.25">
      <c r="A213" s="25" t="s">
        <v>115</v>
      </c>
      <c r="B213" t="b">
        <v>0</v>
      </c>
      <c r="C213" s="43" t="s">
        <v>355</v>
      </c>
      <c r="D213" s="43">
        <v>192486080683</v>
      </c>
      <c r="E213" s="43">
        <v>192486081469</v>
      </c>
      <c r="F213" s="44" t="s">
        <v>125</v>
      </c>
      <c r="G213" s="44" t="b">
        <v>1</v>
      </c>
      <c r="H213" s="44" t="b">
        <v>0</v>
      </c>
      <c r="I213" s="44" t="s">
        <v>126</v>
      </c>
      <c r="M213" s="48" t="s">
        <v>355</v>
      </c>
      <c r="N213" s="48">
        <v>17093056734</v>
      </c>
      <c r="O213" s="48">
        <v>17093054720</v>
      </c>
      <c r="P213" s="48" t="s">
        <v>125</v>
      </c>
      <c r="Q213" s="49"/>
      <c r="R213" s="49"/>
      <c r="S213" s="49"/>
      <c r="T213" s="49"/>
      <c r="U213" s="50" t="s">
        <v>355</v>
      </c>
      <c r="V213" s="50">
        <v>17084590354</v>
      </c>
      <c r="W213" s="50">
        <v>17084589708</v>
      </c>
      <c r="X213" s="50" t="s">
        <v>125</v>
      </c>
      <c r="Y213" s="50">
        <v>120426</v>
      </c>
    </row>
    <row r="214" spans="1:25" x14ac:dyDescent="0.25">
      <c r="A214" s="25" t="s">
        <v>115</v>
      </c>
      <c r="B214" t="b">
        <v>0</v>
      </c>
      <c r="C214" s="43" t="s">
        <v>356</v>
      </c>
      <c r="D214" s="43">
        <v>192486082731</v>
      </c>
      <c r="E214" s="43">
        <v>192486082685</v>
      </c>
      <c r="F214" s="44" t="s">
        <v>125</v>
      </c>
      <c r="G214" s="44" t="b">
        <v>1</v>
      </c>
      <c r="H214" s="44" t="b">
        <v>0</v>
      </c>
      <c r="I214" s="44"/>
      <c r="M214" s="48" t="s">
        <v>356</v>
      </c>
      <c r="N214" s="48">
        <v>17093055710</v>
      </c>
      <c r="O214" s="48">
        <v>17093057280</v>
      </c>
      <c r="P214" s="48" t="s">
        <v>125</v>
      </c>
      <c r="Q214" s="49"/>
      <c r="R214" s="49"/>
      <c r="S214" s="49"/>
      <c r="T214" s="49"/>
      <c r="U214" s="50" t="s">
        <v>356</v>
      </c>
      <c r="V214" s="50">
        <v>17084589330</v>
      </c>
      <c r="W214" s="50">
        <v>17084591500</v>
      </c>
      <c r="X214" s="50" t="s">
        <v>125</v>
      </c>
      <c r="Y214" s="50">
        <v>120439</v>
      </c>
    </row>
    <row r="215" spans="1:25" x14ac:dyDescent="0.25">
      <c r="A215" s="25" t="s">
        <v>115</v>
      </c>
      <c r="B215" t="b">
        <v>0</v>
      </c>
      <c r="C215" s="43" t="s">
        <v>357</v>
      </c>
      <c r="D215" s="43">
        <v>192486081707</v>
      </c>
      <c r="E215" s="43">
        <v>192486082173</v>
      </c>
      <c r="F215" s="44" t="s">
        <v>125</v>
      </c>
      <c r="G215" s="44" t="b">
        <v>1</v>
      </c>
      <c r="H215" s="44" t="b">
        <v>0</v>
      </c>
      <c r="I215" s="44" t="s">
        <v>126</v>
      </c>
      <c r="M215" s="48" t="s">
        <v>357</v>
      </c>
      <c r="N215" s="48">
        <v>17093057758</v>
      </c>
      <c r="O215" s="48">
        <v>17093055616</v>
      </c>
      <c r="P215" s="48" t="s">
        <v>125</v>
      </c>
      <c r="Q215" s="49"/>
      <c r="R215" s="49"/>
      <c r="S215" s="49"/>
      <c r="T215" s="49"/>
      <c r="U215" s="50" t="s">
        <v>357</v>
      </c>
      <c r="V215" s="50">
        <v>17084591378</v>
      </c>
      <c r="W215" s="50">
        <v>17084588108</v>
      </c>
      <c r="X215" s="50" t="s">
        <v>125</v>
      </c>
      <c r="Y215" s="50">
        <v>120432</v>
      </c>
    </row>
    <row r="216" spans="1:25" x14ac:dyDescent="0.25">
      <c r="A216" s="25" t="s">
        <v>115</v>
      </c>
      <c r="B216" t="b">
        <v>0</v>
      </c>
      <c r="C216" s="43" t="s">
        <v>358</v>
      </c>
      <c r="D216" s="43">
        <v>192486083755</v>
      </c>
      <c r="E216" s="43">
        <v>192486083965</v>
      </c>
      <c r="F216" s="44" t="s">
        <v>125</v>
      </c>
      <c r="G216" s="44" t="b">
        <v>1</v>
      </c>
      <c r="H216" s="44" t="b">
        <v>0</v>
      </c>
      <c r="I216" s="44" t="s">
        <v>126</v>
      </c>
      <c r="M216" s="48" t="s">
        <v>358</v>
      </c>
      <c r="N216" s="48">
        <v>17093055198</v>
      </c>
      <c r="O216" s="48">
        <v>17093058176</v>
      </c>
      <c r="P216" s="48" t="s">
        <v>125</v>
      </c>
      <c r="Q216" s="49"/>
      <c r="R216" s="49"/>
      <c r="S216" s="49"/>
      <c r="T216" s="49"/>
      <c r="U216" s="50" t="s">
        <v>358</v>
      </c>
      <c r="V216" s="50">
        <v>17084588818</v>
      </c>
      <c r="W216" s="50">
        <v>17084590668</v>
      </c>
      <c r="X216" s="50" t="s">
        <v>125</v>
      </c>
      <c r="Y216" s="50">
        <v>120451</v>
      </c>
    </row>
    <row r="217" spans="1:25" x14ac:dyDescent="0.25">
      <c r="A217" s="25" t="s">
        <v>115</v>
      </c>
      <c r="B217" t="b">
        <v>0</v>
      </c>
      <c r="C217" s="43" t="s">
        <v>359</v>
      </c>
      <c r="D217" s="43">
        <v>192486081195</v>
      </c>
      <c r="E217" s="43">
        <v>192486080765</v>
      </c>
      <c r="F217" s="44" t="s">
        <v>125</v>
      </c>
      <c r="G217" s="44" t="b">
        <v>1</v>
      </c>
      <c r="H217" s="44" t="b">
        <v>0</v>
      </c>
      <c r="I217" s="44"/>
      <c r="M217" s="48" t="s">
        <v>359</v>
      </c>
      <c r="N217" s="48">
        <v>17093057246</v>
      </c>
      <c r="O217" s="48">
        <v>17093055360</v>
      </c>
      <c r="P217" s="48" t="s">
        <v>125</v>
      </c>
      <c r="Q217" s="49"/>
      <c r="R217" s="49"/>
      <c r="S217" s="49"/>
      <c r="T217" s="49"/>
      <c r="U217" s="50" t="s">
        <v>359</v>
      </c>
      <c r="V217" s="50">
        <v>17084590866</v>
      </c>
      <c r="W217" s="50">
        <v>17084589388</v>
      </c>
      <c r="X217" s="50" t="s">
        <v>125</v>
      </c>
      <c r="Y217" s="50">
        <v>120422</v>
      </c>
    </row>
    <row r="218" spans="1:25" x14ac:dyDescent="0.25">
      <c r="A218" s="25" t="s">
        <v>115</v>
      </c>
      <c r="B218" t="b">
        <v>0</v>
      </c>
      <c r="C218" s="43" t="s">
        <v>360</v>
      </c>
      <c r="D218" s="43">
        <v>192486083243</v>
      </c>
      <c r="E218" s="43">
        <v>192486083325</v>
      </c>
      <c r="F218" s="44" t="s">
        <v>125</v>
      </c>
      <c r="G218" s="44" t="b">
        <v>1</v>
      </c>
      <c r="H218" s="44" t="b">
        <v>0</v>
      </c>
      <c r="I218" s="44" t="s">
        <v>126</v>
      </c>
      <c r="M218" s="48" t="s">
        <v>360</v>
      </c>
      <c r="N218" s="48">
        <v>17093056222</v>
      </c>
      <c r="O218" s="48">
        <v>17093056576</v>
      </c>
      <c r="P218" s="48" t="s">
        <v>125</v>
      </c>
      <c r="Q218" s="49"/>
      <c r="R218" s="49"/>
      <c r="S218" s="49"/>
      <c r="T218" s="49"/>
      <c r="U218" s="50" t="s">
        <v>360</v>
      </c>
      <c r="V218" s="50">
        <v>17084589842</v>
      </c>
      <c r="W218" s="50">
        <v>17084591948</v>
      </c>
      <c r="X218" s="50" t="s">
        <v>125</v>
      </c>
      <c r="Y218" s="50">
        <v>120444</v>
      </c>
    </row>
    <row r="219" spans="1:25" x14ac:dyDescent="0.25">
      <c r="A219" s="25" t="s">
        <v>115</v>
      </c>
      <c r="B219" t="b">
        <v>0</v>
      </c>
      <c r="C219" s="43" t="s">
        <v>361</v>
      </c>
      <c r="D219" s="43">
        <v>192486082219</v>
      </c>
      <c r="E219" s="43">
        <v>192486082045</v>
      </c>
      <c r="F219" s="44" t="s">
        <v>125</v>
      </c>
      <c r="G219" s="44" t="b">
        <v>1</v>
      </c>
      <c r="H219" s="44" t="b">
        <v>0</v>
      </c>
      <c r="I219" s="44"/>
      <c r="M219" s="48" t="s">
        <v>361</v>
      </c>
      <c r="N219" s="48">
        <v>17093058270</v>
      </c>
      <c r="O219" s="48">
        <v>17093056064</v>
      </c>
      <c r="P219" s="48" t="s">
        <v>125</v>
      </c>
      <c r="Q219" s="49"/>
      <c r="R219" s="49"/>
      <c r="S219" s="49"/>
      <c r="T219" s="49"/>
      <c r="U219" s="50" t="s">
        <v>361</v>
      </c>
      <c r="V219" s="50">
        <v>17084591890</v>
      </c>
      <c r="W219" s="50">
        <v>17084588748</v>
      </c>
      <c r="X219" s="50" t="s">
        <v>125</v>
      </c>
      <c r="Y219" s="50">
        <v>120431</v>
      </c>
    </row>
    <row r="220" spans="1:25" x14ac:dyDescent="0.25">
      <c r="A220" s="25" t="s">
        <v>115</v>
      </c>
      <c r="B220" t="b">
        <v>0</v>
      </c>
      <c r="C220" s="43" t="s">
        <v>362</v>
      </c>
      <c r="D220" s="43">
        <v>192486084267</v>
      </c>
      <c r="E220" s="43">
        <v>192486084605</v>
      </c>
      <c r="F220" s="44" t="s">
        <v>125</v>
      </c>
      <c r="G220" s="44" t="b">
        <v>1</v>
      </c>
      <c r="H220" s="44" t="b">
        <v>0</v>
      </c>
      <c r="I220" s="44" t="s">
        <v>126</v>
      </c>
      <c r="M220" s="48" t="s">
        <v>362</v>
      </c>
      <c r="N220" s="48">
        <v>17093054942</v>
      </c>
      <c r="O220" s="48">
        <v>17093057856</v>
      </c>
      <c r="P220" s="48" t="s">
        <v>125</v>
      </c>
      <c r="Q220" s="49" t="s">
        <v>362</v>
      </c>
      <c r="R220" s="49">
        <v>17085049735</v>
      </c>
      <c r="S220" s="49">
        <v>17085049095</v>
      </c>
      <c r="T220" s="49" t="s">
        <v>125</v>
      </c>
      <c r="U220" s="50" t="s">
        <v>362</v>
      </c>
      <c r="V220" s="50">
        <v>17084588178</v>
      </c>
      <c r="W220" s="50">
        <v>17084590540</v>
      </c>
      <c r="X220" s="50" t="s">
        <v>125</v>
      </c>
      <c r="Y220" s="50">
        <v>120454</v>
      </c>
    </row>
    <row r="221" spans="1:25" x14ac:dyDescent="0.25">
      <c r="A221" s="25" t="s">
        <v>115</v>
      </c>
      <c r="B221" t="b">
        <v>0</v>
      </c>
      <c r="C221" s="43" t="s">
        <v>363</v>
      </c>
      <c r="D221" s="43">
        <v>192486080939</v>
      </c>
      <c r="E221" s="43">
        <v>192486081501</v>
      </c>
      <c r="F221" s="44" t="s">
        <v>125</v>
      </c>
      <c r="G221" s="44" t="b">
        <v>1</v>
      </c>
      <c r="H221" s="44" t="b">
        <v>0</v>
      </c>
      <c r="I221" s="44"/>
      <c r="M221" s="48" t="s">
        <v>363</v>
      </c>
      <c r="N221" s="48">
        <v>17093056990</v>
      </c>
      <c r="O221" s="48">
        <v>17093050751</v>
      </c>
      <c r="P221" s="48" t="s">
        <v>125</v>
      </c>
      <c r="Q221" s="49" t="s">
        <v>363</v>
      </c>
      <c r="R221" s="49">
        <v>17085050247</v>
      </c>
      <c r="S221" s="49">
        <v>17085048455</v>
      </c>
      <c r="T221" s="49" t="s">
        <v>125</v>
      </c>
      <c r="U221" s="50" t="s">
        <v>363</v>
      </c>
      <c r="V221" s="50">
        <v>17084590226</v>
      </c>
      <c r="W221" s="50">
        <v>17084589812</v>
      </c>
      <c r="X221" s="50" t="s">
        <v>125</v>
      </c>
      <c r="Y221" s="50">
        <v>120427</v>
      </c>
    </row>
    <row r="222" spans="1:25" x14ac:dyDescent="0.25">
      <c r="A222" s="25" t="s">
        <v>115</v>
      </c>
      <c r="B222" t="b">
        <v>0</v>
      </c>
      <c r="C222" s="43" t="s">
        <v>364</v>
      </c>
      <c r="D222" s="43">
        <v>192486082987</v>
      </c>
      <c r="E222" s="43">
        <v>192486081027</v>
      </c>
      <c r="F222" s="44" t="s">
        <v>125</v>
      </c>
      <c r="G222" s="44" t="b">
        <v>1</v>
      </c>
      <c r="H222" s="44" t="b">
        <v>0</v>
      </c>
      <c r="I222" s="44" t="s">
        <v>126</v>
      </c>
      <c r="M222" s="48" t="s">
        <v>364</v>
      </c>
      <c r="N222" s="48">
        <v>17093055966</v>
      </c>
      <c r="O222" s="48">
        <v>17093054656</v>
      </c>
      <c r="P222" s="48" t="s">
        <v>125</v>
      </c>
      <c r="Q222" s="49"/>
      <c r="R222" s="49"/>
      <c r="S222" s="49"/>
      <c r="T222" s="49"/>
      <c r="U222" s="50" t="s">
        <v>364</v>
      </c>
      <c r="V222" s="50">
        <v>17084589202</v>
      </c>
      <c r="W222" s="50">
        <v>17084590028</v>
      </c>
      <c r="X222" s="50" t="s">
        <v>125</v>
      </c>
      <c r="Y222" s="50">
        <v>120423</v>
      </c>
    </row>
    <row r="223" spans="1:25" x14ac:dyDescent="0.25">
      <c r="A223" s="25" t="s">
        <v>115</v>
      </c>
      <c r="B223" t="b">
        <v>0</v>
      </c>
      <c r="C223" s="43" t="s">
        <v>365</v>
      </c>
      <c r="D223" s="43">
        <v>192486081963</v>
      </c>
      <c r="E223" s="43">
        <v>192486082819</v>
      </c>
      <c r="F223" s="44" t="s">
        <v>125</v>
      </c>
      <c r="G223" s="44" t="b">
        <v>1</v>
      </c>
      <c r="H223" s="44" t="b">
        <v>0</v>
      </c>
      <c r="I223" s="44" t="s">
        <v>126</v>
      </c>
      <c r="M223" s="48" t="s">
        <v>365</v>
      </c>
      <c r="N223" s="48">
        <v>17093058014</v>
      </c>
      <c r="O223" s="48">
        <v>17093057216</v>
      </c>
      <c r="P223" s="48" t="s">
        <v>125</v>
      </c>
      <c r="Q223" s="49"/>
      <c r="R223" s="49"/>
      <c r="S223" s="49"/>
      <c r="T223" s="49"/>
      <c r="U223" s="50" t="s">
        <v>365</v>
      </c>
      <c r="V223" s="50">
        <v>17084591250</v>
      </c>
      <c r="W223" s="50">
        <v>17084591148</v>
      </c>
      <c r="X223" s="50" t="s">
        <v>125</v>
      </c>
      <c r="Y223" s="50">
        <v>120440</v>
      </c>
    </row>
    <row r="224" spans="1:25" x14ac:dyDescent="0.25">
      <c r="A224" s="25" t="s">
        <v>115</v>
      </c>
      <c r="B224" t="b">
        <v>0</v>
      </c>
      <c r="C224" s="43" t="s">
        <v>366</v>
      </c>
      <c r="D224" s="43">
        <v>192486084011</v>
      </c>
      <c r="E224" s="43">
        <v>192486082307</v>
      </c>
      <c r="F224" s="44" t="s">
        <v>125</v>
      </c>
      <c r="G224" s="44" t="b">
        <v>1</v>
      </c>
      <c r="H224" s="44" t="b">
        <v>0</v>
      </c>
      <c r="I224" s="44" t="s">
        <v>126</v>
      </c>
      <c r="M224" s="48" t="s">
        <v>366</v>
      </c>
      <c r="N224" s="48">
        <v>17093055454</v>
      </c>
      <c r="O224" s="48">
        <v>17093055936</v>
      </c>
      <c r="P224" s="48" t="s">
        <v>125</v>
      </c>
      <c r="Q224" s="49" t="s">
        <v>366</v>
      </c>
      <c r="R224" s="49">
        <v>17085050759</v>
      </c>
      <c r="S224" s="49">
        <v>17085048583</v>
      </c>
      <c r="T224" s="49" t="s">
        <v>125</v>
      </c>
      <c r="U224" s="50" t="s">
        <v>366</v>
      </c>
      <c r="V224" s="50">
        <v>17084588690</v>
      </c>
      <c r="W224" s="50">
        <v>17084588332</v>
      </c>
      <c r="X224" s="50" t="s">
        <v>125</v>
      </c>
      <c r="Y224" s="50">
        <v>120436</v>
      </c>
    </row>
    <row r="225" spans="1:25" x14ac:dyDescent="0.25">
      <c r="A225" s="25" t="s">
        <v>115</v>
      </c>
      <c r="B225" t="b">
        <v>0</v>
      </c>
      <c r="C225" s="43" t="s">
        <v>367</v>
      </c>
      <c r="D225" s="43">
        <v>192486081451</v>
      </c>
      <c r="E225" s="43">
        <v>192486082179</v>
      </c>
      <c r="F225" s="44" t="s">
        <v>132</v>
      </c>
      <c r="G225" s="44" t="b">
        <v>0</v>
      </c>
      <c r="H225" s="44" t="b">
        <v>0</v>
      </c>
      <c r="I225" s="44"/>
      <c r="M225" s="48" t="s">
        <v>367</v>
      </c>
      <c r="N225" s="48">
        <v>17093057502</v>
      </c>
      <c r="O225" s="48">
        <v>17093055520</v>
      </c>
      <c r="P225" s="48" t="s">
        <v>132</v>
      </c>
      <c r="Q225" s="49"/>
      <c r="R225" s="49"/>
      <c r="S225" s="49"/>
      <c r="T225" s="49"/>
      <c r="U225" s="50" t="s">
        <v>367</v>
      </c>
      <c r="V225" s="50">
        <v>17084590738</v>
      </c>
      <c r="W225" s="50">
        <v>17084588204</v>
      </c>
      <c r="X225" s="50" t="s">
        <v>132</v>
      </c>
      <c r="Y225" s="50"/>
    </row>
    <row r="226" spans="1:25" x14ac:dyDescent="0.25">
      <c r="A226" s="25" t="s">
        <v>115</v>
      </c>
      <c r="B226" t="b">
        <v>0</v>
      </c>
      <c r="C226" s="43" t="s">
        <v>368</v>
      </c>
      <c r="D226" s="43">
        <v>322720</v>
      </c>
      <c r="E226" s="43">
        <v>302282</v>
      </c>
      <c r="F226" s="44" t="s">
        <v>125</v>
      </c>
      <c r="G226" s="44" t="b">
        <v>0</v>
      </c>
      <c r="H226" s="44" t="b">
        <v>0</v>
      </c>
      <c r="I226" s="44"/>
      <c r="M226" s="48" t="s">
        <v>368</v>
      </c>
      <c r="N226" s="48">
        <v>17088569930</v>
      </c>
      <c r="O226" s="48">
        <v>17088568909</v>
      </c>
      <c r="P226" s="48" t="s">
        <v>125</v>
      </c>
      <c r="Q226" s="49" t="s">
        <v>368</v>
      </c>
      <c r="R226" s="49">
        <v>17083128670</v>
      </c>
      <c r="S226" s="49">
        <v>17083124651</v>
      </c>
      <c r="T226" s="49" t="s">
        <v>125</v>
      </c>
      <c r="U226" s="50" t="s">
        <v>368</v>
      </c>
      <c r="V226" s="50">
        <v>17083128670</v>
      </c>
      <c r="W226" s="50">
        <v>17083124651</v>
      </c>
      <c r="X226" s="50" t="s">
        <v>125</v>
      </c>
      <c r="Y226" s="50"/>
    </row>
    <row r="227" spans="1:25" x14ac:dyDescent="0.25">
      <c r="A227" s="25" t="s">
        <v>115</v>
      </c>
      <c r="B227" t="b">
        <v>0</v>
      </c>
      <c r="C227" s="43" t="s">
        <v>369</v>
      </c>
      <c r="D227" s="43">
        <v>320160</v>
      </c>
      <c r="E227" s="43">
        <v>301042</v>
      </c>
      <c r="F227" s="44" t="s">
        <v>132</v>
      </c>
      <c r="G227" s="44" t="b">
        <v>0</v>
      </c>
      <c r="H227" s="44" t="b">
        <v>0</v>
      </c>
      <c r="I227" s="44"/>
      <c r="M227" s="48" t="s">
        <v>369</v>
      </c>
      <c r="N227" s="48">
        <v>17088572234</v>
      </c>
      <c r="O227" s="48">
        <v>17088565933</v>
      </c>
      <c r="P227" s="48" t="s">
        <v>132</v>
      </c>
      <c r="Q227" s="49" t="s">
        <v>369</v>
      </c>
      <c r="R227" s="49">
        <v>17083126494</v>
      </c>
      <c r="S227" s="49">
        <v>17083122971</v>
      </c>
      <c r="T227" s="49" t="s">
        <v>132</v>
      </c>
      <c r="U227" s="50" t="s">
        <v>369</v>
      </c>
      <c r="V227" s="50">
        <v>17083126494</v>
      </c>
      <c r="W227" s="50">
        <v>17083122971</v>
      </c>
      <c r="X227" s="50" t="s">
        <v>132</v>
      </c>
      <c r="Y227" s="50"/>
    </row>
    <row r="228" spans="1:25" x14ac:dyDescent="0.25">
      <c r="A228" s="25" t="s">
        <v>115</v>
      </c>
      <c r="B228" t="b">
        <v>0</v>
      </c>
      <c r="C228" s="43" t="s">
        <v>370</v>
      </c>
      <c r="D228" s="43">
        <v>322208</v>
      </c>
      <c r="E228" s="43">
        <v>302218</v>
      </c>
      <c r="F228" s="44" t="s">
        <v>119</v>
      </c>
      <c r="G228" s="44" t="b">
        <v>0</v>
      </c>
      <c r="H228" s="44" t="b">
        <v>0</v>
      </c>
      <c r="I228" s="44"/>
      <c r="M228" s="48" t="s">
        <v>370</v>
      </c>
      <c r="N228" s="48">
        <v>17088571594</v>
      </c>
      <c r="O228" s="48">
        <v>17088565293</v>
      </c>
      <c r="P228" s="48" t="s">
        <v>119</v>
      </c>
      <c r="Q228" s="49" t="s">
        <v>370</v>
      </c>
      <c r="R228" s="49">
        <v>17083129310</v>
      </c>
      <c r="S228" s="49">
        <v>17083123435</v>
      </c>
      <c r="T228" s="49" t="s">
        <v>119</v>
      </c>
      <c r="U228" s="50" t="s">
        <v>370</v>
      </c>
      <c r="V228" s="50">
        <v>17083129310</v>
      </c>
      <c r="W228" s="50">
        <v>17083123435</v>
      </c>
      <c r="X228" s="50" t="s">
        <v>119</v>
      </c>
      <c r="Y228" s="50"/>
    </row>
    <row r="229" spans="1:25" x14ac:dyDescent="0.25">
      <c r="A229" s="25" t="s">
        <v>115</v>
      </c>
      <c r="B229" t="b">
        <v>0</v>
      </c>
      <c r="C229" s="43" t="s">
        <v>371</v>
      </c>
      <c r="D229" s="43">
        <v>321184</v>
      </c>
      <c r="E229" s="43">
        <v>302578</v>
      </c>
      <c r="F229" s="44" t="s">
        <v>132</v>
      </c>
      <c r="G229" s="44" t="b">
        <v>0</v>
      </c>
      <c r="H229" s="44" t="b">
        <v>0</v>
      </c>
      <c r="I229" s="44"/>
      <c r="M229" s="48" t="s">
        <v>371</v>
      </c>
      <c r="N229" s="48">
        <v>17088571018</v>
      </c>
      <c r="O229" s="48">
        <v>17088569005</v>
      </c>
      <c r="P229" s="48" t="s">
        <v>132</v>
      </c>
      <c r="Q229" s="49" t="s">
        <v>371</v>
      </c>
      <c r="R229" s="49">
        <v>17083126878</v>
      </c>
      <c r="S229" s="49">
        <v>17083124507</v>
      </c>
      <c r="T229" s="49" t="s">
        <v>132</v>
      </c>
      <c r="U229" s="50" t="s">
        <v>371</v>
      </c>
      <c r="V229" s="50">
        <v>17083126878</v>
      </c>
      <c r="W229" s="50">
        <v>17083124507</v>
      </c>
      <c r="X229" s="50" t="s">
        <v>132</v>
      </c>
      <c r="Y229" s="50"/>
    </row>
    <row r="230" spans="1:25" x14ac:dyDescent="0.25">
      <c r="A230" s="25" t="s">
        <v>115</v>
      </c>
      <c r="B230" t="b">
        <v>0</v>
      </c>
      <c r="C230" s="43" t="s">
        <v>372</v>
      </c>
      <c r="D230" s="43">
        <v>323232</v>
      </c>
      <c r="E230" s="43">
        <v>300362</v>
      </c>
      <c r="F230" s="44" t="s">
        <v>125</v>
      </c>
      <c r="G230" s="44" t="b">
        <v>0</v>
      </c>
      <c r="H230" s="44" t="b">
        <v>0</v>
      </c>
      <c r="I230" s="44"/>
      <c r="M230" s="48" t="s">
        <v>372</v>
      </c>
      <c r="N230" s="48">
        <v>17088569546</v>
      </c>
      <c r="O230" s="48">
        <v>17088565453</v>
      </c>
      <c r="P230" s="48" t="s">
        <v>125</v>
      </c>
      <c r="Q230" s="49" t="s">
        <v>372</v>
      </c>
      <c r="R230" s="49">
        <v>17083127262</v>
      </c>
      <c r="S230" s="49">
        <v>17083123307</v>
      </c>
      <c r="T230" s="49" t="s">
        <v>125</v>
      </c>
      <c r="U230" s="50" t="s">
        <v>372</v>
      </c>
      <c r="V230" s="50">
        <v>17083127262</v>
      </c>
      <c r="W230" s="50">
        <v>17083123307</v>
      </c>
      <c r="X230" s="50" t="s">
        <v>125</v>
      </c>
      <c r="Y230" s="50"/>
    </row>
    <row r="231" spans="1:25" x14ac:dyDescent="0.25">
      <c r="A231" s="25" t="s">
        <v>115</v>
      </c>
      <c r="B231" t="b">
        <v>0</v>
      </c>
      <c r="C231" s="43" t="s">
        <v>373</v>
      </c>
      <c r="D231" s="43">
        <v>319904</v>
      </c>
      <c r="E231" s="43">
        <v>300346</v>
      </c>
      <c r="F231" s="44" t="s">
        <v>125</v>
      </c>
      <c r="G231" s="44" t="b">
        <v>0</v>
      </c>
      <c r="H231" s="44" t="b">
        <v>0</v>
      </c>
      <c r="I231" s="44"/>
      <c r="M231" s="48" t="s">
        <v>373</v>
      </c>
      <c r="N231" s="48">
        <v>17088571410</v>
      </c>
      <c r="O231" s="48">
        <v>17088568521</v>
      </c>
      <c r="P231" s="48" t="s">
        <v>125</v>
      </c>
      <c r="Q231" s="49" t="s">
        <v>373</v>
      </c>
      <c r="R231" s="49">
        <v>17083126478</v>
      </c>
      <c r="S231" s="49">
        <v>17083123613</v>
      </c>
      <c r="T231" s="49" t="s">
        <v>125</v>
      </c>
      <c r="U231" s="50" t="s">
        <v>373</v>
      </c>
      <c r="V231" s="50">
        <v>17083126478</v>
      </c>
      <c r="W231" s="50">
        <v>17083123613</v>
      </c>
      <c r="X231" s="50" t="s">
        <v>125</v>
      </c>
      <c r="Y231" s="50"/>
    </row>
    <row r="232" spans="1:25" x14ac:dyDescent="0.25">
      <c r="A232" s="25" t="s">
        <v>115</v>
      </c>
      <c r="B232" t="b">
        <v>0</v>
      </c>
      <c r="C232" s="43" t="s">
        <v>374</v>
      </c>
      <c r="D232" s="43">
        <v>321952</v>
      </c>
      <c r="E232" s="43">
        <v>301838</v>
      </c>
      <c r="F232" s="44" t="s">
        <v>132</v>
      </c>
      <c r="G232" s="44" t="b">
        <v>0</v>
      </c>
      <c r="H232" s="44" t="b">
        <v>0</v>
      </c>
      <c r="I232" s="44"/>
      <c r="M232" s="48" t="s">
        <v>374</v>
      </c>
      <c r="N232" s="48">
        <v>17088570844</v>
      </c>
      <c r="O232" s="48">
        <v>17088567614</v>
      </c>
      <c r="P232" s="48" t="s">
        <v>132</v>
      </c>
      <c r="Q232" s="49" t="s">
        <v>374</v>
      </c>
      <c r="R232" s="49">
        <v>17083127510</v>
      </c>
      <c r="S232" s="49">
        <v>17083122453</v>
      </c>
      <c r="T232" s="49" t="s">
        <v>132</v>
      </c>
      <c r="U232" s="50" t="s">
        <v>374</v>
      </c>
      <c r="V232" s="50">
        <v>17083127510</v>
      </c>
      <c r="W232" s="50">
        <v>17083122453</v>
      </c>
      <c r="X232" s="50" t="s">
        <v>132</v>
      </c>
      <c r="Y232" s="50"/>
    </row>
    <row r="233" spans="1:25" x14ac:dyDescent="0.25">
      <c r="A233" s="25" t="s">
        <v>115</v>
      </c>
      <c r="B233" t="b">
        <v>0</v>
      </c>
      <c r="C233" s="43" t="s">
        <v>375</v>
      </c>
      <c r="D233" s="43">
        <v>320928</v>
      </c>
      <c r="E233" s="43">
        <v>299186</v>
      </c>
      <c r="F233" s="44" t="s">
        <v>117</v>
      </c>
      <c r="G233" s="44" t="b">
        <v>0</v>
      </c>
      <c r="H233" s="44" t="b">
        <v>0</v>
      </c>
      <c r="I233" s="44"/>
      <c r="M233" s="48" t="s">
        <v>375</v>
      </c>
      <c r="N233" s="48">
        <v>17088570662</v>
      </c>
      <c r="O233" s="48">
        <v>17088565767</v>
      </c>
      <c r="P233" s="48" t="s">
        <v>117</v>
      </c>
      <c r="Q233" s="49" t="s">
        <v>375</v>
      </c>
      <c r="R233" s="49">
        <v>17083127825</v>
      </c>
      <c r="S233" s="49">
        <v>17083122175</v>
      </c>
      <c r="T233" s="49" t="s">
        <v>117</v>
      </c>
      <c r="U233" s="50" t="s">
        <v>375</v>
      </c>
      <c r="V233" s="50">
        <v>17083127825</v>
      </c>
      <c r="W233" s="50">
        <v>17083122175</v>
      </c>
      <c r="X233" s="50" t="s">
        <v>117</v>
      </c>
      <c r="Y233" s="50"/>
    </row>
    <row r="234" spans="1:25" x14ac:dyDescent="0.25">
      <c r="A234" s="25" t="s">
        <v>115</v>
      </c>
      <c r="B234" t="b">
        <v>0</v>
      </c>
      <c r="C234" s="43" t="s">
        <v>376</v>
      </c>
      <c r="D234" s="43">
        <v>322976</v>
      </c>
      <c r="E234" s="43">
        <v>299634</v>
      </c>
      <c r="F234" s="44" t="s">
        <v>117</v>
      </c>
      <c r="G234" s="44" t="b">
        <v>0</v>
      </c>
      <c r="H234" s="44" t="b">
        <v>0</v>
      </c>
      <c r="I234" s="44"/>
      <c r="M234" s="48" t="s">
        <v>376</v>
      </c>
      <c r="N234" s="48">
        <v>17088569414</v>
      </c>
      <c r="O234" s="48">
        <v>17088568315</v>
      </c>
      <c r="P234" s="48" t="s">
        <v>117</v>
      </c>
      <c r="Q234" s="49" t="s">
        <v>376</v>
      </c>
      <c r="R234" s="49">
        <v>17083126881</v>
      </c>
      <c r="S234" s="49">
        <v>17083123967</v>
      </c>
      <c r="T234" s="49" t="s">
        <v>117</v>
      </c>
      <c r="U234" s="50" t="s">
        <v>376</v>
      </c>
      <c r="V234" s="50">
        <v>17083126881</v>
      </c>
      <c r="W234" s="50">
        <v>17083123967</v>
      </c>
      <c r="X234" s="50" t="s">
        <v>117</v>
      </c>
      <c r="Y234" s="50"/>
    </row>
    <row r="235" spans="1:25" x14ac:dyDescent="0.25">
      <c r="A235" s="25" t="b">
        <v>1</v>
      </c>
      <c r="B235" t="b">
        <v>0</v>
      </c>
      <c r="C235" s="43" t="s">
        <v>377</v>
      </c>
      <c r="D235" s="43">
        <v>320416</v>
      </c>
      <c r="E235" s="43">
        <v>299078</v>
      </c>
      <c r="F235" s="44" t="s">
        <v>173</v>
      </c>
      <c r="G235" s="44" t="b">
        <v>0</v>
      </c>
      <c r="H235" s="44" t="b">
        <v>0</v>
      </c>
      <c r="I235" s="44"/>
      <c r="J235" s="45" t="s">
        <v>377</v>
      </c>
      <c r="K235" s="46">
        <v>299078</v>
      </c>
      <c r="M235" s="48" t="s">
        <v>377</v>
      </c>
      <c r="N235" s="48">
        <v>17088573074</v>
      </c>
      <c r="O235" s="48">
        <v>17088567161</v>
      </c>
      <c r="P235" s="48" t="s">
        <v>173</v>
      </c>
      <c r="Q235" s="49" t="s">
        <v>377</v>
      </c>
      <c r="R235" s="49">
        <v>17083126318</v>
      </c>
      <c r="S235" s="49">
        <v>17083123491</v>
      </c>
      <c r="T235" s="49" t="s">
        <v>173</v>
      </c>
      <c r="U235" s="50" t="s">
        <v>377</v>
      </c>
      <c r="V235" s="50">
        <v>17083126318</v>
      </c>
      <c r="W235" s="50">
        <v>17083123491</v>
      </c>
      <c r="X235" s="50" t="s">
        <v>173</v>
      </c>
      <c r="Y235" s="50"/>
    </row>
    <row r="236" spans="1:25" x14ac:dyDescent="0.25">
      <c r="A236" s="25" t="s">
        <v>115</v>
      </c>
      <c r="B236" t="b">
        <v>0</v>
      </c>
      <c r="C236" s="43" t="s">
        <v>378</v>
      </c>
      <c r="D236" s="43">
        <v>322464</v>
      </c>
      <c r="E236" s="43">
        <v>300634</v>
      </c>
      <c r="F236" s="44" t="s">
        <v>119</v>
      </c>
      <c r="G236" s="44" t="b">
        <v>0</v>
      </c>
      <c r="H236" s="44" t="b">
        <v>0</v>
      </c>
      <c r="I236" s="44"/>
      <c r="M236" s="48" t="s">
        <v>378</v>
      </c>
      <c r="N236" s="48">
        <v>17088573386</v>
      </c>
      <c r="O236" s="48">
        <v>17088568637</v>
      </c>
      <c r="P236" s="48" t="s">
        <v>119</v>
      </c>
      <c r="Q236" s="49" t="s">
        <v>378</v>
      </c>
      <c r="R236" s="49">
        <v>17083129662</v>
      </c>
      <c r="S236" s="49">
        <v>17083123195</v>
      </c>
      <c r="T236" s="49" t="s">
        <v>119</v>
      </c>
      <c r="U236" s="50" t="s">
        <v>378</v>
      </c>
      <c r="V236" s="50">
        <v>17083129662</v>
      </c>
      <c r="W236" s="50">
        <v>17083123195</v>
      </c>
      <c r="X236" s="50" t="s">
        <v>119</v>
      </c>
      <c r="Y236" s="50"/>
    </row>
    <row r="237" spans="1:25" x14ac:dyDescent="0.25">
      <c r="A237" s="25" t="s">
        <v>115</v>
      </c>
      <c r="B237" t="b">
        <v>0</v>
      </c>
      <c r="C237" s="43" t="s">
        <v>379</v>
      </c>
      <c r="D237" s="43">
        <v>321440</v>
      </c>
      <c r="E237" s="43">
        <v>301582</v>
      </c>
      <c r="F237" s="44" t="s">
        <v>119</v>
      </c>
      <c r="G237" s="44" t="b">
        <v>0</v>
      </c>
      <c r="H237" s="44" t="b">
        <v>0</v>
      </c>
      <c r="I237" s="44"/>
      <c r="M237" s="48" t="s">
        <v>379</v>
      </c>
      <c r="N237" s="48">
        <v>17088571356</v>
      </c>
      <c r="O237" s="48">
        <v>17088569150</v>
      </c>
      <c r="P237" s="48" t="s">
        <v>119</v>
      </c>
      <c r="Q237" s="49" t="s">
        <v>379</v>
      </c>
      <c r="R237" s="49">
        <v>17083128278</v>
      </c>
      <c r="S237" s="49">
        <v>17083122837</v>
      </c>
      <c r="T237" s="49" t="s">
        <v>119</v>
      </c>
      <c r="U237" s="50" t="s">
        <v>379</v>
      </c>
      <c r="V237" s="50">
        <v>17083128278</v>
      </c>
      <c r="W237" s="50">
        <v>17083122837</v>
      </c>
      <c r="X237" s="50" t="s">
        <v>119</v>
      </c>
      <c r="Y237" s="50"/>
    </row>
    <row r="238" spans="1:25" x14ac:dyDescent="0.25">
      <c r="A238" s="25" t="s">
        <v>115</v>
      </c>
      <c r="B238" t="b">
        <v>0</v>
      </c>
      <c r="C238" s="43" t="s">
        <v>380</v>
      </c>
      <c r="D238" s="43">
        <v>323488</v>
      </c>
      <c r="E238" s="43">
        <v>299150</v>
      </c>
      <c r="F238" s="44" t="s">
        <v>132</v>
      </c>
      <c r="G238" s="44" t="b">
        <v>0</v>
      </c>
      <c r="H238" s="44" t="b">
        <v>0</v>
      </c>
      <c r="I238" s="44"/>
      <c r="M238" s="48" t="s">
        <v>380</v>
      </c>
      <c r="N238" s="48">
        <v>17088571868</v>
      </c>
      <c r="O238" s="48">
        <v>17088566846</v>
      </c>
      <c r="P238" s="48" t="s">
        <v>132</v>
      </c>
      <c r="Q238" s="49" t="s">
        <v>380</v>
      </c>
      <c r="R238" s="49">
        <v>17083128534</v>
      </c>
      <c r="S238" s="49">
        <v>17083123989</v>
      </c>
      <c r="T238" s="49" t="s">
        <v>132</v>
      </c>
      <c r="U238" s="50" t="s">
        <v>380</v>
      </c>
      <c r="V238" s="50">
        <v>17083128534</v>
      </c>
      <c r="W238" s="50">
        <v>17083123989</v>
      </c>
      <c r="X238" s="50" t="s">
        <v>132</v>
      </c>
      <c r="Y238" s="50"/>
    </row>
    <row r="239" spans="1:25" x14ac:dyDescent="0.25">
      <c r="A239" s="25" t="s">
        <v>115</v>
      </c>
      <c r="B239" t="b">
        <v>0</v>
      </c>
      <c r="C239" s="43" t="s">
        <v>381</v>
      </c>
      <c r="D239" s="43">
        <v>321632</v>
      </c>
      <c r="E239" s="43">
        <v>302934</v>
      </c>
      <c r="F239" s="44" t="s">
        <v>123</v>
      </c>
      <c r="G239" s="44" t="b">
        <v>0</v>
      </c>
      <c r="H239" s="44" t="b">
        <v>0</v>
      </c>
      <c r="I239" s="44" t="s">
        <v>134</v>
      </c>
      <c r="M239" s="48" t="s">
        <v>381</v>
      </c>
      <c r="N239" s="48">
        <v>17088571154</v>
      </c>
      <c r="O239" s="48">
        <v>17088568377</v>
      </c>
      <c r="P239" s="48" t="s">
        <v>123</v>
      </c>
      <c r="Q239" s="49" t="s">
        <v>381</v>
      </c>
      <c r="R239" s="49">
        <v>17083129294</v>
      </c>
      <c r="S239" s="49">
        <v>17083124803</v>
      </c>
      <c r="T239" s="49" t="s">
        <v>123</v>
      </c>
      <c r="U239" s="50" t="s">
        <v>381</v>
      </c>
      <c r="V239" s="50">
        <v>17083129294</v>
      </c>
      <c r="W239" s="50">
        <v>17083124803</v>
      </c>
      <c r="X239" s="50" t="s">
        <v>123</v>
      </c>
      <c r="Y239" s="50"/>
    </row>
    <row r="240" spans="1:25" x14ac:dyDescent="0.25">
      <c r="A240" s="25" t="s">
        <v>115</v>
      </c>
      <c r="B240" t="b">
        <v>0</v>
      </c>
      <c r="C240" s="43" t="s">
        <v>382</v>
      </c>
      <c r="D240" s="43">
        <v>320608</v>
      </c>
      <c r="E240" s="43">
        <v>299626</v>
      </c>
      <c r="F240" s="44" t="s">
        <v>383</v>
      </c>
      <c r="G240" s="44" t="b">
        <v>0</v>
      </c>
      <c r="H240" s="44" t="b">
        <v>0</v>
      </c>
      <c r="I240" s="44"/>
      <c r="M240" s="48" t="s">
        <v>382</v>
      </c>
      <c r="N240" s="48">
        <v>17088569514</v>
      </c>
      <c r="O240" s="48">
        <v>17088566909</v>
      </c>
      <c r="P240" s="48" t="s">
        <v>383</v>
      </c>
      <c r="Q240" s="49" t="s">
        <v>382</v>
      </c>
      <c r="R240" s="49">
        <v>17083126718</v>
      </c>
      <c r="S240" s="49">
        <v>17083124359</v>
      </c>
      <c r="T240" s="49" t="s">
        <v>383</v>
      </c>
      <c r="U240" s="50" t="s">
        <v>382</v>
      </c>
      <c r="V240" s="50">
        <v>17083126718</v>
      </c>
      <c r="W240" s="50">
        <v>17083124359</v>
      </c>
      <c r="X240" s="50" t="s">
        <v>383</v>
      </c>
      <c r="Y240" s="50"/>
    </row>
    <row r="241" spans="1:25" x14ac:dyDescent="0.25">
      <c r="A241" s="25" t="s">
        <v>115</v>
      </c>
      <c r="B241" t="b">
        <v>0</v>
      </c>
      <c r="C241" s="43" t="s">
        <v>384</v>
      </c>
      <c r="D241" s="43">
        <v>322656</v>
      </c>
      <c r="E241" s="43">
        <v>302426</v>
      </c>
      <c r="F241" s="44" t="s">
        <v>119</v>
      </c>
      <c r="G241" s="44" t="b">
        <v>0</v>
      </c>
      <c r="H241" s="44" t="b">
        <v>0</v>
      </c>
      <c r="I241" s="44"/>
      <c r="M241" s="48" t="s">
        <v>384</v>
      </c>
      <c r="N241" s="48">
        <v>17088573226</v>
      </c>
      <c r="O241" s="48">
        <v>17088566845</v>
      </c>
      <c r="P241" s="48" t="s">
        <v>119</v>
      </c>
      <c r="Q241" s="49" t="s">
        <v>384</v>
      </c>
      <c r="R241" s="49">
        <v>17083129278</v>
      </c>
      <c r="S241" s="49">
        <v>17083124475</v>
      </c>
      <c r="T241" s="49" t="s">
        <v>119</v>
      </c>
      <c r="U241" s="50" t="s">
        <v>384</v>
      </c>
      <c r="V241" s="50">
        <v>17083129278</v>
      </c>
      <c r="W241" s="50">
        <v>17083124475</v>
      </c>
      <c r="X241" s="50" t="s">
        <v>119</v>
      </c>
      <c r="Y241" s="50"/>
    </row>
    <row r="242" spans="1:25" x14ac:dyDescent="0.25">
      <c r="A242" s="25" t="b">
        <v>1</v>
      </c>
      <c r="B242" t="b">
        <v>0</v>
      </c>
      <c r="C242" s="43" t="s">
        <v>385</v>
      </c>
      <c r="D242" s="43">
        <v>320096</v>
      </c>
      <c r="E242" s="43">
        <v>301958</v>
      </c>
      <c r="F242" s="44" t="s">
        <v>173</v>
      </c>
      <c r="G242" s="44" t="b">
        <v>0</v>
      </c>
      <c r="H242" s="44" t="b">
        <v>0</v>
      </c>
      <c r="I242" s="44"/>
      <c r="J242" s="45" t="s">
        <v>385</v>
      </c>
      <c r="K242" s="46">
        <v>301958</v>
      </c>
      <c r="M242" s="48" t="s">
        <v>385</v>
      </c>
      <c r="N242" s="48">
        <v>17088571474</v>
      </c>
      <c r="O242" s="48">
        <v>17088567545</v>
      </c>
      <c r="P242" s="48" t="s">
        <v>173</v>
      </c>
      <c r="Q242" s="49" t="s">
        <v>385</v>
      </c>
      <c r="R242" s="49">
        <v>17083127982</v>
      </c>
      <c r="S242" s="49">
        <v>17083123875</v>
      </c>
      <c r="T242" s="49" t="s">
        <v>173</v>
      </c>
      <c r="U242" s="50" t="s">
        <v>385</v>
      </c>
      <c r="V242" s="50">
        <v>17083127982</v>
      </c>
      <c r="W242" s="50">
        <v>17083123875</v>
      </c>
      <c r="X242" s="50" t="s">
        <v>173</v>
      </c>
      <c r="Y242" s="50"/>
    </row>
    <row r="243" spans="1:25" x14ac:dyDescent="0.25">
      <c r="A243" s="25" t="s">
        <v>115</v>
      </c>
      <c r="B243" t="b">
        <v>0</v>
      </c>
      <c r="C243" s="43" t="s">
        <v>386</v>
      </c>
      <c r="D243" s="43">
        <v>321120</v>
      </c>
      <c r="E243" s="43">
        <v>299226</v>
      </c>
      <c r="F243" s="44" t="s">
        <v>119</v>
      </c>
      <c r="G243" s="44" t="b">
        <v>0</v>
      </c>
      <c r="H243" s="44" t="b">
        <v>0</v>
      </c>
      <c r="I243" s="44"/>
      <c r="M243" s="48" t="s">
        <v>386</v>
      </c>
      <c r="N243" s="48">
        <v>17088572970</v>
      </c>
      <c r="O243" s="48">
        <v>17088567357</v>
      </c>
      <c r="P243" s="48" t="s">
        <v>119</v>
      </c>
      <c r="Q243" s="49" t="s">
        <v>386</v>
      </c>
      <c r="R243" s="49">
        <v>17083126462</v>
      </c>
      <c r="S243" s="49">
        <v>17083121915</v>
      </c>
      <c r="T243" s="49" t="s">
        <v>119</v>
      </c>
      <c r="U243" s="50" t="s">
        <v>386</v>
      </c>
      <c r="V243" s="50">
        <v>17083126462</v>
      </c>
      <c r="W243" s="50">
        <v>17083121915</v>
      </c>
      <c r="X243" s="50" t="s">
        <v>119</v>
      </c>
      <c r="Y243" s="50"/>
    </row>
    <row r="244" spans="1:25" x14ac:dyDescent="0.25">
      <c r="A244" s="25" t="s">
        <v>115</v>
      </c>
      <c r="B244" t="b">
        <v>0</v>
      </c>
      <c r="C244" s="43" t="s">
        <v>387</v>
      </c>
      <c r="D244" s="43">
        <v>323168</v>
      </c>
      <c r="E244" s="43">
        <v>302490</v>
      </c>
      <c r="F244" s="44" t="s">
        <v>132</v>
      </c>
      <c r="G244" s="44" t="b">
        <v>0</v>
      </c>
      <c r="H244" s="44" t="b">
        <v>0</v>
      </c>
      <c r="I244" s="44"/>
      <c r="M244" s="48" t="s">
        <v>387</v>
      </c>
      <c r="N244" s="48">
        <v>17088570410</v>
      </c>
      <c r="O244" s="48">
        <v>17088567997</v>
      </c>
      <c r="P244" s="48" t="s">
        <v>132</v>
      </c>
      <c r="Q244" s="49" t="s">
        <v>387</v>
      </c>
      <c r="R244" s="49">
        <v>17083125950</v>
      </c>
      <c r="S244" s="49">
        <v>17083122183</v>
      </c>
      <c r="T244" s="49" t="s">
        <v>132</v>
      </c>
      <c r="U244" s="50" t="s">
        <v>387</v>
      </c>
      <c r="V244" s="50">
        <v>17083125950</v>
      </c>
      <c r="W244" s="50">
        <v>17083122183</v>
      </c>
      <c r="X244" s="50" t="s">
        <v>132</v>
      </c>
      <c r="Y244" s="50"/>
    </row>
    <row r="245" spans="1:25" x14ac:dyDescent="0.25">
      <c r="A245" s="25" t="b">
        <v>1</v>
      </c>
      <c r="B245" t="b">
        <v>0</v>
      </c>
      <c r="C245" s="43" t="s">
        <v>388</v>
      </c>
      <c r="D245" s="43">
        <v>319840</v>
      </c>
      <c r="E245" s="43">
        <v>301266</v>
      </c>
      <c r="F245" s="44" t="s">
        <v>173</v>
      </c>
      <c r="G245" s="44" t="b">
        <v>0</v>
      </c>
      <c r="H245" s="44" t="b">
        <v>0</v>
      </c>
      <c r="I245" s="44"/>
      <c r="J245" s="45" t="s">
        <v>388</v>
      </c>
      <c r="K245" s="46">
        <v>301266</v>
      </c>
      <c r="M245" s="48" t="s">
        <v>388</v>
      </c>
      <c r="N245" s="48">
        <v>17088571078</v>
      </c>
      <c r="O245" s="48">
        <v>17088566407</v>
      </c>
      <c r="P245" s="48" t="s">
        <v>173</v>
      </c>
      <c r="Q245" s="49" t="s">
        <v>388</v>
      </c>
      <c r="R245" s="49">
        <v>17083126113</v>
      </c>
      <c r="S245" s="49">
        <v>17083127296</v>
      </c>
      <c r="T245" s="49" t="s">
        <v>173</v>
      </c>
      <c r="U245" s="50" t="s">
        <v>388</v>
      </c>
      <c r="V245" s="50">
        <v>17083126113</v>
      </c>
      <c r="W245" s="50">
        <v>17083127296</v>
      </c>
      <c r="X245" s="50" t="s">
        <v>173</v>
      </c>
      <c r="Y245" s="50"/>
    </row>
    <row r="246" spans="1:25" x14ac:dyDescent="0.25">
      <c r="A246" s="25" t="s">
        <v>115</v>
      </c>
      <c r="B246" t="b">
        <v>0</v>
      </c>
      <c r="C246" s="43" t="s">
        <v>389</v>
      </c>
      <c r="D246" s="43">
        <v>321888</v>
      </c>
      <c r="E246" s="43">
        <v>301862</v>
      </c>
      <c r="F246" s="44" t="s">
        <v>119</v>
      </c>
      <c r="G246" s="44" t="b">
        <v>0</v>
      </c>
      <c r="H246" s="44" t="b">
        <v>0</v>
      </c>
      <c r="I246" s="44"/>
      <c r="J246" s="45" t="s">
        <v>389</v>
      </c>
      <c r="K246" s="46">
        <v>301862</v>
      </c>
      <c r="L246" s="47">
        <v>990000682</v>
      </c>
      <c r="M246" s="48" t="s">
        <v>389</v>
      </c>
      <c r="N246" s="48">
        <v>17088569682</v>
      </c>
      <c r="O246" s="48">
        <v>17088568441</v>
      </c>
      <c r="P246" s="48" t="s">
        <v>119</v>
      </c>
      <c r="Q246" s="49" t="s">
        <v>389</v>
      </c>
      <c r="R246" s="49">
        <v>17083127470</v>
      </c>
      <c r="S246" s="49">
        <v>17083124771</v>
      </c>
      <c r="T246" s="49" t="s">
        <v>119</v>
      </c>
      <c r="U246" s="50" t="s">
        <v>389</v>
      </c>
      <c r="V246" s="50">
        <v>17083127470</v>
      </c>
      <c r="W246" s="50">
        <v>17083124771</v>
      </c>
      <c r="X246" s="50" t="s">
        <v>119</v>
      </c>
      <c r="Y246" s="50"/>
    </row>
    <row r="247" spans="1:25" x14ac:dyDescent="0.25">
      <c r="A247" s="25" t="b">
        <v>1</v>
      </c>
      <c r="B247" t="b">
        <v>0</v>
      </c>
      <c r="C247" s="43" t="s">
        <v>390</v>
      </c>
      <c r="D247" s="43">
        <v>320864</v>
      </c>
      <c r="E247" s="43">
        <v>302150</v>
      </c>
      <c r="F247" s="44" t="s">
        <v>173</v>
      </c>
      <c r="G247" s="44" t="b">
        <v>0</v>
      </c>
      <c r="H247" s="44" t="b">
        <v>0</v>
      </c>
      <c r="I247" s="44"/>
      <c r="J247" s="45" t="s">
        <v>390</v>
      </c>
      <c r="K247" s="46">
        <v>302150</v>
      </c>
      <c r="M247" s="48" t="s">
        <v>390</v>
      </c>
      <c r="N247" s="48">
        <v>17088573010</v>
      </c>
      <c r="O247" s="48">
        <v>17088568697</v>
      </c>
      <c r="P247" s="48" t="s">
        <v>173</v>
      </c>
      <c r="Q247" s="49" t="s">
        <v>390</v>
      </c>
      <c r="R247" s="49">
        <v>17083128494</v>
      </c>
      <c r="S247" s="49">
        <v>17083125027</v>
      </c>
      <c r="T247" s="49" t="s">
        <v>173</v>
      </c>
      <c r="U247" s="50" t="s">
        <v>390</v>
      </c>
      <c r="V247" s="50">
        <v>17083128494</v>
      </c>
      <c r="W247" s="50">
        <v>17083125027</v>
      </c>
      <c r="X247" s="50" t="s">
        <v>173</v>
      </c>
      <c r="Y247" s="50"/>
    </row>
    <row r="248" spans="1:25" x14ac:dyDescent="0.25">
      <c r="A248" s="25" t="s">
        <v>115</v>
      </c>
      <c r="B248" t="b">
        <v>0</v>
      </c>
      <c r="C248" s="43" t="s">
        <v>391</v>
      </c>
      <c r="D248" s="43">
        <v>322912</v>
      </c>
      <c r="E248" s="43">
        <v>303018</v>
      </c>
      <c r="F248" s="44" t="s">
        <v>117</v>
      </c>
      <c r="G248" s="44" t="b">
        <v>0</v>
      </c>
      <c r="H248" s="44" t="b">
        <v>0</v>
      </c>
      <c r="I248" s="44"/>
      <c r="M248" s="48" t="s">
        <v>391</v>
      </c>
      <c r="N248" s="48">
        <v>17088571178</v>
      </c>
      <c r="O248" s="48">
        <v>17088567037</v>
      </c>
      <c r="P248" s="48" t="s">
        <v>117</v>
      </c>
      <c r="Q248" s="49" t="s">
        <v>391</v>
      </c>
      <c r="R248" s="49">
        <v>17083127230</v>
      </c>
      <c r="S248" s="49">
        <v>17083124295</v>
      </c>
      <c r="T248" s="49" t="s">
        <v>117</v>
      </c>
      <c r="U248" s="50" t="s">
        <v>391</v>
      </c>
      <c r="V248" s="50">
        <v>17083127230</v>
      </c>
      <c r="W248" s="50">
        <v>17083124295</v>
      </c>
      <c r="X248" s="50" t="s">
        <v>117</v>
      </c>
      <c r="Y248" s="50"/>
    </row>
    <row r="249" spans="1:25" x14ac:dyDescent="0.25">
      <c r="A249" s="25" t="s">
        <v>115</v>
      </c>
      <c r="B249" t="b">
        <v>0</v>
      </c>
      <c r="C249" s="43" t="s">
        <v>392</v>
      </c>
      <c r="D249" s="43">
        <v>320352</v>
      </c>
      <c r="E249" s="43">
        <v>301146</v>
      </c>
      <c r="F249" s="44" t="s">
        <v>119</v>
      </c>
      <c r="G249" s="44" t="b">
        <v>0</v>
      </c>
      <c r="H249" s="44" t="b">
        <v>0</v>
      </c>
      <c r="I249" s="44"/>
      <c r="M249" s="48" t="s">
        <v>392</v>
      </c>
      <c r="N249" s="48">
        <v>17088573130</v>
      </c>
      <c r="O249" s="48">
        <v>17088565437</v>
      </c>
      <c r="P249" s="48" t="s">
        <v>119</v>
      </c>
      <c r="Q249" s="49" t="s">
        <v>392</v>
      </c>
      <c r="R249" s="49">
        <v>17083128382</v>
      </c>
      <c r="S249" s="49">
        <v>17083125755</v>
      </c>
      <c r="T249" s="49" t="s">
        <v>119</v>
      </c>
      <c r="U249" s="50" t="s">
        <v>392</v>
      </c>
      <c r="V249" s="50">
        <v>17083128382</v>
      </c>
      <c r="W249" s="50">
        <v>17083125755</v>
      </c>
      <c r="X249" s="50" t="s">
        <v>119</v>
      </c>
      <c r="Y249" s="50"/>
    </row>
    <row r="250" spans="1:25" x14ac:dyDescent="0.25">
      <c r="A250" s="25" t="s">
        <v>115</v>
      </c>
      <c r="B250" t="b">
        <v>0</v>
      </c>
      <c r="C250" s="43" t="s">
        <v>393</v>
      </c>
      <c r="D250" s="43">
        <v>322400</v>
      </c>
      <c r="E250" s="43">
        <v>301722</v>
      </c>
      <c r="F250" s="44" t="s">
        <v>132</v>
      </c>
      <c r="G250" s="44" t="b">
        <v>0</v>
      </c>
      <c r="H250" s="44" t="b">
        <v>0</v>
      </c>
      <c r="I250" s="44"/>
      <c r="M250" s="48" t="s">
        <v>393</v>
      </c>
      <c r="N250" s="48">
        <v>17088570922</v>
      </c>
      <c r="O250" s="48">
        <v>17088568765</v>
      </c>
      <c r="P250" s="48" t="s">
        <v>132</v>
      </c>
      <c r="Q250" s="49" t="s">
        <v>393</v>
      </c>
      <c r="R250" s="49">
        <v>17083129022</v>
      </c>
      <c r="S250" s="49">
        <v>17083122951</v>
      </c>
      <c r="T250" s="49" t="s">
        <v>132</v>
      </c>
      <c r="U250" s="50" t="s">
        <v>393</v>
      </c>
      <c r="V250" s="50">
        <v>17083129022</v>
      </c>
      <c r="W250" s="50">
        <v>17083122951</v>
      </c>
      <c r="X250" s="50" t="s">
        <v>132</v>
      </c>
      <c r="Y250" s="50"/>
    </row>
    <row r="251" spans="1:25" x14ac:dyDescent="0.25">
      <c r="A251" s="25" t="s">
        <v>115</v>
      </c>
      <c r="B251" t="b">
        <v>1</v>
      </c>
      <c r="C251" s="43" t="s">
        <v>394</v>
      </c>
      <c r="D251" s="43">
        <v>321376</v>
      </c>
      <c r="E251" s="43">
        <v>300506</v>
      </c>
      <c r="F251" s="44" t="s">
        <v>132</v>
      </c>
      <c r="G251" s="44" t="b">
        <v>0</v>
      </c>
      <c r="H251" s="44" t="b">
        <v>0</v>
      </c>
      <c r="I251" s="44"/>
      <c r="J251" s="45" t="s">
        <v>394</v>
      </c>
      <c r="K251" s="46">
        <v>300506</v>
      </c>
      <c r="L251" s="47">
        <v>990000624</v>
      </c>
      <c r="M251" s="48" t="s">
        <v>394</v>
      </c>
      <c r="N251" s="48">
        <v>17088571946</v>
      </c>
      <c r="O251" s="48">
        <v>17088567261</v>
      </c>
      <c r="P251" s="48" t="s">
        <v>132</v>
      </c>
      <c r="Q251" s="49" t="s">
        <v>394</v>
      </c>
      <c r="R251" s="49">
        <v>17083126974</v>
      </c>
      <c r="S251" s="49">
        <v>17083124603</v>
      </c>
      <c r="T251" s="49" t="s">
        <v>132</v>
      </c>
      <c r="U251" s="50" t="s">
        <v>394</v>
      </c>
      <c r="V251" s="50">
        <v>17083126974</v>
      </c>
      <c r="W251" s="50">
        <v>17083124603</v>
      </c>
      <c r="X251" s="50" t="s">
        <v>132</v>
      </c>
      <c r="Y251" s="50"/>
    </row>
    <row r="252" spans="1:25" x14ac:dyDescent="0.25">
      <c r="A252" s="25" t="s">
        <v>115</v>
      </c>
      <c r="B252" t="b">
        <v>0</v>
      </c>
      <c r="C252" s="43" t="s">
        <v>395</v>
      </c>
      <c r="D252" s="43">
        <v>323424</v>
      </c>
      <c r="E252" s="43">
        <v>301626</v>
      </c>
      <c r="F252" s="44" t="s">
        <v>123</v>
      </c>
      <c r="G252" s="44" t="b">
        <v>0</v>
      </c>
      <c r="H252" s="44" t="b">
        <v>0</v>
      </c>
      <c r="I252" s="44" t="s">
        <v>126</v>
      </c>
      <c r="M252" s="48" t="s">
        <v>395</v>
      </c>
      <c r="N252" s="48">
        <v>17088572202</v>
      </c>
      <c r="O252" s="48">
        <v>17088567773</v>
      </c>
      <c r="P252" s="48" t="s">
        <v>123</v>
      </c>
      <c r="Q252" s="49" t="s">
        <v>395</v>
      </c>
      <c r="R252" s="49">
        <v>17083128254</v>
      </c>
      <c r="S252" s="49">
        <v>17083122043</v>
      </c>
      <c r="T252" s="49" t="s">
        <v>123</v>
      </c>
      <c r="U252" s="50" t="s">
        <v>395</v>
      </c>
      <c r="V252" s="50">
        <v>17083128254</v>
      </c>
      <c r="W252" s="50">
        <v>17083122043</v>
      </c>
      <c r="X252" s="50" t="s">
        <v>123</v>
      </c>
      <c r="Y252" s="50"/>
    </row>
    <row r="253" spans="1:25" x14ac:dyDescent="0.25">
      <c r="A253" s="25" t="s">
        <v>115</v>
      </c>
      <c r="B253" t="b">
        <v>0</v>
      </c>
      <c r="C253" s="43" t="s">
        <v>396</v>
      </c>
      <c r="D253" s="43">
        <v>319712</v>
      </c>
      <c r="E253" s="43">
        <v>301610</v>
      </c>
      <c r="F253" s="44" t="s">
        <v>119</v>
      </c>
      <c r="G253" s="44" t="b">
        <v>0</v>
      </c>
      <c r="H253" s="44" t="b">
        <v>0</v>
      </c>
      <c r="I253" s="44"/>
      <c r="M253" s="48" t="s">
        <v>396</v>
      </c>
      <c r="N253" s="48">
        <v>17088570822</v>
      </c>
      <c r="O253" s="48">
        <v>17088565819</v>
      </c>
      <c r="P253" s="48" t="s">
        <v>119</v>
      </c>
      <c r="Q253" s="49" t="s">
        <v>396</v>
      </c>
      <c r="R253" s="49">
        <v>17083125985</v>
      </c>
      <c r="S253" s="49">
        <v>17083123167</v>
      </c>
      <c r="T253" s="49" t="s">
        <v>119</v>
      </c>
      <c r="U253" s="50" t="s">
        <v>396</v>
      </c>
      <c r="V253" s="50">
        <v>17083125985</v>
      </c>
      <c r="W253" s="50">
        <v>17083123167</v>
      </c>
      <c r="X253" s="50" t="s">
        <v>119</v>
      </c>
      <c r="Y253" s="50"/>
    </row>
    <row r="254" spans="1:25" x14ac:dyDescent="0.25">
      <c r="A254" s="25" t="s">
        <v>115</v>
      </c>
      <c r="B254" t="b">
        <v>0</v>
      </c>
      <c r="C254" s="43" t="s">
        <v>397</v>
      </c>
      <c r="D254" s="43">
        <v>321760</v>
      </c>
      <c r="E254" s="43">
        <v>299858</v>
      </c>
      <c r="F254" s="44" t="s">
        <v>119</v>
      </c>
      <c r="G254" s="44" t="b">
        <v>0</v>
      </c>
      <c r="H254" s="44" t="b">
        <v>0</v>
      </c>
      <c r="I254" s="44"/>
      <c r="M254" s="48" t="s">
        <v>397</v>
      </c>
      <c r="N254" s="48">
        <v>17088570406</v>
      </c>
      <c r="O254" s="48">
        <v>17088567943</v>
      </c>
      <c r="P254" s="48" t="s">
        <v>119</v>
      </c>
      <c r="Q254" s="49" t="s">
        <v>397</v>
      </c>
      <c r="R254" s="49">
        <v>17083128289</v>
      </c>
      <c r="S254" s="49">
        <v>17083128064</v>
      </c>
      <c r="T254" s="49" t="s">
        <v>119</v>
      </c>
      <c r="U254" s="50" t="s">
        <v>397</v>
      </c>
      <c r="V254" s="50">
        <v>17083128289</v>
      </c>
      <c r="W254" s="50">
        <v>17083128064</v>
      </c>
      <c r="X254" s="50" t="s">
        <v>119</v>
      </c>
      <c r="Y254" s="50"/>
    </row>
    <row r="255" spans="1:25" x14ac:dyDescent="0.25">
      <c r="A255" s="25" t="s">
        <v>115</v>
      </c>
      <c r="B255" t="b">
        <v>0</v>
      </c>
      <c r="C255" s="43" t="s">
        <v>398</v>
      </c>
      <c r="D255" s="43">
        <v>320736</v>
      </c>
      <c r="E255" s="43">
        <v>299254</v>
      </c>
      <c r="F255" s="44" t="s">
        <v>123</v>
      </c>
      <c r="G255" s="44" t="b">
        <v>0</v>
      </c>
      <c r="H255" s="44" t="b">
        <v>0</v>
      </c>
      <c r="I255" s="44" t="s">
        <v>134</v>
      </c>
      <c r="M255" s="48" t="s">
        <v>398</v>
      </c>
      <c r="N255" s="48">
        <v>17088572380</v>
      </c>
      <c r="O255" s="48">
        <v>17088569022</v>
      </c>
      <c r="P255" s="48" t="s">
        <v>123</v>
      </c>
      <c r="Q255" s="49" t="s">
        <v>398</v>
      </c>
      <c r="R255" s="49">
        <v>17083126230</v>
      </c>
      <c r="S255" s="49">
        <v>17083123093</v>
      </c>
      <c r="T255" s="49" t="s">
        <v>123</v>
      </c>
      <c r="U255" s="50" t="s">
        <v>398</v>
      </c>
      <c r="V255" s="50">
        <v>17083126230</v>
      </c>
      <c r="W255" s="50">
        <v>17083123093</v>
      </c>
      <c r="X255" s="50" t="s">
        <v>123</v>
      </c>
      <c r="Y255" s="50"/>
    </row>
    <row r="256" spans="1:25" x14ac:dyDescent="0.25">
      <c r="A256" s="25" t="s">
        <v>115</v>
      </c>
      <c r="B256" t="b">
        <v>0</v>
      </c>
      <c r="C256" s="43" t="s">
        <v>399</v>
      </c>
      <c r="D256" s="43">
        <v>322784</v>
      </c>
      <c r="E256" s="43">
        <v>300794</v>
      </c>
      <c r="F256" s="44" t="s">
        <v>125</v>
      </c>
      <c r="G256" s="44" t="b">
        <v>0</v>
      </c>
      <c r="H256" s="44" t="b">
        <v>0</v>
      </c>
      <c r="I256" s="44"/>
      <c r="M256" s="48" t="s">
        <v>399</v>
      </c>
      <c r="N256" s="48">
        <v>17088569426</v>
      </c>
      <c r="O256" s="48">
        <v>17088566009</v>
      </c>
      <c r="P256" s="48" t="s">
        <v>125</v>
      </c>
      <c r="Q256" s="49" t="s">
        <v>399</v>
      </c>
      <c r="R256" s="49">
        <v>17083125934</v>
      </c>
      <c r="S256" s="49">
        <v>17083122339</v>
      </c>
      <c r="T256" s="49" t="s">
        <v>125</v>
      </c>
      <c r="U256" s="50" t="s">
        <v>399</v>
      </c>
      <c r="V256" s="50">
        <v>17083125934</v>
      </c>
      <c r="W256" s="50">
        <v>17083122339</v>
      </c>
      <c r="X256" s="50" t="s">
        <v>125</v>
      </c>
      <c r="Y256" s="50"/>
    </row>
    <row r="257" spans="1:29" x14ac:dyDescent="0.25">
      <c r="A257" s="25" t="s">
        <v>115</v>
      </c>
      <c r="B257" t="b">
        <v>0</v>
      </c>
      <c r="C257" s="43" t="s">
        <v>400</v>
      </c>
      <c r="D257" s="43">
        <v>320224</v>
      </c>
      <c r="E257" s="43">
        <v>300646</v>
      </c>
      <c r="F257" s="44" t="s">
        <v>123</v>
      </c>
      <c r="G257" s="44" t="b">
        <v>0</v>
      </c>
      <c r="H257" s="44" t="b">
        <v>0</v>
      </c>
      <c r="I257" s="44"/>
      <c r="M257" s="48" t="s">
        <v>400</v>
      </c>
      <c r="N257" s="48">
        <v>17088570258</v>
      </c>
      <c r="O257" s="48">
        <v>17088565689</v>
      </c>
      <c r="P257" s="48" t="s">
        <v>123</v>
      </c>
      <c r="Q257" s="49" t="s">
        <v>400</v>
      </c>
      <c r="R257" s="49">
        <v>17083129134</v>
      </c>
      <c r="S257" s="49">
        <v>17083122115</v>
      </c>
      <c r="T257" s="49" t="s">
        <v>123</v>
      </c>
      <c r="U257" s="50" t="s">
        <v>400</v>
      </c>
      <c r="V257" s="50">
        <v>17083129134</v>
      </c>
      <c r="W257" s="50">
        <v>17083122115</v>
      </c>
      <c r="X257" s="50" t="s">
        <v>123</v>
      </c>
      <c r="Y257" s="50"/>
    </row>
    <row r="258" spans="1:29" x14ac:dyDescent="0.25">
      <c r="A258" s="25" t="s">
        <v>115</v>
      </c>
      <c r="B258" t="b">
        <v>0</v>
      </c>
      <c r="C258" s="43" t="s">
        <v>401</v>
      </c>
      <c r="D258" s="43">
        <v>322272</v>
      </c>
      <c r="E258" s="43">
        <v>299418</v>
      </c>
      <c r="F258" s="44" t="s">
        <v>132</v>
      </c>
      <c r="G258" s="44" t="b">
        <v>0</v>
      </c>
      <c r="H258" s="44" t="b">
        <v>0</v>
      </c>
      <c r="I258" s="44"/>
      <c r="M258" s="48" t="s">
        <v>401</v>
      </c>
      <c r="N258" s="48">
        <v>17088570826</v>
      </c>
      <c r="O258" s="48">
        <v>17088565693</v>
      </c>
      <c r="P258" s="48" t="s">
        <v>132</v>
      </c>
      <c r="Q258" s="49" t="s">
        <v>401</v>
      </c>
      <c r="R258" s="49">
        <v>17083127102</v>
      </c>
      <c r="S258" s="49">
        <v>17083125255</v>
      </c>
      <c r="T258" s="49" t="s">
        <v>132</v>
      </c>
      <c r="U258" s="50" t="s">
        <v>401</v>
      </c>
      <c r="V258" s="50">
        <v>17083127102</v>
      </c>
      <c r="W258" s="50">
        <v>17083125255</v>
      </c>
      <c r="X258" s="50" t="s">
        <v>132</v>
      </c>
      <c r="Y258" s="50"/>
    </row>
    <row r="259" spans="1:29" x14ac:dyDescent="0.25">
      <c r="A259" s="25" t="s">
        <v>115</v>
      </c>
      <c r="B259" t="b">
        <v>0</v>
      </c>
      <c r="C259" s="43" t="s">
        <v>402</v>
      </c>
      <c r="D259" s="43">
        <v>321248</v>
      </c>
      <c r="E259" s="43">
        <v>301418</v>
      </c>
      <c r="F259" s="44" t="s">
        <v>117</v>
      </c>
      <c r="G259" s="44" t="b">
        <v>0</v>
      </c>
      <c r="H259" s="44" t="b">
        <v>0</v>
      </c>
      <c r="I259" s="44"/>
      <c r="M259" s="48" t="s">
        <v>402</v>
      </c>
      <c r="N259" s="48">
        <v>17088569898</v>
      </c>
      <c r="O259" s="48">
        <v>17088567421</v>
      </c>
      <c r="P259" s="48" t="s">
        <v>117</v>
      </c>
      <c r="Q259" s="49" t="s">
        <v>402</v>
      </c>
      <c r="R259" s="49">
        <v>17083127998</v>
      </c>
      <c r="S259" s="49">
        <v>17083121799</v>
      </c>
      <c r="T259" s="49" t="s">
        <v>117</v>
      </c>
      <c r="U259" s="50" t="s">
        <v>402</v>
      </c>
      <c r="V259" s="50">
        <v>17083127998</v>
      </c>
      <c r="W259" s="50">
        <v>17083121799</v>
      </c>
      <c r="X259" s="50" t="s">
        <v>117</v>
      </c>
      <c r="Y259" s="50"/>
    </row>
    <row r="260" spans="1:29" x14ac:dyDescent="0.25">
      <c r="A260" s="25" t="s">
        <v>248</v>
      </c>
      <c r="B260" t="b">
        <v>0</v>
      </c>
      <c r="C260" s="43" t="s">
        <v>403</v>
      </c>
      <c r="D260" s="43">
        <v>323296</v>
      </c>
      <c r="E260" s="43">
        <v>300198</v>
      </c>
      <c r="F260" s="44" t="s">
        <v>173</v>
      </c>
      <c r="G260" s="44" t="b">
        <v>0</v>
      </c>
      <c r="H260" s="44" t="b">
        <v>0</v>
      </c>
      <c r="I260" s="44"/>
      <c r="J260" s="45" t="s">
        <v>403</v>
      </c>
      <c r="K260" s="46">
        <v>300198</v>
      </c>
      <c r="M260" s="48" t="s">
        <v>403</v>
      </c>
      <c r="N260" s="48">
        <v>17088570514</v>
      </c>
      <c r="O260" s="48">
        <v>17088565369</v>
      </c>
      <c r="P260" s="48" t="s">
        <v>173</v>
      </c>
      <c r="Q260" s="49" t="s">
        <v>403</v>
      </c>
      <c r="R260" s="49">
        <v>17083127758</v>
      </c>
      <c r="S260" s="49">
        <v>17083121699</v>
      </c>
      <c r="T260" s="49" t="s">
        <v>173</v>
      </c>
      <c r="U260" s="50" t="s">
        <v>403</v>
      </c>
      <c r="V260" s="50">
        <v>17083127758</v>
      </c>
      <c r="W260" s="50">
        <v>17083121699</v>
      </c>
      <c r="X260" s="50" t="s">
        <v>173</v>
      </c>
      <c r="Y260" s="50"/>
    </row>
    <row r="261" spans="1:29" x14ac:dyDescent="0.25">
      <c r="A261" s="25" t="s">
        <v>115</v>
      </c>
      <c r="B261" t="b">
        <v>0</v>
      </c>
      <c r="C261" s="43" t="s">
        <v>404</v>
      </c>
      <c r="D261" s="43">
        <v>319968</v>
      </c>
      <c r="E261" s="43">
        <v>299494</v>
      </c>
      <c r="F261" s="44" t="s">
        <v>125</v>
      </c>
      <c r="G261" s="44" t="b">
        <v>0</v>
      </c>
      <c r="H261" s="44" t="b">
        <v>0</v>
      </c>
      <c r="I261" s="44" t="s">
        <v>126</v>
      </c>
      <c r="M261" s="48" t="s">
        <v>404</v>
      </c>
      <c r="N261" s="48">
        <v>17088571026</v>
      </c>
      <c r="O261" s="48">
        <v>17088566457</v>
      </c>
      <c r="P261" s="48" t="s">
        <v>125</v>
      </c>
      <c r="Q261" s="49" t="s">
        <v>404</v>
      </c>
      <c r="R261" s="49">
        <v>17083128878</v>
      </c>
      <c r="S261" s="49">
        <v>17083122883</v>
      </c>
      <c r="T261" s="49" t="s">
        <v>125</v>
      </c>
      <c r="U261" s="50" t="s">
        <v>404</v>
      </c>
      <c r="V261" s="50">
        <v>17083128878</v>
      </c>
      <c r="W261" s="50">
        <v>17083122883</v>
      </c>
      <c r="X261" s="50" t="s">
        <v>125</v>
      </c>
      <c r="Y261" s="50"/>
    </row>
    <row r="262" spans="1:29" x14ac:dyDescent="0.25">
      <c r="A262" s="25" t="b">
        <v>1</v>
      </c>
      <c r="B262" t="b">
        <v>0</v>
      </c>
      <c r="C262" s="43" t="s">
        <v>405</v>
      </c>
      <c r="D262" s="43">
        <v>322016</v>
      </c>
      <c r="E262" s="43">
        <v>301382</v>
      </c>
      <c r="F262" s="44" t="s">
        <v>173</v>
      </c>
      <c r="G262" s="44" t="b">
        <v>0</v>
      </c>
      <c r="H262" s="44" t="b">
        <v>0</v>
      </c>
      <c r="I262" s="44"/>
      <c r="J262" s="45" t="s">
        <v>405</v>
      </c>
      <c r="K262" s="46">
        <v>301382</v>
      </c>
      <c r="M262" s="48" t="s">
        <v>405</v>
      </c>
      <c r="N262" s="48">
        <v>17088570962</v>
      </c>
      <c r="O262" s="48">
        <v>17088565625</v>
      </c>
      <c r="P262" s="48" t="s">
        <v>173</v>
      </c>
      <c r="Q262" s="49" t="s">
        <v>405</v>
      </c>
      <c r="R262" s="49">
        <v>17083126446</v>
      </c>
      <c r="S262" s="49">
        <v>17083121955</v>
      </c>
      <c r="T262" s="49" t="s">
        <v>173</v>
      </c>
      <c r="U262" s="50" t="s">
        <v>405</v>
      </c>
      <c r="V262" s="50">
        <v>17083126446</v>
      </c>
      <c r="W262" s="50">
        <v>17083121955</v>
      </c>
      <c r="X262" s="50" t="s">
        <v>173</v>
      </c>
      <c r="Y262" s="50"/>
    </row>
    <row r="263" spans="1:29" x14ac:dyDescent="0.25">
      <c r="A263" s="25" t="s">
        <v>115</v>
      </c>
      <c r="B263" t="b">
        <v>0</v>
      </c>
      <c r="C263" s="43" t="s">
        <v>406</v>
      </c>
      <c r="D263" s="43">
        <v>320992</v>
      </c>
      <c r="E263" s="43">
        <v>300458</v>
      </c>
      <c r="F263" s="44" t="s">
        <v>383</v>
      </c>
      <c r="G263" s="44" t="b">
        <v>0</v>
      </c>
      <c r="H263" s="44" t="b">
        <v>0</v>
      </c>
      <c r="I263" s="44"/>
      <c r="M263" s="48" t="s">
        <v>406</v>
      </c>
      <c r="N263" s="48">
        <v>17088570154</v>
      </c>
      <c r="O263" s="48">
        <v>17088568701</v>
      </c>
      <c r="P263" s="48" t="s">
        <v>383</v>
      </c>
      <c r="Q263" s="49" t="s">
        <v>406</v>
      </c>
      <c r="R263" s="49">
        <v>17083126206</v>
      </c>
      <c r="S263" s="49">
        <v>17083123079</v>
      </c>
      <c r="T263" s="49" t="s">
        <v>383</v>
      </c>
      <c r="U263" s="50" t="s">
        <v>406</v>
      </c>
      <c r="V263" s="50">
        <v>17083126206</v>
      </c>
      <c r="W263" s="50">
        <v>17083123079</v>
      </c>
      <c r="X263" s="50" t="s">
        <v>383</v>
      </c>
      <c r="Y263" s="50"/>
    </row>
    <row r="264" spans="1:29" x14ac:dyDescent="0.25">
      <c r="A264" s="25" t="s">
        <v>115</v>
      </c>
      <c r="B264" t="b">
        <v>0</v>
      </c>
      <c r="C264" s="43" t="s">
        <v>407</v>
      </c>
      <c r="D264" s="43">
        <v>323040</v>
      </c>
      <c r="E264" s="43">
        <v>299510</v>
      </c>
      <c r="F264" s="44" t="s">
        <v>132</v>
      </c>
      <c r="G264" s="44" t="b">
        <v>0</v>
      </c>
      <c r="H264" s="44" t="b">
        <v>0</v>
      </c>
      <c r="I264" s="44"/>
      <c r="M264" s="48" t="s">
        <v>407</v>
      </c>
      <c r="N264" s="48">
        <v>17088569820</v>
      </c>
      <c r="O264" s="48">
        <v>17088565950</v>
      </c>
      <c r="P264" s="48" t="s">
        <v>132</v>
      </c>
      <c r="Q264" s="49" t="s">
        <v>407</v>
      </c>
      <c r="R264" s="49">
        <v>17083126486</v>
      </c>
      <c r="S264" s="49">
        <v>17083125397</v>
      </c>
      <c r="T264" s="49" t="s">
        <v>132</v>
      </c>
      <c r="U264" s="50" t="s">
        <v>407</v>
      </c>
      <c r="V264" s="50">
        <v>17083126486</v>
      </c>
      <c r="W264" s="50">
        <v>17083125397</v>
      </c>
      <c r="X264" s="50" t="s">
        <v>132</v>
      </c>
      <c r="Y264" s="50"/>
    </row>
    <row r="265" spans="1:29" x14ac:dyDescent="0.25">
      <c r="A265" s="25" t="s">
        <v>115</v>
      </c>
      <c r="B265" t="b">
        <v>0</v>
      </c>
      <c r="C265" s="43" t="s">
        <v>408</v>
      </c>
      <c r="D265" s="43">
        <v>320480</v>
      </c>
      <c r="E265" s="43">
        <v>300302</v>
      </c>
      <c r="F265" s="44" t="s">
        <v>132</v>
      </c>
      <c r="G265" s="44" t="b">
        <v>0</v>
      </c>
      <c r="H265" s="44" t="b">
        <v>0</v>
      </c>
      <c r="I265" s="44"/>
      <c r="M265" s="48" t="s">
        <v>408</v>
      </c>
      <c r="N265" s="48">
        <v>17088571836</v>
      </c>
      <c r="O265" s="48">
        <v>17088566078</v>
      </c>
      <c r="P265" s="48" t="s">
        <v>132</v>
      </c>
      <c r="Q265" s="49" t="s">
        <v>408</v>
      </c>
      <c r="R265" s="49">
        <v>17083126326</v>
      </c>
      <c r="S265" s="49">
        <v>17083125525</v>
      </c>
      <c r="T265" s="49" t="s">
        <v>132</v>
      </c>
      <c r="U265" s="50" t="s">
        <v>408</v>
      </c>
      <c r="V265" s="50">
        <v>17083126326</v>
      </c>
      <c r="W265" s="50">
        <v>17083125525</v>
      </c>
      <c r="X265" s="50" t="s">
        <v>132</v>
      </c>
      <c r="Y265" s="50"/>
    </row>
    <row r="266" spans="1:29" x14ac:dyDescent="0.25">
      <c r="A266" s="25" t="s">
        <v>115</v>
      </c>
      <c r="B266" t="b">
        <v>0</v>
      </c>
      <c r="C266" s="43" t="s">
        <v>409</v>
      </c>
      <c r="D266" s="43">
        <v>322528</v>
      </c>
      <c r="E266" s="43">
        <v>303058</v>
      </c>
      <c r="F266" s="44" t="s">
        <v>117</v>
      </c>
      <c r="G266" s="44" t="b">
        <v>0</v>
      </c>
      <c r="H266" s="44" t="b">
        <v>0</v>
      </c>
      <c r="I266" s="44"/>
      <c r="M266" s="48" t="s">
        <v>409</v>
      </c>
      <c r="N266" s="48">
        <v>17088571846</v>
      </c>
      <c r="O266" s="48">
        <v>17088568583</v>
      </c>
      <c r="P266" s="48" t="s">
        <v>117</v>
      </c>
      <c r="Q266" s="49" t="s">
        <v>409</v>
      </c>
      <c r="R266" s="49">
        <v>17083129697</v>
      </c>
      <c r="S266" s="49">
        <v>17083125759</v>
      </c>
      <c r="T266" s="49" t="s">
        <v>117</v>
      </c>
      <c r="U266" s="50" t="s">
        <v>409</v>
      </c>
      <c r="V266" s="50">
        <v>17083129697</v>
      </c>
      <c r="W266" s="50">
        <v>17083125759</v>
      </c>
      <c r="X266" s="50" t="s">
        <v>117</v>
      </c>
      <c r="Y266" s="50"/>
    </row>
    <row r="267" spans="1:29" x14ac:dyDescent="0.25">
      <c r="A267" s="25" t="s">
        <v>115</v>
      </c>
      <c r="B267" t="b">
        <v>0</v>
      </c>
      <c r="C267" s="43" t="s">
        <v>410</v>
      </c>
      <c r="D267" s="43">
        <v>321504</v>
      </c>
      <c r="E267" s="43">
        <v>301002</v>
      </c>
      <c r="F267" s="44" t="s">
        <v>123</v>
      </c>
      <c r="G267" s="44" t="b">
        <v>0</v>
      </c>
      <c r="H267" s="44" t="b">
        <v>0</v>
      </c>
      <c r="I267" s="44" t="s">
        <v>134</v>
      </c>
      <c r="M267" s="48" t="s">
        <v>410</v>
      </c>
      <c r="N267" s="48">
        <v>17088571686</v>
      </c>
      <c r="O267" s="48">
        <v>17088568635</v>
      </c>
      <c r="P267" s="48" t="s">
        <v>123</v>
      </c>
      <c r="Q267" s="49" t="s">
        <v>410</v>
      </c>
      <c r="R267" s="49">
        <v>17083125777</v>
      </c>
      <c r="S267" s="49">
        <v>17083123775</v>
      </c>
      <c r="T267" s="49" t="s">
        <v>123</v>
      </c>
      <c r="U267" s="50" t="s">
        <v>410</v>
      </c>
      <c r="V267" s="50">
        <v>17083125777</v>
      </c>
      <c r="W267" s="50">
        <v>17083123775</v>
      </c>
      <c r="X267" s="50" t="s">
        <v>123</v>
      </c>
      <c r="Y267" s="50"/>
    </row>
    <row r="268" spans="1:29" x14ac:dyDescent="0.25">
      <c r="A268" s="25" t="s">
        <v>115</v>
      </c>
      <c r="B268" t="b">
        <v>0</v>
      </c>
      <c r="C268" s="43" t="s">
        <v>411</v>
      </c>
      <c r="D268" s="43">
        <v>323552</v>
      </c>
      <c r="E268" s="43">
        <v>300822</v>
      </c>
      <c r="F268" s="44" t="s">
        <v>123</v>
      </c>
      <c r="G268" s="44" t="b">
        <v>0</v>
      </c>
      <c r="H268" s="44" t="b">
        <v>0</v>
      </c>
      <c r="I268" s="44" t="s">
        <v>134</v>
      </c>
      <c r="M268" s="48" t="s">
        <v>411</v>
      </c>
      <c r="N268" s="48">
        <v>17088572050</v>
      </c>
      <c r="O268" s="48">
        <v>17088568633</v>
      </c>
      <c r="P268" s="48" t="s">
        <v>123</v>
      </c>
      <c r="Q268" s="49" t="s">
        <v>411</v>
      </c>
      <c r="R268" s="49">
        <v>17083126830</v>
      </c>
      <c r="S268" s="49">
        <v>17083125059</v>
      </c>
      <c r="T268" s="49" t="s">
        <v>123</v>
      </c>
      <c r="U268" s="50" t="s">
        <v>411</v>
      </c>
      <c r="V268" s="50">
        <v>17083126830</v>
      </c>
      <c r="W268" s="50">
        <v>17083125059</v>
      </c>
      <c r="X268" s="50" t="s">
        <v>123</v>
      </c>
      <c r="Y268" s="50"/>
    </row>
    <row r="269" spans="1:29" x14ac:dyDescent="0.25">
      <c r="A269" s="25" t="s">
        <v>115</v>
      </c>
      <c r="B269" t="b">
        <v>0</v>
      </c>
      <c r="C269" s="43" t="s">
        <v>412</v>
      </c>
      <c r="D269" s="43">
        <v>321040</v>
      </c>
      <c r="E269" s="43">
        <v>301882</v>
      </c>
      <c r="F269" s="44" t="s">
        <v>119</v>
      </c>
      <c r="G269" s="44" t="b">
        <v>0</v>
      </c>
      <c r="H269" s="44" t="b">
        <v>0</v>
      </c>
      <c r="I269" s="44"/>
      <c r="M269" s="48" t="s">
        <v>412</v>
      </c>
      <c r="N269" s="48">
        <v>17088572390</v>
      </c>
      <c r="O269" s="48">
        <v>17088566759</v>
      </c>
      <c r="P269" s="48" t="s">
        <v>119</v>
      </c>
      <c r="Q269" s="49" t="s">
        <v>412</v>
      </c>
      <c r="R269" s="49">
        <v>17083126961</v>
      </c>
      <c r="S269" s="49">
        <v>17083129696</v>
      </c>
      <c r="T269" s="49" t="s">
        <v>119</v>
      </c>
      <c r="U269" s="50" t="s">
        <v>412</v>
      </c>
      <c r="V269" s="50">
        <v>17083126961</v>
      </c>
      <c r="W269" s="50">
        <v>17083129696</v>
      </c>
      <c r="X269" s="50" t="s">
        <v>119</v>
      </c>
      <c r="Y269" s="50"/>
    </row>
    <row r="270" spans="1:29" x14ac:dyDescent="0.25">
      <c r="A270" s="25" t="s">
        <v>115</v>
      </c>
      <c r="B270" t="b">
        <v>0</v>
      </c>
      <c r="C270" s="43" t="s">
        <v>413</v>
      </c>
      <c r="D270" s="43">
        <v>20112816033</v>
      </c>
      <c r="E270" s="43">
        <v>20112814209</v>
      </c>
      <c r="F270" s="44" t="s">
        <v>186</v>
      </c>
      <c r="G270" s="44" t="b">
        <v>0</v>
      </c>
      <c r="H270" s="44" t="b">
        <v>1</v>
      </c>
      <c r="I270" s="44"/>
      <c r="J270" s="45" t="s">
        <v>413</v>
      </c>
      <c r="K270" s="46">
        <v>20112814209</v>
      </c>
      <c r="L270" s="47">
        <v>990000546</v>
      </c>
      <c r="M270" s="48" t="s">
        <v>413</v>
      </c>
      <c r="N270" s="48">
        <v>17088571380</v>
      </c>
      <c r="O270" s="48">
        <v>17088567888</v>
      </c>
      <c r="P270" s="48" t="s">
        <v>186</v>
      </c>
      <c r="Q270" s="49" t="s">
        <v>413</v>
      </c>
      <c r="R270" s="49">
        <v>17083126938</v>
      </c>
      <c r="S270" s="49">
        <v>17083125122</v>
      </c>
      <c r="T270" s="49" t="s">
        <v>186</v>
      </c>
      <c r="U270" s="50" t="s">
        <v>413</v>
      </c>
      <c r="V270" s="50">
        <v>17083126938</v>
      </c>
      <c r="W270" s="50">
        <v>17083125122</v>
      </c>
      <c r="X270" s="50" t="s">
        <v>186</v>
      </c>
      <c r="Y270" s="50"/>
      <c r="Z270" s="51" t="s">
        <v>413</v>
      </c>
      <c r="AA270" s="51" t="s">
        <v>187</v>
      </c>
      <c r="AB270" s="51">
        <v>9631</v>
      </c>
      <c r="AC270" s="51">
        <v>11461</v>
      </c>
    </row>
    <row r="271" spans="1:29" x14ac:dyDescent="0.25">
      <c r="A271" s="25" t="s">
        <v>115</v>
      </c>
      <c r="B271" t="b">
        <v>0</v>
      </c>
      <c r="C271" s="43" t="s">
        <v>414</v>
      </c>
      <c r="D271" s="43">
        <v>20112818081</v>
      </c>
      <c r="E271" s="43">
        <v>20112815745</v>
      </c>
      <c r="F271" s="44" t="s">
        <v>186</v>
      </c>
      <c r="G271" s="44" t="b">
        <v>0</v>
      </c>
      <c r="H271" s="44" t="b">
        <v>1</v>
      </c>
      <c r="I271" s="44"/>
      <c r="M271" s="48" t="s">
        <v>414</v>
      </c>
      <c r="N271" s="48">
        <v>17088570830</v>
      </c>
      <c r="O271" s="48">
        <v>17088560584</v>
      </c>
      <c r="P271" s="48" t="s">
        <v>186</v>
      </c>
      <c r="Q271" s="49" t="s">
        <v>414</v>
      </c>
      <c r="R271" s="49">
        <v>17083126617</v>
      </c>
      <c r="S271" s="49">
        <v>17083092972</v>
      </c>
      <c r="T271" s="49" t="s">
        <v>186</v>
      </c>
      <c r="U271" s="50" t="s">
        <v>414</v>
      </c>
      <c r="V271" s="50">
        <v>17083126617</v>
      </c>
      <c r="W271" s="50">
        <v>17083092972</v>
      </c>
      <c r="X271" s="50" t="s">
        <v>186</v>
      </c>
      <c r="Y271" s="50"/>
      <c r="Z271" s="51" t="s">
        <v>414</v>
      </c>
      <c r="AA271" s="51" t="s">
        <v>187</v>
      </c>
      <c r="AB271" s="51">
        <v>964</v>
      </c>
      <c r="AC271" s="51">
        <v>1147</v>
      </c>
    </row>
    <row r="272" spans="1:29" x14ac:dyDescent="0.25">
      <c r="A272" s="25" t="s">
        <v>115</v>
      </c>
      <c r="B272" t="b">
        <v>0</v>
      </c>
      <c r="C272" s="43" t="s">
        <v>415</v>
      </c>
      <c r="D272" s="43">
        <v>20112814177</v>
      </c>
      <c r="E272" s="43">
        <v>20112816513</v>
      </c>
      <c r="F272" s="44" t="s">
        <v>186</v>
      </c>
      <c r="G272" s="44" t="b">
        <v>0</v>
      </c>
      <c r="H272" s="44" t="b">
        <v>1</v>
      </c>
      <c r="I272" s="44"/>
      <c r="J272" s="45" t="s">
        <v>415</v>
      </c>
      <c r="K272" s="46">
        <v>20112816513</v>
      </c>
      <c r="L272" s="47">
        <v>990000567</v>
      </c>
      <c r="M272" s="48" t="s">
        <v>415</v>
      </c>
      <c r="N272" s="48">
        <v>17088571182</v>
      </c>
      <c r="O272" s="48">
        <v>17088559044</v>
      </c>
      <c r="P272" s="48" t="s">
        <v>186</v>
      </c>
      <c r="Q272" s="49" t="s">
        <v>415</v>
      </c>
      <c r="R272" s="49">
        <v>17083127865</v>
      </c>
      <c r="S272" s="49">
        <v>17083089378</v>
      </c>
      <c r="T272" s="49" t="s">
        <v>186</v>
      </c>
      <c r="U272" s="50" t="s">
        <v>415</v>
      </c>
      <c r="V272" s="50">
        <v>17083127865</v>
      </c>
      <c r="W272" s="50">
        <v>17083089378</v>
      </c>
      <c r="X272" s="50" t="s">
        <v>186</v>
      </c>
      <c r="Y272" s="50"/>
      <c r="Z272" s="51" t="s">
        <v>415</v>
      </c>
      <c r="AA272" s="51" t="s">
        <v>187</v>
      </c>
      <c r="AB272" s="51">
        <v>2890</v>
      </c>
      <c r="AC272" s="51">
        <v>3439</v>
      </c>
    </row>
    <row r="273" spans="1:29" x14ac:dyDescent="0.25">
      <c r="A273" s="25" t="s">
        <v>115</v>
      </c>
      <c r="B273" t="b">
        <v>0</v>
      </c>
      <c r="C273" s="43" t="s">
        <v>416</v>
      </c>
      <c r="D273" s="43">
        <v>20112816225</v>
      </c>
      <c r="E273" s="43">
        <v>20112814977</v>
      </c>
      <c r="F273" s="44" t="s">
        <v>186</v>
      </c>
      <c r="G273" s="44" t="b">
        <v>0</v>
      </c>
      <c r="H273" s="44" t="b">
        <v>1</v>
      </c>
      <c r="I273" s="44"/>
      <c r="J273" s="45" t="s">
        <v>416</v>
      </c>
      <c r="K273" s="46">
        <v>20112814977</v>
      </c>
      <c r="L273" s="47">
        <v>990000550</v>
      </c>
      <c r="M273" s="48" t="s">
        <v>416</v>
      </c>
      <c r="N273" s="48">
        <v>17088571870</v>
      </c>
      <c r="O273" s="48">
        <v>17088557858</v>
      </c>
      <c r="P273" s="48" t="s">
        <v>186</v>
      </c>
      <c r="Q273" s="49" t="s">
        <v>416</v>
      </c>
      <c r="R273" s="49">
        <v>17083125957</v>
      </c>
      <c r="S273" s="49">
        <v>17083092934</v>
      </c>
      <c r="T273" s="49" t="s">
        <v>186</v>
      </c>
      <c r="U273" s="50" t="s">
        <v>416</v>
      </c>
      <c r="V273" s="50">
        <v>17083125957</v>
      </c>
      <c r="W273" s="50">
        <v>17083092934</v>
      </c>
      <c r="X273" s="50" t="s">
        <v>186</v>
      </c>
      <c r="Y273" s="50"/>
      <c r="Z273" s="51" t="s">
        <v>416</v>
      </c>
      <c r="AA273" s="51" t="s">
        <v>187</v>
      </c>
      <c r="AB273" s="51">
        <v>4816</v>
      </c>
      <c r="AC273" s="51">
        <v>5731</v>
      </c>
    </row>
    <row r="274" spans="1:29" x14ac:dyDescent="0.25">
      <c r="A274" s="25" t="s">
        <v>115</v>
      </c>
      <c r="B274" t="b">
        <v>0</v>
      </c>
      <c r="C274" s="43" t="s">
        <v>417</v>
      </c>
      <c r="D274" s="43">
        <v>20112815201</v>
      </c>
      <c r="E274" s="43">
        <v>20112818049</v>
      </c>
      <c r="F274" s="44" t="s">
        <v>125</v>
      </c>
      <c r="G274" s="44" t="b">
        <v>0</v>
      </c>
      <c r="H274" s="44" t="b">
        <v>0</v>
      </c>
      <c r="I274" s="44"/>
      <c r="M274" s="48" t="s">
        <v>417</v>
      </c>
      <c r="N274" s="48">
        <v>17088569889</v>
      </c>
      <c r="O274" s="48">
        <v>17088563879</v>
      </c>
      <c r="P274" s="48" t="s">
        <v>125</v>
      </c>
      <c r="Q274" s="49" t="s">
        <v>417</v>
      </c>
      <c r="R274" s="49">
        <v>17083129202</v>
      </c>
      <c r="S274" s="49">
        <v>17083121784</v>
      </c>
      <c r="T274" s="49" t="s">
        <v>125</v>
      </c>
      <c r="U274" s="50" t="s">
        <v>417</v>
      </c>
      <c r="V274" s="50">
        <v>17083129202</v>
      </c>
      <c r="W274" s="50">
        <v>17083121784</v>
      </c>
      <c r="X274" s="50" t="s">
        <v>125</v>
      </c>
      <c r="Y274" s="50"/>
    </row>
    <row r="275" spans="1:29" x14ac:dyDescent="0.25">
      <c r="A275" s="25" t="s">
        <v>115</v>
      </c>
      <c r="B275" t="b">
        <v>0</v>
      </c>
      <c r="C275" s="43" t="s">
        <v>418</v>
      </c>
      <c r="D275" s="43">
        <v>20112817249</v>
      </c>
      <c r="E275" s="43">
        <v>20112815169</v>
      </c>
      <c r="F275" s="44" t="s">
        <v>125</v>
      </c>
      <c r="G275" s="44" t="b">
        <v>0</v>
      </c>
      <c r="H275" s="44" t="b">
        <v>0</v>
      </c>
      <c r="I275" s="44"/>
      <c r="M275" s="48" t="s">
        <v>418</v>
      </c>
      <c r="N275" s="48">
        <v>17088572961</v>
      </c>
      <c r="O275" s="48">
        <v>17088562343</v>
      </c>
      <c r="P275" s="48" t="s">
        <v>125</v>
      </c>
      <c r="Q275" s="49" t="s">
        <v>418</v>
      </c>
      <c r="R275" s="49">
        <v>17083127026</v>
      </c>
      <c r="S275" s="49">
        <v>17083124664</v>
      </c>
      <c r="T275" s="49" t="s">
        <v>125</v>
      </c>
      <c r="U275" s="50" t="s">
        <v>418</v>
      </c>
      <c r="V275" s="50">
        <v>17083127026</v>
      </c>
      <c r="W275" s="50">
        <v>17083124664</v>
      </c>
      <c r="X275" s="50" t="s">
        <v>125</v>
      </c>
      <c r="Y275" s="50"/>
    </row>
    <row r="276" spans="1:29" x14ac:dyDescent="0.25">
      <c r="A276" s="25" t="s">
        <v>115</v>
      </c>
      <c r="B276" t="b">
        <v>0</v>
      </c>
      <c r="C276" s="43" t="s">
        <v>419</v>
      </c>
      <c r="D276" s="43">
        <v>20112814689</v>
      </c>
      <c r="E276" s="43">
        <v>20112816705</v>
      </c>
      <c r="F276" s="44" t="s">
        <v>125</v>
      </c>
      <c r="G276" s="44" t="b">
        <v>0</v>
      </c>
      <c r="H276" s="44" t="b">
        <v>0</v>
      </c>
      <c r="I276" s="44"/>
      <c r="M276" s="48" t="s">
        <v>419</v>
      </c>
      <c r="N276" s="48">
        <v>17088571044</v>
      </c>
      <c r="O276" s="48">
        <v>17088562191</v>
      </c>
      <c r="P276" s="48" t="s">
        <v>125</v>
      </c>
      <c r="Q276" s="49" t="s">
        <v>419</v>
      </c>
      <c r="R276" s="49">
        <v>17083128394</v>
      </c>
      <c r="S276" s="49">
        <v>17083121684</v>
      </c>
      <c r="T276" s="49" t="s">
        <v>125</v>
      </c>
      <c r="U276" s="50" t="s">
        <v>419</v>
      </c>
      <c r="V276" s="50">
        <v>17083128394</v>
      </c>
      <c r="W276" s="50">
        <v>17083121684</v>
      </c>
      <c r="X276" s="50" t="s">
        <v>125</v>
      </c>
      <c r="Y276" s="50"/>
    </row>
    <row r="277" spans="1:29" x14ac:dyDescent="0.25">
      <c r="A277" s="25" t="s">
        <v>115</v>
      </c>
      <c r="B277" t="b">
        <v>0</v>
      </c>
      <c r="C277" s="43" t="s">
        <v>420</v>
      </c>
      <c r="D277" s="43">
        <v>20112816737</v>
      </c>
      <c r="E277" s="43">
        <v>20112814401</v>
      </c>
      <c r="F277" s="44" t="s">
        <v>125</v>
      </c>
      <c r="G277" s="44" t="b">
        <v>0</v>
      </c>
      <c r="H277" s="44" t="b">
        <v>0</v>
      </c>
      <c r="I277" s="44"/>
      <c r="M277" s="48" t="s">
        <v>420</v>
      </c>
      <c r="N277" s="48">
        <v>17088569490</v>
      </c>
      <c r="O277" s="48">
        <v>17088567473</v>
      </c>
      <c r="P277" s="48" t="s">
        <v>125</v>
      </c>
      <c r="Q277" s="49" t="s">
        <v>420</v>
      </c>
      <c r="R277" s="49">
        <v>17083128654</v>
      </c>
      <c r="S277" s="49">
        <v>17083123885</v>
      </c>
      <c r="T277" s="49" t="s">
        <v>125</v>
      </c>
      <c r="U277" s="50" t="s">
        <v>420</v>
      </c>
      <c r="V277" s="50">
        <v>17083128654</v>
      </c>
      <c r="W277" s="50">
        <v>17083123885</v>
      </c>
      <c r="X277" s="50" t="s">
        <v>125</v>
      </c>
      <c r="Y277" s="50"/>
    </row>
    <row r="278" spans="1:29" x14ac:dyDescent="0.25">
      <c r="A278" s="25" t="s">
        <v>115</v>
      </c>
      <c r="B278" t="b">
        <v>0</v>
      </c>
      <c r="C278" s="43" t="s">
        <v>421</v>
      </c>
      <c r="D278" s="43">
        <v>20112815713</v>
      </c>
      <c r="E278" s="43">
        <v>20112817473</v>
      </c>
      <c r="F278" s="44" t="s">
        <v>125</v>
      </c>
      <c r="G278" s="44" t="b">
        <v>0</v>
      </c>
      <c r="H278" s="44" t="b">
        <v>0</v>
      </c>
      <c r="I278" s="44"/>
      <c r="M278" s="48" t="s">
        <v>421</v>
      </c>
      <c r="N278" s="48">
        <v>17088572562</v>
      </c>
      <c r="O278" s="48">
        <v>17088567089</v>
      </c>
      <c r="P278" s="48" t="s">
        <v>125</v>
      </c>
      <c r="Q278" s="49" t="s">
        <v>421</v>
      </c>
      <c r="R278" s="49">
        <v>17083125966</v>
      </c>
      <c r="S278" s="49">
        <v>17083123501</v>
      </c>
      <c r="T278" s="49" t="s">
        <v>125</v>
      </c>
      <c r="U278" s="50" t="s">
        <v>421</v>
      </c>
      <c r="V278" s="50">
        <v>17083125966</v>
      </c>
      <c r="W278" s="50">
        <v>17083123501</v>
      </c>
      <c r="X278" s="50" t="s">
        <v>125</v>
      </c>
      <c r="Y278" s="50"/>
    </row>
    <row r="279" spans="1:29" x14ac:dyDescent="0.25">
      <c r="A279" s="25" t="s">
        <v>115</v>
      </c>
      <c r="B279" t="b">
        <v>0</v>
      </c>
      <c r="C279" s="43" t="s">
        <v>422</v>
      </c>
      <c r="D279" s="43">
        <v>20112817761</v>
      </c>
      <c r="E279" s="43">
        <v>20112815937</v>
      </c>
      <c r="F279" s="44" t="s">
        <v>125</v>
      </c>
      <c r="G279" s="44" t="b">
        <v>0</v>
      </c>
      <c r="H279" s="44" t="b">
        <v>0</v>
      </c>
      <c r="I279" s="44"/>
      <c r="M279" s="48" t="s">
        <v>422</v>
      </c>
      <c r="N279" s="48">
        <v>17088570706</v>
      </c>
      <c r="O279" s="48">
        <v>17088568201</v>
      </c>
      <c r="P279" s="48" t="s">
        <v>125</v>
      </c>
      <c r="Q279" s="49" t="s">
        <v>422</v>
      </c>
      <c r="R279" s="49">
        <v>17083127246</v>
      </c>
      <c r="S279" s="49">
        <v>17083121949</v>
      </c>
      <c r="T279" s="49" t="s">
        <v>125</v>
      </c>
      <c r="U279" s="50" t="s">
        <v>422</v>
      </c>
      <c r="V279" s="50">
        <v>17083127246</v>
      </c>
      <c r="W279" s="50">
        <v>17083121949</v>
      </c>
      <c r="X279" s="50" t="s">
        <v>125</v>
      </c>
      <c r="Y279" s="50"/>
    </row>
    <row r="280" spans="1:29" x14ac:dyDescent="0.25">
      <c r="A280" s="25" t="s">
        <v>115</v>
      </c>
      <c r="B280" t="b">
        <v>0</v>
      </c>
      <c r="C280" s="43" t="s">
        <v>423</v>
      </c>
      <c r="D280" s="43">
        <v>20112814433</v>
      </c>
      <c r="E280" s="43">
        <v>20112817953</v>
      </c>
      <c r="F280" s="44" t="s">
        <v>132</v>
      </c>
      <c r="G280" s="44" t="b">
        <v>0</v>
      </c>
      <c r="H280" s="44" t="b">
        <v>0</v>
      </c>
      <c r="I280" s="44"/>
      <c r="M280" s="48" t="s">
        <v>423</v>
      </c>
      <c r="N280" s="48">
        <v>17088569580</v>
      </c>
      <c r="O280" s="48">
        <v>17088568370</v>
      </c>
      <c r="P280" s="48" t="s">
        <v>132</v>
      </c>
      <c r="Q280" s="49" t="s">
        <v>423</v>
      </c>
      <c r="R280" s="49">
        <v>17083126054</v>
      </c>
      <c r="S280" s="49">
        <v>17083123326</v>
      </c>
      <c r="T280" s="49" t="s">
        <v>132</v>
      </c>
      <c r="U280" s="50" t="s">
        <v>423</v>
      </c>
      <c r="V280" s="50">
        <v>17083126054</v>
      </c>
      <c r="W280" s="50">
        <v>17083123326</v>
      </c>
      <c r="X280" s="50" t="s">
        <v>132</v>
      </c>
      <c r="Y280" s="50"/>
    </row>
    <row r="281" spans="1:29" x14ac:dyDescent="0.25">
      <c r="A281" s="25" t="s">
        <v>115</v>
      </c>
      <c r="B281" t="b">
        <v>0</v>
      </c>
      <c r="C281" s="43" t="s">
        <v>424</v>
      </c>
      <c r="D281" s="43">
        <v>20112816481</v>
      </c>
      <c r="E281" s="43">
        <v>20112815265</v>
      </c>
      <c r="F281" s="44" t="s">
        <v>132</v>
      </c>
      <c r="G281" s="44" t="b">
        <v>0</v>
      </c>
      <c r="H281" s="44" t="b">
        <v>0</v>
      </c>
      <c r="I281" s="44"/>
      <c r="M281" s="48" t="s">
        <v>424</v>
      </c>
      <c r="N281" s="48">
        <v>17088573292</v>
      </c>
      <c r="O281" s="48">
        <v>17088565298</v>
      </c>
      <c r="P281" s="48" t="s">
        <v>132</v>
      </c>
      <c r="Q281" s="49" t="s">
        <v>424</v>
      </c>
      <c r="R281" s="49">
        <v>17083129382</v>
      </c>
      <c r="S281" s="49">
        <v>17083124862</v>
      </c>
      <c r="T281" s="49" t="s">
        <v>132</v>
      </c>
      <c r="U281" s="50" t="s">
        <v>424</v>
      </c>
      <c r="V281" s="50">
        <v>17083129382</v>
      </c>
      <c r="W281" s="50">
        <v>17083124862</v>
      </c>
      <c r="X281" s="50" t="s">
        <v>132</v>
      </c>
      <c r="Y281" s="50"/>
    </row>
    <row r="282" spans="1:29" x14ac:dyDescent="0.25">
      <c r="A282" s="25" t="s">
        <v>115</v>
      </c>
      <c r="B282" t="b">
        <v>0</v>
      </c>
      <c r="C282" s="43" t="s">
        <v>425</v>
      </c>
      <c r="D282" s="43">
        <v>20112815457</v>
      </c>
      <c r="E282" s="43">
        <v>20112816801</v>
      </c>
      <c r="F282" s="44" t="s">
        <v>132</v>
      </c>
      <c r="G282" s="44" t="b">
        <v>0</v>
      </c>
      <c r="H282" s="44" t="b">
        <v>0</v>
      </c>
      <c r="I282" s="44"/>
      <c r="M282" s="48" t="s">
        <v>425</v>
      </c>
      <c r="N282" s="48">
        <v>17088569692</v>
      </c>
      <c r="O282" s="48">
        <v>17088568090</v>
      </c>
      <c r="P282" s="48" t="s">
        <v>132</v>
      </c>
      <c r="Q282" s="49" t="s">
        <v>425</v>
      </c>
      <c r="R282" s="49">
        <v>17083127782</v>
      </c>
      <c r="S282" s="49">
        <v>17083124049</v>
      </c>
      <c r="T282" s="49" t="s">
        <v>132</v>
      </c>
      <c r="U282" s="50" t="s">
        <v>425</v>
      </c>
      <c r="V282" s="50">
        <v>17083127782</v>
      </c>
      <c r="W282" s="50">
        <v>17083124049</v>
      </c>
      <c r="X282" s="50" t="s">
        <v>132</v>
      </c>
      <c r="Y282" s="50"/>
    </row>
    <row r="283" spans="1:29" x14ac:dyDescent="0.25">
      <c r="A283" s="25" t="s">
        <v>115</v>
      </c>
      <c r="B283" t="b">
        <v>0</v>
      </c>
      <c r="C283" s="43" t="s">
        <v>426</v>
      </c>
      <c r="D283" s="43">
        <v>20112817505</v>
      </c>
      <c r="E283" s="43">
        <v>20112815553</v>
      </c>
      <c r="F283" s="44" t="s">
        <v>125</v>
      </c>
      <c r="G283" s="44" t="b">
        <v>0</v>
      </c>
      <c r="H283" s="44" t="b">
        <v>0</v>
      </c>
      <c r="I283" s="44"/>
      <c r="M283" s="48" t="s">
        <v>426</v>
      </c>
      <c r="N283" s="48">
        <v>17088570498</v>
      </c>
      <c r="O283" s="48">
        <v>17088565310</v>
      </c>
      <c r="P283" s="48" t="s">
        <v>125</v>
      </c>
      <c r="Q283" s="49" t="s">
        <v>426</v>
      </c>
      <c r="R283" s="49">
        <v>17083129270</v>
      </c>
      <c r="S283" s="49">
        <v>17083124709</v>
      </c>
      <c r="T283" s="49" t="s">
        <v>125</v>
      </c>
      <c r="U283" s="50" t="s">
        <v>426</v>
      </c>
      <c r="V283" s="50">
        <v>17083129270</v>
      </c>
      <c r="W283" s="50">
        <v>17083124709</v>
      </c>
      <c r="X283" s="50" t="s">
        <v>125</v>
      </c>
      <c r="Y283" s="50"/>
    </row>
    <row r="284" spans="1:29" x14ac:dyDescent="0.25">
      <c r="A284" s="25" t="s">
        <v>115</v>
      </c>
      <c r="B284" t="b">
        <v>0</v>
      </c>
      <c r="C284" s="43" t="s">
        <v>427</v>
      </c>
      <c r="D284" s="43">
        <v>20112814945</v>
      </c>
      <c r="E284" s="43">
        <v>20112817089</v>
      </c>
      <c r="F284" s="44" t="s">
        <v>125</v>
      </c>
      <c r="G284" s="44" t="b">
        <v>0</v>
      </c>
      <c r="H284" s="44" t="b">
        <v>0</v>
      </c>
      <c r="I284" s="44"/>
      <c r="M284" s="48" t="s">
        <v>427</v>
      </c>
      <c r="N284" s="48">
        <v>17088571522</v>
      </c>
      <c r="O284" s="48">
        <v>17088568286</v>
      </c>
      <c r="P284" s="48" t="s">
        <v>125</v>
      </c>
      <c r="Q284" s="49" t="s">
        <v>427</v>
      </c>
      <c r="R284" s="49">
        <v>17083127222</v>
      </c>
      <c r="S284" s="49">
        <v>17083123173</v>
      </c>
      <c r="T284" s="49" t="s">
        <v>125</v>
      </c>
      <c r="U284" s="50" t="s">
        <v>427</v>
      </c>
      <c r="V284" s="50">
        <v>17083127222</v>
      </c>
      <c r="W284" s="50">
        <v>17083123173</v>
      </c>
      <c r="X284" s="50" t="s">
        <v>125</v>
      </c>
      <c r="Y284" s="50"/>
    </row>
    <row r="285" spans="1:29" x14ac:dyDescent="0.25">
      <c r="A285" s="25" t="s">
        <v>115</v>
      </c>
      <c r="B285" t="b">
        <v>0</v>
      </c>
      <c r="C285" s="43" t="s">
        <v>428</v>
      </c>
      <c r="D285" s="43">
        <v>20112816993</v>
      </c>
      <c r="E285" s="43">
        <v>20112814113</v>
      </c>
      <c r="F285" s="44" t="s">
        <v>125</v>
      </c>
      <c r="G285" s="44" t="b">
        <v>0</v>
      </c>
      <c r="H285" s="44" t="b">
        <v>0</v>
      </c>
      <c r="I285" s="44"/>
      <c r="M285" s="48" t="s">
        <v>428</v>
      </c>
      <c r="N285" s="48">
        <v>17088570978</v>
      </c>
      <c r="O285" s="48">
        <v>17088568625</v>
      </c>
      <c r="P285" s="48" t="s">
        <v>125</v>
      </c>
      <c r="Q285" s="49" t="s">
        <v>428</v>
      </c>
      <c r="R285" s="49">
        <v>17083127182</v>
      </c>
      <c r="S285" s="49">
        <v>17083125037</v>
      </c>
      <c r="T285" s="49" t="s">
        <v>125</v>
      </c>
      <c r="U285" s="50" t="s">
        <v>428</v>
      </c>
      <c r="V285" s="50">
        <v>17083127182</v>
      </c>
      <c r="W285" s="50">
        <v>17083125037</v>
      </c>
      <c r="X285" s="50" t="s">
        <v>125</v>
      </c>
      <c r="Y285" s="50"/>
    </row>
    <row r="286" spans="1:29" x14ac:dyDescent="0.25">
      <c r="A286" s="25" t="s">
        <v>115</v>
      </c>
      <c r="B286" t="b">
        <v>0</v>
      </c>
      <c r="C286" s="43" t="s">
        <v>429</v>
      </c>
      <c r="D286" s="43">
        <v>20112815969</v>
      </c>
      <c r="E286" s="43">
        <v>20112816321</v>
      </c>
      <c r="F286" s="44" t="s">
        <v>125</v>
      </c>
      <c r="G286" s="44" t="b">
        <v>0</v>
      </c>
      <c r="H286" s="44" t="b">
        <v>0</v>
      </c>
      <c r="I286" s="44"/>
      <c r="M286" s="48" t="s">
        <v>429</v>
      </c>
      <c r="N286" s="48">
        <v>17088572894</v>
      </c>
      <c r="O286" s="48">
        <v>17088561523</v>
      </c>
      <c r="P286" s="48" t="s">
        <v>125</v>
      </c>
      <c r="Q286" s="49" t="s">
        <v>429</v>
      </c>
      <c r="R286" s="49">
        <v>17083129362</v>
      </c>
      <c r="S286" s="49">
        <v>17083125472</v>
      </c>
      <c r="T286" s="49" t="s">
        <v>125</v>
      </c>
      <c r="U286" s="50" t="s">
        <v>429</v>
      </c>
      <c r="V286" s="50">
        <v>17083129362</v>
      </c>
      <c r="W286" s="50">
        <v>17083125472</v>
      </c>
      <c r="X286" s="50" t="s">
        <v>125</v>
      </c>
      <c r="Y286" s="50"/>
    </row>
    <row r="287" spans="1:29" x14ac:dyDescent="0.25">
      <c r="A287" s="25" t="s">
        <v>115</v>
      </c>
      <c r="B287" t="b">
        <v>0</v>
      </c>
      <c r="C287" s="43" t="s">
        <v>430</v>
      </c>
      <c r="D287" s="43">
        <v>20112818017</v>
      </c>
      <c r="E287" s="43">
        <v>20112814785</v>
      </c>
      <c r="F287" s="44" t="s">
        <v>125</v>
      </c>
      <c r="G287" s="44" t="b">
        <v>0</v>
      </c>
      <c r="H287" s="44" t="b">
        <v>0</v>
      </c>
      <c r="I287" s="44"/>
      <c r="M287" s="48" t="s">
        <v>430</v>
      </c>
      <c r="N287" s="48">
        <v>17088569822</v>
      </c>
      <c r="O287" s="48">
        <v>17088563827</v>
      </c>
      <c r="P287" s="48" t="s">
        <v>125</v>
      </c>
      <c r="Q287" s="49" t="s">
        <v>430</v>
      </c>
      <c r="R287" s="49">
        <v>17083128338</v>
      </c>
      <c r="S287" s="49">
        <v>17083122400</v>
      </c>
      <c r="T287" s="49" t="s">
        <v>125</v>
      </c>
      <c r="U287" s="50" t="s">
        <v>430</v>
      </c>
      <c r="V287" s="50">
        <v>17083128338</v>
      </c>
      <c r="W287" s="50">
        <v>17083122400</v>
      </c>
      <c r="X287" s="50" t="s">
        <v>125</v>
      </c>
      <c r="Y287" s="50"/>
    </row>
    <row r="288" spans="1:29" x14ac:dyDescent="0.25">
      <c r="A288" s="25" t="s">
        <v>115</v>
      </c>
      <c r="B288" t="b">
        <v>0</v>
      </c>
      <c r="C288" s="43" t="s">
        <v>431</v>
      </c>
      <c r="D288" s="43">
        <v>20112814305</v>
      </c>
      <c r="E288" s="43">
        <v>20112817857</v>
      </c>
      <c r="F288" s="44" t="s">
        <v>125</v>
      </c>
      <c r="G288" s="44" t="b">
        <v>0</v>
      </c>
      <c r="H288" s="44" t="b">
        <v>0</v>
      </c>
      <c r="I288" s="44"/>
      <c r="M288" s="48" t="s">
        <v>431</v>
      </c>
      <c r="N288" s="48">
        <v>17088571905</v>
      </c>
      <c r="O288" s="48">
        <v>17088565031</v>
      </c>
      <c r="P288" s="48" t="s">
        <v>125</v>
      </c>
      <c r="Q288" s="49" t="s">
        <v>431</v>
      </c>
      <c r="R288" s="49">
        <v>17083127730</v>
      </c>
      <c r="S288" s="49">
        <v>17083123128</v>
      </c>
      <c r="T288" s="49" t="s">
        <v>125</v>
      </c>
      <c r="U288" s="50" t="s">
        <v>431</v>
      </c>
      <c r="V288" s="50">
        <v>17083127730</v>
      </c>
      <c r="W288" s="50">
        <v>17083123128</v>
      </c>
      <c r="X288" s="50" t="s">
        <v>125</v>
      </c>
      <c r="Y288" s="50"/>
    </row>
    <row r="289" spans="1:29" x14ac:dyDescent="0.25">
      <c r="A289" s="25" t="s">
        <v>115</v>
      </c>
      <c r="B289" t="b">
        <v>0</v>
      </c>
      <c r="C289" s="43" t="s">
        <v>432</v>
      </c>
      <c r="D289" s="43">
        <v>20112816353</v>
      </c>
      <c r="E289" s="43">
        <v>20112817185</v>
      </c>
      <c r="F289" s="44" t="s">
        <v>125</v>
      </c>
      <c r="G289" s="44" t="b">
        <v>0</v>
      </c>
      <c r="H289" s="44" t="b">
        <v>0</v>
      </c>
      <c r="I289" s="44"/>
      <c r="M289" s="48" t="s">
        <v>432</v>
      </c>
      <c r="N289" s="48">
        <v>17088572044</v>
      </c>
      <c r="O289" s="48">
        <v>17088568776</v>
      </c>
      <c r="P289" s="48" t="s">
        <v>125</v>
      </c>
      <c r="Q289" s="49" t="s">
        <v>432</v>
      </c>
      <c r="R289" s="49">
        <v>17083128890</v>
      </c>
      <c r="S289" s="49">
        <v>17083125394</v>
      </c>
      <c r="T289" s="49" t="s">
        <v>125</v>
      </c>
      <c r="U289" s="50" t="s">
        <v>432</v>
      </c>
      <c r="V289" s="50">
        <v>17083128890</v>
      </c>
      <c r="W289" s="50">
        <v>17083125394</v>
      </c>
      <c r="X289" s="50" t="s">
        <v>125</v>
      </c>
      <c r="Y289" s="50"/>
    </row>
    <row r="290" spans="1:29" x14ac:dyDescent="0.25">
      <c r="A290" s="25" t="s">
        <v>115</v>
      </c>
      <c r="B290" t="b">
        <v>0</v>
      </c>
      <c r="C290" s="43" t="s">
        <v>433</v>
      </c>
      <c r="D290" s="43">
        <v>20112815329</v>
      </c>
      <c r="E290" s="43">
        <v>20112815649</v>
      </c>
      <c r="F290" s="44" t="s">
        <v>132</v>
      </c>
      <c r="G290" s="44" t="b">
        <v>0</v>
      </c>
      <c r="H290" s="44" t="b">
        <v>0</v>
      </c>
      <c r="I290" s="44"/>
      <c r="M290" s="48" t="s">
        <v>433</v>
      </c>
      <c r="N290" s="48">
        <v>17088571050</v>
      </c>
      <c r="O290" s="48">
        <v>17088568971</v>
      </c>
      <c r="P290" s="48" t="s">
        <v>132</v>
      </c>
      <c r="Q290" s="49" t="s">
        <v>433</v>
      </c>
      <c r="R290" s="49">
        <v>17083126270</v>
      </c>
      <c r="S290" s="49">
        <v>17083123471</v>
      </c>
      <c r="T290" s="49" t="s">
        <v>132</v>
      </c>
      <c r="U290" s="50" t="s">
        <v>433</v>
      </c>
      <c r="V290" s="50">
        <v>17083126270</v>
      </c>
      <c r="W290" s="50">
        <v>17083123471</v>
      </c>
      <c r="X290" s="50" t="s">
        <v>132</v>
      </c>
      <c r="Y290" s="50"/>
    </row>
    <row r="291" spans="1:29" x14ac:dyDescent="0.25">
      <c r="A291" s="25" t="s">
        <v>115</v>
      </c>
      <c r="B291" t="b">
        <v>0</v>
      </c>
      <c r="C291" s="43" t="s">
        <v>434</v>
      </c>
      <c r="D291" s="43">
        <v>20112817377</v>
      </c>
      <c r="E291" s="43">
        <v>20112816417</v>
      </c>
      <c r="F291" s="44" t="s">
        <v>132</v>
      </c>
      <c r="G291" s="44" t="b">
        <v>0</v>
      </c>
      <c r="H291" s="44" t="b">
        <v>0</v>
      </c>
      <c r="I291" s="44"/>
      <c r="M291" s="48" t="s">
        <v>434</v>
      </c>
      <c r="N291" s="48">
        <v>17088571754</v>
      </c>
      <c r="O291" s="48">
        <v>17088565899</v>
      </c>
      <c r="P291" s="48" t="s">
        <v>132</v>
      </c>
      <c r="Q291" s="49" t="s">
        <v>434</v>
      </c>
      <c r="R291" s="49">
        <v>17083126017</v>
      </c>
      <c r="S291" s="49">
        <v>17083125007</v>
      </c>
      <c r="T291" s="49" t="s">
        <v>132</v>
      </c>
      <c r="U291" s="50" t="s">
        <v>434</v>
      </c>
      <c r="V291" s="50">
        <v>17083126017</v>
      </c>
      <c r="W291" s="50">
        <v>17083125007</v>
      </c>
      <c r="X291" s="50" t="s">
        <v>132</v>
      </c>
      <c r="Y291" s="50"/>
    </row>
    <row r="292" spans="1:29" x14ac:dyDescent="0.25">
      <c r="A292" s="25" t="s">
        <v>115</v>
      </c>
      <c r="B292" t="b">
        <v>0</v>
      </c>
      <c r="C292" s="43" t="s">
        <v>435</v>
      </c>
      <c r="D292" s="43">
        <v>20112814817</v>
      </c>
      <c r="E292" s="43">
        <v>20112814881</v>
      </c>
      <c r="F292" s="44" t="s">
        <v>132</v>
      </c>
      <c r="G292" s="44" t="b">
        <v>0</v>
      </c>
      <c r="H292" s="44" t="b">
        <v>0</v>
      </c>
      <c r="I292" s="44"/>
      <c r="M292" s="48" t="s">
        <v>435</v>
      </c>
      <c r="N292" s="48">
        <v>17088570394</v>
      </c>
      <c r="O292" s="48">
        <v>17088567387</v>
      </c>
      <c r="P292" s="48" t="s">
        <v>132</v>
      </c>
      <c r="Q292" s="49" t="s">
        <v>435</v>
      </c>
      <c r="R292" s="49">
        <v>17083126849</v>
      </c>
      <c r="S292" s="49">
        <v>17083125407</v>
      </c>
      <c r="T292" s="49" t="s">
        <v>132</v>
      </c>
      <c r="U292" s="50" t="s">
        <v>435</v>
      </c>
      <c r="V292" s="50">
        <v>17083126849</v>
      </c>
      <c r="W292" s="50">
        <v>17083125407</v>
      </c>
      <c r="X292" s="50" t="s">
        <v>132</v>
      </c>
      <c r="Y292" s="50"/>
    </row>
    <row r="293" spans="1:29" x14ac:dyDescent="0.25">
      <c r="A293" s="25" t="s">
        <v>115</v>
      </c>
      <c r="B293" t="b">
        <v>0</v>
      </c>
      <c r="C293" s="43" t="s">
        <v>436</v>
      </c>
      <c r="D293" s="43">
        <v>20112913170</v>
      </c>
      <c r="E293" s="43">
        <v>20112913506</v>
      </c>
      <c r="F293" s="44" t="s">
        <v>125</v>
      </c>
      <c r="G293" s="44" t="b">
        <v>0</v>
      </c>
      <c r="H293" s="44" t="b">
        <v>1</v>
      </c>
      <c r="I293" s="44"/>
      <c r="M293" s="48"/>
      <c r="N293" s="48"/>
      <c r="O293" s="48"/>
      <c r="P293" s="48"/>
      <c r="Q293" s="49" t="s">
        <v>436</v>
      </c>
      <c r="R293" s="49">
        <v>17083128393</v>
      </c>
      <c r="S293" s="49">
        <v>17083126712</v>
      </c>
      <c r="T293" s="49" t="s">
        <v>125</v>
      </c>
      <c r="U293" s="50" t="s">
        <v>436</v>
      </c>
      <c r="V293" s="50">
        <v>17083128393</v>
      </c>
      <c r="W293" s="50">
        <v>17083126712</v>
      </c>
      <c r="X293" s="50" t="s">
        <v>125</v>
      </c>
      <c r="Y293" s="50"/>
      <c r="Z293" s="51" t="s">
        <v>436</v>
      </c>
      <c r="AA293" s="51" t="s">
        <v>189</v>
      </c>
      <c r="AB293" s="51">
        <v>55863</v>
      </c>
      <c r="AC293" s="51">
        <v>66477</v>
      </c>
    </row>
    <row r="294" spans="1:29" x14ac:dyDescent="0.25">
      <c r="A294" s="25" t="s">
        <v>115</v>
      </c>
      <c r="B294" t="b">
        <v>0</v>
      </c>
      <c r="C294" s="43" t="s">
        <v>437</v>
      </c>
      <c r="D294" s="43">
        <v>20112915218</v>
      </c>
      <c r="E294" s="43">
        <v>20112915042</v>
      </c>
      <c r="F294" s="44" t="s">
        <v>125</v>
      </c>
      <c r="G294" s="44" t="b">
        <v>0</v>
      </c>
      <c r="H294" s="44" t="b">
        <v>1</v>
      </c>
      <c r="I294" s="44"/>
      <c r="M294" s="48"/>
      <c r="N294" s="48"/>
      <c r="O294" s="48"/>
      <c r="P294" s="48"/>
      <c r="Q294" s="49" t="s">
        <v>437</v>
      </c>
      <c r="R294" s="49">
        <v>17083126441</v>
      </c>
      <c r="S294" s="49">
        <v>17083128248</v>
      </c>
      <c r="T294" s="49" t="s">
        <v>125</v>
      </c>
      <c r="U294" s="50" t="s">
        <v>437</v>
      </c>
      <c r="V294" s="50">
        <v>17083126441</v>
      </c>
      <c r="W294" s="50">
        <v>17083128248</v>
      </c>
      <c r="X294" s="50" t="s">
        <v>125</v>
      </c>
      <c r="Y294" s="50"/>
      <c r="Z294" s="51" t="s">
        <v>437</v>
      </c>
      <c r="AA294" s="51" t="s">
        <v>189</v>
      </c>
      <c r="AB294" s="51">
        <v>65174</v>
      </c>
      <c r="AC294" s="51">
        <v>77557</v>
      </c>
    </row>
    <row r="295" spans="1:29" x14ac:dyDescent="0.25">
      <c r="A295" s="25" t="s">
        <v>115</v>
      </c>
      <c r="B295" t="b">
        <v>0</v>
      </c>
      <c r="C295" s="43" t="s">
        <v>438</v>
      </c>
      <c r="D295" s="43">
        <v>20112914194</v>
      </c>
      <c r="E295" s="43">
        <v>20112912738</v>
      </c>
      <c r="F295" s="44" t="s">
        <v>125</v>
      </c>
      <c r="G295" s="44" t="b">
        <v>0</v>
      </c>
      <c r="H295" s="44" t="b">
        <v>1</v>
      </c>
      <c r="I295" s="44"/>
      <c r="M295" s="48"/>
      <c r="N295" s="48"/>
      <c r="O295" s="48"/>
      <c r="P295" s="48"/>
      <c r="Q295" s="49" t="s">
        <v>438</v>
      </c>
      <c r="R295" s="49">
        <v>17083126729</v>
      </c>
      <c r="S295" s="49">
        <v>17083127480</v>
      </c>
      <c r="T295" s="49" t="s">
        <v>125</v>
      </c>
      <c r="U295" s="50" t="s">
        <v>438</v>
      </c>
      <c r="V295" s="50">
        <v>17083126729</v>
      </c>
      <c r="W295" s="50">
        <v>17083127480</v>
      </c>
      <c r="X295" s="50" t="s">
        <v>125</v>
      </c>
      <c r="Y295" s="50"/>
      <c r="Z295" s="51" t="s">
        <v>438</v>
      </c>
      <c r="AA295" s="51" t="s">
        <v>189</v>
      </c>
      <c r="AB295" s="51">
        <v>74484</v>
      </c>
      <c r="AC295" s="51">
        <v>88636</v>
      </c>
    </row>
    <row r="296" spans="1:29" x14ac:dyDescent="0.25">
      <c r="A296" s="25" t="s">
        <v>115</v>
      </c>
      <c r="B296" t="b">
        <v>0</v>
      </c>
      <c r="C296" s="43" t="s">
        <v>439</v>
      </c>
      <c r="D296" s="43">
        <v>20112916242</v>
      </c>
      <c r="E296" s="43">
        <v>20112915810</v>
      </c>
      <c r="F296" s="44" t="s">
        <v>125</v>
      </c>
      <c r="G296" s="44" t="b">
        <v>0</v>
      </c>
      <c r="H296" s="44" t="b">
        <v>1</v>
      </c>
      <c r="I296" s="44"/>
      <c r="M296" s="48"/>
      <c r="N296" s="48"/>
      <c r="O296" s="48"/>
      <c r="P296" s="48"/>
      <c r="Q296" s="49" t="s">
        <v>439</v>
      </c>
      <c r="R296" s="49">
        <v>17083129609</v>
      </c>
      <c r="S296" s="49">
        <v>17083129016</v>
      </c>
      <c r="T296" s="49" t="s">
        <v>125</v>
      </c>
      <c r="U296" s="50" t="s">
        <v>439</v>
      </c>
      <c r="V296" s="50">
        <v>17083129609</v>
      </c>
      <c r="W296" s="50">
        <v>17083129016</v>
      </c>
      <c r="X296" s="50" t="s">
        <v>125</v>
      </c>
      <c r="Y296" s="50"/>
      <c r="Z296" s="51" t="s">
        <v>439</v>
      </c>
      <c r="AA296" s="51" t="s">
        <v>189</v>
      </c>
      <c r="AB296" s="51">
        <v>83795</v>
      </c>
      <c r="AC296" s="51">
        <v>99716</v>
      </c>
    </row>
    <row r="297" spans="1:29" x14ac:dyDescent="0.25">
      <c r="A297" s="25" t="s">
        <v>115</v>
      </c>
      <c r="B297" t="b">
        <v>0</v>
      </c>
      <c r="C297" s="43" t="s">
        <v>440</v>
      </c>
      <c r="D297" s="43">
        <v>20112912530</v>
      </c>
      <c r="E297" s="43">
        <v>20112914274</v>
      </c>
      <c r="F297" s="44" t="s">
        <v>125</v>
      </c>
      <c r="G297" s="44" t="b">
        <v>0</v>
      </c>
      <c r="H297" s="44" t="b">
        <v>1</v>
      </c>
      <c r="I297" s="44"/>
      <c r="M297" s="48"/>
      <c r="N297" s="48"/>
      <c r="O297" s="48"/>
      <c r="P297" s="48"/>
      <c r="Q297" s="49" t="s">
        <v>440</v>
      </c>
      <c r="R297" s="49">
        <v>17083129289</v>
      </c>
      <c r="S297" s="49">
        <v>17083125944</v>
      </c>
      <c r="T297" s="49" t="s">
        <v>125</v>
      </c>
      <c r="U297" s="50" t="s">
        <v>440</v>
      </c>
      <c r="V297" s="50">
        <v>17083129289</v>
      </c>
      <c r="W297" s="50">
        <v>17083125944</v>
      </c>
      <c r="X297" s="50" t="s">
        <v>125</v>
      </c>
      <c r="Y297" s="50"/>
      <c r="Z297" s="51" t="s">
        <v>440</v>
      </c>
      <c r="AA297" s="51" t="s">
        <v>189</v>
      </c>
      <c r="AB297" s="51">
        <v>93105</v>
      </c>
      <c r="AC297" s="51">
        <v>110795</v>
      </c>
    </row>
    <row r="298" spans="1:29" x14ac:dyDescent="0.25">
      <c r="A298" s="25" t="s">
        <v>115</v>
      </c>
      <c r="B298" t="b">
        <v>0</v>
      </c>
      <c r="C298" s="43" t="s">
        <v>441</v>
      </c>
      <c r="D298" s="43">
        <v>20112914578</v>
      </c>
      <c r="E298" s="43">
        <v>20112914658</v>
      </c>
      <c r="F298" s="44" t="s">
        <v>125</v>
      </c>
      <c r="G298" s="44" t="b">
        <v>0</v>
      </c>
      <c r="H298" s="44" t="b">
        <v>1</v>
      </c>
      <c r="I298" s="44"/>
      <c r="M298" s="48"/>
      <c r="N298" s="48"/>
      <c r="O298" s="48"/>
      <c r="P298" s="48"/>
      <c r="Q298" s="49" t="s">
        <v>441</v>
      </c>
      <c r="R298" s="49">
        <v>17083128617</v>
      </c>
      <c r="S298" s="49">
        <v>17083128632</v>
      </c>
      <c r="T298" s="49" t="s">
        <v>125</v>
      </c>
      <c r="U298" s="50" t="s">
        <v>441</v>
      </c>
      <c r="V298" s="50">
        <v>17083128617</v>
      </c>
      <c r="W298" s="50">
        <v>17083128632</v>
      </c>
      <c r="X298" s="50" t="s">
        <v>125</v>
      </c>
      <c r="Y298" s="50"/>
      <c r="Z298" s="51" t="s">
        <v>441</v>
      </c>
      <c r="AA298" s="51" t="s">
        <v>189</v>
      </c>
      <c r="AB298" s="51">
        <v>102415</v>
      </c>
      <c r="AC298" s="51">
        <v>121873</v>
      </c>
    </row>
    <row r="299" spans="1:29" x14ac:dyDescent="0.25">
      <c r="A299" s="25" t="s">
        <v>115</v>
      </c>
      <c r="B299" t="b">
        <v>0</v>
      </c>
      <c r="C299" s="43" t="s">
        <v>442</v>
      </c>
      <c r="D299" s="43">
        <v>20112913554</v>
      </c>
      <c r="E299" s="43">
        <v>20112913122</v>
      </c>
      <c r="F299" s="44" t="s">
        <v>125</v>
      </c>
      <c r="G299" s="44" t="b">
        <v>0</v>
      </c>
      <c r="H299" s="44" t="b">
        <v>1</v>
      </c>
      <c r="I299" s="44"/>
      <c r="M299" s="48"/>
      <c r="N299" s="48"/>
      <c r="O299" s="48"/>
      <c r="P299" s="48"/>
      <c r="Q299" s="49" t="s">
        <v>442</v>
      </c>
      <c r="R299" s="49">
        <v>17083126345</v>
      </c>
      <c r="S299" s="49">
        <v>17083127096</v>
      </c>
      <c r="T299" s="49" t="s">
        <v>125</v>
      </c>
      <c r="U299" s="50" t="s">
        <v>442</v>
      </c>
      <c r="V299" s="50">
        <v>17083126345</v>
      </c>
      <c r="W299" s="50">
        <v>17083127096</v>
      </c>
      <c r="X299" s="50" t="s">
        <v>125</v>
      </c>
      <c r="Y299" s="50"/>
      <c r="Z299" s="51" t="s">
        <v>442</v>
      </c>
      <c r="AA299" s="51" t="s">
        <v>189</v>
      </c>
      <c r="AB299" s="51">
        <v>111726</v>
      </c>
      <c r="AC299" s="51">
        <v>132953</v>
      </c>
    </row>
    <row r="300" spans="1:29" x14ac:dyDescent="0.25">
      <c r="A300" s="25" t="s">
        <v>115</v>
      </c>
      <c r="B300" t="b">
        <v>0</v>
      </c>
      <c r="C300" s="43" t="s">
        <v>443</v>
      </c>
      <c r="D300" s="43">
        <v>20112915602</v>
      </c>
      <c r="E300" s="43">
        <v>20112916194</v>
      </c>
      <c r="F300" s="44" t="s">
        <v>125</v>
      </c>
      <c r="G300" s="44" t="b">
        <v>0</v>
      </c>
      <c r="H300" s="44" t="b">
        <v>1</v>
      </c>
      <c r="I300" s="44"/>
      <c r="M300" s="48"/>
      <c r="N300" s="48"/>
      <c r="O300" s="48"/>
      <c r="P300" s="48"/>
      <c r="Q300" s="49" t="s">
        <v>443</v>
      </c>
      <c r="R300" s="49">
        <v>17083128905</v>
      </c>
      <c r="S300" s="49">
        <v>17083129400</v>
      </c>
      <c r="T300" s="49" t="s">
        <v>125</v>
      </c>
      <c r="U300" s="50" t="s">
        <v>443</v>
      </c>
      <c r="V300" s="50">
        <v>17083128905</v>
      </c>
      <c r="W300" s="50">
        <v>17083129400</v>
      </c>
      <c r="X300" s="50" t="s">
        <v>125</v>
      </c>
      <c r="Y300" s="50"/>
      <c r="Z300" s="51" t="s">
        <v>443</v>
      </c>
      <c r="AA300" s="51" t="s">
        <v>189</v>
      </c>
      <c r="AB300" s="51">
        <v>121037</v>
      </c>
      <c r="AC300" s="51">
        <v>144033</v>
      </c>
    </row>
    <row r="301" spans="1:29" x14ac:dyDescent="0.25">
      <c r="A301" s="25" t="s">
        <v>115</v>
      </c>
      <c r="B301" t="b">
        <v>0</v>
      </c>
      <c r="C301" s="43" t="s">
        <v>444</v>
      </c>
      <c r="D301" s="43">
        <v>20112913042</v>
      </c>
      <c r="E301" s="43">
        <v>20112913890</v>
      </c>
      <c r="F301" s="44" t="s">
        <v>125</v>
      </c>
      <c r="G301" s="44" t="b">
        <v>0</v>
      </c>
      <c r="H301" s="44" t="b">
        <v>1</v>
      </c>
      <c r="I301" s="44"/>
      <c r="M301" s="48"/>
      <c r="N301" s="48"/>
      <c r="O301" s="48"/>
      <c r="P301" s="48"/>
      <c r="Q301" s="49" t="s">
        <v>444</v>
      </c>
      <c r="R301" s="49">
        <v>17083127625</v>
      </c>
      <c r="S301" s="49">
        <v>17083126328</v>
      </c>
      <c r="T301" s="49" t="s">
        <v>125</v>
      </c>
      <c r="U301" s="50" t="s">
        <v>444</v>
      </c>
      <c r="V301" s="50">
        <v>17083127625</v>
      </c>
      <c r="W301" s="50">
        <v>17083126328</v>
      </c>
      <c r="X301" s="50" t="s">
        <v>125</v>
      </c>
      <c r="Y301" s="50"/>
      <c r="Z301" s="51" t="s">
        <v>444</v>
      </c>
      <c r="AA301" s="51" t="s">
        <v>189</v>
      </c>
      <c r="AB301" s="51">
        <v>130346</v>
      </c>
      <c r="AC301" s="51">
        <v>155112</v>
      </c>
    </row>
    <row r="302" spans="1:29" x14ac:dyDescent="0.25">
      <c r="A302" s="25" t="s">
        <v>115</v>
      </c>
      <c r="B302" t="b">
        <v>0</v>
      </c>
      <c r="C302" s="43" t="s">
        <v>445</v>
      </c>
      <c r="D302" s="43">
        <v>20112915090</v>
      </c>
      <c r="E302" s="43">
        <v>20112915426</v>
      </c>
      <c r="F302" s="44" t="s">
        <v>125</v>
      </c>
      <c r="G302" s="44" t="b">
        <v>0</v>
      </c>
      <c r="H302" s="44" t="b">
        <v>1</v>
      </c>
      <c r="I302" s="44"/>
      <c r="M302" s="48"/>
      <c r="N302" s="48"/>
      <c r="O302" s="48"/>
      <c r="P302" s="48"/>
      <c r="Q302" s="49" t="s">
        <v>445</v>
      </c>
      <c r="R302" s="49">
        <v>17083127177</v>
      </c>
      <c r="S302" s="49">
        <v>17083127864</v>
      </c>
      <c r="T302" s="49" t="s">
        <v>125</v>
      </c>
      <c r="U302" s="50" t="s">
        <v>445</v>
      </c>
      <c r="V302" s="50">
        <v>17083127177</v>
      </c>
      <c r="W302" s="50">
        <v>17083127864</v>
      </c>
      <c r="X302" s="50" t="s">
        <v>125</v>
      </c>
      <c r="Y302" s="50"/>
      <c r="Z302" s="51" t="s">
        <v>445</v>
      </c>
      <c r="AA302" s="51" t="s">
        <v>189</v>
      </c>
      <c r="AB302" s="51">
        <v>139657</v>
      </c>
      <c r="AC302" s="51">
        <v>166192</v>
      </c>
    </row>
    <row r="303" spans="1:29" x14ac:dyDescent="0.25">
      <c r="A303" s="25" t="s">
        <v>115</v>
      </c>
      <c r="B303" t="b">
        <v>0</v>
      </c>
      <c r="C303" s="43" t="s">
        <v>446</v>
      </c>
      <c r="D303" s="43">
        <v>20112914066</v>
      </c>
      <c r="E303" s="43">
        <v>20112912402</v>
      </c>
      <c r="F303" s="44" t="s">
        <v>125</v>
      </c>
      <c r="G303" s="44" t="b">
        <v>0</v>
      </c>
      <c r="H303" s="44" t="b">
        <v>1</v>
      </c>
      <c r="I303" s="44"/>
      <c r="M303" s="48"/>
      <c r="N303" s="48"/>
      <c r="O303" s="48"/>
      <c r="P303" s="48"/>
      <c r="Q303" s="49" t="s">
        <v>446</v>
      </c>
      <c r="R303" s="49">
        <v>17083126569</v>
      </c>
      <c r="S303" s="49">
        <v>17083127768</v>
      </c>
      <c r="T303" s="49" t="s">
        <v>125</v>
      </c>
      <c r="U303" s="50" t="s">
        <v>446</v>
      </c>
      <c r="V303" s="50">
        <v>17083126569</v>
      </c>
      <c r="W303" s="50">
        <v>17083127768</v>
      </c>
      <c r="X303" s="50" t="s">
        <v>125</v>
      </c>
      <c r="Y303" s="50"/>
      <c r="Z303" s="51" t="s">
        <v>446</v>
      </c>
      <c r="AA303" s="51" t="s">
        <v>189</v>
      </c>
      <c r="AB303" s="51">
        <v>148967</v>
      </c>
      <c r="AC303" s="51">
        <v>177271</v>
      </c>
    </row>
    <row r="304" spans="1:29" x14ac:dyDescent="0.25">
      <c r="A304" s="25" t="s">
        <v>115</v>
      </c>
      <c r="B304" t="b">
        <v>0</v>
      </c>
      <c r="C304" s="43" t="s">
        <v>447</v>
      </c>
      <c r="D304" s="43">
        <v>20112916114</v>
      </c>
      <c r="E304" s="43">
        <v>20112915474</v>
      </c>
      <c r="F304" s="44" t="s">
        <v>125</v>
      </c>
      <c r="G304" s="44" t="b">
        <v>0</v>
      </c>
      <c r="H304" s="44" t="b">
        <v>1</v>
      </c>
      <c r="I304" s="44"/>
      <c r="M304" s="48"/>
      <c r="N304" s="48"/>
      <c r="O304" s="48"/>
      <c r="P304" s="48"/>
      <c r="Q304" s="49" t="s">
        <v>447</v>
      </c>
      <c r="R304" s="49">
        <v>17083126313</v>
      </c>
      <c r="S304" s="49">
        <v>17083129304</v>
      </c>
      <c r="T304" s="49" t="s">
        <v>125</v>
      </c>
      <c r="U304" s="50" t="s">
        <v>447</v>
      </c>
      <c r="V304" s="50">
        <v>17083126313</v>
      </c>
      <c r="W304" s="50">
        <v>17083129304</v>
      </c>
      <c r="X304" s="50" t="s">
        <v>125</v>
      </c>
      <c r="Y304" s="50"/>
      <c r="Z304" s="51" t="s">
        <v>447</v>
      </c>
      <c r="AA304" s="51" t="s">
        <v>189</v>
      </c>
      <c r="AB304" s="51">
        <v>158277</v>
      </c>
      <c r="AC304" s="51">
        <v>188350</v>
      </c>
    </row>
    <row r="305" spans="1:29" x14ac:dyDescent="0.25">
      <c r="A305" s="25" t="s">
        <v>115</v>
      </c>
      <c r="B305" t="b">
        <v>0</v>
      </c>
      <c r="C305" s="43" t="s">
        <v>448</v>
      </c>
      <c r="D305" s="43">
        <v>20112912786</v>
      </c>
      <c r="E305" s="43">
        <v>20112913938</v>
      </c>
      <c r="F305" s="44" t="s">
        <v>125</v>
      </c>
      <c r="G305" s="44" t="b">
        <v>0</v>
      </c>
      <c r="H305" s="44" t="b">
        <v>1</v>
      </c>
      <c r="I305" s="44"/>
      <c r="M305" s="48"/>
      <c r="N305" s="48"/>
      <c r="O305" s="48"/>
      <c r="P305" s="48"/>
      <c r="Q305" s="49" t="s">
        <v>448</v>
      </c>
      <c r="R305" s="49">
        <v>17083128873</v>
      </c>
      <c r="S305" s="49">
        <v>17083126232</v>
      </c>
      <c r="T305" s="49" t="s">
        <v>125</v>
      </c>
      <c r="U305" s="50" t="s">
        <v>448</v>
      </c>
      <c r="V305" s="50">
        <v>17083128873</v>
      </c>
      <c r="W305" s="50">
        <v>17083126232</v>
      </c>
      <c r="X305" s="50" t="s">
        <v>125</v>
      </c>
      <c r="Y305" s="50"/>
      <c r="Z305" s="51" t="s">
        <v>448</v>
      </c>
      <c r="AA305" s="51" t="s">
        <v>189</v>
      </c>
      <c r="AB305" s="51">
        <v>167588</v>
      </c>
      <c r="AC305" s="51">
        <v>199430</v>
      </c>
    </row>
    <row r="306" spans="1:29" x14ac:dyDescent="0.25">
      <c r="A306" s="25" t="s">
        <v>115</v>
      </c>
      <c r="B306" t="b">
        <v>0</v>
      </c>
      <c r="C306" s="43" t="s">
        <v>449</v>
      </c>
      <c r="D306" s="43">
        <v>20112914834</v>
      </c>
      <c r="E306" s="43">
        <v>20112914706</v>
      </c>
      <c r="F306" s="44" t="s">
        <v>125</v>
      </c>
      <c r="G306" s="44" t="b">
        <v>0</v>
      </c>
      <c r="H306" s="44" t="b">
        <v>1</v>
      </c>
      <c r="I306" s="44"/>
      <c r="M306" s="48"/>
      <c r="N306" s="48"/>
      <c r="O306" s="48"/>
      <c r="P306" s="48"/>
      <c r="Q306" s="49" t="s">
        <v>449</v>
      </c>
      <c r="R306" s="49">
        <v>17083128201</v>
      </c>
      <c r="S306" s="49">
        <v>17083128536</v>
      </c>
      <c r="T306" s="49" t="s">
        <v>125</v>
      </c>
      <c r="U306" s="50" t="s">
        <v>449</v>
      </c>
      <c r="V306" s="50">
        <v>17083128201</v>
      </c>
      <c r="W306" s="50">
        <v>17083128536</v>
      </c>
      <c r="X306" s="50" t="s">
        <v>125</v>
      </c>
      <c r="Y306" s="50"/>
      <c r="Z306" s="51" t="s">
        <v>449</v>
      </c>
      <c r="AA306" s="51" t="s">
        <v>189</v>
      </c>
      <c r="AB306" s="51">
        <v>176899</v>
      </c>
      <c r="AC306" s="51">
        <v>210510</v>
      </c>
    </row>
    <row r="307" spans="1:29" x14ac:dyDescent="0.25">
      <c r="A307" s="25" t="s">
        <v>115</v>
      </c>
      <c r="B307" t="b">
        <v>0</v>
      </c>
      <c r="C307" s="43" t="s">
        <v>450</v>
      </c>
      <c r="D307" s="43">
        <v>20112913810</v>
      </c>
      <c r="E307" s="43">
        <v>20112915234</v>
      </c>
      <c r="F307" s="44" t="s">
        <v>125</v>
      </c>
      <c r="G307" s="44" t="b">
        <v>0</v>
      </c>
      <c r="H307" s="44" t="b">
        <v>1</v>
      </c>
      <c r="I307" s="44"/>
      <c r="J307" s="45" t="s">
        <v>450</v>
      </c>
      <c r="K307" s="46">
        <v>20112915234</v>
      </c>
      <c r="L307" s="47">
        <v>990000488</v>
      </c>
      <c r="M307" s="48"/>
      <c r="N307" s="48"/>
      <c r="O307" s="48"/>
      <c r="P307" s="48"/>
      <c r="Q307" s="49" t="s">
        <v>450</v>
      </c>
      <c r="R307" s="49">
        <v>17083128465</v>
      </c>
      <c r="S307" s="49">
        <v>17083129120</v>
      </c>
      <c r="T307" s="49" t="s">
        <v>125</v>
      </c>
      <c r="U307" s="50" t="s">
        <v>450</v>
      </c>
      <c r="V307" s="50">
        <v>17083128465</v>
      </c>
      <c r="W307" s="50">
        <v>17083129120</v>
      </c>
      <c r="X307" s="50" t="s">
        <v>125</v>
      </c>
      <c r="Y307" s="50"/>
      <c r="Z307" s="51" t="s">
        <v>450</v>
      </c>
      <c r="AA307" s="51" t="s">
        <v>189</v>
      </c>
      <c r="AB307" s="51">
        <v>6518</v>
      </c>
      <c r="AC307" s="51">
        <v>7757</v>
      </c>
    </row>
    <row r="308" spans="1:29" x14ac:dyDescent="0.25">
      <c r="A308" s="25" t="s">
        <v>115</v>
      </c>
      <c r="B308" t="b">
        <v>0</v>
      </c>
      <c r="C308" s="43" t="s">
        <v>451</v>
      </c>
      <c r="D308" s="43">
        <v>20112915858</v>
      </c>
      <c r="E308" s="43">
        <v>20112912930</v>
      </c>
      <c r="F308" s="44" t="s">
        <v>125</v>
      </c>
      <c r="G308" s="44" t="b">
        <v>0</v>
      </c>
      <c r="H308" s="44" t="b">
        <v>1</v>
      </c>
      <c r="I308" s="44"/>
      <c r="J308" s="45" t="s">
        <v>451</v>
      </c>
      <c r="K308" s="46">
        <v>20112912930</v>
      </c>
      <c r="L308" s="47">
        <v>990000486</v>
      </c>
      <c r="M308" s="48"/>
      <c r="N308" s="48"/>
      <c r="O308" s="48"/>
      <c r="P308" s="48"/>
      <c r="Q308" s="49" t="s">
        <v>451</v>
      </c>
      <c r="R308" s="49">
        <v>17083126641</v>
      </c>
      <c r="S308" s="49">
        <v>17083127560</v>
      </c>
      <c r="T308" s="49" t="s">
        <v>125</v>
      </c>
      <c r="U308" s="50" t="s">
        <v>451</v>
      </c>
      <c r="V308" s="50">
        <v>17083126641</v>
      </c>
      <c r="W308" s="50">
        <v>17083127560</v>
      </c>
      <c r="X308" s="50" t="s">
        <v>125</v>
      </c>
      <c r="Y308" s="50"/>
      <c r="Z308" s="51" t="s">
        <v>451</v>
      </c>
      <c r="AA308" s="51" t="s">
        <v>189</v>
      </c>
      <c r="AB308" s="51">
        <v>9311</v>
      </c>
      <c r="AC308" s="51">
        <v>11081</v>
      </c>
    </row>
    <row r="309" spans="1:29" x14ac:dyDescent="0.25">
      <c r="A309" s="25" t="s">
        <v>115</v>
      </c>
      <c r="B309" t="b">
        <v>0</v>
      </c>
      <c r="C309" s="43" t="s">
        <v>452</v>
      </c>
      <c r="D309" s="43">
        <v>20112913298</v>
      </c>
      <c r="E309" s="43">
        <v>20112912546</v>
      </c>
      <c r="F309" s="44" t="s">
        <v>125</v>
      </c>
      <c r="G309" s="44" t="b">
        <v>0</v>
      </c>
      <c r="H309" s="44" t="b">
        <v>1</v>
      </c>
      <c r="I309" s="44"/>
      <c r="J309" s="45" t="s">
        <v>452</v>
      </c>
      <c r="K309" s="46">
        <v>20112912546</v>
      </c>
      <c r="L309" s="47">
        <v>990000487</v>
      </c>
      <c r="M309" s="48"/>
      <c r="N309" s="48"/>
      <c r="O309" s="48"/>
      <c r="P309" s="48"/>
      <c r="Q309" s="49" t="s">
        <v>452</v>
      </c>
      <c r="R309" s="49">
        <v>17083129201</v>
      </c>
      <c r="S309" s="49">
        <v>17083129096</v>
      </c>
      <c r="T309" s="49" t="s">
        <v>125</v>
      </c>
      <c r="U309" s="50" t="s">
        <v>452</v>
      </c>
      <c r="V309" s="50">
        <v>17083129201</v>
      </c>
      <c r="W309" s="50">
        <v>17083129096</v>
      </c>
      <c r="X309" s="50" t="s">
        <v>125</v>
      </c>
      <c r="Y309" s="50"/>
      <c r="Z309" s="51" t="s">
        <v>452</v>
      </c>
      <c r="AA309" s="51" t="s">
        <v>189</v>
      </c>
      <c r="AB309" s="51">
        <v>13967</v>
      </c>
      <c r="AC309" s="51">
        <v>16621</v>
      </c>
    </row>
    <row r="310" spans="1:29" x14ac:dyDescent="0.25">
      <c r="A310" s="25" t="s">
        <v>115</v>
      </c>
      <c r="B310" t="b">
        <v>0</v>
      </c>
      <c r="C310" s="43" t="s">
        <v>453</v>
      </c>
      <c r="D310" s="43">
        <v>20112915346</v>
      </c>
      <c r="E310" s="43">
        <v>20112916002</v>
      </c>
      <c r="F310" s="44" t="s">
        <v>125</v>
      </c>
      <c r="G310" s="44" t="b">
        <v>0</v>
      </c>
      <c r="H310" s="44" t="b">
        <v>1</v>
      </c>
      <c r="I310" s="44"/>
      <c r="J310" s="45" t="s">
        <v>453</v>
      </c>
      <c r="K310" s="46">
        <v>20112916002</v>
      </c>
      <c r="L310" s="47">
        <v>990000485</v>
      </c>
      <c r="M310" s="48"/>
      <c r="N310" s="48"/>
      <c r="O310" s="48"/>
      <c r="P310" s="48"/>
      <c r="Q310" s="49" t="s">
        <v>453</v>
      </c>
      <c r="R310" s="49">
        <v>17083126857</v>
      </c>
      <c r="S310" s="49">
        <v>17083126904</v>
      </c>
      <c r="T310" s="49" t="s">
        <v>125</v>
      </c>
      <c r="U310" s="50" t="s">
        <v>453</v>
      </c>
      <c r="V310" s="50">
        <v>17083126857</v>
      </c>
      <c r="W310" s="50">
        <v>17083126904</v>
      </c>
      <c r="X310" s="50" t="s">
        <v>125</v>
      </c>
      <c r="Y310" s="50"/>
      <c r="Z310" s="51" t="s">
        <v>453</v>
      </c>
      <c r="AA310" s="51" t="s">
        <v>189</v>
      </c>
      <c r="AB310" s="51">
        <v>16760</v>
      </c>
      <c r="AC310" s="51">
        <v>19945</v>
      </c>
    </row>
    <row r="311" spans="1:29" x14ac:dyDescent="0.25">
      <c r="A311" s="25" t="s">
        <v>115</v>
      </c>
      <c r="B311" t="b">
        <v>0</v>
      </c>
      <c r="C311" s="43" t="s">
        <v>454</v>
      </c>
      <c r="D311" s="43">
        <v>20112914322</v>
      </c>
      <c r="E311" s="43">
        <v>20112913698</v>
      </c>
      <c r="F311" s="44" t="s">
        <v>125</v>
      </c>
      <c r="G311" s="44" t="b">
        <v>0</v>
      </c>
      <c r="H311" s="44" t="b">
        <v>1</v>
      </c>
      <c r="I311" s="44"/>
      <c r="M311" s="48"/>
      <c r="N311" s="48"/>
      <c r="O311" s="48"/>
      <c r="P311" s="48"/>
      <c r="Q311" s="49" t="s">
        <v>454</v>
      </c>
      <c r="R311" s="49">
        <v>17083127561</v>
      </c>
      <c r="S311" s="49">
        <v>17083129784</v>
      </c>
      <c r="T311" s="49" t="s">
        <v>125</v>
      </c>
      <c r="U311" s="50" t="s">
        <v>454</v>
      </c>
      <c r="V311" s="50">
        <v>17083127561</v>
      </c>
      <c r="W311" s="50">
        <v>17083129784</v>
      </c>
      <c r="X311" s="50" t="s">
        <v>125</v>
      </c>
      <c r="Y311" s="50"/>
      <c r="Z311" s="51" t="s">
        <v>454</v>
      </c>
      <c r="AA311" s="51" t="s">
        <v>189</v>
      </c>
      <c r="AB311" s="51">
        <v>18621</v>
      </c>
      <c r="AC311" s="51">
        <v>22159</v>
      </c>
    </row>
    <row r="312" spans="1:29" x14ac:dyDescent="0.25">
      <c r="A312" s="25" t="s">
        <v>115</v>
      </c>
      <c r="B312" t="b">
        <v>0</v>
      </c>
      <c r="C312" s="43" t="s">
        <v>455</v>
      </c>
      <c r="D312" s="43">
        <v>20112916370</v>
      </c>
      <c r="E312" s="43">
        <v>20112915618</v>
      </c>
      <c r="F312" s="44" t="s">
        <v>125</v>
      </c>
      <c r="G312" s="44" t="b">
        <v>0</v>
      </c>
      <c r="H312" s="44" t="b">
        <v>1</v>
      </c>
      <c r="I312" s="44"/>
      <c r="J312" s="45" t="s">
        <v>455</v>
      </c>
      <c r="K312" s="46">
        <v>20112915618</v>
      </c>
      <c r="L312" s="47">
        <v>990000496</v>
      </c>
      <c r="M312" s="48"/>
      <c r="N312" s="48"/>
      <c r="O312" s="48"/>
      <c r="P312" s="48"/>
      <c r="Q312" s="49" t="s">
        <v>455</v>
      </c>
      <c r="R312" s="49">
        <v>17083128433</v>
      </c>
      <c r="S312" s="49">
        <v>17083126024</v>
      </c>
      <c r="T312" s="49" t="s">
        <v>125</v>
      </c>
      <c r="U312" s="50" t="s">
        <v>455</v>
      </c>
      <c r="V312" s="50">
        <v>17083128433</v>
      </c>
      <c r="W312" s="50">
        <v>17083126024</v>
      </c>
      <c r="X312" s="50" t="s">
        <v>125</v>
      </c>
      <c r="Y312" s="50"/>
      <c r="Z312" s="51" t="s">
        <v>455</v>
      </c>
      <c r="AA312" s="51" t="s">
        <v>189</v>
      </c>
      <c r="AB312" s="51">
        <v>9311</v>
      </c>
      <c r="AC312" s="51">
        <v>11081</v>
      </c>
    </row>
    <row r="313" spans="1:29" x14ac:dyDescent="0.25">
      <c r="A313" s="25" t="s">
        <v>115</v>
      </c>
      <c r="B313" t="b">
        <v>0</v>
      </c>
      <c r="C313" s="43" t="s">
        <v>456</v>
      </c>
      <c r="D313" s="43">
        <v>20112912466</v>
      </c>
      <c r="E313" s="43">
        <v>20112914082</v>
      </c>
      <c r="F313" s="44" t="s">
        <v>125</v>
      </c>
      <c r="G313" s="44" t="b">
        <v>0</v>
      </c>
      <c r="H313" s="44" t="b">
        <v>1</v>
      </c>
      <c r="I313" s="44"/>
      <c r="M313" s="48"/>
      <c r="N313" s="48"/>
      <c r="O313" s="48"/>
      <c r="P313" s="48"/>
      <c r="Q313" s="49" t="s">
        <v>456</v>
      </c>
      <c r="R313" s="49">
        <v>17083127473</v>
      </c>
      <c r="S313" s="49">
        <v>17083128328</v>
      </c>
      <c r="T313" s="49" t="s">
        <v>125</v>
      </c>
      <c r="U313" s="50" t="s">
        <v>456</v>
      </c>
      <c r="V313" s="50">
        <v>17083127473</v>
      </c>
      <c r="W313" s="50">
        <v>17083128328</v>
      </c>
      <c r="X313" s="50" t="s">
        <v>125</v>
      </c>
      <c r="Y313" s="50"/>
      <c r="Z313" s="51" t="s">
        <v>456</v>
      </c>
      <c r="AA313" s="51" t="s">
        <v>189</v>
      </c>
      <c r="AB313" s="51">
        <v>18621</v>
      </c>
      <c r="AC313" s="51">
        <v>22159</v>
      </c>
    </row>
    <row r="314" spans="1:29" x14ac:dyDescent="0.25">
      <c r="A314" s="25" t="s">
        <v>115</v>
      </c>
      <c r="B314" t="b">
        <v>0</v>
      </c>
      <c r="C314" s="43" t="s">
        <v>457</v>
      </c>
      <c r="D314" s="43">
        <v>20112914514</v>
      </c>
      <c r="E314" s="43">
        <v>20112914850</v>
      </c>
      <c r="F314" s="44" t="s">
        <v>125</v>
      </c>
      <c r="G314" s="44" t="b">
        <v>0</v>
      </c>
      <c r="H314" s="44" t="b">
        <v>1</v>
      </c>
      <c r="I314" s="44"/>
      <c r="J314" s="45" t="s">
        <v>457</v>
      </c>
      <c r="K314" s="46">
        <v>20112914850</v>
      </c>
      <c r="L314" s="47">
        <v>990000497</v>
      </c>
      <c r="M314" s="48"/>
      <c r="N314" s="48"/>
      <c r="O314" s="48"/>
      <c r="P314" s="48"/>
      <c r="Q314" s="49" t="s">
        <v>457</v>
      </c>
      <c r="R314" s="49">
        <v>17083127153</v>
      </c>
      <c r="S314" s="49">
        <v>17083126792</v>
      </c>
      <c r="T314" s="49" t="s">
        <v>125</v>
      </c>
      <c r="U314" s="50" t="s">
        <v>457</v>
      </c>
      <c r="V314" s="50">
        <v>17083127153</v>
      </c>
      <c r="W314" s="50">
        <v>17083126792</v>
      </c>
      <c r="X314" s="50" t="s">
        <v>125</v>
      </c>
      <c r="Y314" s="50"/>
      <c r="Z314" s="51" t="s">
        <v>457</v>
      </c>
      <c r="AA314" s="51" t="s">
        <v>189</v>
      </c>
      <c r="AB314" s="51">
        <v>27932</v>
      </c>
      <c r="AC314" s="51">
        <v>33239</v>
      </c>
    </row>
    <row r="315" spans="1:29" x14ac:dyDescent="0.25">
      <c r="A315" s="25" t="s">
        <v>115</v>
      </c>
      <c r="B315" t="b">
        <v>0</v>
      </c>
      <c r="C315" s="43" t="s">
        <v>458</v>
      </c>
      <c r="D315" s="43">
        <v>20112913490</v>
      </c>
      <c r="E315" s="43">
        <v>20112913314</v>
      </c>
      <c r="F315" s="44" t="s">
        <v>125</v>
      </c>
      <c r="G315" s="44" t="b">
        <v>0</v>
      </c>
      <c r="H315" s="44" t="b">
        <v>1</v>
      </c>
      <c r="I315" s="44"/>
      <c r="J315" s="45" t="s">
        <v>458</v>
      </c>
      <c r="K315" s="46">
        <v>20112913314</v>
      </c>
      <c r="L315" s="47">
        <v>990000498</v>
      </c>
      <c r="M315" s="48"/>
      <c r="N315" s="48"/>
      <c r="O315" s="48"/>
      <c r="P315" s="48"/>
      <c r="Q315" s="49" t="s">
        <v>458</v>
      </c>
      <c r="R315" s="49">
        <v>17083128817</v>
      </c>
      <c r="S315" s="49">
        <v>17083129840</v>
      </c>
      <c r="T315" s="49" t="s">
        <v>125</v>
      </c>
      <c r="U315" s="50" t="s">
        <v>458</v>
      </c>
      <c r="V315" s="50">
        <v>17083128817</v>
      </c>
      <c r="W315" s="50">
        <v>17083129840</v>
      </c>
      <c r="X315" s="50" t="s">
        <v>125</v>
      </c>
      <c r="Y315" s="50"/>
      <c r="Z315" s="51" t="s">
        <v>458</v>
      </c>
      <c r="AA315" s="51" t="s">
        <v>189</v>
      </c>
      <c r="AB315" s="51">
        <v>37242</v>
      </c>
      <c r="AC315" s="51">
        <v>44318</v>
      </c>
    </row>
    <row r="316" spans="1:29" x14ac:dyDescent="0.25">
      <c r="A316" s="25" t="s">
        <v>115</v>
      </c>
      <c r="B316" t="b">
        <v>0</v>
      </c>
      <c r="C316" s="43" t="s">
        <v>459</v>
      </c>
      <c r="D316" s="43">
        <v>20112915538</v>
      </c>
      <c r="E316" s="43">
        <v>20112916386</v>
      </c>
      <c r="F316" s="44" t="s">
        <v>125</v>
      </c>
      <c r="G316" s="44" t="b">
        <v>0</v>
      </c>
      <c r="H316" s="44" t="b">
        <v>1</v>
      </c>
      <c r="I316" s="44"/>
      <c r="M316" s="48"/>
      <c r="N316" s="48"/>
      <c r="O316" s="48"/>
      <c r="P316" s="48"/>
      <c r="Q316" s="49" t="s">
        <v>459</v>
      </c>
      <c r="R316" s="49">
        <v>17083128497</v>
      </c>
      <c r="S316" s="49">
        <v>17083126768</v>
      </c>
      <c r="T316" s="49" t="s">
        <v>125</v>
      </c>
      <c r="U316" s="50" t="s">
        <v>459</v>
      </c>
      <c r="V316" s="50">
        <v>17083128497</v>
      </c>
      <c r="W316" s="50">
        <v>17083126768</v>
      </c>
      <c r="X316" s="50" t="s">
        <v>125</v>
      </c>
      <c r="Y316" s="50"/>
      <c r="Z316" s="51" t="s">
        <v>459</v>
      </c>
      <c r="AA316" s="51" t="s">
        <v>189</v>
      </c>
      <c r="AB316" s="51">
        <v>46552</v>
      </c>
      <c r="AC316" s="51">
        <v>55397</v>
      </c>
    </row>
    <row r="317" spans="1:29" x14ac:dyDescent="0.25">
      <c r="A317" s="25" t="s">
        <v>115</v>
      </c>
      <c r="B317" t="b">
        <v>0</v>
      </c>
      <c r="C317" s="43" t="s">
        <v>460</v>
      </c>
      <c r="D317" s="43">
        <v>3251175872</v>
      </c>
      <c r="E317" s="43">
        <v>3251179328</v>
      </c>
      <c r="F317" s="44" t="s">
        <v>123</v>
      </c>
      <c r="G317" s="44" t="b">
        <v>1</v>
      </c>
      <c r="H317" s="44" t="b">
        <v>0</v>
      </c>
      <c r="I317" s="44" t="s">
        <v>126</v>
      </c>
      <c r="M317" s="48" t="s">
        <v>460</v>
      </c>
      <c r="N317" s="48">
        <v>17088573398</v>
      </c>
      <c r="O317" s="48">
        <v>17088573344</v>
      </c>
      <c r="P317" s="48" t="s">
        <v>123</v>
      </c>
      <c r="Q317" s="49" t="s">
        <v>460</v>
      </c>
      <c r="R317" s="49">
        <v>17083127881</v>
      </c>
      <c r="S317" s="49">
        <v>17083127956</v>
      </c>
      <c r="T317" s="49" t="s">
        <v>123</v>
      </c>
      <c r="U317" s="50" t="s">
        <v>460</v>
      </c>
      <c r="V317" s="50">
        <v>17083127881</v>
      </c>
      <c r="W317" s="50">
        <v>17083127956</v>
      </c>
      <c r="X317" s="50" t="s">
        <v>123</v>
      </c>
      <c r="Y317" s="50">
        <v>140001</v>
      </c>
    </row>
    <row r="318" spans="1:29" x14ac:dyDescent="0.25">
      <c r="A318" s="25" t="s">
        <v>115</v>
      </c>
      <c r="B318" t="b">
        <v>0</v>
      </c>
      <c r="C318" s="43" t="s">
        <v>461</v>
      </c>
      <c r="D318" s="43">
        <v>3251177920</v>
      </c>
      <c r="E318" s="43">
        <v>3251176640</v>
      </c>
      <c r="F318" s="44" t="s">
        <v>123</v>
      </c>
      <c r="G318" s="44" t="b">
        <v>1</v>
      </c>
      <c r="H318" s="44" t="b">
        <v>0</v>
      </c>
      <c r="I318" s="44" t="s">
        <v>126</v>
      </c>
      <c r="M318" s="48" t="s">
        <v>461</v>
      </c>
      <c r="N318" s="48">
        <v>17088571918</v>
      </c>
      <c r="O318" s="48">
        <v>17088571592</v>
      </c>
      <c r="P318" s="48" t="s">
        <v>123</v>
      </c>
      <c r="Q318" s="49" t="s">
        <v>461</v>
      </c>
      <c r="R318" s="49">
        <v>17083127833</v>
      </c>
      <c r="S318" s="49">
        <v>17083127212</v>
      </c>
      <c r="T318" s="49" t="s">
        <v>123</v>
      </c>
      <c r="U318" s="50" t="s">
        <v>461</v>
      </c>
      <c r="V318" s="50">
        <v>17083127833</v>
      </c>
      <c r="W318" s="50">
        <v>17083127212</v>
      </c>
      <c r="X318" s="50" t="s">
        <v>123</v>
      </c>
      <c r="Y318" s="50">
        <v>140002</v>
      </c>
    </row>
    <row r="319" spans="1:29" x14ac:dyDescent="0.25">
      <c r="A319" s="25" t="s">
        <v>115</v>
      </c>
      <c r="B319" t="b">
        <v>0</v>
      </c>
      <c r="C319" s="43" t="s">
        <v>462</v>
      </c>
      <c r="D319" s="43">
        <v>3251176896</v>
      </c>
      <c r="E319" s="43">
        <v>3251178176</v>
      </c>
      <c r="F319" s="44" t="s">
        <v>123</v>
      </c>
      <c r="G319" s="44" t="b">
        <v>1</v>
      </c>
      <c r="H319" s="44" t="b">
        <v>0</v>
      </c>
      <c r="I319" s="44" t="s">
        <v>126</v>
      </c>
      <c r="M319" s="48" t="s">
        <v>462</v>
      </c>
      <c r="N319" s="48">
        <v>17088573326</v>
      </c>
      <c r="O319" s="48">
        <v>17088559736</v>
      </c>
      <c r="P319" s="48" t="s">
        <v>123</v>
      </c>
      <c r="Q319" s="49" t="s">
        <v>462</v>
      </c>
      <c r="R319" s="49">
        <v>17083126169</v>
      </c>
      <c r="S319" s="49">
        <v>17083090754</v>
      </c>
      <c r="T319" s="49" t="s">
        <v>123</v>
      </c>
      <c r="U319" s="50" t="s">
        <v>462</v>
      </c>
      <c r="V319" s="50">
        <v>17083126169</v>
      </c>
      <c r="W319" s="50">
        <v>17083090754</v>
      </c>
      <c r="X319" s="50" t="s">
        <v>123</v>
      </c>
      <c r="Y319" s="50">
        <v>140003</v>
      </c>
    </row>
    <row r="320" spans="1:29" x14ac:dyDescent="0.25">
      <c r="A320" s="25" t="b">
        <v>1</v>
      </c>
      <c r="B320" t="b">
        <v>0</v>
      </c>
      <c r="C320" s="43" t="s">
        <v>463</v>
      </c>
      <c r="D320" s="43">
        <v>16041760263</v>
      </c>
      <c r="E320" s="43">
        <v>16041967671</v>
      </c>
      <c r="F320" s="44" t="s">
        <v>173</v>
      </c>
      <c r="G320" s="44" t="b">
        <v>0</v>
      </c>
      <c r="H320" s="44" t="b">
        <v>0</v>
      </c>
      <c r="I320" s="44"/>
      <c r="J320" s="45" t="s">
        <v>463</v>
      </c>
      <c r="K320" s="46">
        <v>16041967671</v>
      </c>
      <c r="M320" s="48" t="s">
        <v>463</v>
      </c>
      <c r="N320" s="48">
        <v>17088570650</v>
      </c>
      <c r="O320" s="48">
        <v>17088566663</v>
      </c>
      <c r="P320" s="48" t="s">
        <v>173</v>
      </c>
      <c r="Q320" s="49" t="s">
        <v>463</v>
      </c>
      <c r="R320" s="49">
        <v>17083128129</v>
      </c>
      <c r="S320" s="49">
        <v>17083127552</v>
      </c>
      <c r="T320" s="49" t="s">
        <v>173</v>
      </c>
      <c r="U320" s="50" t="s">
        <v>463</v>
      </c>
      <c r="V320" s="50">
        <v>17083128129</v>
      </c>
      <c r="W320" s="50">
        <v>17083127552</v>
      </c>
      <c r="X320" s="50" t="s">
        <v>173</v>
      </c>
      <c r="Y320" s="50"/>
    </row>
    <row r="321" spans="1:25" x14ac:dyDescent="0.25">
      <c r="A321" s="25" t="b">
        <v>1</v>
      </c>
      <c r="B321" t="b">
        <v>0</v>
      </c>
      <c r="C321" s="43" t="s">
        <v>464</v>
      </c>
      <c r="D321" s="43">
        <v>16041762311</v>
      </c>
      <c r="E321" s="43">
        <v>16041970743</v>
      </c>
      <c r="F321" s="44" t="s">
        <v>173</v>
      </c>
      <c r="G321" s="44" t="b">
        <v>0</v>
      </c>
      <c r="H321" s="44" t="b">
        <v>0</v>
      </c>
      <c r="I321" s="44"/>
      <c r="J321" s="45" t="s">
        <v>464</v>
      </c>
      <c r="K321" s="46">
        <v>16041970743</v>
      </c>
      <c r="M321" s="48" t="s">
        <v>464</v>
      </c>
      <c r="N321" s="48">
        <v>17088569638</v>
      </c>
      <c r="O321" s="48">
        <v>17088569327</v>
      </c>
      <c r="P321" s="48" t="s">
        <v>173</v>
      </c>
      <c r="Q321" s="49" t="s">
        <v>464</v>
      </c>
      <c r="R321" s="49">
        <v>17083127985</v>
      </c>
      <c r="S321" s="49">
        <v>17083126808</v>
      </c>
      <c r="T321" s="49" t="s">
        <v>173</v>
      </c>
      <c r="U321" s="50" t="s">
        <v>464</v>
      </c>
      <c r="V321" s="50">
        <v>17083127985</v>
      </c>
      <c r="W321" s="50">
        <v>17083126808</v>
      </c>
      <c r="X321" s="50" t="s">
        <v>173</v>
      </c>
      <c r="Y321" s="50"/>
    </row>
    <row r="322" spans="1:25" x14ac:dyDescent="0.25">
      <c r="A322" s="25" t="b">
        <v>1</v>
      </c>
      <c r="B322" t="b">
        <v>0</v>
      </c>
      <c r="C322" s="43" t="s">
        <v>465</v>
      </c>
      <c r="D322" s="43">
        <v>16041758983</v>
      </c>
      <c r="E322" s="43">
        <v>16041971287</v>
      </c>
      <c r="F322" s="44" t="s">
        <v>173</v>
      </c>
      <c r="G322" s="44" t="b">
        <v>0</v>
      </c>
      <c r="H322" s="44" t="b">
        <v>0</v>
      </c>
      <c r="I322" s="44"/>
      <c r="J322" s="45" t="s">
        <v>465</v>
      </c>
      <c r="K322" s="46">
        <v>16041971287</v>
      </c>
      <c r="M322" s="48" t="s">
        <v>465</v>
      </c>
      <c r="N322" s="48">
        <v>17088571418</v>
      </c>
      <c r="O322" s="48">
        <v>17088568199</v>
      </c>
      <c r="P322" s="48" t="s">
        <v>173</v>
      </c>
      <c r="Q322" s="49" t="s">
        <v>465</v>
      </c>
      <c r="R322" s="49">
        <v>17083125825</v>
      </c>
      <c r="S322" s="49">
        <v>17083127936</v>
      </c>
      <c r="T322" s="49" t="s">
        <v>173</v>
      </c>
      <c r="U322" s="50" t="s">
        <v>465</v>
      </c>
      <c r="V322" s="50">
        <v>17083125825</v>
      </c>
      <c r="W322" s="50">
        <v>17083127936</v>
      </c>
      <c r="X322" s="50" t="s">
        <v>173</v>
      </c>
      <c r="Y322" s="50"/>
    </row>
    <row r="323" spans="1:25" x14ac:dyDescent="0.25">
      <c r="A323" s="25" t="s">
        <v>115</v>
      </c>
      <c r="B323" t="b">
        <v>0</v>
      </c>
      <c r="C323" s="43" t="s">
        <v>466</v>
      </c>
      <c r="D323" s="43">
        <v>16041761031</v>
      </c>
      <c r="E323" s="43">
        <v>16041968215</v>
      </c>
      <c r="F323" s="43" t="s">
        <v>173</v>
      </c>
      <c r="G323" s="43" t="b">
        <v>0</v>
      </c>
      <c r="H323" s="43" t="b">
        <v>0</v>
      </c>
      <c r="I323" s="43"/>
      <c r="M323" s="48" t="s">
        <v>466</v>
      </c>
      <c r="N323" s="48">
        <v>17088572530</v>
      </c>
      <c r="O323" s="48">
        <v>17088565613</v>
      </c>
      <c r="P323" s="48" t="s">
        <v>173</v>
      </c>
      <c r="Q323" s="49" t="s">
        <v>466</v>
      </c>
      <c r="R323" s="49">
        <v>17083125918</v>
      </c>
      <c r="S323" s="49">
        <v>17083123611</v>
      </c>
      <c r="T323" s="49" t="s">
        <v>173</v>
      </c>
      <c r="U323" s="50" t="s">
        <v>466</v>
      </c>
      <c r="V323" s="50">
        <v>17083125918</v>
      </c>
      <c r="W323" s="50">
        <v>17083123611</v>
      </c>
      <c r="X323" s="50" t="s">
        <v>173</v>
      </c>
      <c r="Y323" s="50"/>
    </row>
    <row r="324" spans="1:25" x14ac:dyDescent="0.25">
      <c r="A324" s="25" t="s">
        <v>248</v>
      </c>
      <c r="B324" t="b">
        <v>0</v>
      </c>
      <c r="C324" s="43" t="s">
        <v>467</v>
      </c>
      <c r="D324" s="43">
        <v>16041760007</v>
      </c>
      <c r="E324" s="43">
        <v>16041968983</v>
      </c>
      <c r="F324" s="43" t="s">
        <v>173</v>
      </c>
      <c r="G324" s="43" t="b">
        <v>0</v>
      </c>
      <c r="H324" s="43" t="b">
        <v>0</v>
      </c>
      <c r="I324" s="43"/>
      <c r="J324" s="45" t="s">
        <v>467</v>
      </c>
      <c r="K324" s="46">
        <v>16041968983</v>
      </c>
      <c r="M324" s="48" t="s">
        <v>467</v>
      </c>
      <c r="N324" s="48">
        <v>17088570306</v>
      </c>
      <c r="O324" s="48">
        <v>17088566753</v>
      </c>
      <c r="P324" s="48" t="s">
        <v>173</v>
      </c>
      <c r="Q324" s="49" t="s">
        <v>467</v>
      </c>
      <c r="R324" s="49">
        <v>17083126286</v>
      </c>
      <c r="S324" s="49">
        <v>17083124109</v>
      </c>
      <c r="T324" s="49" t="s">
        <v>173</v>
      </c>
      <c r="U324" s="50" t="s">
        <v>467</v>
      </c>
      <c r="V324" s="50">
        <v>17083126286</v>
      </c>
      <c r="W324" s="50">
        <v>17083124109</v>
      </c>
      <c r="X324" s="50" t="s">
        <v>173</v>
      </c>
      <c r="Y324" s="50"/>
    </row>
    <row r="325" spans="1:25" x14ac:dyDescent="0.25">
      <c r="A325" s="25" t="s">
        <v>248</v>
      </c>
      <c r="B325" t="b">
        <v>0</v>
      </c>
      <c r="C325" s="43" t="s">
        <v>468</v>
      </c>
      <c r="D325" s="43">
        <v>16041762055</v>
      </c>
      <c r="E325" s="43">
        <v>16041970519</v>
      </c>
      <c r="F325" s="43" t="s">
        <v>173</v>
      </c>
      <c r="G325" s="43" t="b">
        <v>0</v>
      </c>
      <c r="H325" s="43" t="b">
        <v>0</v>
      </c>
      <c r="I325" s="43"/>
      <c r="J325" s="45" t="s">
        <v>468</v>
      </c>
      <c r="K325" s="46">
        <v>16041970519</v>
      </c>
      <c r="M325" s="48" t="s">
        <v>468</v>
      </c>
      <c r="N325" s="48">
        <v>17088569866</v>
      </c>
      <c r="O325" s="48">
        <v>17088568829</v>
      </c>
      <c r="P325" s="48" t="s">
        <v>173</v>
      </c>
      <c r="Q325" s="49" t="s">
        <v>468</v>
      </c>
      <c r="R325" s="49">
        <v>17083128030</v>
      </c>
      <c r="S325" s="49">
        <v>17083123015</v>
      </c>
      <c r="T325" s="49" t="s">
        <v>173</v>
      </c>
      <c r="U325" s="50" t="s">
        <v>468</v>
      </c>
      <c r="V325" s="50">
        <v>17083128030</v>
      </c>
      <c r="W325" s="50">
        <v>17083123015</v>
      </c>
      <c r="X325" s="50" t="s">
        <v>173</v>
      </c>
      <c r="Y325" s="50"/>
    </row>
    <row r="326" spans="1:25" x14ac:dyDescent="0.25">
      <c r="A326" s="25" t="b">
        <v>1</v>
      </c>
      <c r="B326" t="b">
        <v>0</v>
      </c>
      <c r="C326" s="43" t="s">
        <v>469</v>
      </c>
      <c r="D326" s="43">
        <v>16041759495</v>
      </c>
      <c r="E326" s="43">
        <v>16041967831</v>
      </c>
      <c r="F326" s="43" t="s">
        <v>173</v>
      </c>
      <c r="G326" s="43" t="b">
        <v>0</v>
      </c>
      <c r="H326" s="43" t="b">
        <v>0</v>
      </c>
      <c r="I326" s="43"/>
      <c r="J326" s="45" t="s">
        <v>469</v>
      </c>
      <c r="K326" s="46">
        <v>16041967831</v>
      </c>
      <c r="M326" s="48" t="s">
        <v>469</v>
      </c>
      <c r="N326" s="48">
        <v>17088570002</v>
      </c>
      <c r="O326" s="48">
        <v>17088568313</v>
      </c>
      <c r="P326" s="48" t="s">
        <v>173</v>
      </c>
      <c r="Q326" s="49" t="s">
        <v>469</v>
      </c>
      <c r="R326" s="49">
        <v>17083127854</v>
      </c>
      <c r="S326" s="49">
        <v>17083124643</v>
      </c>
      <c r="T326" s="49" t="s">
        <v>173</v>
      </c>
      <c r="U326" s="50" t="s">
        <v>469</v>
      </c>
      <c r="V326" s="50">
        <v>17083127854</v>
      </c>
      <c r="W326" s="50">
        <v>17083124643</v>
      </c>
      <c r="X326" s="50" t="s">
        <v>173</v>
      </c>
      <c r="Y326" s="50"/>
    </row>
    <row r="327" spans="1:25" x14ac:dyDescent="0.25">
      <c r="A327" s="25" t="s">
        <v>115</v>
      </c>
      <c r="B327" t="b">
        <v>0</v>
      </c>
      <c r="C327" s="43" t="s">
        <v>470</v>
      </c>
      <c r="D327" s="43">
        <v>16041761543</v>
      </c>
      <c r="E327" s="43">
        <v>16041970903</v>
      </c>
      <c r="F327" s="43" t="s">
        <v>173</v>
      </c>
      <c r="G327" s="43" t="b">
        <v>0</v>
      </c>
      <c r="H327" s="43" t="b">
        <v>0</v>
      </c>
      <c r="I327" s="43"/>
      <c r="M327" s="48" t="s">
        <v>470</v>
      </c>
      <c r="N327" s="48">
        <v>17088569858</v>
      </c>
      <c r="O327" s="48">
        <v>17088567454</v>
      </c>
      <c r="P327" s="48" t="s">
        <v>173</v>
      </c>
      <c r="Q327" s="49" t="s">
        <v>470</v>
      </c>
      <c r="R327" s="49">
        <v>17083127990</v>
      </c>
      <c r="S327" s="49">
        <v>17083124965</v>
      </c>
      <c r="T327" s="49" t="s">
        <v>173</v>
      </c>
      <c r="U327" s="50" t="s">
        <v>470</v>
      </c>
      <c r="V327" s="50">
        <v>17083127990</v>
      </c>
      <c r="W327" s="50">
        <v>17083124965</v>
      </c>
      <c r="X327" s="50" t="s">
        <v>173</v>
      </c>
      <c r="Y327" s="50"/>
    </row>
    <row r="328" spans="1:25" x14ac:dyDescent="0.25">
      <c r="A328" s="25" t="b">
        <v>1</v>
      </c>
      <c r="B328" t="b">
        <v>0</v>
      </c>
      <c r="C328" s="43" t="s">
        <v>471</v>
      </c>
      <c r="D328" s="43">
        <v>16041760519</v>
      </c>
      <c r="E328" s="43">
        <v>16041969367</v>
      </c>
      <c r="F328" s="43" t="s">
        <v>173</v>
      </c>
      <c r="G328" s="43" t="b">
        <v>0</v>
      </c>
      <c r="H328" s="43" t="b">
        <v>0</v>
      </c>
      <c r="I328" s="43"/>
      <c r="J328" s="45" t="s">
        <v>471</v>
      </c>
      <c r="K328" s="46">
        <v>16041969367</v>
      </c>
      <c r="M328" s="48" t="s">
        <v>471</v>
      </c>
      <c r="N328" s="48">
        <v>17088570426</v>
      </c>
      <c r="O328" s="48">
        <v>17088566303</v>
      </c>
      <c r="P328" s="48" t="s">
        <v>173</v>
      </c>
      <c r="Q328" s="49" t="s">
        <v>471</v>
      </c>
      <c r="R328" s="49">
        <v>17083126241</v>
      </c>
      <c r="S328" s="49">
        <v>17083128344</v>
      </c>
      <c r="T328" s="49" t="s">
        <v>173</v>
      </c>
      <c r="U328" s="50" t="s">
        <v>471</v>
      </c>
      <c r="V328" s="50">
        <v>17083126241</v>
      </c>
      <c r="W328" s="50">
        <v>17083128344</v>
      </c>
      <c r="X328" s="50" t="s">
        <v>173</v>
      </c>
      <c r="Y328" s="50"/>
    </row>
    <row r="329" spans="1:25" x14ac:dyDescent="0.25">
      <c r="A329" s="25" t="s">
        <v>115</v>
      </c>
      <c r="B329" t="b">
        <v>0</v>
      </c>
      <c r="C329" s="43" t="s">
        <v>472</v>
      </c>
      <c r="D329" s="43">
        <v>16041762567</v>
      </c>
      <c r="E329" s="43">
        <v>16041970135</v>
      </c>
      <c r="F329" s="43" t="s">
        <v>173</v>
      </c>
      <c r="G329" s="43" t="b">
        <v>0</v>
      </c>
      <c r="H329" s="43" t="b">
        <v>0</v>
      </c>
      <c r="I329" s="43"/>
      <c r="M329" s="48" t="s">
        <v>472</v>
      </c>
      <c r="N329" s="48">
        <v>17088573330</v>
      </c>
      <c r="O329" s="48">
        <v>17088566777</v>
      </c>
      <c r="P329" s="48" t="s">
        <v>173</v>
      </c>
      <c r="Q329" s="49" t="s">
        <v>472</v>
      </c>
      <c r="R329" s="49">
        <v>17083129646</v>
      </c>
      <c r="S329" s="49">
        <v>17083123107</v>
      </c>
      <c r="T329" s="49" t="s">
        <v>173</v>
      </c>
      <c r="U329" s="50" t="s">
        <v>472</v>
      </c>
      <c r="V329" s="50">
        <v>17083129646</v>
      </c>
      <c r="W329" s="50">
        <v>17083123107</v>
      </c>
      <c r="X329" s="50" t="s">
        <v>173</v>
      </c>
      <c r="Y329" s="50"/>
    </row>
    <row r="330" spans="1:25" x14ac:dyDescent="0.25">
      <c r="A330" s="25" t="b">
        <v>1</v>
      </c>
      <c r="B330" t="b">
        <v>0</v>
      </c>
      <c r="C330" s="43" t="s">
        <v>473</v>
      </c>
      <c r="D330" s="43">
        <v>20434341314</v>
      </c>
      <c r="E330" s="43">
        <v>20434338242</v>
      </c>
      <c r="F330" s="43" t="s">
        <v>173</v>
      </c>
      <c r="G330" s="43" t="b">
        <v>0</v>
      </c>
      <c r="H330" s="43" t="b">
        <v>0</v>
      </c>
      <c r="I330" s="43"/>
      <c r="J330" s="45" t="s">
        <v>473</v>
      </c>
      <c r="K330" s="46">
        <v>20434338242</v>
      </c>
      <c r="M330" s="48"/>
      <c r="N330" s="48"/>
      <c r="O330" s="48"/>
      <c r="P330" s="48"/>
      <c r="Q330" s="49" t="s">
        <v>473</v>
      </c>
      <c r="R330" s="49">
        <v>17086180929</v>
      </c>
      <c r="S330" s="49">
        <v>17084620889</v>
      </c>
      <c r="T330" s="49" t="s">
        <v>173</v>
      </c>
      <c r="U330" s="50" t="s">
        <v>473</v>
      </c>
      <c r="V330" s="50">
        <v>17102546573</v>
      </c>
      <c r="W330" s="50">
        <v>17101191864</v>
      </c>
      <c r="X330" s="50" t="s">
        <v>173</v>
      </c>
      <c r="Y330" s="50"/>
    </row>
    <row r="331" spans="1:25" x14ac:dyDescent="0.25">
      <c r="A331" s="25" t="s">
        <v>115</v>
      </c>
      <c r="B331" t="b">
        <v>0</v>
      </c>
      <c r="C331" s="43" t="s">
        <v>474</v>
      </c>
      <c r="D331" s="43">
        <v>192486083499</v>
      </c>
      <c r="E331" s="43">
        <v>192486080835</v>
      </c>
      <c r="F331" s="43" t="s">
        <v>132</v>
      </c>
      <c r="G331" s="43" t="b">
        <v>0</v>
      </c>
      <c r="H331" s="43" t="b">
        <v>0</v>
      </c>
      <c r="I331" s="43"/>
      <c r="M331" s="48" t="s">
        <v>474</v>
      </c>
      <c r="N331" s="48">
        <v>17093056478</v>
      </c>
      <c r="O331" s="48">
        <v>17093055136</v>
      </c>
      <c r="P331" s="48" t="s">
        <v>132</v>
      </c>
      <c r="Q331" s="49"/>
      <c r="R331" s="49"/>
      <c r="S331" s="49"/>
      <c r="T331" s="49"/>
      <c r="U331" s="50" t="s">
        <v>474</v>
      </c>
      <c r="V331" s="50">
        <v>17084589714</v>
      </c>
      <c r="W331" s="50">
        <v>17084589164</v>
      </c>
      <c r="X331" s="50" t="s">
        <v>132</v>
      </c>
      <c r="Y331" s="50"/>
    </row>
    <row r="332" spans="1:25" x14ac:dyDescent="0.25">
      <c r="A332" s="25" t="s">
        <v>115</v>
      </c>
      <c r="B332" t="b">
        <v>0</v>
      </c>
      <c r="C332" s="43" t="s">
        <v>475</v>
      </c>
      <c r="D332" s="43">
        <v>192486082475</v>
      </c>
      <c r="E332" s="43">
        <v>192486084483</v>
      </c>
      <c r="F332" s="43" t="s">
        <v>132</v>
      </c>
      <c r="G332" s="43" t="b">
        <v>0</v>
      </c>
      <c r="H332" s="43" t="b">
        <v>0</v>
      </c>
      <c r="I332" s="43"/>
      <c r="M332" s="48" t="s">
        <v>475</v>
      </c>
      <c r="N332" s="48">
        <v>17093058526</v>
      </c>
      <c r="O332" s="48">
        <v>17093057824</v>
      </c>
      <c r="P332" s="48" t="s">
        <v>132</v>
      </c>
      <c r="Q332" s="49"/>
      <c r="R332" s="49"/>
      <c r="S332" s="49"/>
      <c r="T332" s="49"/>
      <c r="U332" s="50" t="s">
        <v>475</v>
      </c>
      <c r="V332" s="50">
        <v>17084591762</v>
      </c>
      <c r="W332" s="50">
        <v>17084590508</v>
      </c>
      <c r="X332" s="50" t="s">
        <v>132</v>
      </c>
      <c r="Y332" s="50"/>
    </row>
    <row r="333" spans="1:25" x14ac:dyDescent="0.25">
      <c r="A333" s="25" t="s">
        <v>115</v>
      </c>
      <c r="B333" t="b">
        <v>0</v>
      </c>
      <c r="C333" s="43" t="s">
        <v>476</v>
      </c>
      <c r="D333" s="43">
        <v>192486084523</v>
      </c>
      <c r="E333" s="43">
        <v>192486083715</v>
      </c>
      <c r="F333" s="43" t="s">
        <v>132</v>
      </c>
      <c r="G333" s="43" t="b">
        <v>0</v>
      </c>
      <c r="H333" s="43" t="b">
        <v>0</v>
      </c>
      <c r="I333" s="43"/>
      <c r="M333" s="48" t="s">
        <v>476</v>
      </c>
      <c r="N333" s="48">
        <v>17093054526</v>
      </c>
      <c r="O333" s="48">
        <v>17093058496</v>
      </c>
      <c r="P333" s="48" t="s">
        <v>132</v>
      </c>
      <c r="Q333" s="49" t="s">
        <v>476</v>
      </c>
      <c r="R333" s="49">
        <v>17085039180</v>
      </c>
      <c r="S333" s="49">
        <v>17085038860</v>
      </c>
      <c r="T333" s="49" t="s">
        <v>132</v>
      </c>
      <c r="U333" s="50" t="s">
        <v>476</v>
      </c>
      <c r="V333" s="50">
        <v>17084588434</v>
      </c>
      <c r="W333" s="50">
        <v>17084590892</v>
      </c>
      <c r="X333" s="50" t="s">
        <v>132</v>
      </c>
      <c r="Y333" s="50"/>
    </row>
    <row r="334" spans="1:25" x14ac:dyDescent="0.25">
      <c r="A334" s="25" t="s">
        <v>115</v>
      </c>
      <c r="B334" t="b">
        <v>0</v>
      </c>
      <c r="C334" s="43" t="s">
        <v>477</v>
      </c>
      <c r="D334" s="43">
        <v>192486080619</v>
      </c>
      <c r="E334" s="43">
        <v>192486081603</v>
      </c>
      <c r="F334" s="43" t="s">
        <v>132</v>
      </c>
      <c r="G334" s="43" t="b">
        <v>0</v>
      </c>
      <c r="H334" s="43" t="b">
        <v>0</v>
      </c>
      <c r="I334" s="43"/>
      <c r="J334" s="45" t="s">
        <v>477</v>
      </c>
      <c r="K334" s="46">
        <v>192486081603</v>
      </c>
      <c r="L334" s="47">
        <v>990000642</v>
      </c>
      <c r="M334" s="48" t="s">
        <v>477</v>
      </c>
      <c r="N334" s="48">
        <v>17093056574</v>
      </c>
      <c r="O334" s="48">
        <v>17093056288</v>
      </c>
      <c r="P334" s="48" t="s">
        <v>132</v>
      </c>
      <c r="Q334" s="49" t="s">
        <v>477</v>
      </c>
      <c r="R334" s="49">
        <v>17086182140</v>
      </c>
      <c r="S334" s="49">
        <v>17085068969</v>
      </c>
      <c r="T334" s="49" t="s">
        <v>132</v>
      </c>
      <c r="U334" s="50" t="s">
        <v>477</v>
      </c>
      <c r="V334" s="50">
        <v>17084590482</v>
      </c>
      <c r="W334" s="50">
        <v>17084588972</v>
      </c>
      <c r="X334" s="50" t="s">
        <v>132</v>
      </c>
      <c r="Y334" s="50"/>
    </row>
    <row r="335" spans="1:25" x14ac:dyDescent="0.25">
      <c r="A335" s="25" t="s">
        <v>115</v>
      </c>
      <c r="B335" t="b">
        <v>0</v>
      </c>
      <c r="C335" s="43" t="s">
        <v>478</v>
      </c>
      <c r="D335" s="43">
        <v>192486082667</v>
      </c>
      <c r="E335" s="43">
        <v>192486083139</v>
      </c>
      <c r="F335" s="43" t="s">
        <v>132</v>
      </c>
      <c r="G335" s="43" t="b">
        <v>0</v>
      </c>
      <c r="H335" s="43" t="b">
        <v>0</v>
      </c>
      <c r="I335" s="43"/>
      <c r="J335" s="45" t="s">
        <v>478</v>
      </c>
      <c r="K335" s="46">
        <v>192486083139</v>
      </c>
      <c r="L335" s="47">
        <v>990000652</v>
      </c>
      <c r="M335" s="48" t="s">
        <v>478</v>
      </c>
      <c r="N335" s="48">
        <v>17093055550</v>
      </c>
      <c r="O335" s="48">
        <v>17093056672</v>
      </c>
      <c r="P335" s="48" t="s">
        <v>132</v>
      </c>
      <c r="Q335" s="49" t="s">
        <v>478</v>
      </c>
      <c r="R335" s="49">
        <v>17086173394</v>
      </c>
      <c r="S335" s="49">
        <v>17085068713</v>
      </c>
      <c r="T335" s="49" t="s">
        <v>132</v>
      </c>
      <c r="U335" s="50" t="s">
        <v>478</v>
      </c>
      <c r="V335" s="50">
        <v>17084589458</v>
      </c>
      <c r="W335" s="50">
        <v>17084592044</v>
      </c>
      <c r="X335" s="50" t="s">
        <v>132</v>
      </c>
      <c r="Y335" s="50"/>
    </row>
    <row r="336" spans="1:25" x14ac:dyDescent="0.25">
      <c r="A336" s="25" t="s">
        <v>115</v>
      </c>
      <c r="B336" t="b">
        <v>0</v>
      </c>
      <c r="C336" s="43" t="s">
        <v>479</v>
      </c>
      <c r="D336" s="43">
        <v>192486081643</v>
      </c>
      <c r="E336" s="43">
        <v>192486081411</v>
      </c>
      <c r="F336" s="43" t="s">
        <v>132</v>
      </c>
      <c r="G336" s="43" t="b">
        <v>0</v>
      </c>
      <c r="H336" s="43" t="b">
        <v>0</v>
      </c>
      <c r="I336" s="43"/>
      <c r="J336" s="45" t="s">
        <v>479</v>
      </c>
      <c r="K336" s="46">
        <v>192486081411</v>
      </c>
      <c r="L336" s="47">
        <v>990000640</v>
      </c>
      <c r="M336" s="48" t="s">
        <v>479</v>
      </c>
      <c r="N336" s="48">
        <v>17093057598</v>
      </c>
      <c r="O336" s="48">
        <v>17093054752</v>
      </c>
      <c r="P336" s="48" t="s">
        <v>132</v>
      </c>
      <c r="Q336" s="49" t="s">
        <v>479</v>
      </c>
      <c r="R336" s="49">
        <v>17086184188</v>
      </c>
      <c r="S336" s="49">
        <v>17085069225</v>
      </c>
      <c r="T336" s="49" t="s">
        <v>132</v>
      </c>
      <c r="U336" s="50" t="s">
        <v>479</v>
      </c>
      <c r="V336" s="50">
        <v>17084591506</v>
      </c>
      <c r="W336" s="50">
        <v>17084589740</v>
      </c>
      <c r="X336" s="50" t="s">
        <v>132</v>
      </c>
      <c r="Y336" s="50"/>
    </row>
    <row r="337" spans="1:25" x14ac:dyDescent="0.25">
      <c r="A337" s="25" t="s">
        <v>115</v>
      </c>
      <c r="B337" t="b">
        <v>0</v>
      </c>
      <c r="C337" s="43" t="s">
        <v>480</v>
      </c>
      <c r="D337" s="43">
        <v>192486083691</v>
      </c>
      <c r="E337" s="43">
        <v>192486082947</v>
      </c>
      <c r="F337" s="43" t="s">
        <v>132</v>
      </c>
      <c r="G337" s="43" t="b">
        <v>0</v>
      </c>
      <c r="H337" s="43" t="b">
        <v>0</v>
      </c>
      <c r="I337" s="43"/>
      <c r="J337" s="45" t="s">
        <v>480</v>
      </c>
      <c r="K337" s="46">
        <v>192486082947</v>
      </c>
      <c r="L337" s="47">
        <v>990000651</v>
      </c>
      <c r="M337" s="48" t="s">
        <v>480</v>
      </c>
      <c r="N337" s="48">
        <v>17093055038</v>
      </c>
      <c r="O337" s="48">
        <v>17093057056</v>
      </c>
      <c r="P337" s="48" t="s">
        <v>132</v>
      </c>
      <c r="Q337" s="49" t="s">
        <v>480</v>
      </c>
      <c r="R337" s="49">
        <v>17086175442</v>
      </c>
      <c r="S337" s="49">
        <v>17085068393</v>
      </c>
      <c r="T337" s="49" t="s">
        <v>132</v>
      </c>
      <c r="U337" s="50" t="s">
        <v>480</v>
      </c>
      <c r="V337" s="50">
        <v>17084588946</v>
      </c>
      <c r="W337" s="50">
        <v>17084591276</v>
      </c>
      <c r="X337" s="50" t="s">
        <v>132</v>
      </c>
      <c r="Y337" s="50"/>
    </row>
    <row r="338" spans="1:25" x14ac:dyDescent="0.25">
      <c r="A338" s="25" t="s">
        <v>115</v>
      </c>
      <c r="B338" t="b">
        <v>0</v>
      </c>
      <c r="C338" s="43" t="s">
        <v>481</v>
      </c>
      <c r="D338" s="43">
        <v>192486081131</v>
      </c>
      <c r="E338" s="43">
        <v>192486083939</v>
      </c>
      <c r="F338" s="43" t="s">
        <v>132</v>
      </c>
      <c r="G338" s="43" t="b">
        <v>0</v>
      </c>
      <c r="H338" s="43" t="b">
        <v>0</v>
      </c>
      <c r="I338" s="43"/>
      <c r="J338" s="45" t="s">
        <v>481</v>
      </c>
      <c r="K338" s="46">
        <v>192486083939</v>
      </c>
      <c r="L338" s="47">
        <v>990000656</v>
      </c>
      <c r="M338" s="48" t="s">
        <v>481</v>
      </c>
      <c r="N338" s="48">
        <v>17093057086</v>
      </c>
      <c r="O338" s="48">
        <v>17093058192</v>
      </c>
      <c r="P338" s="48" t="s">
        <v>132</v>
      </c>
      <c r="Q338" s="49" t="s">
        <v>481</v>
      </c>
      <c r="R338" s="49">
        <v>17086175826</v>
      </c>
      <c r="S338" s="49">
        <v>17085068905</v>
      </c>
      <c r="T338" s="49" t="s">
        <v>132</v>
      </c>
      <c r="U338" s="50" t="s">
        <v>481</v>
      </c>
      <c r="V338" s="50">
        <v>17084590994</v>
      </c>
      <c r="W338" s="50">
        <v>17084590684</v>
      </c>
      <c r="X338" s="50" t="s">
        <v>132</v>
      </c>
      <c r="Y338" s="50"/>
    </row>
    <row r="339" spans="1:25" x14ac:dyDescent="0.25">
      <c r="A339" s="25" t="s">
        <v>115</v>
      </c>
      <c r="B339" t="b">
        <v>0</v>
      </c>
      <c r="C339" s="43" t="s">
        <v>482</v>
      </c>
      <c r="D339" s="43">
        <v>192486083179</v>
      </c>
      <c r="E339" s="43">
        <v>192486081459</v>
      </c>
      <c r="F339" s="43" t="s">
        <v>132</v>
      </c>
      <c r="G339" s="43" t="b">
        <v>0</v>
      </c>
      <c r="H339" s="43" t="b">
        <v>0</v>
      </c>
      <c r="I339" s="43"/>
      <c r="J339" s="45" t="s">
        <v>482</v>
      </c>
      <c r="K339" s="46">
        <v>192486081459</v>
      </c>
      <c r="L339" s="47">
        <v>990000641</v>
      </c>
      <c r="M339" s="48" t="s">
        <v>482</v>
      </c>
      <c r="N339" s="48">
        <v>17093056062</v>
      </c>
      <c r="O339" s="48">
        <v>17093057572</v>
      </c>
      <c r="P339" s="48" t="s">
        <v>132</v>
      </c>
      <c r="Q339" s="49" t="s">
        <v>482</v>
      </c>
      <c r="R339" s="49">
        <v>17086185119</v>
      </c>
      <c r="S339" s="49">
        <v>17085068649</v>
      </c>
      <c r="T339" s="49" t="s">
        <v>132</v>
      </c>
      <c r="U339" s="50" t="s">
        <v>482</v>
      </c>
      <c r="V339" s="50">
        <v>17084589970</v>
      </c>
      <c r="W339" s="50">
        <v>17084589698</v>
      </c>
      <c r="X339" s="50" t="s">
        <v>132</v>
      </c>
      <c r="Y339" s="50"/>
    </row>
    <row r="340" spans="1:25" x14ac:dyDescent="0.25">
      <c r="A340" s="25" t="s">
        <v>115</v>
      </c>
      <c r="B340" t="b">
        <v>0</v>
      </c>
      <c r="C340" s="43" t="s">
        <v>483</v>
      </c>
      <c r="D340" s="43">
        <v>192486082155</v>
      </c>
      <c r="E340" s="43">
        <v>192486084531</v>
      </c>
      <c r="F340" s="43" t="s">
        <v>132</v>
      </c>
      <c r="G340" s="43" t="b">
        <v>0</v>
      </c>
      <c r="H340" s="43" t="b">
        <v>0</v>
      </c>
      <c r="I340" s="43"/>
      <c r="J340" s="45" t="s">
        <v>483</v>
      </c>
      <c r="K340" s="46">
        <v>192486084531</v>
      </c>
      <c r="L340" s="47">
        <v>990000661</v>
      </c>
      <c r="M340" s="48" t="s">
        <v>483</v>
      </c>
      <c r="N340" s="48">
        <v>17093058110</v>
      </c>
      <c r="O340" s="48">
        <v>17093056036</v>
      </c>
      <c r="P340" s="48" t="s">
        <v>132</v>
      </c>
      <c r="Q340" s="49" t="s">
        <v>483</v>
      </c>
      <c r="R340" s="49">
        <v>17086181791</v>
      </c>
      <c r="S340" s="49">
        <v>17085069161</v>
      </c>
      <c r="T340" s="49" t="s">
        <v>132</v>
      </c>
      <c r="U340" s="50" t="s">
        <v>483</v>
      </c>
      <c r="V340" s="50">
        <v>17084592018</v>
      </c>
      <c r="W340" s="50">
        <v>17084590466</v>
      </c>
      <c r="X340" s="50" t="s">
        <v>132</v>
      </c>
      <c r="Y340" s="50"/>
    </row>
    <row r="341" spans="1:25" x14ac:dyDescent="0.25">
      <c r="A341" s="25" t="s">
        <v>115</v>
      </c>
      <c r="B341" t="b">
        <v>0</v>
      </c>
      <c r="C341" s="43" t="s">
        <v>484</v>
      </c>
      <c r="D341" s="43">
        <v>192486084203</v>
      </c>
      <c r="E341" s="43">
        <v>192486081651</v>
      </c>
      <c r="F341" s="43" t="s">
        <v>132</v>
      </c>
      <c r="G341" s="43" t="b">
        <v>0</v>
      </c>
      <c r="H341" s="43" t="b">
        <v>0</v>
      </c>
      <c r="I341" s="43"/>
      <c r="J341" s="45" t="s">
        <v>484</v>
      </c>
      <c r="K341" s="46">
        <v>192486081651</v>
      </c>
      <c r="L341" s="47">
        <v>990000643</v>
      </c>
      <c r="M341" s="48" t="s">
        <v>484</v>
      </c>
      <c r="N341" s="48">
        <v>17093054782</v>
      </c>
      <c r="O341" s="48">
        <v>17093056804</v>
      </c>
      <c r="P341" s="48" t="s">
        <v>132</v>
      </c>
      <c r="Q341" s="49" t="s">
        <v>484</v>
      </c>
      <c r="R341" s="49">
        <v>17085040204</v>
      </c>
      <c r="S341" s="49">
        <v>17085038732</v>
      </c>
      <c r="T341" s="49" t="s">
        <v>132</v>
      </c>
      <c r="U341" s="50" t="s">
        <v>484</v>
      </c>
      <c r="V341" s="50">
        <v>17084588114</v>
      </c>
      <c r="W341" s="50">
        <v>17084588930</v>
      </c>
      <c r="X341" s="50" t="s">
        <v>132</v>
      </c>
      <c r="Y341" s="50"/>
    </row>
    <row r="342" spans="1:25" x14ac:dyDescent="0.25">
      <c r="A342" s="25" t="s">
        <v>115</v>
      </c>
      <c r="B342" t="b">
        <v>0</v>
      </c>
      <c r="C342" s="43" t="s">
        <v>485</v>
      </c>
      <c r="D342" s="43">
        <v>192486080875</v>
      </c>
      <c r="E342" s="43">
        <v>192486083523</v>
      </c>
      <c r="F342" s="43" t="s">
        <v>132</v>
      </c>
      <c r="G342" s="43" t="b">
        <v>0</v>
      </c>
      <c r="H342" s="43" t="b">
        <v>0</v>
      </c>
      <c r="I342" s="43"/>
      <c r="M342" s="48" t="s">
        <v>485</v>
      </c>
      <c r="N342" s="48">
        <v>17093056830</v>
      </c>
      <c r="O342" s="48">
        <v>17093056864</v>
      </c>
      <c r="P342" s="48" t="s">
        <v>132</v>
      </c>
      <c r="Q342" s="49"/>
      <c r="R342" s="49"/>
      <c r="S342" s="49"/>
      <c r="T342" s="49"/>
      <c r="U342" s="50" t="s">
        <v>485</v>
      </c>
      <c r="V342" s="50">
        <v>17084590162</v>
      </c>
      <c r="W342" s="50">
        <v>17084591852</v>
      </c>
      <c r="X342" s="50" t="s">
        <v>132</v>
      </c>
      <c r="Y342" s="50"/>
    </row>
    <row r="343" spans="1:25" x14ac:dyDescent="0.25">
      <c r="A343" s="25" t="s">
        <v>115</v>
      </c>
      <c r="B343" t="b">
        <v>0</v>
      </c>
      <c r="C343" s="43" t="s">
        <v>486</v>
      </c>
      <c r="D343" s="43">
        <v>192486082923</v>
      </c>
      <c r="E343" s="43">
        <v>192486082371</v>
      </c>
      <c r="F343" s="43" t="s">
        <v>132</v>
      </c>
      <c r="G343" s="43" t="b">
        <v>0</v>
      </c>
      <c r="H343" s="43" t="b">
        <v>0</v>
      </c>
      <c r="I343" s="43"/>
      <c r="M343" s="48" t="s">
        <v>486</v>
      </c>
      <c r="N343" s="48">
        <v>17093055806</v>
      </c>
      <c r="O343" s="48">
        <v>17093055904</v>
      </c>
      <c r="P343" s="48" t="s">
        <v>132</v>
      </c>
      <c r="Q343" s="49"/>
      <c r="R343" s="49"/>
      <c r="S343" s="49"/>
      <c r="T343" s="49"/>
      <c r="U343" s="50" t="s">
        <v>486</v>
      </c>
      <c r="V343" s="50">
        <v>17084589138</v>
      </c>
      <c r="W343" s="50">
        <v>17084588396</v>
      </c>
      <c r="X343" s="50" t="s">
        <v>132</v>
      </c>
      <c r="Y343" s="50"/>
    </row>
    <row r="344" spans="1:25" x14ac:dyDescent="0.25">
      <c r="A344" s="25" t="s">
        <v>115</v>
      </c>
      <c r="B344" t="b">
        <v>0</v>
      </c>
      <c r="C344" s="43" t="s">
        <v>487</v>
      </c>
      <c r="D344" s="43">
        <v>192486081899</v>
      </c>
      <c r="E344" s="43">
        <v>192486081219</v>
      </c>
      <c r="F344" s="43" t="s">
        <v>132</v>
      </c>
      <c r="G344" s="43" t="b">
        <v>0</v>
      </c>
      <c r="H344" s="43" t="b">
        <v>0</v>
      </c>
      <c r="I344" s="43"/>
      <c r="M344" s="48" t="s">
        <v>487</v>
      </c>
      <c r="N344" s="48">
        <v>17093055773</v>
      </c>
      <c r="O344" s="48">
        <v>17093054560</v>
      </c>
      <c r="P344" s="48" t="s">
        <v>132</v>
      </c>
      <c r="Q344" s="49"/>
      <c r="R344" s="49"/>
      <c r="S344" s="49"/>
      <c r="T344" s="49"/>
      <c r="U344" s="50" t="s">
        <v>487</v>
      </c>
      <c r="V344" s="50">
        <v>17084591186</v>
      </c>
      <c r="W344" s="50">
        <v>17084589932</v>
      </c>
      <c r="X344" s="50" t="s">
        <v>132</v>
      </c>
      <c r="Y344" s="50"/>
    </row>
    <row r="345" spans="1:25" x14ac:dyDescent="0.25">
      <c r="A345" s="25" t="s">
        <v>115</v>
      </c>
      <c r="B345" t="b">
        <v>0</v>
      </c>
      <c r="C345" s="43" t="s">
        <v>488</v>
      </c>
      <c r="D345" s="43">
        <v>192486083947</v>
      </c>
      <c r="E345" s="43">
        <v>192486080547</v>
      </c>
      <c r="F345" s="43" t="s">
        <v>132</v>
      </c>
      <c r="G345" s="43" t="b">
        <v>0</v>
      </c>
      <c r="H345" s="43" t="b">
        <v>0</v>
      </c>
      <c r="I345" s="43"/>
      <c r="J345" s="45" t="s">
        <v>488</v>
      </c>
      <c r="K345" s="46">
        <v>192486080547</v>
      </c>
      <c r="L345" s="47">
        <v>990000637</v>
      </c>
      <c r="M345" s="48" t="s">
        <v>488</v>
      </c>
      <c r="N345" s="48">
        <v>17093057821</v>
      </c>
      <c r="O345" s="48">
        <v>17093055328</v>
      </c>
      <c r="P345" s="48" t="s">
        <v>132</v>
      </c>
      <c r="Q345" s="49" t="s">
        <v>488</v>
      </c>
      <c r="R345" s="49">
        <v>17086173906</v>
      </c>
      <c r="S345" s="49">
        <v>17085068521</v>
      </c>
      <c r="T345" s="49" t="s">
        <v>132</v>
      </c>
      <c r="U345" s="50" t="s">
        <v>488</v>
      </c>
      <c r="V345" s="50">
        <v>17084588626</v>
      </c>
      <c r="W345" s="50">
        <v>17084589548</v>
      </c>
      <c r="X345" s="50" t="s">
        <v>132</v>
      </c>
      <c r="Y345" s="50"/>
    </row>
    <row r="346" spans="1:25" x14ac:dyDescent="0.25">
      <c r="A346" s="25" t="s">
        <v>115</v>
      </c>
      <c r="B346" t="b">
        <v>0</v>
      </c>
      <c r="C346" s="43" t="s">
        <v>489</v>
      </c>
      <c r="D346" s="43">
        <v>192486081387</v>
      </c>
      <c r="E346" s="43">
        <v>192486083907</v>
      </c>
      <c r="F346" s="43" t="s">
        <v>132</v>
      </c>
      <c r="G346" s="43" t="b">
        <v>0</v>
      </c>
      <c r="H346" s="43" t="b">
        <v>0</v>
      </c>
      <c r="I346" s="43"/>
      <c r="J346" s="45" t="s">
        <v>489</v>
      </c>
      <c r="K346" s="46">
        <v>192486083907</v>
      </c>
      <c r="L346" s="47">
        <v>990000655</v>
      </c>
      <c r="M346" s="48" t="s">
        <v>489</v>
      </c>
      <c r="N346" s="48">
        <v>17093055261</v>
      </c>
      <c r="O346" s="48">
        <v>17093058208</v>
      </c>
      <c r="P346" s="48" t="s">
        <v>132</v>
      </c>
      <c r="Q346" s="49" t="s">
        <v>489</v>
      </c>
      <c r="R346" s="49">
        <v>17086183164</v>
      </c>
      <c r="S346" s="49">
        <v>17085069033</v>
      </c>
      <c r="T346" s="49" t="s">
        <v>132</v>
      </c>
      <c r="U346" s="50" t="s">
        <v>489</v>
      </c>
      <c r="V346" s="50">
        <v>17084590674</v>
      </c>
      <c r="W346" s="50">
        <v>17084590700</v>
      </c>
      <c r="X346" s="50" t="s">
        <v>132</v>
      </c>
      <c r="Y346" s="50"/>
    </row>
    <row r="347" spans="1:25" x14ac:dyDescent="0.25">
      <c r="A347" s="25" t="s">
        <v>115</v>
      </c>
      <c r="B347" t="b">
        <v>0</v>
      </c>
      <c r="C347" s="43" t="s">
        <v>490</v>
      </c>
      <c r="D347" s="43">
        <v>192486083435</v>
      </c>
      <c r="E347" s="43">
        <v>192486082755</v>
      </c>
      <c r="F347" s="43" t="s">
        <v>132</v>
      </c>
      <c r="G347" s="43" t="b">
        <v>0</v>
      </c>
      <c r="H347" s="43" t="b">
        <v>0</v>
      </c>
      <c r="I347" s="43"/>
      <c r="J347" s="45" t="s">
        <v>490</v>
      </c>
      <c r="K347" s="46">
        <v>192486082755</v>
      </c>
      <c r="L347" s="47">
        <v>990000649</v>
      </c>
      <c r="M347" s="48" t="s">
        <v>490</v>
      </c>
      <c r="N347" s="48">
        <v>17093057309</v>
      </c>
      <c r="O347" s="48">
        <v>17093057440</v>
      </c>
      <c r="P347" s="48" t="s">
        <v>132</v>
      </c>
      <c r="Q347" s="49" t="s">
        <v>490</v>
      </c>
      <c r="R347" s="49">
        <v>17086174418</v>
      </c>
      <c r="S347" s="49">
        <v>17085068777</v>
      </c>
      <c r="T347" s="49" t="s">
        <v>132</v>
      </c>
      <c r="U347" s="50" t="s">
        <v>490</v>
      </c>
      <c r="V347" s="50">
        <v>17084589650</v>
      </c>
      <c r="W347" s="50">
        <v>17084591468</v>
      </c>
      <c r="X347" s="50" t="s">
        <v>132</v>
      </c>
      <c r="Y347" s="50"/>
    </row>
    <row r="348" spans="1:25" x14ac:dyDescent="0.25">
      <c r="A348" s="25" t="s">
        <v>115</v>
      </c>
      <c r="B348" t="b">
        <v>0</v>
      </c>
      <c r="C348" s="43" t="s">
        <v>491</v>
      </c>
      <c r="D348" s="43">
        <v>192486082411</v>
      </c>
      <c r="E348" s="43">
        <v>192486084291</v>
      </c>
      <c r="F348" s="43" t="s">
        <v>132</v>
      </c>
      <c r="G348" s="43" t="b">
        <v>0</v>
      </c>
      <c r="H348" s="43" t="b">
        <v>0</v>
      </c>
      <c r="I348" s="43"/>
      <c r="J348" s="45" t="s">
        <v>491</v>
      </c>
      <c r="K348" s="46">
        <v>192486084291</v>
      </c>
      <c r="L348" s="47">
        <v>990000660</v>
      </c>
      <c r="M348" s="48" t="s">
        <v>491</v>
      </c>
      <c r="N348" s="48">
        <v>17093056285</v>
      </c>
      <c r="O348" s="48">
        <v>17093057632</v>
      </c>
      <c r="P348" s="48" t="s">
        <v>132</v>
      </c>
      <c r="Q348" s="49" t="s">
        <v>491</v>
      </c>
      <c r="R348" s="49">
        <v>17085041740</v>
      </c>
      <c r="S348" s="49">
        <v>17085039372</v>
      </c>
      <c r="T348" s="49" t="s">
        <v>132</v>
      </c>
      <c r="U348" s="50" t="s">
        <v>491</v>
      </c>
      <c r="V348" s="50">
        <v>17084591698</v>
      </c>
      <c r="W348" s="50">
        <v>17084590316</v>
      </c>
      <c r="X348" s="50" t="s">
        <v>132</v>
      </c>
      <c r="Y348" s="50"/>
    </row>
    <row r="349" spans="1:25" x14ac:dyDescent="0.25">
      <c r="A349" s="25" t="s">
        <v>115</v>
      </c>
      <c r="B349" t="b">
        <v>0</v>
      </c>
      <c r="C349" s="43" t="s">
        <v>492</v>
      </c>
      <c r="D349" s="43">
        <v>192486084459</v>
      </c>
      <c r="E349" s="43">
        <v>192486081987</v>
      </c>
      <c r="F349" s="43" t="s">
        <v>132</v>
      </c>
      <c r="G349" s="43" t="b">
        <v>0</v>
      </c>
      <c r="H349" s="43" t="b">
        <v>0</v>
      </c>
      <c r="I349" s="43"/>
      <c r="J349" s="45" t="s">
        <v>492</v>
      </c>
      <c r="K349" s="46">
        <v>192486081987</v>
      </c>
      <c r="L349" s="47">
        <v>990000644</v>
      </c>
      <c r="M349" s="48" t="s">
        <v>492</v>
      </c>
      <c r="N349" s="48">
        <v>17093058333</v>
      </c>
      <c r="O349" s="48">
        <v>17093056096</v>
      </c>
      <c r="P349" s="48" t="s">
        <v>132</v>
      </c>
      <c r="Q349" s="49" t="s">
        <v>492</v>
      </c>
      <c r="R349" s="49">
        <v>17086176466</v>
      </c>
      <c r="S349" s="49">
        <v>17085069289</v>
      </c>
      <c r="T349" s="49" t="s">
        <v>132</v>
      </c>
      <c r="U349" s="50" t="s">
        <v>492</v>
      </c>
      <c r="V349" s="50">
        <v>17084588370</v>
      </c>
      <c r="W349" s="50">
        <v>17084588780</v>
      </c>
      <c r="X349" s="50" t="s">
        <v>132</v>
      </c>
      <c r="Y349" s="50"/>
    </row>
    <row r="350" spans="1:25" x14ac:dyDescent="0.25">
      <c r="A350" s="25" t="s">
        <v>115</v>
      </c>
      <c r="B350" t="b">
        <v>0</v>
      </c>
      <c r="C350" s="43" t="s">
        <v>493</v>
      </c>
      <c r="D350" s="43">
        <v>192486080747</v>
      </c>
      <c r="E350" s="43">
        <v>192486082403</v>
      </c>
      <c r="F350" s="43" t="s">
        <v>132</v>
      </c>
      <c r="G350" s="43" t="b">
        <v>0</v>
      </c>
      <c r="H350" s="43" t="b">
        <v>0</v>
      </c>
      <c r="I350" s="43"/>
      <c r="J350" s="45" t="s">
        <v>493</v>
      </c>
      <c r="K350" s="46">
        <v>192486082403</v>
      </c>
      <c r="L350" s="47">
        <v>990000647</v>
      </c>
      <c r="M350" s="48" t="s">
        <v>493</v>
      </c>
      <c r="N350" s="48">
        <v>17093054621</v>
      </c>
      <c r="O350" s="48">
        <v>17093055888</v>
      </c>
      <c r="P350" s="48" t="s">
        <v>132</v>
      </c>
      <c r="Q350" s="49" t="s">
        <v>493</v>
      </c>
      <c r="R350" s="49">
        <v>17086174802</v>
      </c>
      <c r="S350" s="49">
        <v>17085068313</v>
      </c>
      <c r="T350" s="49" t="s">
        <v>132</v>
      </c>
      <c r="U350" s="50" t="s">
        <v>493</v>
      </c>
      <c r="V350" s="50">
        <v>17084590418</v>
      </c>
      <c r="W350" s="50">
        <v>17084588380</v>
      </c>
      <c r="X350" s="50" t="s">
        <v>132</v>
      </c>
      <c r="Y350" s="50"/>
    </row>
    <row r="351" spans="1:25" x14ac:dyDescent="0.25">
      <c r="A351" s="25" t="s">
        <v>115</v>
      </c>
      <c r="B351" t="b">
        <v>0</v>
      </c>
      <c r="C351" s="43" t="s">
        <v>494</v>
      </c>
      <c r="D351" s="43">
        <v>192486082795</v>
      </c>
      <c r="E351" s="43">
        <v>192486083187</v>
      </c>
      <c r="F351" s="43" t="s">
        <v>132</v>
      </c>
      <c r="G351" s="43" t="b">
        <v>0</v>
      </c>
      <c r="H351" s="43" t="b">
        <v>0</v>
      </c>
      <c r="I351" s="43"/>
      <c r="J351" s="45" t="s">
        <v>494</v>
      </c>
      <c r="K351" s="46">
        <v>192486083187</v>
      </c>
      <c r="L351" s="47">
        <v>990000653</v>
      </c>
      <c r="M351" s="48" t="s">
        <v>494</v>
      </c>
      <c r="N351" s="48">
        <v>17093056669</v>
      </c>
      <c r="O351" s="48">
        <v>17093055268</v>
      </c>
      <c r="P351" s="48" t="s">
        <v>132</v>
      </c>
      <c r="Q351" s="49" t="s">
        <v>494</v>
      </c>
      <c r="R351" s="49">
        <v>17086183839</v>
      </c>
      <c r="S351" s="49">
        <v>17085068825</v>
      </c>
      <c r="T351" s="49" t="s">
        <v>132</v>
      </c>
      <c r="U351" s="50" t="s">
        <v>494</v>
      </c>
      <c r="V351" s="50">
        <v>17084589394</v>
      </c>
      <c r="W351" s="50">
        <v>17084592002</v>
      </c>
      <c r="X351" s="50" t="s">
        <v>132</v>
      </c>
      <c r="Y351" s="50"/>
    </row>
    <row r="352" spans="1:25" x14ac:dyDescent="0.25">
      <c r="A352" s="25" t="s">
        <v>115</v>
      </c>
      <c r="B352" t="b">
        <v>0</v>
      </c>
      <c r="C352" s="43" t="s">
        <v>495</v>
      </c>
      <c r="D352" s="43">
        <v>192486081771</v>
      </c>
      <c r="E352" s="43">
        <v>192486080883</v>
      </c>
      <c r="F352" s="43" t="s">
        <v>132</v>
      </c>
      <c r="G352" s="43" t="b">
        <v>0</v>
      </c>
      <c r="H352" s="43" t="b">
        <v>0</v>
      </c>
      <c r="I352" s="43"/>
      <c r="J352" s="45" t="s">
        <v>495</v>
      </c>
      <c r="K352" s="46">
        <v>192486080883</v>
      </c>
      <c r="L352" s="47">
        <v>990000639</v>
      </c>
      <c r="M352" s="48" t="s">
        <v>495</v>
      </c>
      <c r="N352" s="48">
        <v>17093055645</v>
      </c>
      <c r="O352" s="48">
        <v>17093058340</v>
      </c>
      <c r="P352" s="48" t="s">
        <v>132</v>
      </c>
      <c r="Q352" s="49" t="s">
        <v>495</v>
      </c>
      <c r="R352" s="49">
        <v>17085042252</v>
      </c>
      <c r="S352" s="49">
        <v>17085039244</v>
      </c>
      <c r="T352" s="49" t="s">
        <v>132</v>
      </c>
      <c r="U352" s="50" t="s">
        <v>495</v>
      </c>
      <c r="V352" s="50">
        <v>17084591442</v>
      </c>
      <c r="W352" s="50">
        <v>17084589122</v>
      </c>
      <c r="X352" s="50" t="s">
        <v>132</v>
      </c>
      <c r="Y352" s="50"/>
    </row>
    <row r="353" spans="1:25" x14ac:dyDescent="0.25">
      <c r="A353" s="25" t="s">
        <v>115</v>
      </c>
      <c r="B353" t="b">
        <v>0</v>
      </c>
      <c r="C353" s="43" t="s">
        <v>496</v>
      </c>
      <c r="D353" s="43">
        <v>192486083819</v>
      </c>
      <c r="E353" s="43">
        <v>192486083955</v>
      </c>
      <c r="F353" s="43" t="s">
        <v>132</v>
      </c>
      <c r="G353" s="43" t="b">
        <v>0</v>
      </c>
      <c r="H353" s="43" t="b">
        <v>0</v>
      </c>
      <c r="I353" s="43"/>
      <c r="J353" s="45" t="s">
        <v>496</v>
      </c>
      <c r="K353" s="46">
        <v>192486083955</v>
      </c>
      <c r="L353" s="47">
        <v>990000657</v>
      </c>
      <c r="M353" s="48" t="s">
        <v>496</v>
      </c>
      <c r="N353" s="48">
        <v>17093057693</v>
      </c>
      <c r="O353" s="48">
        <v>17093055652</v>
      </c>
      <c r="P353" s="48" t="s">
        <v>132</v>
      </c>
      <c r="Q353" s="49" t="s">
        <v>496</v>
      </c>
      <c r="R353" s="49">
        <v>17086182815</v>
      </c>
      <c r="S353" s="49">
        <v>17085068569</v>
      </c>
      <c r="T353" s="49" t="s">
        <v>132</v>
      </c>
      <c r="U353" s="50" t="s">
        <v>496</v>
      </c>
      <c r="V353" s="50">
        <v>17084588882</v>
      </c>
      <c r="W353" s="50">
        <v>17084590658</v>
      </c>
      <c r="X353" s="50" t="s">
        <v>132</v>
      </c>
      <c r="Y353" s="50"/>
    </row>
    <row r="354" spans="1:25" x14ac:dyDescent="0.25">
      <c r="A354" s="25" t="s">
        <v>115</v>
      </c>
      <c r="B354" t="b">
        <v>0</v>
      </c>
      <c r="C354" s="43" t="s">
        <v>497</v>
      </c>
      <c r="D354" s="43">
        <v>192486081259</v>
      </c>
      <c r="E354" s="43">
        <v>192486081699</v>
      </c>
      <c r="F354" s="43" t="s">
        <v>132</v>
      </c>
      <c r="G354" s="43" t="b">
        <v>0</v>
      </c>
      <c r="H354" s="43" t="b">
        <v>0</v>
      </c>
      <c r="I354" s="43"/>
      <c r="M354" s="48" t="s">
        <v>497</v>
      </c>
      <c r="N354" s="48">
        <v>17093056220</v>
      </c>
      <c r="O354" s="48">
        <v>17093056480</v>
      </c>
      <c r="P354" s="48" t="s">
        <v>132</v>
      </c>
      <c r="Q354" s="49"/>
      <c r="R354" s="49"/>
      <c r="S354" s="49"/>
      <c r="T354" s="49"/>
      <c r="U354" s="50" t="s">
        <v>497</v>
      </c>
      <c r="V354" s="50">
        <v>17084590930</v>
      </c>
      <c r="W354" s="50">
        <v>17084588828</v>
      </c>
      <c r="X354" s="50" t="s">
        <v>132</v>
      </c>
      <c r="Y354" s="50"/>
    </row>
    <row r="355" spans="1:25" x14ac:dyDescent="0.25">
      <c r="A355" s="25" t="s">
        <v>115</v>
      </c>
      <c r="B355" t="b">
        <v>0</v>
      </c>
      <c r="C355" s="43" t="s">
        <v>498</v>
      </c>
      <c r="D355" s="43">
        <v>192486083307</v>
      </c>
      <c r="E355" s="43">
        <v>192486081443</v>
      </c>
      <c r="F355" s="43" t="s">
        <v>132</v>
      </c>
      <c r="G355" s="43" t="b">
        <v>0</v>
      </c>
      <c r="H355" s="43" t="b">
        <v>0</v>
      </c>
      <c r="I355" s="43"/>
      <c r="M355" s="48" t="s">
        <v>498</v>
      </c>
      <c r="N355" s="48">
        <v>17093058268</v>
      </c>
      <c r="O355" s="48">
        <v>17093054736</v>
      </c>
      <c r="P355" s="48" t="s">
        <v>132</v>
      </c>
      <c r="Q355" s="49"/>
      <c r="R355" s="49"/>
      <c r="S355" s="49"/>
      <c r="T355" s="49"/>
      <c r="U355" s="50" t="s">
        <v>498</v>
      </c>
      <c r="V355" s="50">
        <v>17084589906</v>
      </c>
      <c r="W355" s="50">
        <v>17084589724</v>
      </c>
      <c r="X355" s="50" t="s">
        <v>132</v>
      </c>
      <c r="Y355" s="50"/>
    </row>
    <row r="356" spans="1:25" x14ac:dyDescent="0.25">
      <c r="A356" s="25" t="s">
        <v>115</v>
      </c>
      <c r="B356" t="b">
        <v>0</v>
      </c>
      <c r="C356" s="43" t="s">
        <v>499</v>
      </c>
      <c r="D356" s="43">
        <v>192486082283</v>
      </c>
      <c r="E356" s="43">
        <v>192486083619</v>
      </c>
      <c r="F356" s="43" t="s">
        <v>132</v>
      </c>
      <c r="G356" s="43" t="b">
        <v>0</v>
      </c>
      <c r="H356" s="43" t="b">
        <v>0</v>
      </c>
      <c r="I356" s="43"/>
      <c r="M356" s="48" t="s">
        <v>499</v>
      </c>
      <c r="N356" s="48">
        <v>17093054940</v>
      </c>
      <c r="O356" s="48">
        <v>17093058400</v>
      </c>
      <c r="P356" s="48" t="s">
        <v>132</v>
      </c>
      <c r="Q356" s="49"/>
      <c r="R356" s="49"/>
      <c r="S356" s="49"/>
      <c r="T356" s="49"/>
      <c r="U356" s="50" t="s">
        <v>499</v>
      </c>
      <c r="V356" s="50">
        <v>17084591954</v>
      </c>
      <c r="W356" s="50">
        <v>17084591084</v>
      </c>
      <c r="X356" s="50" t="s">
        <v>132</v>
      </c>
      <c r="Y356" s="50"/>
    </row>
    <row r="357" spans="1:25" x14ac:dyDescent="0.25">
      <c r="A357" s="25" t="s">
        <v>115</v>
      </c>
      <c r="B357" t="b">
        <v>0</v>
      </c>
      <c r="C357" s="43" t="s">
        <v>500</v>
      </c>
      <c r="D357" s="43">
        <v>192486084331</v>
      </c>
      <c r="E357" s="43">
        <v>192486084259</v>
      </c>
      <c r="F357" s="43" t="s">
        <v>132</v>
      </c>
      <c r="G357" s="43" t="b">
        <v>0</v>
      </c>
      <c r="H357" s="43" t="b">
        <v>0</v>
      </c>
      <c r="I357" s="43"/>
      <c r="J357" s="45" t="s">
        <v>500</v>
      </c>
      <c r="K357" s="46">
        <v>192486084259</v>
      </c>
      <c r="L357" s="47">
        <v>990000659</v>
      </c>
      <c r="M357" s="48" t="s">
        <v>500</v>
      </c>
      <c r="N357" s="48">
        <v>17093056988</v>
      </c>
      <c r="O357" s="48">
        <v>17093057552</v>
      </c>
      <c r="P357" s="48" t="s">
        <v>132</v>
      </c>
      <c r="Q357" s="49" t="s">
        <v>500</v>
      </c>
      <c r="R357" s="49">
        <v>17086174930</v>
      </c>
      <c r="S357" s="49">
        <v>17085069081</v>
      </c>
      <c r="T357" s="49" t="s">
        <v>132</v>
      </c>
      <c r="U357" s="50" t="s">
        <v>500</v>
      </c>
      <c r="V357" s="50">
        <v>17084588242</v>
      </c>
      <c r="W357" s="50">
        <v>17084590236</v>
      </c>
      <c r="X357" s="50" t="s">
        <v>132</v>
      </c>
      <c r="Y357" s="50"/>
    </row>
    <row r="358" spans="1:25" x14ac:dyDescent="0.25">
      <c r="A358" s="25" t="s">
        <v>115</v>
      </c>
      <c r="B358" t="b">
        <v>0</v>
      </c>
      <c r="C358" s="43" t="s">
        <v>501</v>
      </c>
      <c r="D358" s="43">
        <v>319504</v>
      </c>
      <c r="E358" s="43">
        <v>300186</v>
      </c>
      <c r="F358" s="43" t="s">
        <v>132</v>
      </c>
      <c r="G358" s="43" t="b">
        <v>0</v>
      </c>
      <c r="H358" s="43" t="b">
        <v>0</v>
      </c>
      <c r="I358" s="43"/>
      <c r="M358" s="48" t="s">
        <v>501</v>
      </c>
      <c r="N358" s="48">
        <v>17088572714</v>
      </c>
      <c r="O358" s="48">
        <v>17088567229</v>
      </c>
      <c r="P358" s="48" t="s">
        <v>132</v>
      </c>
      <c r="Q358" s="49" t="s">
        <v>501</v>
      </c>
      <c r="R358" s="49">
        <v>17083129534</v>
      </c>
      <c r="S358" s="49">
        <v>17083124487</v>
      </c>
      <c r="T358" s="49" t="s">
        <v>132</v>
      </c>
      <c r="U358" s="50" t="s">
        <v>501</v>
      </c>
      <c r="V358" s="50">
        <v>17083129534</v>
      </c>
      <c r="W358" s="50">
        <v>17083124487</v>
      </c>
      <c r="X358" s="50" t="s">
        <v>132</v>
      </c>
      <c r="Y358" s="50"/>
    </row>
    <row r="359" spans="1:25" x14ac:dyDescent="0.25">
      <c r="A359" s="25" t="s">
        <v>115</v>
      </c>
      <c r="B359" t="b">
        <v>0</v>
      </c>
      <c r="C359" s="43" t="s">
        <v>502</v>
      </c>
      <c r="D359" s="43">
        <v>321552</v>
      </c>
      <c r="E359" s="43">
        <v>302762</v>
      </c>
      <c r="F359" s="43" t="s">
        <v>132</v>
      </c>
      <c r="G359" s="43" t="b">
        <v>0</v>
      </c>
      <c r="H359" s="43" t="b">
        <v>0</v>
      </c>
      <c r="I359" s="43"/>
      <c r="M359" s="48" t="s">
        <v>502</v>
      </c>
      <c r="N359" s="48">
        <v>17088570666</v>
      </c>
      <c r="O359" s="48">
        <v>17088565501</v>
      </c>
      <c r="P359" s="48" t="s">
        <v>132</v>
      </c>
      <c r="Q359" s="49" t="s">
        <v>502</v>
      </c>
      <c r="R359" s="49">
        <v>17083127486</v>
      </c>
      <c r="S359" s="49">
        <v>17083125639</v>
      </c>
      <c r="T359" s="49" t="s">
        <v>132</v>
      </c>
      <c r="U359" s="50" t="s">
        <v>502</v>
      </c>
      <c r="V359" s="50">
        <v>17083127486</v>
      </c>
      <c r="W359" s="50">
        <v>17083125639</v>
      </c>
      <c r="X359" s="50" t="s">
        <v>132</v>
      </c>
      <c r="Y359" s="50"/>
    </row>
    <row r="360" spans="1:25" x14ac:dyDescent="0.25">
      <c r="A360" s="25" t="s">
        <v>115</v>
      </c>
      <c r="B360" t="b">
        <v>1</v>
      </c>
      <c r="C360" s="43" t="s">
        <v>503</v>
      </c>
      <c r="D360" s="43">
        <v>320528</v>
      </c>
      <c r="E360" s="43">
        <v>302182</v>
      </c>
      <c r="F360" s="43" t="s">
        <v>132</v>
      </c>
      <c r="G360" s="43" t="b">
        <v>0</v>
      </c>
      <c r="H360" s="43" t="b">
        <v>0</v>
      </c>
      <c r="I360" s="43"/>
      <c r="J360" s="45" t="s">
        <v>503</v>
      </c>
      <c r="K360" s="46">
        <v>302182</v>
      </c>
      <c r="L360" s="47">
        <v>990000623</v>
      </c>
      <c r="M360" s="48" t="s">
        <v>503</v>
      </c>
      <c r="N360" s="48">
        <v>17088572074</v>
      </c>
      <c r="O360" s="48">
        <v>17088568355</v>
      </c>
      <c r="P360" s="48" t="s">
        <v>132</v>
      </c>
      <c r="Q360" s="49" t="s">
        <v>503</v>
      </c>
      <c r="R360" s="49">
        <v>17083126910</v>
      </c>
      <c r="S360" s="49">
        <v>17083122279</v>
      </c>
      <c r="T360" s="49" t="s">
        <v>132</v>
      </c>
      <c r="U360" s="50" t="s">
        <v>503</v>
      </c>
      <c r="V360" s="50">
        <v>17083126910</v>
      </c>
      <c r="W360" s="50">
        <v>17083122279</v>
      </c>
      <c r="X360" s="50" t="s">
        <v>132</v>
      </c>
      <c r="Y360" s="50"/>
    </row>
    <row r="361" spans="1:25" x14ac:dyDescent="0.25">
      <c r="A361" s="25" t="s">
        <v>115</v>
      </c>
      <c r="B361" t="b">
        <v>0</v>
      </c>
      <c r="C361" s="43" t="s">
        <v>504</v>
      </c>
      <c r="D361" s="43">
        <v>322576</v>
      </c>
      <c r="E361" s="43">
        <v>299358</v>
      </c>
      <c r="F361" s="43" t="s">
        <v>119</v>
      </c>
      <c r="G361" s="43" t="b">
        <v>0</v>
      </c>
      <c r="H361" s="43" t="b">
        <v>0</v>
      </c>
      <c r="I361" s="43"/>
      <c r="J361" s="45" t="s">
        <v>504</v>
      </c>
      <c r="K361" s="46">
        <v>299358</v>
      </c>
      <c r="L361" s="47">
        <v>990000677</v>
      </c>
      <c r="M361" s="48" t="s">
        <v>504</v>
      </c>
      <c r="N361" s="48">
        <v>17088570620</v>
      </c>
      <c r="O361" s="48">
        <v>17088565537</v>
      </c>
      <c r="P361" s="48" t="s">
        <v>119</v>
      </c>
      <c r="Q361" s="49" t="s">
        <v>504</v>
      </c>
      <c r="R361" s="49">
        <v>17083128246</v>
      </c>
      <c r="S361" s="49">
        <v>17083125365</v>
      </c>
      <c r="T361" s="49" t="s">
        <v>119</v>
      </c>
      <c r="U361" s="50" t="s">
        <v>504</v>
      </c>
      <c r="V361" s="50">
        <v>17083128246</v>
      </c>
      <c r="W361" s="50">
        <v>17083125365</v>
      </c>
      <c r="X361" s="50" t="s">
        <v>119</v>
      </c>
      <c r="Y361" s="50"/>
    </row>
    <row r="362" spans="1:25" x14ac:dyDescent="0.25">
      <c r="A362" s="25" t="s">
        <v>115</v>
      </c>
      <c r="B362" t="b">
        <v>0</v>
      </c>
      <c r="C362" s="43" t="s">
        <v>505</v>
      </c>
      <c r="D362" s="43">
        <v>320016</v>
      </c>
      <c r="E362" s="43">
        <v>302750</v>
      </c>
      <c r="F362" s="43" t="s">
        <v>132</v>
      </c>
      <c r="G362" s="43" t="b">
        <v>0</v>
      </c>
      <c r="H362" s="43" t="b">
        <v>0</v>
      </c>
      <c r="I362" s="43"/>
      <c r="M362" s="48" t="s">
        <v>505</v>
      </c>
      <c r="N362" s="48">
        <v>17088572412</v>
      </c>
      <c r="O362" s="48">
        <v>17088566945</v>
      </c>
      <c r="P362" s="48" t="s">
        <v>132</v>
      </c>
      <c r="Q362" s="49" t="s">
        <v>505</v>
      </c>
      <c r="R362" s="49">
        <v>17083128054</v>
      </c>
      <c r="S362" s="49">
        <v>17083124469</v>
      </c>
      <c r="T362" s="49" t="s">
        <v>132</v>
      </c>
      <c r="U362" s="50" t="s">
        <v>505</v>
      </c>
      <c r="V362" s="50">
        <v>17083128054</v>
      </c>
      <c r="W362" s="50">
        <v>17083124469</v>
      </c>
      <c r="X362" s="50" t="s">
        <v>132</v>
      </c>
      <c r="Y362" s="50"/>
    </row>
    <row r="363" spans="1:25" x14ac:dyDescent="0.25">
      <c r="A363" s="25" t="s">
        <v>115</v>
      </c>
      <c r="B363" t="b">
        <v>0</v>
      </c>
      <c r="C363" s="43" t="s">
        <v>506</v>
      </c>
      <c r="D363" s="43">
        <v>322064</v>
      </c>
      <c r="E363" s="43">
        <v>302890</v>
      </c>
      <c r="F363" s="43" t="s">
        <v>132</v>
      </c>
      <c r="G363" s="43" t="b">
        <v>0</v>
      </c>
      <c r="H363" s="43" t="b">
        <v>0</v>
      </c>
      <c r="I363" s="43"/>
      <c r="M363" s="48" t="s">
        <v>506</v>
      </c>
      <c r="N363" s="48">
        <v>17088573158</v>
      </c>
      <c r="O363" s="48">
        <v>17088568407</v>
      </c>
      <c r="P363" s="48" t="s">
        <v>132</v>
      </c>
      <c r="Q363" s="49" t="s">
        <v>506</v>
      </c>
      <c r="R363" s="49">
        <v>17083127089</v>
      </c>
      <c r="S363" s="49">
        <v>17083126160</v>
      </c>
      <c r="T363" s="49" t="s">
        <v>132</v>
      </c>
      <c r="U363" s="50" t="s">
        <v>506</v>
      </c>
      <c r="V363" s="50">
        <v>17083127089</v>
      </c>
      <c r="W363" s="50">
        <v>17083126160</v>
      </c>
      <c r="X363" s="50" t="s">
        <v>132</v>
      </c>
      <c r="Y363" s="50"/>
    </row>
    <row r="364" spans="1:25" x14ac:dyDescent="0.25">
      <c r="A364" s="25" t="s">
        <v>115</v>
      </c>
      <c r="B364" t="b">
        <v>0</v>
      </c>
      <c r="C364" s="43" t="s">
        <v>507</v>
      </c>
      <c r="D364" s="43">
        <v>323088</v>
      </c>
      <c r="E364" s="43">
        <v>299110</v>
      </c>
      <c r="F364" s="43" t="s">
        <v>132</v>
      </c>
      <c r="G364" s="43" t="b">
        <v>0</v>
      </c>
      <c r="H364" s="43" t="b">
        <v>0</v>
      </c>
      <c r="I364" s="43"/>
      <c r="M364" s="48" t="s">
        <v>507</v>
      </c>
      <c r="N364" s="48">
        <v>17088572778</v>
      </c>
      <c r="O364" s="48">
        <v>17088566819</v>
      </c>
      <c r="P364" s="48" t="s">
        <v>132</v>
      </c>
      <c r="Q364" s="49" t="s">
        <v>507</v>
      </c>
      <c r="R364" s="49">
        <v>17083129086</v>
      </c>
      <c r="S364" s="49">
        <v>17083125351</v>
      </c>
      <c r="T364" s="49" t="s">
        <v>132</v>
      </c>
      <c r="U364" s="50" t="s">
        <v>507</v>
      </c>
      <c r="V364" s="50">
        <v>17083129086</v>
      </c>
      <c r="W364" s="50">
        <v>17083125351</v>
      </c>
      <c r="X364" s="50" t="s">
        <v>132</v>
      </c>
      <c r="Y364" s="50"/>
    </row>
    <row r="365" spans="1:25" x14ac:dyDescent="0.25">
      <c r="A365" s="25" t="s">
        <v>115</v>
      </c>
      <c r="B365" t="b">
        <v>0</v>
      </c>
      <c r="C365" s="43" t="s">
        <v>508</v>
      </c>
      <c r="D365" s="43">
        <v>319760</v>
      </c>
      <c r="E365" s="43">
        <v>300454</v>
      </c>
      <c r="F365" s="43" t="s">
        <v>132</v>
      </c>
      <c r="G365" s="43" t="b">
        <v>0</v>
      </c>
      <c r="H365" s="43" t="b">
        <v>0</v>
      </c>
      <c r="I365" s="43"/>
      <c r="M365" s="48" t="s">
        <v>508</v>
      </c>
      <c r="N365" s="48">
        <v>17088569962</v>
      </c>
      <c r="O365" s="48">
        <v>17088567587</v>
      </c>
      <c r="P365" s="48" t="s">
        <v>132</v>
      </c>
      <c r="Q365" s="49" t="s">
        <v>508</v>
      </c>
      <c r="R365" s="49">
        <v>17083126014</v>
      </c>
      <c r="S365" s="49">
        <v>17083123047</v>
      </c>
      <c r="T365" s="49" t="s">
        <v>132</v>
      </c>
      <c r="U365" s="50" t="s">
        <v>508</v>
      </c>
      <c r="V365" s="50">
        <v>17083126014</v>
      </c>
      <c r="W365" s="50">
        <v>17083123047</v>
      </c>
      <c r="X365" s="50" t="s">
        <v>132</v>
      </c>
      <c r="Y365" s="50"/>
    </row>
    <row r="366" spans="1:25" x14ac:dyDescent="0.25">
      <c r="A366" s="25" t="s">
        <v>115</v>
      </c>
      <c r="B366" t="b">
        <v>0</v>
      </c>
      <c r="C366" s="43" t="s">
        <v>509</v>
      </c>
      <c r="D366" s="43">
        <v>321808</v>
      </c>
      <c r="E366" s="43">
        <v>302058</v>
      </c>
      <c r="F366" s="43" t="s">
        <v>132</v>
      </c>
      <c r="G366" s="43" t="b">
        <v>0</v>
      </c>
      <c r="H366" s="43" t="b">
        <v>0</v>
      </c>
      <c r="I366" s="43"/>
      <c r="M366" s="48" t="s">
        <v>509</v>
      </c>
      <c r="N366" s="48">
        <v>17088570022</v>
      </c>
      <c r="O366" s="48">
        <v>17088568599</v>
      </c>
      <c r="P366" s="48" t="s">
        <v>132</v>
      </c>
      <c r="Q366" s="49" t="s">
        <v>510</v>
      </c>
      <c r="R366" s="49">
        <v>17083126737</v>
      </c>
      <c r="S366" s="49">
        <v>17083128848</v>
      </c>
      <c r="T366" s="49" t="s">
        <v>132</v>
      </c>
      <c r="U366" s="50" t="s">
        <v>510</v>
      </c>
      <c r="V366" s="50">
        <v>17083126737</v>
      </c>
      <c r="W366" s="50">
        <v>17083128848</v>
      </c>
      <c r="X366" s="50" t="s">
        <v>132</v>
      </c>
      <c r="Y366" s="50"/>
    </row>
    <row r="367" spans="1:25" x14ac:dyDescent="0.25">
      <c r="A367" s="25" t="s">
        <v>115</v>
      </c>
      <c r="B367" t="b">
        <v>0</v>
      </c>
      <c r="C367" s="43" t="s">
        <v>510</v>
      </c>
      <c r="D367" s="43">
        <v>320784</v>
      </c>
      <c r="E367" s="43">
        <v>300522</v>
      </c>
      <c r="F367" s="43" t="s">
        <v>132</v>
      </c>
      <c r="G367" s="43" t="b">
        <v>0</v>
      </c>
      <c r="H367" s="43" t="b">
        <v>0</v>
      </c>
      <c r="I367" s="43"/>
      <c r="M367" s="48" t="s">
        <v>509</v>
      </c>
      <c r="N367" s="48">
        <v>17088570022</v>
      </c>
      <c r="O367" s="48">
        <v>17088568599</v>
      </c>
      <c r="P367" s="48" t="s">
        <v>132</v>
      </c>
      <c r="Q367" s="49" t="s">
        <v>510</v>
      </c>
      <c r="R367" s="49">
        <v>17083126737</v>
      </c>
      <c r="S367" s="49">
        <v>17083128848</v>
      </c>
      <c r="T367" s="49" t="s">
        <v>132</v>
      </c>
      <c r="U367" s="50" t="s">
        <v>510</v>
      </c>
      <c r="V367" s="50">
        <v>17083126737</v>
      </c>
      <c r="W367" s="50">
        <v>17083128848</v>
      </c>
      <c r="X367" s="50" t="s">
        <v>132</v>
      </c>
      <c r="Y367" s="50"/>
    </row>
    <row r="368" spans="1:25" x14ac:dyDescent="0.25">
      <c r="A368" s="25" t="s">
        <v>115</v>
      </c>
      <c r="B368" t="b">
        <v>1</v>
      </c>
      <c r="C368" s="43" t="s">
        <v>511</v>
      </c>
      <c r="D368" s="43">
        <v>322832</v>
      </c>
      <c r="E368" s="43">
        <v>302826</v>
      </c>
      <c r="F368" s="43" t="s">
        <v>173</v>
      </c>
      <c r="G368" s="43" t="b">
        <v>0</v>
      </c>
      <c r="H368" s="43" t="b">
        <v>0</v>
      </c>
      <c r="I368" s="43"/>
      <c r="J368" s="45" t="s">
        <v>511</v>
      </c>
      <c r="K368" s="46">
        <v>302826</v>
      </c>
      <c r="M368" s="48" t="s">
        <v>511</v>
      </c>
      <c r="N368" s="48">
        <v>17088571622</v>
      </c>
      <c r="O368" s="48">
        <v>17088567447</v>
      </c>
      <c r="P368" s="48" t="s">
        <v>173</v>
      </c>
      <c r="Q368" s="49" t="s">
        <v>511</v>
      </c>
      <c r="R368" s="49">
        <v>17083129297</v>
      </c>
      <c r="S368" s="49">
        <v>17083127312</v>
      </c>
      <c r="T368" s="49" t="s">
        <v>173</v>
      </c>
      <c r="U368" s="50" t="s">
        <v>511</v>
      </c>
      <c r="V368" s="50">
        <v>17083129297</v>
      </c>
      <c r="W368" s="50">
        <v>17083127312</v>
      </c>
      <c r="X368" s="50" t="s">
        <v>173</v>
      </c>
      <c r="Y368" s="50"/>
    </row>
    <row r="369" spans="1:25" x14ac:dyDescent="0.25">
      <c r="A369" s="25" t="s">
        <v>115</v>
      </c>
      <c r="B369" t="b">
        <v>0</v>
      </c>
      <c r="C369" s="43" t="s">
        <v>512</v>
      </c>
      <c r="D369" s="43">
        <v>320272</v>
      </c>
      <c r="E369" s="43">
        <v>300266</v>
      </c>
      <c r="F369" s="43" t="s">
        <v>119</v>
      </c>
      <c r="G369" s="43" t="b">
        <v>0</v>
      </c>
      <c r="H369" s="43" t="b">
        <v>0</v>
      </c>
      <c r="I369" s="43"/>
      <c r="M369" s="48" t="s">
        <v>512</v>
      </c>
      <c r="N369" s="48">
        <v>17088571110</v>
      </c>
      <c r="O369" s="48">
        <v>17088565911</v>
      </c>
      <c r="P369" s="48" t="s">
        <v>119</v>
      </c>
      <c r="Q369" s="49" t="s">
        <v>512</v>
      </c>
      <c r="R369" s="49">
        <v>17083128113</v>
      </c>
      <c r="S369" s="49">
        <v>17083128080</v>
      </c>
      <c r="T369" s="49" t="s">
        <v>119</v>
      </c>
      <c r="U369" s="50" t="s">
        <v>512</v>
      </c>
      <c r="V369" s="50">
        <v>17083128113</v>
      </c>
      <c r="W369" s="50">
        <v>17083128080</v>
      </c>
      <c r="X369" s="50" t="s">
        <v>119</v>
      </c>
      <c r="Y369" s="50"/>
    </row>
    <row r="370" spans="1:25" x14ac:dyDescent="0.25">
      <c r="A370" s="25" t="s">
        <v>115</v>
      </c>
      <c r="B370" t="b">
        <v>0</v>
      </c>
      <c r="C370" s="43" t="s">
        <v>513</v>
      </c>
      <c r="D370" s="43">
        <v>322320</v>
      </c>
      <c r="E370" s="43">
        <v>301594</v>
      </c>
      <c r="F370" s="43" t="s">
        <v>117</v>
      </c>
      <c r="G370" s="43" t="b">
        <v>0</v>
      </c>
      <c r="H370" s="43" t="b">
        <v>0</v>
      </c>
      <c r="I370" s="43"/>
      <c r="M370" s="48" t="s">
        <v>513</v>
      </c>
      <c r="N370" s="48">
        <v>17088570342</v>
      </c>
      <c r="O370" s="48">
        <v>17088569319</v>
      </c>
      <c r="P370" s="48" t="s">
        <v>117</v>
      </c>
      <c r="Q370" s="49" t="s">
        <v>513</v>
      </c>
      <c r="R370" s="49">
        <v>17083125937</v>
      </c>
      <c r="S370" s="49">
        <v>17083126496</v>
      </c>
      <c r="T370" s="49" t="s">
        <v>117</v>
      </c>
      <c r="U370" s="50" t="s">
        <v>513</v>
      </c>
      <c r="V370" s="50">
        <v>17083125937</v>
      </c>
      <c r="W370" s="50">
        <v>17083126496</v>
      </c>
      <c r="X370" s="50" t="s">
        <v>117</v>
      </c>
      <c r="Y370" s="50"/>
    </row>
    <row r="371" spans="1:25" x14ac:dyDescent="0.25">
      <c r="A371" s="25" t="s">
        <v>115</v>
      </c>
      <c r="B371" t="b">
        <v>0</v>
      </c>
      <c r="C371" s="43" t="s">
        <v>514</v>
      </c>
      <c r="D371" s="43">
        <v>321296</v>
      </c>
      <c r="E371" s="43">
        <v>299962</v>
      </c>
      <c r="F371" s="43" t="s">
        <v>123</v>
      </c>
      <c r="G371" s="43" t="b">
        <v>0</v>
      </c>
      <c r="H371" s="43" t="b">
        <v>0</v>
      </c>
      <c r="I371" s="43" t="s">
        <v>134</v>
      </c>
      <c r="M371" s="48" t="s">
        <v>514</v>
      </c>
      <c r="N371" s="48">
        <v>17088572582</v>
      </c>
      <c r="O371" s="48">
        <v>17088568231</v>
      </c>
      <c r="P371" s="48" t="s">
        <v>123</v>
      </c>
      <c r="Q371" s="49" t="s">
        <v>514</v>
      </c>
      <c r="R371" s="49">
        <v>17083129105</v>
      </c>
      <c r="S371" s="49">
        <v>17083126432</v>
      </c>
      <c r="T371" s="49" t="s">
        <v>123</v>
      </c>
      <c r="U371" s="50" t="s">
        <v>514</v>
      </c>
      <c r="V371" s="50">
        <v>17083129105</v>
      </c>
      <c r="W371" s="50">
        <v>17083126432</v>
      </c>
      <c r="X371" s="50" t="s">
        <v>123</v>
      </c>
      <c r="Y371" s="50"/>
    </row>
    <row r="372" spans="1:25" x14ac:dyDescent="0.25">
      <c r="A372" s="25" t="s">
        <v>115</v>
      </c>
      <c r="B372" t="b">
        <v>0</v>
      </c>
      <c r="C372" s="43" t="s">
        <v>515</v>
      </c>
      <c r="D372" s="43">
        <v>323344</v>
      </c>
      <c r="E372" s="43">
        <v>301982</v>
      </c>
      <c r="F372" s="43" t="s">
        <v>132</v>
      </c>
      <c r="G372" s="43" t="b">
        <v>0</v>
      </c>
      <c r="H372" s="43" t="b">
        <v>0</v>
      </c>
      <c r="I372" s="43"/>
      <c r="M372" s="48" t="s">
        <v>515</v>
      </c>
      <c r="N372" s="48">
        <v>17088572540</v>
      </c>
      <c r="O372" s="48">
        <v>17088565409</v>
      </c>
      <c r="P372" s="48" t="s">
        <v>132</v>
      </c>
      <c r="Q372" s="49" t="s">
        <v>515</v>
      </c>
      <c r="R372" s="49">
        <v>17083126454</v>
      </c>
      <c r="S372" s="49">
        <v>17083125621</v>
      </c>
      <c r="T372" s="49" t="s">
        <v>132</v>
      </c>
      <c r="U372" s="50" t="s">
        <v>515</v>
      </c>
      <c r="V372" s="50">
        <v>17083126454</v>
      </c>
      <c r="W372" s="50">
        <v>17083125621</v>
      </c>
      <c r="X372" s="50" t="s">
        <v>132</v>
      </c>
      <c r="Y372" s="50"/>
    </row>
    <row r="373" spans="1:25" x14ac:dyDescent="0.25">
      <c r="A373" s="25" t="s">
        <v>115</v>
      </c>
      <c r="B373" t="b">
        <v>0</v>
      </c>
      <c r="C373" s="43" t="s">
        <v>516</v>
      </c>
      <c r="D373" s="43">
        <v>319632</v>
      </c>
      <c r="E373" s="43">
        <v>301662</v>
      </c>
      <c r="F373" s="43" t="s">
        <v>132</v>
      </c>
      <c r="G373" s="43" t="b">
        <v>0</v>
      </c>
      <c r="H373" s="43" t="b">
        <v>0</v>
      </c>
      <c r="I373" s="43"/>
      <c r="M373" s="48" t="s">
        <v>516</v>
      </c>
      <c r="N373" s="48">
        <v>17088571644</v>
      </c>
      <c r="O373" s="48">
        <v>17088568097</v>
      </c>
      <c r="P373" s="48" t="s">
        <v>132</v>
      </c>
      <c r="Q373" s="49" t="s">
        <v>516</v>
      </c>
      <c r="R373" s="49">
        <v>17083126198</v>
      </c>
      <c r="S373" s="49">
        <v>17083122549</v>
      </c>
      <c r="T373" s="49" t="s">
        <v>132</v>
      </c>
      <c r="U373" s="50" t="s">
        <v>516</v>
      </c>
      <c r="V373" s="50">
        <v>17083126198</v>
      </c>
      <c r="W373" s="50">
        <v>17083122549</v>
      </c>
      <c r="X373" s="50" t="s">
        <v>132</v>
      </c>
      <c r="Y373" s="50"/>
    </row>
    <row r="374" spans="1:25" x14ac:dyDescent="0.25">
      <c r="A374" s="25" t="s">
        <v>115</v>
      </c>
      <c r="B374" t="b">
        <v>0</v>
      </c>
      <c r="C374" s="43" t="s">
        <v>517</v>
      </c>
      <c r="D374" s="43">
        <v>321680</v>
      </c>
      <c r="E374" s="43">
        <v>300202</v>
      </c>
      <c r="F374" s="43" t="s">
        <v>119</v>
      </c>
      <c r="G374" s="43" t="b">
        <v>0</v>
      </c>
      <c r="H374" s="43" t="b">
        <v>0</v>
      </c>
      <c r="I374" s="43"/>
      <c r="M374" s="48" t="s">
        <v>517</v>
      </c>
      <c r="N374" s="48">
        <v>17088570534</v>
      </c>
      <c r="O374" s="48">
        <v>17088567191</v>
      </c>
      <c r="P374" s="48" t="s">
        <v>119</v>
      </c>
      <c r="Q374" s="49" t="s">
        <v>517</v>
      </c>
      <c r="R374" s="49">
        <v>17083127057</v>
      </c>
      <c r="S374" s="49">
        <v>17083128976</v>
      </c>
      <c r="T374" s="49" t="s">
        <v>119</v>
      </c>
      <c r="U374" s="50" t="s">
        <v>517</v>
      </c>
      <c r="V374" s="50">
        <v>17083127057</v>
      </c>
      <c r="W374" s="50">
        <v>17083128976</v>
      </c>
      <c r="X374" s="50" t="s">
        <v>119</v>
      </c>
      <c r="Y374" s="50"/>
    </row>
    <row r="375" spans="1:25" x14ac:dyDescent="0.25">
      <c r="A375" s="25" t="s">
        <v>115</v>
      </c>
      <c r="B375" t="b">
        <v>0</v>
      </c>
      <c r="C375" s="43" t="s">
        <v>518</v>
      </c>
      <c r="D375" s="43">
        <v>320656</v>
      </c>
      <c r="E375" s="43">
        <v>301754</v>
      </c>
      <c r="F375" s="43" t="s">
        <v>123</v>
      </c>
      <c r="G375" s="43" t="b">
        <v>0</v>
      </c>
      <c r="H375" s="43" t="b">
        <v>0</v>
      </c>
      <c r="I375" s="43" t="s">
        <v>134</v>
      </c>
      <c r="M375" s="48" t="s">
        <v>518</v>
      </c>
      <c r="N375" s="48">
        <v>17088572774</v>
      </c>
      <c r="O375" s="48">
        <v>17088566631</v>
      </c>
      <c r="P375" s="48" t="s">
        <v>123</v>
      </c>
      <c r="Q375" s="49" t="s">
        <v>518</v>
      </c>
      <c r="R375" s="49">
        <v>17083128017</v>
      </c>
      <c r="S375" s="49">
        <v>17083129760</v>
      </c>
      <c r="T375" s="49" t="s">
        <v>123</v>
      </c>
      <c r="U375" s="50" t="s">
        <v>518</v>
      </c>
      <c r="V375" s="50">
        <v>17083128017</v>
      </c>
      <c r="W375" s="50">
        <v>17083129760</v>
      </c>
      <c r="X375" s="50" t="s">
        <v>123</v>
      </c>
      <c r="Y375" s="50"/>
    </row>
    <row r="376" spans="1:25" x14ac:dyDescent="0.25">
      <c r="A376" s="25" t="s">
        <v>115</v>
      </c>
      <c r="B376" t="b">
        <v>0</v>
      </c>
      <c r="C376" s="43" t="s">
        <v>519</v>
      </c>
      <c r="D376" s="43">
        <v>322704</v>
      </c>
      <c r="E376" s="43">
        <v>299034</v>
      </c>
      <c r="F376" s="43" t="s">
        <v>119</v>
      </c>
      <c r="G376" s="43" t="b">
        <v>0</v>
      </c>
      <c r="H376" s="43" t="b">
        <v>0</v>
      </c>
      <c r="I376" s="43"/>
      <c r="M376" s="48" t="s">
        <v>519</v>
      </c>
      <c r="N376" s="48">
        <v>17088570278</v>
      </c>
      <c r="O376" s="48">
        <v>17088566807</v>
      </c>
      <c r="P376" s="48" t="s">
        <v>119</v>
      </c>
      <c r="Q376" s="49" t="s">
        <v>519</v>
      </c>
      <c r="R376" s="49">
        <v>17083129233</v>
      </c>
      <c r="S376" s="49">
        <v>17083129312</v>
      </c>
      <c r="T376" s="49" t="s">
        <v>119</v>
      </c>
      <c r="U376" s="50" t="s">
        <v>519</v>
      </c>
      <c r="V376" s="50">
        <v>17083129233</v>
      </c>
      <c r="W376" s="50">
        <v>17083129312</v>
      </c>
      <c r="X376" s="50" t="s">
        <v>119</v>
      </c>
      <c r="Y376" s="50"/>
    </row>
    <row r="377" spans="1:25" x14ac:dyDescent="0.25">
      <c r="A377" s="25" t="s">
        <v>115</v>
      </c>
      <c r="B377" t="b">
        <v>0</v>
      </c>
      <c r="C377" s="43" t="s">
        <v>520</v>
      </c>
      <c r="D377" s="43">
        <v>320144</v>
      </c>
      <c r="E377" s="43">
        <v>300446</v>
      </c>
      <c r="F377" s="43" t="s">
        <v>132</v>
      </c>
      <c r="G377" s="43" t="b">
        <v>0</v>
      </c>
      <c r="H377" s="43" t="b">
        <v>0</v>
      </c>
      <c r="I377" s="43"/>
      <c r="M377" s="48" t="s">
        <v>520</v>
      </c>
      <c r="N377" s="48">
        <v>17088570492</v>
      </c>
      <c r="O377" s="48">
        <v>17088568481</v>
      </c>
      <c r="P377" s="48" t="s">
        <v>132</v>
      </c>
      <c r="Q377" s="49" t="s">
        <v>520</v>
      </c>
      <c r="R377" s="49">
        <v>17083129014</v>
      </c>
      <c r="S377" s="49">
        <v>17083122933</v>
      </c>
      <c r="T377" s="49" t="s">
        <v>132</v>
      </c>
      <c r="U377" s="50" t="s">
        <v>520</v>
      </c>
      <c r="V377" s="50">
        <v>17083129014</v>
      </c>
      <c r="W377" s="50">
        <v>17083122933</v>
      </c>
      <c r="X377" s="50" t="s">
        <v>132</v>
      </c>
      <c r="Y377" s="50"/>
    </row>
    <row r="378" spans="1:25" x14ac:dyDescent="0.25">
      <c r="A378" s="25" t="s">
        <v>115</v>
      </c>
      <c r="B378" t="b">
        <v>0</v>
      </c>
      <c r="C378" s="43" t="s">
        <v>521</v>
      </c>
      <c r="D378" s="43">
        <v>322192</v>
      </c>
      <c r="E378" s="43">
        <v>299918</v>
      </c>
      <c r="F378" s="43" t="s">
        <v>123</v>
      </c>
      <c r="G378" s="43" t="b">
        <v>0</v>
      </c>
      <c r="H378" s="43" t="b">
        <v>0</v>
      </c>
      <c r="I378" s="43"/>
      <c r="M378" s="48" t="s">
        <v>521</v>
      </c>
      <c r="N378" s="48">
        <v>17088570322</v>
      </c>
      <c r="O378" s="48">
        <v>17088566501</v>
      </c>
      <c r="P378" s="48" t="s">
        <v>123</v>
      </c>
      <c r="Q378" s="49" t="s">
        <v>521</v>
      </c>
      <c r="R378" s="49">
        <v>17083128686</v>
      </c>
      <c r="S378" s="49">
        <v>17083124691</v>
      </c>
      <c r="T378" s="49" t="s">
        <v>123</v>
      </c>
      <c r="U378" s="50" t="s">
        <v>521</v>
      </c>
      <c r="V378" s="50">
        <v>17083128686</v>
      </c>
      <c r="W378" s="50">
        <v>17083124691</v>
      </c>
      <c r="X378" s="50" t="s">
        <v>123</v>
      </c>
      <c r="Y378" s="50"/>
    </row>
    <row r="379" spans="1:25" x14ac:dyDescent="0.25">
      <c r="A379" s="25" t="s">
        <v>115</v>
      </c>
      <c r="B379" t="b">
        <v>0</v>
      </c>
      <c r="C379" s="43" t="s">
        <v>522</v>
      </c>
      <c r="D379" s="43">
        <v>321168</v>
      </c>
      <c r="E379" s="43">
        <v>300622</v>
      </c>
      <c r="F379" s="43" t="s">
        <v>123</v>
      </c>
      <c r="G379" s="43" t="b">
        <v>0</v>
      </c>
      <c r="H379" s="43" t="b">
        <v>0</v>
      </c>
      <c r="I379" s="43"/>
      <c r="M379" s="48" t="s">
        <v>522</v>
      </c>
      <c r="N379" s="48">
        <v>17088570194</v>
      </c>
      <c r="O379" s="48">
        <v>17088568677</v>
      </c>
      <c r="P379" s="48" t="s">
        <v>123</v>
      </c>
      <c r="Q379" s="49" t="s">
        <v>522</v>
      </c>
      <c r="R379" s="49">
        <v>17083127214</v>
      </c>
      <c r="S379" s="49">
        <v>17083123411</v>
      </c>
      <c r="T379" s="49" t="s">
        <v>123</v>
      </c>
      <c r="U379" s="50" t="s">
        <v>522</v>
      </c>
      <c r="V379" s="50">
        <v>17083127214</v>
      </c>
      <c r="W379" s="50">
        <v>17083123411</v>
      </c>
      <c r="X379" s="50" t="s">
        <v>123</v>
      </c>
      <c r="Y379" s="50"/>
    </row>
    <row r="380" spans="1:25" x14ac:dyDescent="0.25">
      <c r="A380" s="25" t="s">
        <v>115</v>
      </c>
      <c r="B380" t="b">
        <v>0</v>
      </c>
      <c r="C380" s="43" t="s">
        <v>523</v>
      </c>
      <c r="D380" s="43">
        <v>323216</v>
      </c>
      <c r="E380" s="43">
        <v>300806</v>
      </c>
      <c r="F380" s="43" t="s">
        <v>119</v>
      </c>
      <c r="G380" s="43" t="b">
        <v>0</v>
      </c>
      <c r="H380" s="43" t="b">
        <v>0</v>
      </c>
      <c r="I380" s="43"/>
      <c r="M380" s="48" t="s">
        <v>523</v>
      </c>
      <c r="N380" s="48">
        <v>17088570794</v>
      </c>
      <c r="O380" s="48">
        <v>17088566691</v>
      </c>
      <c r="P380" s="48" t="s">
        <v>119</v>
      </c>
      <c r="Q380" s="49" t="s">
        <v>523</v>
      </c>
      <c r="R380" s="49">
        <v>17083126398</v>
      </c>
      <c r="S380" s="49">
        <v>17083125223</v>
      </c>
      <c r="T380" s="49" t="s">
        <v>119</v>
      </c>
      <c r="U380" s="50" t="s">
        <v>523</v>
      </c>
      <c r="V380" s="50">
        <v>17083126398</v>
      </c>
      <c r="W380" s="50">
        <v>17083125223</v>
      </c>
      <c r="X380" s="50" t="s">
        <v>119</v>
      </c>
      <c r="Y380" s="50"/>
    </row>
    <row r="381" spans="1:25" x14ac:dyDescent="0.25">
      <c r="A381" s="25" t="s">
        <v>115</v>
      </c>
      <c r="B381" t="b">
        <v>0</v>
      </c>
      <c r="C381" s="43" t="s">
        <v>524</v>
      </c>
      <c r="D381" s="43">
        <v>319888</v>
      </c>
      <c r="E381" s="43">
        <v>301798</v>
      </c>
      <c r="F381" s="43" t="s">
        <v>132</v>
      </c>
      <c r="G381" s="43" t="b">
        <v>0</v>
      </c>
      <c r="H381" s="43" t="b">
        <v>0</v>
      </c>
      <c r="I381" s="43"/>
      <c r="M381" s="48" t="s">
        <v>524</v>
      </c>
      <c r="N381" s="48">
        <v>17088570026</v>
      </c>
      <c r="O381" s="48">
        <v>17088568259</v>
      </c>
      <c r="P381" s="48" t="s">
        <v>132</v>
      </c>
      <c r="Q381" s="49" t="s">
        <v>524</v>
      </c>
      <c r="R381" s="49">
        <v>17083127934</v>
      </c>
      <c r="S381" s="49">
        <v>17083123623</v>
      </c>
      <c r="T381" s="49" t="s">
        <v>132</v>
      </c>
      <c r="U381" s="50" t="s">
        <v>524</v>
      </c>
      <c r="V381" s="50">
        <v>17083127934</v>
      </c>
      <c r="W381" s="50">
        <v>17083123623</v>
      </c>
      <c r="X381" s="50" t="s">
        <v>132</v>
      </c>
      <c r="Y381" s="50"/>
    </row>
    <row r="382" spans="1:25" x14ac:dyDescent="0.25">
      <c r="A382" s="25" t="s">
        <v>115</v>
      </c>
      <c r="B382" t="b">
        <v>0</v>
      </c>
      <c r="C382" s="43" t="s">
        <v>525</v>
      </c>
      <c r="D382" s="43">
        <v>321936</v>
      </c>
      <c r="E382" s="43">
        <v>299846</v>
      </c>
      <c r="F382" s="43" t="s">
        <v>119</v>
      </c>
      <c r="G382" s="43" t="b">
        <v>0</v>
      </c>
      <c r="H382" s="43" t="b">
        <v>0</v>
      </c>
      <c r="I382" s="43"/>
      <c r="M382" s="48" t="s">
        <v>525</v>
      </c>
      <c r="N382" s="48">
        <v>17088571498</v>
      </c>
      <c r="O382" s="48">
        <v>17088566051</v>
      </c>
      <c r="P382" s="48" t="s">
        <v>119</v>
      </c>
      <c r="Q382" s="49" t="s">
        <v>525</v>
      </c>
      <c r="R382" s="49">
        <v>17083126654</v>
      </c>
      <c r="S382" s="49">
        <v>17083124583</v>
      </c>
      <c r="T382" s="49" t="s">
        <v>119</v>
      </c>
      <c r="U382" s="50" t="s">
        <v>525</v>
      </c>
      <c r="V382" s="50">
        <v>17083126654</v>
      </c>
      <c r="W382" s="50">
        <v>17083124583</v>
      </c>
      <c r="X382" s="50" t="s">
        <v>119</v>
      </c>
      <c r="Y382" s="50"/>
    </row>
    <row r="383" spans="1:25" x14ac:dyDescent="0.25">
      <c r="A383" s="25" t="s">
        <v>115</v>
      </c>
      <c r="B383" t="b">
        <v>0</v>
      </c>
      <c r="C383" s="43" t="s">
        <v>526</v>
      </c>
      <c r="D383" s="43">
        <v>320912</v>
      </c>
      <c r="E383" s="43">
        <v>301550</v>
      </c>
      <c r="F383" s="43" t="s">
        <v>123</v>
      </c>
      <c r="G383" s="43" t="b">
        <v>0</v>
      </c>
      <c r="H383" s="43" t="b">
        <v>0</v>
      </c>
      <c r="I383" s="43"/>
      <c r="M383" s="48" t="s">
        <v>526</v>
      </c>
      <c r="N383" s="48">
        <v>17088572418</v>
      </c>
      <c r="O383" s="48">
        <v>17088567713</v>
      </c>
      <c r="P383" s="48" t="s">
        <v>123</v>
      </c>
      <c r="Q383" s="49" t="s">
        <v>526</v>
      </c>
      <c r="R383" s="49">
        <v>17083126262</v>
      </c>
      <c r="S383" s="49">
        <v>17083122165</v>
      </c>
      <c r="T383" s="49" t="s">
        <v>123</v>
      </c>
      <c r="U383" s="50" t="s">
        <v>526</v>
      </c>
      <c r="V383" s="50">
        <v>17083126262</v>
      </c>
      <c r="W383" s="50">
        <v>17083122165</v>
      </c>
      <c r="X383" s="50" t="s">
        <v>123</v>
      </c>
      <c r="Y383" s="50"/>
    </row>
    <row r="384" spans="1:25" x14ac:dyDescent="0.25">
      <c r="A384" s="25" t="s">
        <v>115</v>
      </c>
      <c r="B384" t="b">
        <v>0</v>
      </c>
      <c r="C384" s="43" t="s">
        <v>527</v>
      </c>
      <c r="D384" s="43">
        <v>322960</v>
      </c>
      <c r="E384" s="43">
        <v>299726</v>
      </c>
      <c r="F384" s="43" t="s">
        <v>383</v>
      </c>
      <c r="G384" s="43" t="b">
        <v>0</v>
      </c>
      <c r="H384" s="43" t="b">
        <v>0</v>
      </c>
      <c r="I384" s="43"/>
      <c r="M384" s="48" t="s">
        <v>527</v>
      </c>
      <c r="N384" s="48">
        <v>17088572882</v>
      </c>
      <c r="O384" s="48">
        <v>17088568229</v>
      </c>
      <c r="P384" s="48" t="s">
        <v>383</v>
      </c>
      <c r="Q384" s="49" t="s">
        <v>527</v>
      </c>
      <c r="R384" s="49">
        <v>17083126638</v>
      </c>
      <c r="S384" s="49">
        <v>17083122003</v>
      </c>
      <c r="T384" s="49" t="s">
        <v>383</v>
      </c>
      <c r="U384" s="50" t="s">
        <v>527</v>
      </c>
      <c r="V384" s="50">
        <v>17083126638</v>
      </c>
      <c r="W384" s="50">
        <v>17083122003</v>
      </c>
      <c r="X384" s="50" t="s">
        <v>383</v>
      </c>
      <c r="Y384" s="50"/>
    </row>
    <row r="385" spans="1:25" x14ac:dyDescent="0.25">
      <c r="A385" s="25" t="s">
        <v>115</v>
      </c>
      <c r="B385" t="b">
        <v>0</v>
      </c>
      <c r="C385" s="43" t="s">
        <v>528</v>
      </c>
      <c r="D385" s="43">
        <v>320400</v>
      </c>
      <c r="E385" s="43">
        <v>302214</v>
      </c>
      <c r="F385" s="43" t="s">
        <v>119</v>
      </c>
      <c r="G385" s="43" t="b">
        <v>0</v>
      </c>
      <c r="H385" s="43" t="b">
        <v>0</v>
      </c>
      <c r="I385" s="43"/>
      <c r="M385" s="48" t="s">
        <v>528</v>
      </c>
      <c r="N385" s="48">
        <v>17088569450</v>
      </c>
      <c r="O385" s="48">
        <v>17088567971</v>
      </c>
      <c r="P385" s="48" t="s">
        <v>119</v>
      </c>
      <c r="Q385" s="49" t="s">
        <v>528</v>
      </c>
      <c r="R385" s="49">
        <v>17083129214</v>
      </c>
      <c r="S385" s="49">
        <v>17083123431</v>
      </c>
      <c r="T385" s="49" t="s">
        <v>119</v>
      </c>
      <c r="U385" s="50" t="s">
        <v>528</v>
      </c>
      <c r="V385" s="50">
        <v>17083129214</v>
      </c>
      <c r="W385" s="50">
        <v>17083123431</v>
      </c>
      <c r="X385" s="50" t="s">
        <v>119</v>
      </c>
      <c r="Y385" s="50"/>
    </row>
    <row r="386" spans="1:25" x14ac:dyDescent="0.25">
      <c r="A386" s="25" t="s">
        <v>115</v>
      </c>
      <c r="B386" t="b">
        <v>0</v>
      </c>
      <c r="C386" s="43" t="s">
        <v>529</v>
      </c>
      <c r="D386" s="43">
        <v>322448</v>
      </c>
      <c r="E386" s="43">
        <v>300270</v>
      </c>
      <c r="F386" s="43" t="s">
        <v>123</v>
      </c>
      <c r="G386" s="43" t="b">
        <v>0</v>
      </c>
      <c r="H386" s="43" t="b">
        <v>0</v>
      </c>
      <c r="I386" s="43"/>
      <c r="M386" s="48" t="s">
        <v>529</v>
      </c>
      <c r="N386" s="48">
        <v>17088570370</v>
      </c>
      <c r="O386" s="48">
        <v>17088565345</v>
      </c>
      <c r="P386" s="48" t="s">
        <v>123</v>
      </c>
      <c r="Q386" s="49" t="s">
        <v>529</v>
      </c>
      <c r="R386" s="49">
        <v>17083129590</v>
      </c>
      <c r="S386" s="49">
        <v>17083125749</v>
      </c>
      <c r="T386" s="49" t="s">
        <v>123</v>
      </c>
      <c r="U386" s="50" t="s">
        <v>529</v>
      </c>
      <c r="V386" s="50">
        <v>17083129590</v>
      </c>
      <c r="W386" s="50">
        <v>17083125749</v>
      </c>
      <c r="X386" s="50" t="s">
        <v>123</v>
      </c>
      <c r="Y386" s="50"/>
    </row>
    <row r="387" spans="1:25" x14ac:dyDescent="0.25">
      <c r="A387" s="25" t="s">
        <v>115</v>
      </c>
      <c r="B387" t="b">
        <v>0</v>
      </c>
      <c r="C387" s="43" t="s">
        <v>530</v>
      </c>
      <c r="D387" s="43">
        <v>321424</v>
      </c>
      <c r="E387" s="43">
        <v>301902</v>
      </c>
      <c r="F387" s="43" t="s">
        <v>123</v>
      </c>
      <c r="G387" s="43" t="b">
        <v>0</v>
      </c>
      <c r="H387" s="43" t="b">
        <v>0</v>
      </c>
      <c r="I387" s="43"/>
      <c r="M387" s="48" t="s">
        <v>530</v>
      </c>
      <c r="N387" s="48">
        <v>17088570834</v>
      </c>
      <c r="O387" s="48">
        <v>17088565861</v>
      </c>
      <c r="P387" s="48" t="s">
        <v>123</v>
      </c>
      <c r="Q387" s="49" t="s">
        <v>530</v>
      </c>
      <c r="R387" s="49">
        <v>17086791262</v>
      </c>
      <c r="S387" s="49">
        <v>17083125587</v>
      </c>
      <c r="T387" s="49" t="s">
        <v>123</v>
      </c>
      <c r="U387" s="50" t="s">
        <v>530</v>
      </c>
      <c r="V387" s="50">
        <v>17083129198</v>
      </c>
      <c r="W387" s="50">
        <v>17083125587</v>
      </c>
      <c r="X387" s="50" t="s">
        <v>123</v>
      </c>
      <c r="Y387" s="50"/>
    </row>
    <row r="388" spans="1:25" x14ac:dyDescent="0.25">
      <c r="A388" s="25" t="s">
        <v>115</v>
      </c>
      <c r="B388" t="b">
        <v>0</v>
      </c>
      <c r="C388" s="43" t="s">
        <v>531</v>
      </c>
      <c r="D388" s="43">
        <v>323472</v>
      </c>
      <c r="E388" s="43">
        <v>302302</v>
      </c>
      <c r="F388" s="43" t="s">
        <v>125</v>
      </c>
      <c r="G388" s="43" t="b">
        <v>1</v>
      </c>
      <c r="H388" s="43" t="b">
        <v>0</v>
      </c>
      <c r="I388" s="43" t="s">
        <v>126</v>
      </c>
      <c r="M388" s="48" t="s">
        <v>531</v>
      </c>
      <c r="N388" s="48">
        <v>17088569522</v>
      </c>
      <c r="O388" s="48">
        <v>17088566285</v>
      </c>
      <c r="P388" s="48" t="s">
        <v>125</v>
      </c>
      <c r="Q388" s="49" t="s">
        <v>531</v>
      </c>
      <c r="R388" s="49">
        <v>17083127790</v>
      </c>
      <c r="S388" s="49">
        <v>17083125707</v>
      </c>
      <c r="T388" s="49" t="s">
        <v>125</v>
      </c>
      <c r="U388" s="50" t="s">
        <v>531</v>
      </c>
      <c r="V388" s="50">
        <v>17083127790</v>
      </c>
      <c r="W388" s="50">
        <v>17083125707</v>
      </c>
      <c r="X388" s="50" t="s">
        <v>125</v>
      </c>
      <c r="Y388" s="50">
        <v>110311</v>
      </c>
    </row>
    <row r="389" spans="1:25" x14ac:dyDescent="0.25">
      <c r="A389" s="25" t="s">
        <v>115</v>
      </c>
      <c r="B389" t="b">
        <v>0</v>
      </c>
      <c r="C389" s="43" t="s">
        <v>532</v>
      </c>
      <c r="D389" s="43">
        <v>319568</v>
      </c>
      <c r="E389" s="43">
        <v>302582</v>
      </c>
      <c r="F389" s="43" t="s">
        <v>119</v>
      </c>
      <c r="G389" s="43" t="b">
        <v>0</v>
      </c>
      <c r="H389" s="43" t="b">
        <v>0</v>
      </c>
      <c r="I389" s="43"/>
      <c r="M389" s="48" t="s">
        <v>532</v>
      </c>
      <c r="N389" s="48">
        <v>17088571930</v>
      </c>
      <c r="O389" s="48">
        <v>17088568915</v>
      </c>
      <c r="P389" s="48" t="s">
        <v>119</v>
      </c>
      <c r="Q389" s="49" t="s">
        <v>532</v>
      </c>
      <c r="R389" s="49">
        <v>17083128321</v>
      </c>
      <c r="S389" s="49">
        <v>17083123159</v>
      </c>
      <c r="T389" s="49" t="s">
        <v>119</v>
      </c>
      <c r="U389" s="50" t="s">
        <v>532</v>
      </c>
      <c r="V389" s="50">
        <v>17083128321</v>
      </c>
      <c r="W389" s="50">
        <v>17083123159</v>
      </c>
      <c r="X389" s="50" t="s">
        <v>119</v>
      </c>
      <c r="Y389" s="50"/>
    </row>
    <row r="390" spans="1:25" x14ac:dyDescent="0.25">
      <c r="A390" s="25" t="s">
        <v>115</v>
      </c>
      <c r="B390" t="b">
        <v>0</v>
      </c>
      <c r="C390" s="43" t="s">
        <v>533</v>
      </c>
      <c r="D390" s="43">
        <v>321616</v>
      </c>
      <c r="E390" s="43">
        <v>299022</v>
      </c>
      <c r="F390" s="43" t="s">
        <v>119</v>
      </c>
      <c r="G390" s="43" t="b">
        <v>0</v>
      </c>
      <c r="H390" s="43" t="b">
        <v>0</v>
      </c>
      <c r="I390" s="43"/>
      <c r="M390" s="48" t="s">
        <v>533</v>
      </c>
      <c r="N390" s="48">
        <v>17088572138</v>
      </c>
      <c r="O390" s="48">
        <v>17088566355</v>
      </c>
      <c r="P390" s="48" t="s">
        <v>119</v>
      </c>
      <c r="Q390" s="49" t="s">
        <v>533</v>
      </c>
      <c r="R390" s="49">
        <v>17083127550</v>
      </c>
      <c r="S390" s="49">
        <v>17083124439</v>
      </c>
      <c r="T390" s="49" t="s">
        <v>119</v>
      </c>
      <c r="U390" s="50" t="s">
        <v>533</v>
      </c>
      <c r="V390" s="50">
        <v>17083127550</v>
      </c>
      <c r="W390" s="50">
        <v>17083124439</v>
      </c>
      <c r="X390" s="50" t="s">
        <v>119</v>
      </c>
      <c r="Y390" s="50"/>
    </row>
    <row r="391" spans="1:25" x14ac:dyDescent="0.25">
      <c r="A391" s="25" t="s">
        <v>115</v>
      </c>
      <c r="B391" t="b">
        <v>0</v>
      </c>
      <c r="C391" s="43" t="s">
        <v>534</v>
      </c>
      <c r="D391" s="43">
        <v>320592</v>
      </c>
      <c r="E391" s="43">
        <v>301562</v>
      </c>
      <c r="F391" s="43" t="s">
        <v>123</v>
      </c>
      <c r="G391" s="43" t="b">
        <v>0</v>
      </c>
      <c r="H391" s="43" t="b">
        <v>0</v>
      </c>
      <c r="I391" s="43"/>
      <c r="M391" s="48" t="s">
        <v>534</v>
      </c>
      <c r="N391" s="48">
        <v>17088572182</v>
      </c>
      <c r="O391" s="48">
        <v>17088565615</v>
      </c>
      <c r="P391" s="48" t="s">
        <v>123</v>
      </c>
      <c r="Q391" s="49" t="s">
        <v>534</v>
      </c>
      <c r="R391" s="49">
        <v>17083126385</v>
      </c>
      <c r="S391" s="49">
        <v>17083129192</v>
      </c>
      <c r="T391" s="49" t="s">
        <v>123</v>
      </c>
      <c r="U391" s="50" t="s">
        <v>534</v>
      </c>
      <c r="V391" s="50">
        <v>17083126385</v>
      </c>
      <c r="W391" s="50">
        <v>17083129192</v>
      </c>
      <c r="X391" s="50" t="s">
        <v>123</v>
      </c>
      <c r="Y391" s="50"/>
    </row>
    <row r="392" spans="1:25" x14ac:dyDescent="0.25">
      <c r="A392" s="25" t="s">
        <v>115</v>
      </c>
      <c r="B392" t="b">
        <v>0</v>
      </c>
      <c r="C392" s="43" t="s">
        <v>535</v>
      </c>
      <c r="D392" s="43">
        <v>322640</v>
      </c>
      <c r="E392" s="43">
        <v>302614</v>
      </c>
      <c r="F392" s="43" t="s">
        <v>123</v>
      </c>
      <c r="G392" s="43" t="b">
        <v>0</v>
      </c>
      <c r="H392" s="43" t="b">
        <v>0</v>
      </c>
      <c r="I392" s="43" t="s">
        <v>134</v>
      </c>
      <c r="M392" s="48" t="s">
        <v>535</v>
      </c>
      <c r="N392" s="48">
        <v>17088570134</v>
      </c>
      <c r="O392" s="48">
        <v>17088567887</v>
      </c>
      <c r="P392" s="48" t="s">
        <v>123</v>
      </c>
      <c r="Q392" s="49" t="s">
        <v>535</v>
      </c>
      <c r="R392" s="49">
        <v>17083128945</v>
      </c>
      <c r="S392" s="49">
        <v>17083126088</v>
      </c>
      <c r="T392" s="49" t="s">
        <v>123</v>
      </c>
      <c r="U392" s="50" t="s">
        <v>535</v>
      </c>
      <c r="V392" s="50">
        <v>17083128945</v>
      </c>
      <c r="W392" s="50">
        <v>17083126088</v>
      </c>
      <c r="X392" s="50" t="s">
        <v>123</v>
      </c>
      <c r="Y392" s="50"/>
    </row>
    <row r="393" spans="1:25" x14ac:dyDescent="0.25">
      <c r="A393" s="25" t="s">
        <v>115</v>
      </c>
      <c r="B393" t="b">
        <v>0</v>
      </c>
      <c r="C393" s="43" t="s">
        <v>536</v>
      </c>
      <c r="D393" s="43">
        <v>320080</v>
      </c>
      <c r="E393" s="43">
        <v>300686</v>
      </c>
      <c r="F393" s="43" t="s">
        <v>173</v>
      </c>
      <c r="G393" s="43" t="b">
        <v>0</v>
      </c>
      <c r="H393" s="43" t="b">
        <v>0</v>
      </c>
      <c r="I393" s="43"/>
      <c r="M393" s="48" t="s">
        <v>536</v>
      </c>
      <c r="N393" s="48">
        <v>17088569882</v>
      </c>
      <c r="O393" s="48">
        <v>17088566163</v>
      </c>
      <c r="P393" s="48" t="s">
        <v>173</v>
      </c>
      <c r="Q393" s="49" t="s">
        <v>536</v>
      </c>
      <c r="R393" s="49">
        <v>17083126273</v>
      </c>
      <c r="S393" s="49">
        <v>17083125591</v>
      </c>
      <c r="T393" s="49" t="s">
        <v>173</v>
      </c>
      <c r="U393" s="50" t="s">
        <v>536</v>
      </c>
      <c r="V393" s="50">
        <v>17083126273</v>
      </c>
      <c r="W393" s="50">
        <v>17083125591</v>
      </c>
      <c r="X393" s="50" t="s">
        <v>173</v>
      </c>
      <c r="Y393" s="50"/>
    </row>
    <row r="394" spans="1:25" x14ac:dyDescent="0.25">
      <c r="A394" s="25" t="s">
        <v>115</v>
      </c>
      <c r="B394" t="b">
        <v>0</v>
      </c>
      <c r="C394" s="43" t="s">
        <v>537</v>
      </c>
      <c r="D394" s="43">
        <v>322128</v>
      </c>
      <c r="E394" s="43">
        <v>299014</v>
      </c>
      <c r="F394" s="43" t="s">
        <v>123</v>
      </c>
      <c r="G394" s="43" t="b">
        <v>0</v>
      </c>
      <c r="H394" s="43" t="b">
        <v>0</v>
      </c>
      <c r="I394" s="43"/>
      <c r="M394" s="48" t="s">
        <v>537</v>
      </c>
      <c r="N394" s="48">
        <v>17088570518</v>
      </c>
      <c r="O394" s="48">
        <v>17088567407</v>
      </c>
      <c r="P394" s="48" t="s">
        <v>123</v>
      </c>
      <c r="Q394" s="49" t="s">
        <v>537</v>
      </c>
      <c r="R394" s="49">
        <v>17083128177</v>
      </c>
      <c r="S394" s="49">
        <v>17083126376</v>
      </c>
      <c r="T394" s="49" t="s">
        <v>123</v>
      </c>
      <c r="U394" s="50" t="s">
        <v>537</v>
      </c>
      <c r="V394" s="50">
        <v>17083128177</v>
      </c>
      <c r="W394" s="50">
        <v>17083126376</v>
      </c>
      <c r="X394" s="50" t="s">
        <v>123</v>
      </c>
      <c r="Y394" s="50"/>
    </row>
    <row r="395" spans="1:25" x14ac:dyDescent="0.25">
      <c r="A395" s="25" t="s">
        <v>115</v>
      </c>
      <c r="B395" t="b">
        <v>0</v>
      </c>
      <c r="C395" s="43" t="s">
        <v>538</v>
      </c>
      <c r="D395" s="43">
        <v>321104</v>
      </c>
      <c r="E395" s="43">
        <v>303046</v>
      </c>
      <c r="F395" s="43" t="s">
        <v>117</v>
      </c>
      <c r="G395" s="43" t="b">
        <v>0</v>
      </c>
      <c r="H395" s="43" t="b">
        <v>0</v>
      </c>
      <c r="I395" s="43"/>
      <c r="M395" s="48" t="s">
        <v>538</v>
      </c>
      <c r="N395" s="48">
        <v>17088573142</v>
      </c>
      <c r="O395" s="48">
        <v>17088567343</v>
      </c>
      <c r="P395" s="48" t="s">
        <v>117</v>
      </c>
      <c r="Q395" s="49" t="s">
        <v>538</v>
      </c>
      <c r="R395" s="49">
        <v>17083126537</v>
      </c>
      <c r="S395" s="49">
        <v>17083126312</v>
      </c>
      <c r="T395" s="49" t="s">
        <v>117</v>
      </c>
      <c r="U395" s="50" t="s">
        <v>538</v>
      </c>
      <c r="V395" s="50">
        <v>17083126537</v>
      </c>
      <c r="W395" s="50">
        <v>17083126312</v>
      </c>
      <c r="X395" s="50" t="s">
        <v>117</v>
      </c>
      <c r="Y395" s="50"/>
    </row>
    <row r="396" spans="1:25" x14ac:dyDescent="0.25">
      <c r="A396" s="25" t="s">
        <v>115</v>
      </c>
      <c r="B396" t="b">
        <v>0</v>
      </c>
      <c r="C396" s="43" t="s">
        <v>539</v>
      </c>
      <c r="D396" s="43">
        <v>323152</v>
      </c>
      <c r="E396" s="43">
        <v>300666</v>
      </c>
      <c r="F396" s="43" t="s">
        <v>119</v>
      </c>
      <c r="G396" s="43" t="b">
        <v>0</v>
      </c>
      <c r="H396" s="43" t="b">
        <v>0</v>
      </c>
      <c r="I396" s="43"/>
      <c r="M396" s="48" t="s">
        <v>539</v>
      </c>
      <c r="N396" s="48">
        <v>17088572630</v>
      </c>
      <c r="O396" s="48">
        <v>17088569071</v>
      </c>
      <c r="P396" s="48" t="s">
        <v>119</v>
      </c>
      <c r="Q396" s="49" t="s">
        <v>539</v>
      </c>
      <c r="R396" s="49">
        <v>17083127305</v>
      </c>
      <c r="S396" s="49">
        <v>17083127272</v>
      </c>
      <c r="T396" s="49" t="s">
        <v>119</v>
      </c>
      <c r="U396" s="50" t="s">
        <v>539</v>
      </c>
      <c r="V396" s="50">
        <v>17083127305</v>
      </c>
      <c r="W396" s="50">
        <v>17083127272</v>
      </c>
      <c r="X396" s="50" t="s">
        <v>119</v>
      </c>
      <c r="Y396" s="50"/>
    </row>
    <row r="397" spans="1:25" x14ac:dyDescent="0.25">
      <c r="A397" s="25" t="s">
        <v>115</v>
      </c>
      <c r="B397" t="b">
        <v>0</v>
      </c>
      <c r="C397" s="43" t="s">
        <v>540</v>
      </c>
      <c r="D397" s="43">
        <v>319824</v>
      </c>
      <c r="E397" s="43">
        <v>300582</v>
      </c>
      <c r="F397" s="43" t="s">
        <v>117</v>
      </c>
      <c r="G397" s="43" t="b">
        <v>0</v>
      </c>
      <c r="H397" s="43" t="b">
        <v>0</v>
      </c>
      <c r="I397" s="43"/>
      <c r="M397" s="48" t="s">
        <v>540</v>
      </c>
      <c r="N397" s="48">
        <v>17088572438</v>
      </c>
      <c r="O397" s="48">
        <v>17088566735</v>
      </c>
      <c r="P397" s="48" t="s">
        <v>117</v>
      </c>
      <c r="Q397" s="49" t="s">
        <v>540</v>
      </c>
      <c r="R397" s="49">
        <v>17083125873</v>
      </c>
      <c r="S397" s="49">
        <v>17083128776</v>
      </c>
      <c r="T397" s="49" t="s">
        <v>117</v>
      </c>
      <c r="U397" s="50" t="s">
        <v>540</v>
      </c>
      <c r="V397" s="50">
        <v>17083125873</v>
      </c>
      <c r="W397" s="50">
        <v>17083128776</v>
      </c>
      <c r="X397" s="50" t="s">
        <v>117</v>
      </c>
      <c r="Y397" s="50"/>
    </row>
    <row r="398" spans="1:25" x14ac:dyDescent="0.25">
      <c r="A398" s="25" t="s">
        <v>248</v>
      </c>
      <c r="B398" t="b">
        <v>0</v>
      </c>
      <c r="C398" s="43" t="s">
        <v>541</v>
      </c>
      <c r="D398" s="43">
        <v>321872</v>
      </c>
      <c r="E398" s="43">
        <v>301214</v>
      </c>
      <c r="F398" s="43" t="s">
        <v>173</v>
      </c>
      <c r="G398" s="43" t="b">
        <v>0</v>
      </c>
      <c r="H398" s="43" t="b">
        <v>0</v>
      </c>
      <c r="I398" s="43"/>
      <c r="J398" s="45" t="s">
        <v>541</v>
      </c>
      <c r="K398" s="46">
        <v>301214</v>
      </c>
      <c r="M398" s="48" t="s">
        <v>541</v>
      </c>
      <c r="N398" s="48">
        <v>17088572082</v>
      </c>
      <c r="O398" s="48">
        <v>17088566837</v>
      </c>
      <c r="P398" s="48" t="s">
        <v>173</v>
      </c>
      <c r="Q398" s="49" t="s">
        <v>541</v>
      </c>
      <c r="R398" s="49">
        <v>17083126814</v>
      </c>
      <c r="S398" s="49">
        <v>17083124747</v>
      </c>
      <c r="T398" s="49" t="s">
        <v>173</v>
      </c>
      <c r="U398" s="50" t="s">
        <v>541</v>
      </c>
      <c r="V398" s="50">
        <v>17083126814</v>
      </c>
      <c r="W398" s="50">
        <v>17083124747</v>
      </c>
      <c r="X398" s="50" t="s">
        <v>173</v>
      </c>
      <c r="Y398" s="50"/>
    </row>
    <row r="399" spans="1:25" x14ac:dyDescent="0.25">
      <c r="A399" s="25" t="s">
        <v>115</v>
      </c>
      <c r="B399" t="b">
        <v>0</v>
      </c>
      <c r="C399" s="43" t="s">
        <v>542</v>
      </c>
      <c r="D399" s="43">
        <v>320848</v>
      </c>
      <c r="E399" s="43">
        <v>300289</v>
      </c>
      <c r="F399" s="43" t="s">
        <v>125</v>
      </c>
      <c r="G399" s="43" t="b">
        <v>1</v>
      </c>
      <c r="H399" s="43" t="b">
        <v>0</v>
      </c>
      <c r="I399" s="43"/>
      <c r="M399" s="48" t="s">
        <v>542</v>
      </c>
      <c r="N399" s="48">
        <v>17088571010</v>
      </c>
      <c r="O399" s="48">
        <v>17088568305</v>
      </c>
      <c r="P399" s="48" t="s">
        <v>125</v>
      </c>
      <c r="Q399" s="49" t="s">
        <v>542</v>
      </c>
      <c r="R399" s="49">
        <v>17083128846</v>
      </c>
      <c r="S399" s="49">
        <v>17083124717</v>
      </c>
      <c r="T399" s="49" t="s">
        <v>125</v>
      </c>
      <c r="U399" s="50" t="s">
        <v>542</v>
      </c>
      <c r="V399" s="50">
        <v>17083128846</v>
      </c>
      <c r="W399" s="50">
        <v>17083124717</v>
      </c>
      <c r="X399" s="50" t="s">
        <v>125</v>
      </c>
      <c r="Y399" s="50">
        <v>120380</v>
      </c>
    </row>
    <row r="400" spans="1:25" x14ac:dyDescent="0.25">
      <c r="A400" s="25" t="s">
        <v>115</v>
      </c>
      <c r="B400" t="b">
        <v>0</v>
      </c>
      <c r="C400" s="43" t="s">
        <v>543</v>
      </c>
      <c r="D400" s="43">
        <v>322896</v>
      </c>
      <c r="E400" s="43">
        <v>300922</v>
      </c>
      <c r="F400" s="43" t="s">
        <v>119</v>
      </c>
      <c r="G400" s="43" t="b">
        <v>0</v>
      </c>
      <c r="H400" s="43" t="b">
        <v>0</v>
      </c>
      <c r="I400" s="43"/>
      <c r="M400" s="48" t="s">
        <v>543</v>
      </c>
      <c r="N400" s="48">
        <v>17088570390</v>
      </c>
      <c r="O400" s="48">
        <v>17088569199</v>
      </c>
      <c r="P400" s="48" t="s">
        <v>119</v>
      </c>
      <c r="Q400" s="49" t="s">
        <v>543</v>
      </c>
      <c r="R400" s="49">
        <v>17083129777</v>
      </c>
      <c r="S400" s="49">
        <v>17083127016</v>
      </c>
      <c r="T400" s="49" t="s">
        <v>119</v>
      </c>
      <c r="U400" s="50" t="s">
        <v>543</v>
      </c>
      <c r="V400" s="50">
        <v>17083129777</v>
      </c>
      <c r="W400" s="50">
        <v>17083127016</v>
      </c>
      <c r="X400" s="50" t="s">
        <v>119</v>
      </c>
      <c r="Y400" s="50"/>
    </row>
    <row r="401" spans="1:25" x14ac:dyDescent="0.25">
      <c r="A401" s="25" t="s">
        <v>115</v>
      </c>
      <c r="B401" t="b">
        <v>0</v>
      </c>
      <c r="C401" s="43" t="s">
        <v>544</v>
      </c>
      <c r="D401" s="43">
        <v>320336</v>
      </c>
      <c r="E401" s="43">
        <v>301766</v>
      </c>
      <c r="F401" s="43" t="s">
        <v>119</v>
      </c>
      <c r="G401" s="43" t="b">
        <v>0</v>
      </c>
      <c r="H401" s="43" t="b">
        <v>0</v>
      </c>
      <c r="I401" s="43"/>
      <c r="M401" s="48" t="s">
        <v>544</v>
      </c>
      <c r="N401" s="48">
        <v>17088571990</v>
      </c>
      <c r="O401" s="48">
        <v>17088569135</v>
      </c>
      <c r="P401" s="48" t="s">
        <v>119</v>
      </c>
      <c r="Q401" s="49" t="s">
        <v>544</v>
      </c>
      <c r="R401" s="49">
        <v>17083126769</v>
      </c>
      <c r="S401" s="49">
        <v>17083126952</v>
      </c>
      <c r="T401" s="49" t="s">
        <v>119</v>
      </c>
      <c r="U401" s="50" t="s">
        <v>544</v>
      </c>
      <c r="V401" s="50">
        <v>17083126769</v>
      </c>
      <c r="W401" s="50">
        <v>17083126952</v>
      </c>
      <c r="X401" s="50" t="s">
        <v>119</v>
      </c>
      <c r="Y401" s="50"/>
    </row>
    <row r="402" spans="1:25" x14ac:dyDescent="0.25">
      <c r="A402" s="25" t="s">
        <v>115</v>
      </c>
      <c r="B402" t="b">
        <v>0</v>
      </c>
      <c r="C402" s="43" t="s">
        <v>545</v>
      </c>
      <c r="D402" s="43">
        <v>322384</v>
      </c>
      <c r="E402" s="43">
        <v>302438</v>
      </c>
      <c r="F402" s="43" t="s">
        <v>119</v>
      </c>
      <c r="G402" s="43" t="b">
        <v>0</v>
      </c>
      <c r="H402" s="43" t="b">
        <v>0</v>
      </c>
      <c r="I402" s="43"/>
      <c r="M402" s="48" t="s">
        <v>545</v>
      </c>
      <c r="N402" s="48">
        <v>17088571414</v>
      </c>
      <c r="O402" s="48">
        <v>17088567503</v>
      </c>
      <c r="P402" s="48" t="s">
        <v>119</v>
      </c>
      <c r="Q402" s="49" t="s">
        <v>545</v>
      </c>
      <c r="R402" s="49">
        <v>17083127729</v>
      </c>
      <c r="S402" s="49">
        <v>17083126472</v>
      </c>
      <c r="T402" s="49" t="s">
        <v>119</v>
      </c>
      <c r="U402" s="50" t="s">
        <v>545</v>
      </c>
      <c r="V402" s="50">
        <v>17083127729</v>
      </c>
      <c r="W402" s="50">
        <v>17083126472</v>
      </c>
      <c r="X402" s="50" t="s">
        <v>119</v>
      </c>
      <c r="Y402" s="50"/>
    </row>
    <row r="403" spans="1:25" x14ac:dyDescent="0.25">
      <c r="A403" s="25" t="s">
        <v>115</v>
      </c>
      <c r="B403" t="b">
        <v>0</v>
      </c>
      <c r="C403" s="43" t="s">
        <v>546</v>
      </c>
      <c r="D403" s="43">
        <v>321360</v>
      </c>
      <c r="E403" s="43">
        <v>299630</v>
      </c>
      <c r="F403" s="43" t="s">
        <v>123</v>
      </c>
      <c r="G403" s="43" t="b">
        <v>0</v>
      </c>
      <c r="H403" s="43" t="b">
        <v>0</v>
      </c>
      <c r="I403" s="43"/>
      <c r="M403" s="48" t="s">
        <v>546</v>
      </c>
      <c r="N403" s="48">
        <v>17088572466</v>
      </c>
      <c r="O403" s="48">
        <v>17088567605</v>
      </c>
      <c r="P403" s="48" t="s">
        <v>123</v>
      </c>
      <c r="Q403" s="49" t="s">
        <v>546</v>
      </c>
      <c r="R403" s="49">
        <v>17083127022</v>
      </c>
      <c r="S403" s="49">
        <v>17083123211</v>
      </c>
      <c r="T403" s="49" t="s">
        <v>123</v>
      </c>
      <c r="U403" s="50" t="s">
        <v>546</v>
      </c>
      <c r="V403" s="50">
        <v>17083127022</v>
      </c>
      <c r="W403" s="50">
        <v>17083123211</v>
      </c>
      <c r="X403" s="50" t="s">
        <v>123</v>
      </c>
      <c r="Y403" s="50"/>
    </row>
    <row r="404" spans="1:25" x14ac:dyDescent="0.25">
      <c r="A404" s="25" t="s">
        <v>115</v>
      </c>
      <c r="B404" t="b">
        <v>0</v>
      </c>
      <c r="C404" s="43" t="s">
        <v>547</v>
      </c>
      <c r="D404" s="43">
        <v>323408</v>
      </c>
      <c r="E404" s="43">
        <v>302598</v>
      </c>
      <c r="F404" s="43" t="s">
        <v>123</v>
      </c>
      <c r="G404" s="43" t="b">
        <v>0</v>
      </c>
      <c r="H404" s="43" t="b">
        <v>0</v>
      </c>
      <c r="I404" s="43"/>
      <c r="M404" s="48" t="s">
        <v>547</v>
      </c>
      <c r="N404" s="48">
        <v>17088570582</v>
      </c>
      <c r="O404" s="48">
        <v>17088566703</v>
      </c>
      <c r="P404" s="48" t="s">
        <v>123</v>
      </c>
      <c r="Q404" s="49" t="s">
        <v>547</v>
      </c>
      <c r="R404" s="49">
        <v>17083128329</v>
      </c>
      <c r="S404" s="49">
        <v>17083128744</v>
      </c>
      <c r="T404" s="49" t="s">
        <v>123</v>
      </c>
      <c r="U404" s="50" t="s">
        <v>547</v>
      </c>
      <c r="V404" s="50">
        <v>17083128329</v>
      </c>
      <c r="W404" s="50">
        <v>17083128744</v>
      </c>
      <c r="X404" s="50" t="s">
        <v>123</v>
      </c>
      <c r="Y404" s="50"/>
    </row>
    <row r="405" spans="1:25" x14ac:dyDescent="0.25">
      <c r="A405" s="25" t="s">
        <v>115</v>
      </c>
      <c r="B405" t="b">
        <v>0</v>
      </c>
      <c r="C405" s="43" t="s">
        <v>548</v>
      </c>
      <c r="D405" s="43">
        <v>319696</v>
      </c>
      <c r="E405" s="43">
        <v>302222</v>
      </c>
      <c r="F405" s="43" t="s">
        <v>132</v>
      </c>
      <c r="G405" s="43" t="b">
        <v>0</v>
      </c>
      <c r="H405" s="43" t="b">
        <v>0</v>
      </c>
      <c r="I405" s="43"/>
      <c r="M405" s="48" t="s">
        <v>548</v>
      </c>
      <c r="N405" s="48">
        <v>17088572906</v>
      </c>
      <c r="O405" s="48">
        <v>17088569235</v>
      </c>
      <c r="P405" s="48" t="s">
        <v>132</v>
      </c>
      <c r="Q405" s="49" t="s">
        <v>548</v>
      </c>
      <c r="R405" s="49">
        <v>17083126782</v>
      </c>
      <c r="S405" s="49">
        <v>17083122903</v>
      </c>
      <c r="T405" s="49" t="s">
        <v>132</v>
      </c>
      <c r="U405" s="50" t="s">
        <v>548</v>
      </c>
      <c r="V405" s="50">
        <v>17083126782</v>
      </c>
      <c r="W405" s="50">
        <v>17083122903</v>
      </c>
      <c r="X405" s="50" t="s">
        <v>132</v>
      </c>
      <c r="Y405" s="50"/>
    </row>
    <row r="406" spans="1:25" x14ac:dyDescent="0.25">
      <c r="A406" s="25" t="s">
        <v>115</v>
      </c>
      <c r="B406" t="b">
        <v>0</v>
      </c>
      <c r="C406" s="43" t="s">
        <v>549</v>
      </c>
      <c r="D406" s="43">
        <v>20112578875</v>
      </c>
      <c r="E406" s="43">
        <v>20112579947</v>
      </c>
      <c r="F406" s="43" t="s">
        <v>186</v>
      </c>
      <c r="G406" s="43" t="b">
        <v>0</v>
      </c>
      <c r="H406" s="43" t="b">
        <v>0</v>
      </c>
      <c r="I406" s="43"/>
      <c r="M406" s="48" t="s">
        <v>549</v>
      </c>
      <c r="N406" s="48">
        <v>17088570622</v>
      </c>
      <c r="O406" s="48">
        <v>17088562727</v>
      </c>
      <c r="P406" s="48" t="s">
        <v>186</v>
      </c>
      <c r="Q406" s="49" t="s">
        <v>549</v>
      </c>
      <c r="R406" s="49">
        <v>17083127122</v>
      </c>
      <c r="S406" s="49">
        <v>17083122936</v>
      </c>
      <c r="T406" s="49" t="s">
        <v>186</v>
      </c>
      <c r="U406" s="50" t="s">
        <v>549</v>
      </c>
      <c r="V406" s="50">
        <v>17083127122</v>
      </c>
      <c r="W406" s="50">
        <v>17083122936</v>
      </c>
      <c r="X406" s="50" t="s">
        <v>186</v>
      </c>
      <c r="Y406" s="50"/>
    </row>
    <row r="407" spans="1:25" x14ac:dyDescent="0.25">
      <c r="A407" s="25" t="s">
        <v>115</v>
      </c>
      <c r="B407" t="b">
        <v>0</v>
      </c>
      <c r="C407" s="43" t="s">
        <v>550</v>
      </c>
      <c r="D407" s="43">
        <v>20112577851</v>
      </c>
      <c r="E407" s="43">
        <v>20112578411</v>
      </c>
      <c r="F407" s="43" t="s">
        <v>125</v>
      </c>
      <c r="G407" s="43" t="b">
        <v>0</v>
      </c>
      <c r="H407" s="43" t="b">
        <v>0</v>
      </c>
      <c r="I407" s="43"/>
      <c r="M407" s="48" t="s">
        <v>550</v>
      </c>
      <c r="N407" s="48">
        <v>17088571713</v>
      </c>
      <c r="O407" s="48">
        <v>17088562715</v>
      </c>
      <c r="P407" s="48" t="s">
        <v>125</v>
      </c>
      <c r="Q407" s="49" t="s">
        <v>550</v>
      </c>
      <c r="R407" s="49">
        <v>17083128146</v>
      </c>
      <c r="S407" s="49">
        <v>17083124680</v>
      </c>
      <c r="T407" s="49" t="s">
        <v>125</v>
      </c>
      <c r="U407" s="50" t="s">
        <v>550</v>
      </c>
      <c r="V407" s="50">
        <v>17083128146</v>
      </c>
      <c r="W407" s="50">
        <v>17083124680</v>
      </c>
      <c r="X407" s="50" t="s">
        <v>125</v>
      </c>
      <c r="Y407" s="50"/>
    </row>
    <row r="408" spans="1:25" x14ac:dyDescent="0.25">
      <c r="A408" s="25" t="s">
        <v>115</v>
      </c>
      <c r="B408" t="b">
        <v>0</v>
      </c>
      <c r="C408" s="43" t="s">
        <v>551</v>
      </c>
      <c r="D408" s="43">
        <v>20112577339</v>
      </c>
      <c r="E408" s="43">
        <v>20112577259</v>
      </c>
      <c r="F408" s="43" t="s">
        <v>125</v>
      </c>
      <c r="G408" s="43" t="b">
        <v>0</v>
      </c>
      <c r="H408" s="43" t="b">
        <v>0</v>
      </c>
      <c r="I408" s="43"/>
      <c r="J408" s="45" t="s">
        <v>551</v>
      </c>
      <c r="K408" s="46">
        <v>20112577259</v>
      </c>
      <c r="L408" s="47">
        <v>990000553</v>
      </c>
      <c r="M408" s="48" t="s">
        <v>551</v>
      </c>
      <c r="N408" s="48">
        <v>17088570049</v>
      </c>
      <c r="O408" s="48">
        <v>17088564251</v>
      </c>
      <c r="P408" s="48" t="s">
        <v>125</v>
      </c>
      <c r="Q408" s="49" t="s">
        <v>551</v>
      </c>
      <c r="R408" s="49">
        <v>17083128754</v>
      </c>
      <c r="S408" s="49">
        <v>17083123144</v>
      </c>
      <c r="T408" s="49" t="s">
        <v>125</v>
      </c>
      <c r="U408" s="50" t="s">
        <v>551</v>
      </c>
      <c r="V408" s="50">
        <v>17083128754</v>
      </c>
      <c r="W408" s="50">
        <v>17083123144</v>
      </c>
      <c r="X408" s="50" t="s">
        <v>125</v>
      </c>
      <c r="Y408" s="50"/>
    </row>
    <row r="409" spans="1:25" x14ac:dyDescent="0.25">
      <c r="A409" s="25" t="s">
        <v>115</v>
      </c>
      <c r="B409" t="b">
        <v>0</v>
      </c>
      <c r="C409" s="43" t="s">
        <v>552</v>
      </c>
      <c r="D409" s="43">
        <v>20112579387</v>
      </c>
      <c r="E409" s="43">
        <v>20112580331</v>
      </c>
      <c r="F409" s="43" t="s">
        <v>186</v>
      </c>
      <c r="G409" s="43" t="b">
        <v>0</v>
      </c>
      <c r="H409" s="43" t="b">
        <v>0</v>
      </c>
      <c r="I409" s="43"/>
      <c r="J409" s="45" t="s">
        <v>552</v>
      </c>
      <c r="K409" s="46">
        <v>20112580331</v>
      </c>
      <c r="L409" s="47">
        <v>990000554</v>
      </c>
      <c r="M409" s="48" t="s">
        <v>552</v>
      </c>
      <c r="N409" s="48">
        <v>17088569409</v>
      </c>
      <c r="O409" s="48">
        <v>17088562935</v>
      </c>
      <c r="P409" s="48" t="s">
        <v>186</v>
      </c>
      <c r="Q409" s="49" t="s">
        <v>552</v>
      </c>
      <c r="R409" s="49">
        <v>17083128434</v>
      </c>
      <c r="S409" s="49">
        <v>17083122068</v>
      </c>
      <c r="T409" s="49" t="s">
        <v>186</v>
      </c>
      <c r="U409" s="50" t="s">
        <v>552</v>
      </c>
      <c r="V409" s="50">
        <v>17083128434</v>
      </c>
      <c r="W409" s="50">
        <v>17083122068</v>
      </c>
      <c r="X409" s="50" t="s">
        <v>186</v>
      </c>
      <c r="Y409" s="50"/>
    </row>
    <row r="410" spans="1:25" x14ac:dyDescent="0.25">
      <c r="A410" s="25" t="s">
        <v>115</v>
      </c>
      <c r="B410" t="b">
        <v>0</v>
      </c>
      <c r="C410" s="43" t="s">
        <v>553</v>
      </c>
      <c r="D410" s="43">
        <v>20112578363</v>
      </c>
      <c r="E410" s="43">
        <v>20112578027</v>
      </c>
      <c r="F410" s="43" t="s">
        <v>125</v>
      </c>
      <c r="G410" s="43" t="b">
        <v>0</v>
      </c>
      <c r="H410" s="43" t="b">
        <v>0</v>
      </c>
      <c r="I410" s="43"/>
      <c r="M410" s="48" t="s">
        <v>553</v>
      </c>
      <c r="N410" s="48">
        <v>17088572414</v>
      </c>
      <c r="O410" s="48">
        <v>17088561843</v>
      </c>
      <c r="P410" s="48" t="s">
        <v>125</v>
      </c>
      <c r="Q410" s="49" t="s">
        <v>553</v>
      </c>
      <c r="R410" s="49">
        <v>17083128722</v>
      </c>
      <c r="S410" s="49">
        <v>17083123984</v>
      </c>
      <c r="T410" s="49" t="s">
        <v>125</v>
      </c>
      <c r="U410" s="50" t="s">
        <v>553</v>
      </c>
      <c r="V410" s="50">
        <v>17083128722</v>
      </c>
      <c r="W410" s="50">
        <v>17083123984</v>
      </c>
      <c r="X410" s="50" t="s">
        <v>125</v>
      </c>
      <c r="Y410" s="50"/>
    </row>
    <row r="411" spans="1:25" x14ac:dyDescent="0.25">
      <c r="A411" s="25" t="s">
        <v>115</v>
      </c>
      <c r="B411" t="b">
        <v>0</v>
      </c>
      <c r="C411" s="43" t="s">
        <v>554</v>
      </c>
      <c r="D411" s="43">
        <v>20112576699</v>
      </c>
      <c r="E411" s="43">
        <v>20112576539</v>
      </c>
      <c r="F411" s="43" t="s">
        <v>125</v>
      </c>
      <c r="G411" s="43" t="b">
        <v>0</v>
      </c>
      <c r="H411" s="43" t="b">
        <v>0</v>
      </c>
      <c r="I411" s="43"/>
      <c r="M411" s="48" t="s">
        <v>554</v>
      </c>
      <c r="N411" s="48">
        <v>17088570497</v>
      </c>
      <c r="O411" s="48">
        <v>17088561179</v>
      </c>
      <c r="P411" s="48" t="s">
        <v>125</v>
      </c>
      <c r="Q411" s="49" t="s">
        <v>554</v>
      </c>
      <c r="R411" s="49">
        <v>17083126226</v>
      </c>
      <c r="S411" s="49">
        <v>17083125448</v>
      </c>
      <c r="T411" s="49" t="s">
        <v>125</v>
      </c>
      <c r="U411" s="50" t="s">
        <v>554</v>
      </c>
      <c r="V411" s="50">
        <v>17083126226</v>
      </c>
      <c r="W411" s="50">
        <v>17083125448</v>
      </c>
      <c r="X411" s="50" t="s">
        <v>125</v>
      </c>
      <c r="Y411" s="50"/>
    </row>
    <row r="412" spans="1:25" x14ac:dyDescent="0.25">
      <c r="A412" s="25" t="s">
        <v>115</v>
      </c>
      <c r="B412" t="b">
        <v>0</v>
      </c>
      <c r="C412" s="43" t="s">
        <v>555</v>
      </c>
      <c r="D412" s="43">
        <v>20112578747</v>
      </c>
      <c r="E412" s="43">
        <v>20112579611</v>
      </c>
      <c r="F412" s="43" t="s">
        <v>186</v>
      </c>
      <c r="G412" s="43" t="b">
        <v>0</v>
      </c>
      <c r="H412" s="43" t="b">
        <v>0</v>
      </c>
      <c r="I412" s="43"/>
      <c r="M412" s="48" t="s">
        <v>555</v>
      </c>
      <c r="N412" s="48">
        <v>17088573313</v>
      </c>
      <c r="O412" s="48">
        <v>17088564471</v>
      </c>
      <c r="P412" s="48" t="s">
        <v>186</v>
      </c>
      <c r="Q412" s="49" t="s">
        <v>555</v>
      </c>
      <c r="R412" s="49">
        <v>17083126538</v>
      </c>
      <c r="S412" s="49">
        <v>17083124372</v>
      </c>
      <c r="T412" s="49" t="s">
        <v>186</v>
      </c>
      <c r="U412" s="50" t="s">
        <v>555</v>
      </c>
      <c r="V412" s="50">
        <v>17083126538</v>
      </c>
      <c r="W412" s="50">
        <v>17083124372</v>
      </c>
      <c r="X412" s="50" t="s">
        <v>186</v>
      </c>
      <c r="Y412" s="50"/>
    </row>
    <row r="413" spans="1:25" x14ac:dyDescent="0.25">
      <c r="A413" s="25" t="s">
        <v>115</v>
      </c>
      <c r="B413" t="b">
        <v>0</v>
      </c>
      <c r="C413" s="43" t="s">
        <v>556</v>
      </c>
      <c r="D413" s="43">
        <v>20112579771</v>
      </c>
      <c r="E413" s="43">
        <v>20112578843</v>
      </c>
      <c r="F413" s="43" t="s">
        <v>186</v>
      </c>
      <c r="G413" s="43" t="b">
        <v>0</v>
      </c>
      <c r="H413" s="43" t="b">
        <v>0</v>
      </c>
      <c r="I413" s="43"/>
      <c r="M413" s="48" t="s">
        <v>556</v>
      </c>
      <c r="N413" s="48">
        <v>17088570817</v>
      </c>
      <c r="O413" s="48">
        <v>17088561399</v>
      </c>
      <c r="P413" s="48" t="s">
        <v>186</v>
      </c>
      <c r="Q413" s="49" t="s">
        <v>556</v>
      </c>
      <c r="R413" s="49">
        <v>17083129842</v>
      </c>
      <c r="S413" s="49">
        <v>17083122836</v>
      </c>
      <c r="T413" s="49" t="s">
        <v>186</v>
      </c>
      <c r="U413" s="50" t="s">
        <v>556</v>
      </c>
      <c r="V413" s="50">
        <v>17083129842</v>
      </c>
      <c r="W413" s="50">
        <v>17083122836</v>
      </c>
      <c r="X413" s="50" t="s">
        <v>186</v>
      </c>
      <c r="Y413" s="50"/>
    </row>
    <row r="414" spans="1:25" x14ac:dyDescent="0.25">
      <c r="A414" s="25" t="s">
        <v>115</v>
      </c>
      <c r="B414" t="b">
        <v>0</v>
      </c>
      <c r="C414" s="43" t="s">
        <v>557</v>
      </c>
      <c r="D414" s="43">
        <v>20112577211</v>
      </c>
      <c r="E414" s="43">
        <v>20112577307</v>
      </c>
      <c r="F414" s="43" t="s">
        <v>125</v>
      </c>
      <c r="G414" s="43" t="b">
        <v>0</v>
      </c>
      <c r="H414" s="43" t="b">
        <v>0</v>
      </c>
      <c r="I414" s="43"/>
      <c r="M414" s="48" t="s">
        <v>557</v>
      </c>
      <c r="N414" s="48">
        <v>17088571393</v>
      </c>
      <c r="O414" s="48">
        <v>17088563379</v>
      </c>
      <c r="P414" s="48" t="s">
        <v>125</v>
      </c>
      <c r="Q414" s="49" t="s">
        <v>557</v>
      </c>
      <c r="R414" s="49">
        <v>17083128594</v>
      </c>
      <c r="S414" s="49">
        <v>17083123216</v>
      </c>
      <c r="T414" s="49" t="s">
        <v>125</v>
      </c>
      <c r="U414" s="50" t="s">
        <v>557</v>
      </c>
      <c r="V414" s="50">
        <v>17083128594</v>
      </c>
      <c r="W414" s="50">
        <v>17083123216</v>
      </c>
      <c r="X414" s="50" t="s">
        <v>125</v>
      </c>
      <c r="Y414" s="50"/>
    </row>
    <row r="415" spans="1:25" x14ac:dyDescent="0.25">
      <c r="A415" s="25" t="s">
        <v>115</v>
      </c>
      <c r="B415" t="b">
        <v>0</v>
      </c>
      <c r="C415" s="43" t="s">
        <v>558</v>
      </c>
      <c r="D415" s="43">
        <v>20112579259</v>
      </c>
      <c r="E415" s="43">
        <v>20112580379</v>
      </c>
      <c r="F415" s="43" t="s">
        <v>186</v>
      </c>
      <c r="G415" s="43" t="b">
        <v>0</v>
      </c>
      <c r="H415" s="43" t="b">
        <v>0</v>
      </c>
      <c r="I415" s="43"/>
      <c r="M415" s="48" t="s">
        <v>558</v>
      </c>
      <c r="N415" s="48">
        <v>17088571646</v>
      </c>
      <c r="O415" s="48">
        <v>17088561191</v>
      </c>
      <c r="P415" s="48" t="s">
        <v>186</v>
      </c>
      <c r="Q415" s="49" t="s">
        <v>558</v>
      </c>
      <c r="R415" s="49">
        <v>17083125810</v>
      </c>
      <c r="S415" s="49">
        <v>17083122552</v>
      </c>
      <c r="T415" s="49" t="s">
        <v>186</v>
      </c>
      <c r="U415" s="50" t="s">
        <v>558</v>
      </c>
      <c r="V415" s="50">
        <v>17083125810</v>
      </c>
      <c r="W415" s="50">
        <v>17083122552</v>
      </c>
      <c r="X415" s="50" t="s">
        <v>186</v>
      </c>
      <c r="Y415" s="50"/>
    </row>
    <row r="416" spans="1:25" x14ac:dyDescent="0.25">
      <c r="A416" s="25" t="s">
        <v>115</v>
      </c>
      <c r="B416" t="b">
        <v>0</v>
      </c>
      <c r="C416" s="43" t="s">
        <v>559</v>
      </c>
      <c r="D416" s="43">
        <v>20112578235</v>
      </c>
      <c r="E416" s="43">
        <v>20112577691</v>
      </c>
      <c r="F416" s="43" t="s">
        <v>125</v>
      </c>
      <c r="G416" s="43" t="b">
        <v>0</v>
      </c>
      <c r="H416" s="43" t="b">
        <v>0</v>
      </c>
      <c r="I416" s="43"/>
      <c r="M416" s="48" t="s">
        <v>559</v>
      </c>
      <c r="N416" s="48">
        <v>17088570561</v>
      </c>
      <c r="O416" s="48">
        <v>17088562667</v>
      </c>
      <c r="P416" s="48" t="s">
        <v>125</v>
      </c>
      <c r="Q416" s="49" t="s">
        <v>559</v>
      </c>
      <c r="R416" s="49">
        <v>17083126706</v>
      </c>
      <c r="S416" s="49">
        <v>17083123912</v>
      </c>
      <c r="T416" s="49" t="s">
        <v>125</v>
      </c>
      <c r="U416" s="50" t="s">
        <v>559</v>
      </c>
      <c r="V416" s="50">
        <v>17083126706</v>
      </c>
      <c r="W416" s="50">
        <v>17083123912</v>
      </c>
      <c r="X416" s="50" t="s">
        <v>125</v>
      </c>
      <c r="Y416" s="50"/>
    </row>
    <row r="417" spans="1:25" x14ac:dyDescent="0.25">
      <c r="A417" s="25" t="s">
        <v>115</v>
      </c>
      <c r="B417" t="b">
        <v>0</v>
      </c>
      <c r="C417" s="43" t="s">
        <v>560</v>
      </c>
      <c r="D417" s="43">
        <v>20112580283</v>
      </c>
      <c r="E417" s="43">
        <v>20112579227</v>
      </c>
      <c r="F417" s="43" t="s">
        <v>186</v>
      </c>
      <c r="G417" s="43" t="b">
        <v>0</v>
      </c>
      <c r="H417" s="43" t="b">
        <v>0</v>
      </c>
      <c r="I417" s="43"/>
      <c r="M417" s="48" t="s">
        <v>560</v>
      </c>
      <c r="N417" s="48">
        <v>17088572801</v>
      </c>
      <c r="O417" s="48">
        <v>17088564087</v>
      </c>
      <c r="P417" s="48" t="s">
        <v>186</v>
      </c>
      <c r="Q417" s="49" t="s">
        <v>560</v>
      </c>
      <c r="R417" s="49">
        <v>17083126002</v>
      </c>
      <c r="S417" s="49">
        <v>17083125524</v>
      </c>
      <c r="T417" s="49" t="s">
        <v>186</v>
      </c>
      <c r="U417" s="50" t="s">
        <v>560</v>
      </c>
      <c r="V417" s="50">
        <v>17083126002</v>
      </c>
      <c r="W417" s="50">
        <v>17083125524</v>
      </c>
      <c r="X417" s="50" t="s">
        <v>186</v>
      </c>
      <c r="Y417" s="50"/>
    </row>
    <row r="418" spans="1:25" x14ac:dyDescent="0.25">
      <c r="A418" s="25" t="s">
        <v>115</v>
      </c>
      <c r="B418" t="b">
        <v>0</v>
      </c>
      <c r="C418" s="43" t="s">
        <v>561</v>
      </c>
      <c r="D418" s="43">
        <v>20112576955</v>
      </c>
      <c r="E418" s="43">
        <v>20112576923</v>
      </c>
      <c r="F418" s="43" t="s">
        <v>125</v>
      </c>
      <c r="G418" s="43" t="b">
        <v>0</v>
      </c>
      <c r="H418" s="43" t="b">
        <v>0</v>
      </c>
      <c r="I418" s="43"/>
      <c r="M418" s="48" t="s">
        <v>561</v>
      </c>
      <c r="N418" s="48">
        <v>17088572161</v>
      </c>
      <c r="O418" s="48">
        <v>17088564971</v>
      </c>
      <c r="P418" s="48" t="s">
        <v>125</v>
      </c>
      <c r="Q418" s="49" t="s">
        <v>561</v>
      </c>
      <c r="R418" s="49">
        <v>17083128626</v>
      </c>
      <c r="S418" s="49">
        <v>17083123528</v>
      </c>
      <c r="T418" s="49" t="s">
        <v>125</v>
      </c>
      <c r="U418" s="50" t="s">
        <v>561</v>
      </c>
      <c r="V418" s="50">
        <v>17083128626</v>
      </c>
      <c r="W418" s="50">
        <v>17083123528</v>
      </c>
      <c r="X418" s="50" t="s">
        <v>125</v>
      </c>
      <c r="Y418" s="50"/>
    </row>
    <row r="419" spans="1:25" x14ac:dyDescent="0.25">
      <c r="A419" s="25" t="s">
        <v>115</v>
      </c>
      <c r="B419" t="b">
        <v>0</v>
      </c>
      <c r="C419" s="43" t="s">
        <v>562</v>
      </c>
      <c r="D419" s="43">
        <v>20112579003</v>
      </c>
      <c r="E419" s="43">
        <v>20112579995</v>
      </c>
      <c r="F419" s="43" t="s">
        <v>186</v>
      </c>
      <c r="G419" s="43" t="b">
        <v>0</v>
      </c>
      <c r="H419" s="43" t="b">
        <v>0</v>
      </c>
      <c r="I419" s="43"/>
      <c r="M419" s="48" t="s">
        <v>562</v>
      </c>
      <c r="N419" s="48">
        <v>17088571585</v>
      </c>
      <c r="O419" s="48">
        <v>17088562551</v>
      </c>
      <c r="P419" s="48" t="s">
        <v>186</v>
      </c>
      <c r="Q419" s="49" t="s">
        <v>562</v>
      </c>
      <c r="R419" s="49">
        <v>17083127538</v>
      </c>
      <c r="S419" s="49">
        <v>17083122452</v>
      </c>
      <c r="T419" s="49" t="s">
        <v>186</v>
      </c>
      <c r="U419" s="50" t="s">
        <v>562</v>
      </c>
      <c r="V419" s="50">
        <v>17083127538</v>
      </c>
      <c r="W419" s="50">
        <v>17083122452</v>
      </c>
      <c r="X419" s="50" t="s">
        <v>186</v>
      </c>
      <c r="Y419" s="50"/>
    </row>
    <row r="420" spans="1:25" x14ac:dyDescent="0.25">
      <c r="A420" s="25" t="s">
        <v>115</v>
      </c>
      <c r="B420" t="b">
        <v>0</v>
      </c>
      <c r="C420" s="43" t="s">
        <v>563</v>
      </c>
      <c r="D420" s="43">
        <v>20112577979</v>
      </c>
      <c r="E420" s="43">
        <v>20112578459</v>
      </c>
      <c r="F420" s="43" t="s">
        <v>125</v>
      </c>
      <c r="G420" s="43" t="b">
        <v>0</v>
      </c>
      <c r="H420" s="43" t="b">
        <v>0</v>
      </c>
      <c r="I420" s="43"/>
      <c r="M420" s="48" t="s">
        <v>563</v>
      </c>
      <c r="N420" s="48">
        <v>17088571006</v>
      </c>
      <c r="O420" s="48">
        <v>17088562995</v>
      </c>
      <c r="P420" s="48" t="s">
        <v>125</v>
      </c>
      <c r="Q420" s="49" t="s">
        <v>563</v>
      </c>
      <c r="R420" s="49">
        <v>17083127058</v>
      </c>
      <c r="S420" s="49">
        <v>17083124752</v>
      </c>
      <c r="T420" s="49" t="s">
        <v>125</v>
      </c>
      <c r="U420" s="50" t="s">
        <v>563</v>
      </c>
      <c r="V420" s="50">
        <v>17083127058</v>
      </c>
      <c r="W420" s="50">
        <v>17083124752</v>
      </c>
      <c r="X420" s="50" t="s">
        <v>125</v>
      </c>
      <c r="Y420" s="50"/>
    </row>
    <row r="421" spans="1:25" x14ac:dyDescent="0.25">
      <c r="A421" s="25" t="s">
        <v>115</v>
      </c>
      <c r="B421" t="b">
        <v>0</v>
      </c>
      <c r="C421" s="43" t="s">
        <v>564</v>
      </c>
      <c r="D421" s="43">
        <v>20112580027</v>
      </c>
      <c r="E421" s="43">
        <v>20112578651</v>
      </c>
      <c r="F421" s="43" t="s">
        <v>186</v>
      </c>
      <c r="G421" s="43" t="b">
        <v>0</v>
      </c>
      <c r="H421" s="43" t="b">
        <v>0</v>
      </c>
      <c r="I421" s="43"/>
      <c r="M421" s="48" t="s">
        <v>564</v>
      </c>
      <c r="N421" s="48">
        <v>17088569598</v>
      </c>
      <c r="O421" s="48">
        <v>17088564167</v>
      </c>
      <c r="P421" s="48" t="s">
        <v>186</v>
      </c>
      <c r="Q421" s="49" t="s">
        <v>564</v>
      </c>
      <c r="R421" s="49">
        <v>17083129554</v>
      </c>
      <c r="S421" s="49">
        <v>17083124088</v>
      </c>
      <c r="T421" s="49" t="s">
        <v>186</v>
      </c>
      <c r="U421" s="50" t="s">
        <v>564</v>
      </c>
      <c r="V421" s="50">
        <v>17083129554</v>
      </c>
      <c r="W421" s="50">
        <v>17083124088</v>
      </c>
      <c r="X421" s="50" t="s">
        <v>186</v>
      </c>
      <c r="Y421" s="50"/>
    </row>
    <row r="422" spans="1:25" x14ac:dyDescent="0.25">
      <c r="A422" s="25" t="s">
        <v>115</v>
      </c>
      <c r="B422" t="b">
        <v>0</v>
      </c>
      <c r="C422" s="43" t="s">
        <v>565</v>
      </c>
      <c r="D422" s="43">
        <v>20112577467</v>
      </c>
      <c r="E422" s="43">
        <v>20112577115</v>
      </c>
      <c r="F422" s="43" t="s">
        <v>125</v>
      </c>
      <c r="G422" s="43" t="b">
        <v>0</v>
      </c>
      <c r="H422" s="43" t="b">
        <v>0</v>
      </c>
      <c r="I422" s="43"/>
      <c r="M422" s="48" t="s">
        <v>565</v>
      </c>
      <c r="N422" s="48">
        <v>17088570753</v>
      </c>
      <c r="O422" s="48">
        <v>17088561899</v>
      </c>
      <c r="P422" s="48" t="s">
        <v>125</v>
      </c>
      <c r="Q422" s="49" t="s">
        <v>565</v>
      </c>
      <c r="R422" s="49">
        <v>17083126994</v>
      </c>
      <c r="S422" s="49">
        <v>17083125064</v>
      </c>
      <c r="T422" s="49" t="s">
        <v>125</v>
      </c>
      <c r="U422" s="50" t="s">
        <v>565</v>
      </c>
      <c r="V422" s="50">
        <v>17083126994</v>
      </c>
      <c r="W422" s="50">
        <v>17083125064</v>
      </c>
      <c r="X422" s="50" t="s">
        <v>125</v>
      </c>
      <c r="Y422" s="50"/>
    </row>
    <row r="423" spans="1:25" x14ac:dyDescent="0.25">
      <c r="A423" s="25" t="s">
        <v>115</v>
      </c>
      <c r="B423" t="b">
        <v>0</v>
      </c>
      <c r="C423" s="43" t="s">
        <v>566</v>
      </c>
      <c r="D423" s="43">
        <v>20112579515</v>
      </c>
      <c r="E423" s="43">
        <v>20112580187</v>
      </c>
      <c r="F423" s="43" t="s">
        <v>186</v>
      </c>
      <c r="G423" s="43" t="b">
        <v>0</v>
      </c>
      <c r="H423" s="43" t="b">
        <v>0</v>
      </c>
      <c r="I423" s="43"/>
      <c r="M423" s="48" t="s">
        <v>566</v>
      </c>
      <c r="N423" s="48">
        <v>17088571777</v>
      </c>
      <c r="O423" s="48">
        <v>17088564855</v>
      </c>
      <c r="P423" s="48" t="s">
        <v>186</v>
      </c>
      <c r="Q423" s="49" t="s">
        <v>566</v>
      </c>
      <c r="R423" s="49">
        <v>17083127154</v>
      </c>
      <c r="S423" s="49">
        <v>17083123988</v>
      </c>
      <c r="T423" s="49" t="s">
        <v>186</v>
      </c>
      <c r="U423" s="50" t="s">
        <v>566</v>
      </c>
      <c r="V423" s="50">
        <v>17083127154</v>
      </c>
      <c r="W423" s="50">
        <v>17083123988</v>
      </c>
      <c r="X423" s="50" t="s">
        <v>186</v>
      </c>
      <c r="Y423" s="50"/>
    </row>
    <row r="424" spans="1:25" x14ac:dyDescent="0.25">
      <c r="A424" s="25" t="s">
        <v>115</v>
      </c>
      <c r="B424" t="b">
        <v>0</v>
      </c>
      <c r="C424" s="43" t="s">
        <v>567</v>
      </c>
      <c r="D424" s="43">
        <v>20112578491</v>
      </c>
      <c r="E424" s="43">
        <v>20112577883</v>
      </c>
      <c r="F424" s="43" t="s">
        <v>125</v>
      </c>
      <c r="G424" s="43" t="b">
        <v>0</v>
      </c>
      <c r="H424" s="43" t="b">
        <v>0</v>
      </c>
      <c r="I424" s="43"/>
      <c r="M424" s="48" t="s">
        <v>567</v>
      </c>
      <c r="N424" s="48">
        <v>17088571457</v>
      </c>
      <c r="O424" s="48">
        <v>17088563435</v>
      </c>
      <c r="P424" s="48" t="s">
        <v>125</v>
      </c>
      <c r="Q424" s="49" t="s">
        <v>567</v>
      </c>
      <c r="R424" s="49">
        <v>17083128018</v>
      </c>
      <c r="S424" s="49">
        <v>17083121992</v>
      </c>
      <c r="T424" s="49" t="s">
        <v>125</v>
      </c>
      <c r="U424" s="50" t="s">
        <v>567</v>
      </c>
      <c r="V424" s="50">
        <v>17083128018</v>
      </c>
      <c r="W424" s="50">
        <v>17083121992</v>
      </c>
      <c r="X424" s="50" t="s">
        <v>125</v>
      </c>
      <c r="Y424" s="50"/>
    </row>
    <row r="425" spans="1:25" x14ac:dyDescent="0.25">
      <c r="A425" s="25" t="s">
        <v>115</v>
      </c>
      <c r="B425" t="b">
        <v>0</v>
      </c>
      <c r="C425" s="43" t="s">
        <v>568</v>
      </c>
      <c r="D425" s="43">
        <v>20112580539</v>
      </c>
      <c r="E425" s="43">
        <v>20112579419</v>
      </c>
      <c r="F425" s="43" t="s">
        <v>186</v>
      </c>
      <c r="G425" s="43" t="b">
        <v>0</v>
      </c>
      <c r="H425" s="43" t="b">
        <v>0</v>
      </c>
      <c r="I425" s="43"/>
      <c r="M425" s="48" t="s">
        <v>568</v>
      </c>
      <c r="N425" s="48">
        <v>17088570689</v>
      </c>
      <c r="O425" s="48">
        <v>17088561783</v>
      </c>
      <c r="P425" s="48" t="s">
        <v>186</v>
      </c>
      <c r="Q425" s="49" t="s">
        <v>568</v>
      </c>
      <c r="R425" s="49">
        <v>17083128178</v>
      </c>
      <c r="S425" s="49">
        <v>17083123220</v>
      </c>
      <c r="T425" s="49" t="s">
        <v>186</v>
      </c>
      <c r="U425" s="50" t="s">
        <v>568</v>
      </c>
      <c r="V425" s="50">
        <v>17083128178</v>
      </c>
      <c r="W425" s="50">
        <v>17083123220</v>
      </c>
      <c r="X425" s="50" t="s">
        <v>186</v>
      </c>
      <c r="Y425" s="50"/>
    </row>
    <row r="426" spans="1:25" x14ac:dyDescent="0.25">
      <c r="A426" s="25" t="s">
        <v>115</v>
      </c>
      <c r="B426" t="b">
        <v>0</v>
      </c>
      <c r="C426" s="43" t="s">
        <v>569</v>
      </c>
      <c r="D426" s="43">
        <v>20112576635</v>
      </c>
      <c r="E426" s="43">
        <v>20112576731</v>
      </c>
      <c r="F426" s="43" t="s">
        <v>125</v>
      </c>
      <c r="G426" s="43" t="b">
        <v>0</v>
      </c>
      <c r="H426" s="43" t="b">
        <v>0</v>
      </c>
      <c r="I426" s="43"/>
      <c r="M426" s="48" t="s">
        <v>569</v>
      </c>
      <c r="N426" s="48">
        <v>17088569857</v>
      </c>
      <c r="O426" s="48">
        <v>17088564531</v>
      </c>
      <c r="P426" s="48" t="s">
        <v>125</v>
      </c>
      <c r="Q426" s="49" t="s">
        <v>569</v>
      </c>
      <c r="R426" s="49">
        <v>17083129490</v>
      </c>
      <c r="S426" s="49">
        <v>17083121680</v>
      </c>
      <c r="T426" s="49" t="s">
        <v>125</v>
      </c>
      <c r="U426" s="50" t="s">
        <v>569</v>
      </c>
      <c r="V426" s="50">
        <v>17083129490</v>
      </c>
      <c r="W426" s="50">
        <v>17083121680</v>
      </c>
      <c r="X426" s="50" t="s">
        <v>125</v>
      </c>
      <c r="Y426" s="50"/>
    </row>
    <row r="427" spans="1:25" x14ac:dyDescent="0.25">
      <c r="A427" s="25" t="s">
        <v>115</v>
      </c>
      <c r="B427" t="b">
        <v>0</v>
      </c>
      <c r="C427" s="43" t="s">
        <v>570</v>
      </c>
      <c r="D427" s="43">
        <v>20112578683</v>
      </c>
      <c r="E427" s="43">
        <v>20112579803</v>
      </c>
      <c r="F427" s="43" t="s">
        <v>186</v>
      </c>
      <c r="G427" s="43" t="b">
        <v>0</v>
      </c>
      <c r="H427" s="43" t="b">
        <v>0</v>
      </c>
      <c r="I427" s="43"/>
      <c r="M427" s="48" t="s">
        <v>570</v>
      </c>
      <c r="N427" s="48">
        <v>17088571774</v>
      </c>
      <c r="O427" s="48">
        <v>17088564935</v>
      </c>
      <c r="P427" s="48" t="s">
        <v>186</v>
      </c>
      <c r="Q427" s="49" t="s">
        <v>570</v>
      </c>
      <c r="R427" s="49">
        <v>17083129522</v>
      </c>
      <c r="S427" s="49">
        <v>17083123320</v>
      </c>
      <c r="T427" s="49" t="s">
        <v>186</v>
      </c>
      <c r="U427" s="50" t="s">
        <v>570</v>
      </c>
      <c r="V427" s="50">
        <v>17083129522</v>
      </c>
      <c r="W427" s="50">
        <v>17083123320</v>
      </c>
      <c r="X427" s="50" t="s">
        <v>186</v>
      </c>
      <c r="Y427" s="50"/>
    </row>
    <row r="428" spans="1:25" x14ac:dyDescent="0.25">
      <c r="A428" s="25" t="s">
        <v>115</v>
      </c>
      <c r="B428" t="b">
        <v>0</v>
      </c>
      <c r="C428" s="43" t="s">
        <v>571</v>
      </c>
      <c r="D428" s="43">
        <v>20112577659</v>
      </c>
      <c r="E428" s="43">
        <v>20112578267</v>
      </c>
      <c r="F428" s="43" t="s">
        <v>125</v>
      </c>
      <c r="G428" s="43" t="b">
        <v>0</v>
      </c>
      <c r="H428" s="43" t="b">
        <v>0</v>
      </c>
      <c r="I428" s="43"/>
      <c r="M428" s="48" t="s">
        <v>571</v>
      </c>
      <c r="N428" s="48">
        <v>17088569985</v>
      </c>
      <c r="O428" s="48">
        <v>17088563051</v>
      </c>
      <c r="P428" s="48" t="s">
        <v>125</v>
      </c>
      <c r="Q428" s="49" t="s">
        <v>571</v>
      </c>
      <c r="R428" s="49">
        <v>17083127474</v>
      </c>
      <c r="S428" s="49">
        <v>17083124296</v>
      </c>
      <c r="T428" s="49" t="s">
        <v>125</v>
      </c>
      <c r="U428" s="50" t="s">
        <v>571</v>
      </c>
      <c r="V428" s="50">
        <v>17083127474</v>
      </c>
      <c r="W428" s="50">
        <v>17083124296</v>
      </c>
      <c r="X428" s="50" t="s">
        <v>125</v>
      </c>
      <c r="Y428" s="50"/>
    </row>
    <row r="429" spans="1:25" x14ac:dyDescent="0.25">
      <c r="A429" s="25" t="s">
        <v>115</v>
      </c>
      <c r="B429" t="b">
        <v>0</v>
      </c>
      <c r="C429" s="43" t="s">
        <v>572</v>
      </c>
      <c r="D429" s="43">
        <v>20112579707</v>
      </c>
      <c r="E429" s="43">
        <v>20112579035</v>
      </c>
      <c r="F429" s="43" t="s">
        <v>186</v>
      </c>
      <c r="G429" s="43" t="b">
        <v>0</v>
      </c>
      <c r="H429" s="43" t="b">
        <v>0</v>
      </c>
      <c r="I429" s="43"/>
      <c r="M429" s="48" t="s">
        <v>572</v>
      </c>
      <c r="N429" s="48">
        <v>17088572545</v>
      </c>
      <c r="O429" s="48">
        <v>17088563319</v>
      </c>
      <c r="P429" s="48" t="s">
        <v>186</v>
      </c>
      <c r="Q429" s="49" t="s">
        <v>572</v>
      </c>
      <c r="R429" s="49">
        <v>17083129714</v>
      </c>
      <c r="S429" s="49">
        <v>17083124708</v>
      </c>
      <c r="T429" s="49" t="s">
        <v>186</v>
      </c>
      <c r="U429" s="50" t="s">
        <v>572</v>
      </c>
      <c r="V429" s="50">
        <v>17083129714</v>
      </c>
      <c r="W429" s="50">
        <v>17083124708</v>
      </c>
      <c r="X429" s="50" t="s">
        <v>186</v>
      </c>
      <c r="Y429" s="50"/>
    </row>
    <row r="430" spans="1:25" x14ac:dyDescent="0.25">
      <c r="A430" s="25" t="s">
        <v>115</v>
      </c>
      <c r="B430" t="b">
        <v>0</v>
      </c>
      <c r="C430" s="43" t="s">
        <v>573</v>
      </c>
      <c r="D430" s="43">
        <v>20112579195</v>
      </c>
      <c r="E430" s="43">
        <v>20112580571</v>
      </c>
      <c r="F430" s="43" t="s">
        <v>186</v>
      </c>
      <c r="G430" s="43" t="b">
        <v>0</v>
      </c>
      <c r="H430" s="43" t="b">
        <v>0</v>
      </c>
      <c r="I430" s="43"/>
      <c r="M430" s="48" t="s">
        <v>573</v>
      </c>
      <c r="N430" s="48">
        <v>17088572417</v>
      </c>
      <c r="O430" s="48">
        <v>17088561863</v>
      </c>
      <c r="P430" s="48" t="s">
        <v>186</v>
      </c>
      <c r="Q430" s="49" t="s">
        <v>573</v>
      </c>
      <c r="R430" s="49">
        <v>17083129810</v>
      </c>
      <c r="S430" s="49">
        <v>17083122360</v>
      </c>
      <c r="T430" s="49" t="s">
        <v>186</v>
      </c>
      <c r="U430" s="50" t="s">
        <v>573</v>
      </c>
      <c r="V430" s="50">
        <v>17083129810</v>
      </c>
      <c r="W430" s="50">
        <v>17083122360</v>
      </c>
      <c r="X430" s="50" t="s">
        <v>186</v>
      </c>
      <c r="Y430" s="50"/>
    </row>
    <row r="431" spans="1:25" x14ac:dyDescent="0.25">
      <c r="A431" s="25" t="s">
        <v>115</v>
      </c>
      <c r="B431" t="b">
        <v>0</v>
      </c>
      <c r="C431" s="43" t="s">
        <v>574</v>
      </c>
      <c r="D431" s="43">
        <v>20112578171</v>
      </c>
      <c r="E431" s="43">
        <v>20112577595</v>
      </c>
      <c r="F431" s="43" t="s">
        <v>125</v>
      </c>
      <c r="G431" s="43" t="b">
        <v>0</v>
      </c>
      <c r="H431" s="43" t="b">
        <v>0</v>
      </c>
      <c r="I431" s="43"/>
      <c r="M431" s="48" t="s">
        <v>574</v>
      </c>
      <c r="N431" s="48">
        <v>17088572670</v>
      </c>
      <c r="O431" s="48">
        <v>17088563763</v>
      </c>
      <c r="P431" s="48" t="s">
        <v>125</v>
      </c>
      <c r="Q431" s="49" t="s">
        <v>574</v>
      </c>
      <c r="R431" s="49">
        <v>17083128402</v>
      </c>
      <c r="S431" s="49">
        <v>17083125088</v>
      </c>
      <c r="T431" s="49" t="s">
        <v>125</v>
      </c>
      <c r="U431" s="50" t="s">
        <v>574</v>
      </c>
      <c r="V431" s="50">
        <v>17083128402</v>
      </c>
      <c r="W431" s="50">
        <v>17083125088</v>
      </c>
      <c r="X431" s="50" t="s">
        <v>125</v>
      </c>
      <c r="Y431" s="50"/>
    </row>
    <row r="432" spans="1:25" x14ac:dyDescent="0.25">
      <c r="A432" s="25" t="s">
        <v>115</v>
      </c>
      <c r="B432" t="b">
        <v>0</v>
      </c>
      <c r="C432" s="43" t="s">
        <v>575</v>
      </c>
      <c r="D432" s="43">
        <v>20112580219</v>
      </c>
      <c r="E432" s="43">
        <v>20112579131</v>
      </c>
      <c r="F432" s="43" t="s">
        <v>186</v>
      </c>
      <c r="G432" s="43" t="b">
        <v>0</v>
      </c>
      <c r="H432" s="43" t="b">
        <v>0</v>
      </c>
      <c r="I432" s="43"/>
      <c r="M432" s="48" t="s">
        <v>575</v>
      </c>
      <c r="N432" s="48">
        <v>17088570369</v>
      </c>
      <c r="O432" s="48">
        <v>17088563399</v>
      </c>
      <c r="P432" s="48" t="s">
        <v>186</v>
      </c>
      <c r="Q432" s="49" t="s">
        <v>575</v>
      </c>
      <c r="R432" s="49">
        <v>17083127346</v>
      </c>
      <c r="S432" s="49">
        <v>17083123896</v>
      </c>
      <c r="T432" s="49" t="s">
        <v>186</v>
      </c>
      <c r="U432" s="50" t="s">
        <v>575</v>
      </c>
      <c r="V432" s="50">
        <v>17083127346</v>
      </c>
      <c r="W432" s="50">
        <v>17083123896</v>
      </c>
      <c r="X432" s="50" t="s">
        <v>186</v>
      </c>
      <c r="Y432" s="50"/>
    </row>
    <row r="433" spans="1:25" x14ac:dyDescent="0.25">
      <c r="A433" s="25" t="s">
        <v>115</v>
      </c>
      <c r="B433" t="b">
        <v>0</v>
      </c>
      <c r="C433" s="43" t="s">
        <v>576</v>
      </c>
      <c r="D433" s="43">
        <v>20437207670</v>
      </c>
      <c r="E433" s="43">
        <v>20437205974</v>
      </c>
      <c r="F433" s="43" t="s">
        <v>123</v>
      </c>
      <c r="G433" s="43" t="b">
        <v>0</v>
      </c>
      <c r="H433" s="43" t="b">
        <v>0</v>
      </c>
      <c r="I433" s="43"/>
      <c r="M433" s="48" t="s">
        <v>576</v>
      </c>
      <c r="N433" s="48">
        <v>17088569886</v>
      </c>
      <c r="O433" s="48">
        <v>17088559538</v>
      </c>
      <c r="P433" s="48" t="s">
        <v>123</v>
      </c>
      <c r="Q433" s="49"/>
      <c r="R433" s="49"/>
      <c r="S433" s="49"/>
      <c r="T433" s="49"/>
      <c r="U433" s="50"/>
      <c r="V433" s="50"/>
      <c r="W433" s="50"/>
      <c r="X433" s="50"/>
      <c r="Y433" s="50"/>
    </row>
    <row r="434" spans="1:25" x14ac:dyDescent="0.25">
      <c r="A434" s="25" t="s">
        <v>115</v>
      </c>
      <c r="B434" t="b">
        <v>0</v>
      </c>
      <c r="C434" s="43" t="s">
        <v>577</v>
      </c>
      <c r="D434" s="43">
        <v>20437206646</v>
      </c>
      <c r="E434" s="43">
        <v>20437207094</v>
      </c>
      <c r="F434" s="43" t="s">
        <v>125</v>
      </c>
      <c r="G434" s="43" t="b">
        <v>0</v>
      </c>
      <c r="H434" s="43" t="b">
        <v>0</v>
      </c>
      <c r="I434" s="43"/>
      <c r="M434" s="48" t="s">
        <v>577</v>
      </c>
      <c r="N434" s="48">
        <v>17088571556</v>
      </c>
      <c r="O434" s="48">
        <v>17088568144</v>
      </c>
      <c r="P434" s="48" t="s">
        <v>125</v>
      </c>
      <c r="Q434" s="49" t="s">
        <v>577</v>
      </c>
      <c r="R434" s="49">
        <v>17086173411</v>
      </c>
      <c r="S434" s="49">
        <v>17083124802</v>
      </c>
      <c r="T434" s="49" t="s">
        <v>125</v>
      </c>
      <c r="U434" s="50" t="s">
        <v>577</v>
      </c>
      <c r="V434" s="50">
        <v>17104296750</v>
      </c>
      <c r="W434" s="50">
        <v>17083124802</v>
      </c>
      <c r="X434" s="50" t="s">
        <v>125</v>
      </c>
      <c r="Y434" s="50"/>
    </row>
    <row r="435" spans="1:25" x14ac:dyDescent="0.25">
      <c r="A435" s="25" t="s">
        <v>115</v>
      </c>
      <c r="B435" t="b">
        <v>0</v>
      </c>
      <c r="C435" s="43" t="s">
        <v>578</v>
      </c>
      <c r="D435" s="43">
        <v>20437208694</v>
      </c>
      <c r="E435" s="43">
        <v>20437206582</v>
      </c>
      <c r="F435" s="43" t="s">
        <v>123</v>
      </c>
      <c r="G435" s="43" t="b">
        <v>0</v>
      </c>
      <c r="H435" s="43" t="b">
        <v>0</v>
      </c>
      <c r="I435" s="43"/>
      <c r="M435" s="48" t="s">
        <v>578</v>
      </c>
      <c r="N435" s="48">
        <v>17088570654</v>
      </c>
      <c r="O435" s="48">
        <v>17088557746</v>
      </c>
      <c r="P435" s="48" t="s">
        <v>123</v>
      </c>
      <c r="Q435" s="49"/>
      <c r="R435" s="49"/>
      <c r="S435" s="49"/>
      <c r="T435" s="49"/>
      <c r="U435" s="50"/>
      <c r="V435" s="50"/>
      <c r="W435" s="50"/>
      <c r="X435" s="50"/>
      <c r="Y435" s="50"/>
    </row>
    <row r="436" spans="1:25" x14ac:dyDescent="0.25">
      <c r="A436" s="25" t="s">
        <v>115</v>
      </c>
      <c r="B436" t="b">
        <v>0</v>
      </c>
      <c r="C436" s="43" t="s">
        <v>579</v>
      </c>
      <c r="D436" s="43">
        <v>20437205366</v>
      </c>
      <c r="E436" s="43">
        <v>20437208374</v>
      </c>
      <c r="F436" s="43" t="s">
        <v>125</v>
      </c>
      <c r="G436" s="43" t="b">
        <v>0</v>
      </c>
      <c r="H436" s="43" t="b">
        <v>0</v>
      </c>
      <c r="I436" s="43"/>
      <c r="M436" s="48" t="s">
        <v>579</v>
      </c>
      <c r="N436" s="48">
        <v>17088570660</v>
      </c>
      <c r="O436" s="48">
        <v>17088565584</v>
      </c>
      <c r="P436" s="48" t="s">
        <v>125</v>
      </c>
      <c r="Q436" s="49" t="s">
        <v>579</v>
      </c>
      <c r="R436" s="49">
        <v>17086175459</v>
      </c>
      <c r="S436" s="49">
        <v>17083123586</v>
      </c>
      <c r="T436" s="49" t="s">
        <v>125</v>
      </c>
      <c r="U436" s="50"/>
      <c r="V436" s="50"/>
      <c r="W436" s="50"/>
      <c r="X436" s="50"/>
      <c r="Y436" s="50"/>
    </row>
    <row r="437" spans="1:25" x14ac:dyDescent="0.25">
      <c r="A437" s="25" t="s">
        <v>115</v>
      </c>
      <c r="B437" t="b">
        <v>0</v>
      </c>
      <c r="C437" s="43" t="s">
        <v>580</v>
      </c>
      <c r="D437" s="43">
        <v>20437207414</v>
      </c>
      <c r="E437" s="43">
        <v>20437205174</v>
      </c>
      <c r="F437" s="43" t="s">
        <v>123</v>
      </c>
      <c r="G437" s="43" t="b">
        <v>0</v>
      </c>
      <c r="H437" s="43" t="b">
        <v>0</v>
      </c>
      <c r="I437" s="43"/>
      <c r="M437" s="48" t="s">
        <v>580</v>
      </c>
      <c r="N437" s="48">
        <v>17088572510</v>
      </c>
      <c r="O437" s="48">
        <v>17088564147</v>
      </c>
      <c r="P437" s="48" t="s">
        <v>123</v>
      </c>
      <c r="Q437" s="49"/>
      <c r="R437" s="49"/>
      <c r="S437" s="49"/>
      <c r="T437" s="49"/>
      <c r="U437" s="50"/>
      <c r="V437" s="50"/>
      <c r="W437" s="50"/>
      <c r="X437" s="50"/>
      <c r="Y437" s="50"/>
    </row>
    <row r="438" spans="1:25" x14ac:dyDescent="0.25">
      <c r="A438" s="25" t="s">
        <v>115</v>
      </c>
      <c r="B438" t="b">
        <v>0</v>
      </c>
      <c r="C438" s="43" t="s">
        <v>581</v>
      </c>
      <c r="D438" s="43">
        <v>20437206390</v>
      </c>
      <c r="E438" s="43">
        <v>20437207734</v>
      </c>
      <c r="F438" s="43" t="s">
        <v>125</v>
      </c>
      <c r="G438" s="43" t="b">
        <v>0</v>
      </c>
      <c r="H438" s="43" t="b">
        <v>0</v>
      </c>
      <c r="I438" s="43"/>
      <c r="M438" s="48" t="s">
        <v>581</v>
      </c>
      <c r="N438" s="48">
        <v>17088571092</v>
      </c>
      <c r="O438" s="48">
        <v>17088567240</v>
      </c>
      <c r="P438" s="48" t="s">
        <v>125</v>
      </c>
      <c r="Q438" s="49" t="s">
        <v>581</v>
      </c>
      <c r="R438" s="49">
        <v>17086174435</v>
      </c>
      <c r="S438" s="49">
        <v>17083123090</v>
      </c>
      <c r="T438" s="49" t="s">
        <v>125</v>
      </c>
      <c r="U438" s="50"/>
      <c r="V438" s="50"/>
      <c r="W438" s="50"/>
      <c r="X438" s="50"/>
      <c r="Y438" s="50"/>
    </row>
    <row r="439" spans="1:25" x14ac:dyDescent="0.25">
      <c r="A439" s="25" t="s">
        <v>115</v>
      </c>
      <c r="B439" t="b">
        <v>0</v>
      </c>
      <c r="C439" s="43" t="s">
        <v>582</v>
      </c>
      <c r="D439" s="43">
        <v>20437208438</v>
      </c>
      <c r="E439" s="43">
        <v>20437206454</v>
      </c>
      <c r="F439" s="43" t="s">
        <v>123</v>
      </c>
      <c r="G439" s="43" t="b">
        <v>0</v>
      </c>
      <c r="H439" s="43" t="b">
        <v>0</v>
      </c>
      <c r="I439" s="43"/>
      <c r="M439" s="48" t="s">
        <v>582</v>
      </c>
      <c r="N439" s="48">
        <v>17088572446</v>
      </c>
      <c r="O439" s="48">
        <v>17088559026</v>
      </c>
      <c r="P439" s="48" t="s">
        <v>123</v>
      </c>
      <c r="Q439" s="49"/>
      <c r="R439" s="49"/>
      <c r="S439" s="49"/>
      <c r="T439" s="49"/>
      <c r="U439" s="50"/>
      <c r="V439" s="50"/>
      <c r="W439" s="50"/>
      <c r="X439" s="50"/>
      <c r="Y439" s="50"/>
    </row>
    <row r="440" spans="1:25" x14ac:dyDescent="0.25">
      <c r="A440" s="25" t="s">
        <v>115</v>
      </c>
      <c r="B440" t="b">
        <v>0</v>
      </c>
      <c r="C440" s="43" t="s">
        <v>583</v>
      </c>
      <c r="D440" s="43">
        <v>20437205878</v>
      </c>
      <c r="E440" s="43">
        <v>20437209014</v>
      </c>
      <c r="F440" s="43" t="s">
        <v>125</v>
      </c>
      <c r="G440" s="43" t="b">
        <v>0</v>
      </c>
      <c r="H440" s="43" t="b">
        <v>0</v>
      </c>
      <c r="I440" s="43"/>
      <c r="M440" s="48" t="s">
        <v>583</v>
      </c>
      <c r="N440" s="48">
        <v>17088570788</v>
      </c>
      <c r="O440" s="48">
        <v>17088566480</v>
      </c>
      <c r="P440" s="48" t="s">
        <v>125</v>
      </c>
      <c r="Q440" s="49" t="s">
        <v>583</v>
      </c>
      <c r="R440" s="49">
        <v>17086176483</v>
      </c>
      <c r="S440" s="49">
        <v>17083121986</v>
      </c>
      <c r="T440" s="49" t="s">
        <v>125</v>
      </c>
      <c r="U440" s="50"/>
      <c r="V440" s="50"/>
      <c r="W440" s="50"/>
      <c r="X440" s="50"/>
      <c r="Y440" s="50"/>
    </row>
    <row r="441" spans="1:25" x14ac:dyDescent="0.25">
      <c r="A441" s="25" t="s">
        <v>115</v>
      </c>
      <c r="B441" t="b">
        <v>0</v>
      </c>
      <c r="C441" s="43" t="s">
        <v>584</v>
      </c>
      <c r="D441" s="43">
        <v>20622525162</v>
      </c>
      <c r="E441" s="43">
        <v>20622526122</v>
      </c>
      <c r="F441" s="43" t="s">
        <v>117</v>
      </c>
      <c r="G441" s="43" t="b">
        <v>1</v>
      </c>
      <c r="H441" s="43" t="b">
        <v>0</v>
      </c>
      <c r="I441" s="43"/>
      <c r="M441" s="48" t="s">
        <v>584</v>
      </c>
      <c r="N441" s="48">
        <v>17091869993</v>
      </c>
      <c r="O441" s="48">
        <v>17091869513</v>
      </c>
      <c r="P441" s="48" t="s">
        <v>117</v>
      </c>
      <c r="Q441" s="49"/>
      <c r="R441" s="49"/>
      <c r="S441" s="49"/>
      <c r="T441" s="49"/>
      <c r="U441" s="50" t="s">
        <v>584</v>
      </c>
      <c r="V441" s="50">
        <v>17102545325</v>
      </c>
      <c r="W441" s="50">
        <v>17101203463</v>
      </c>
      <c r="X441" s="50" t="s">
        <v>117</v>
      </c>
      <c r="Y441" s="50">
        <v>150197</v>
      </c>
    </row>
    <row r="442" spans="1:25" x14ac:dyDescent="0.25">
      <c r="A442" s="25" t="s">
        <v>115</v>
      </c>
      <c r="B442" t="b">
        <v>1</v>
      </c>
      <c r="C442" s="43" t="s">
        <v>585</v>
      </c>
      <c r="D442" s="43">
        <v>20622527210</v>
      </c>
      <c r="E442" s="43">
        <v>20622527914</v>
      </c>
      <c r="F442" s="43" t="s">
        <v>117</v>
      </c>
      <c r="G442" s="43" t="b">
        <v>1</v>
      </c>
      <c r="H442" s="43" t="b">
        <v>0</v>
      </c>
      <c r="I442" s="43" t="s">
        <v>134</v>
      </c>
      <c r="M442" s="48" t="s">
        <v>585</v>
      </c>
      <c r="N442" s="48">
        <v>17091867433</v>
      </c>
      <c r="O442" s="48">
        <v>17091867849</v>
      </c>
      <c r="P442" s="48" t="s">
        <v>117</v>
      </c>
      <c r="Q442" s="49"/>
      <c r="R442" s="49"/>
      <c r="S442" s="49"/>
      <c r="T442" s="49"/>
      <c r="U442" s="50" t="s">
        <v>585</v>
      </c>
      <c r="V442" s="50">
        <v>17102548077</v>
      </c>
      <c r="W442" s="50">
        <v>17101201831</v>
      </c>
      <c r="X442" s="50" t="s">
        <v>117</v>
      </c>
      <c r="Y442" s="50">
        <v>150010</v>
      </c>
    </row>
    <row r="443" spans="1:25" x14ac:dyDescent="0.25">
      <c r="A443" s="25" t="s">
        <v>115</v>
      </c>
      <c r="B443" t="b">
        <v>0</v>
      </c>
      <c r="C443" s="43" t="s">
        <v>586</v>
      </c>
      <c r="D443" s="43">
        <v>20622526186</v>
      </c>
      <c r="E443" s="43">
        <v>20622524522</v>
      </c>
      <c r="F443" s="43" t="s">
        <v>117</v>
      </c>
      <c r="G443" s="43" t="b">
        <v>1</v>
      </c>
      <c r="H443" s="43" t="b">
        <v>0</v>
      </c>
      <c r="I443" s="43"/>
      <c r="M443" s="48" t="s">
        <v>586</v>
      </c>
      <c r="N443" s="48">
        <v>17091869481</v>
      </c>
      <c r="O443" s="48">
        <v>17091870409</v>
      </c>
      <c r="P443" s="48" t="s">
        <v>117</v>
      </c>
      <c r="Q443" s="49"/>
      <c r="R443" s="49"/>
      <c r="S443" s="49"/>
      <c r="T443" s="49"/>
      <c r="U443" s="50" t="s">
        <v>586</v>
      </c>
      <c r="V443" s="50">
        <v>17102548589</v>
      </c>
      <c r="W443" s="50">
        <v>17101203175</v>
      </c>
      <c r="X443" s="50" t="s">
        <v>117</v>
      </c>
      <c r="Y443" s="50">
        <v>150179</v>
      </c>
    </row>
    <row r="444" spans="1:25" x14ac:dyDescent="0.25">
      <c r="A444" s="25" t="s">
        <v>115</v>
      </c>
      <c r="B444" t="b">
        <v>0</v>
      </c>
      <c r="C444" s="43" t="s">
        <v>587</v>
      </c>
      <c r="D444" s="43">
        <v>20622528234</v>
      </c>
      <c r="E444" s="43">
        <v>20622527082</v>
      </c>
      <c r="F444" s="43" t="s">
        <v>117</v>
      </c>
      <c r="G444" s="43" t="b">
        <v>1</v>
      </c>
      <c r="H444" s="43" t="b">
        <v>0</v>
      </c>
      <c r="I444" s="43"/>
      <c r="M444" s="48" t="s">
        <v>587</v>
      </c>
      <c r="N444" s="48">
        <v>17091868457</v>
      </c>
      <c r="O444" s="48">
        <v>17091867593</v>
      </c>
      <c r="P444" s="48" t="s">
        <v>117</v>
      </c>
      <c r="Q444" s="49"/>
      <c r="R444" s="49"/>
      <c r="S444" s="49"/>
      <c r="T444" s="49"/>
      <c r="U444" s="50" t="s">
        <v>587</v>
      </c>
      <c r="V444" s="50">
        <v>17102545965</v>
      </c>
      <c r="W444" s="50">
        <v>17101192148</v>
      </c>
      <c r="X444" s="50" t="s">
        <v>117</v>
      </c>
      <c r="Y444" s="50">
        <v>150196</v>
      </c>
    </row>
    <row r="445" spans="1:25" x14ac:dyDescent="0.25">
      <c r="A445" s="25" t="s">
        <v>115</v>
      </c>
      <c r="B445" t="b">
        <v>1</v>
      </c>
      <c r="C445" s="43" t="s">
        <v>588</v>
      </c>
      <c r="D445" s="43">
        <v>20622524906</v>
      </c>
      <c r="E445" s="43">
        <v>20622525802</v>
      </c>
      <c r="F445" s="43" t="s">
        <v>117</v>
      </c>
      <c r="G445" s="43" t="b">
        <v>1</v>
      </c>
      <c r="H445" s="43" t="b">
        <v>0</v>
      </c>
      <c r="I445" s="43" t="s">
        <v>134</v>
      </c>
      <c r="M445" s="48" t="s">
        <v>588</v>
      </c>
      <c r="N445" s="48">
        <v>17091870505</v>
      </c>
      <c r="O445" s="48">
        <v>17091868713</v>
      </c>
      <c r="P445" s="48" t="s">
        <v>117</v>
      </c>
      <c r="Q445" s="49"/>
      <c r="R445" s="49"/>
      <c r="S445" s="49"/>
      <c r="T445" s="49"/>
      <c r="U445" s="50" t="s">
        <v>588</v>
      </c>
      <c r="V445" s="50">
        <v>17102547757</v>
      </c>
      <c r="W445" s="50">
        <v>17101189772</v>
      </c>
      <c r="X445" s="50" t="s">
        <v>117</v>
      </c>
      <c r="Y445" s="50">
        <v>150030</v>
      </c>
    </row>
    <row r="446" spans="1:25" x14ac:dyDescent="0.25">
      <c r="A446" s="25" t="s">
        <v>115</v>
      </c>
      <c r="B446" t="b">
        <v>0</v>
      </c>
      <c r="C446" s="43" t="s">
        <v>589</v>
      </c>
      <c r="D446" s="43">
        <v>20622526954</v>
      </c>
      <c r="E446" s="43">
        <v>20622528362</v>
      </c>
      <c r="F446" s="43" t="s">
        <v>117</v>
      </c>
      <c r="G446" s="43" t="b">
        <v>1</v>
      </c>
      <c r="H446" s="43" t="b">
        <v>0</v>
      </c>
      <c r="I446" s="43"/>
      <c r="M446" s="48" t="s">
        <v>589</v>
      </c>
      <c r="N446" s="48">
        <v>17091866793</v>
      </c>
      <c r="O446" s="48">
        <v>17091868201</v>
      </c>
      <c r="P446" s="48" t="s">
        <v>117</v>
      </c>
      <c r="Q446" s="49"/>
      <c r="R446" s="49"/>
      <c r="S446" s="49"/>
      <c r="T446" s="49"/>
      <c r="U446" s="50" t="s">
        <v>589</v>
      </c>
      <c r="V446" s="50">
        <v>17102547117</v>
      </c>
      <c r="W446" s="50">
        <v>17101190348</v>
      </c>
      <c r="X446" s="50" t="s">
        <v>117</v>
      </c>
      <c r="Y446" s="50">
        <v>150181</v>
      </c>
    </row>
    <row r="447" spans="1:25" x14ac:dyDescent="0.25">
      <c r="A447" s="25" t="b">
        <v>1</v>
      </c>
      <c r="B447" t="b">
        <v>0</v>
      </c>
      <c r="C447" s="43" t="s">
        <v>590</v>
      </c>
      <c r="D447" s="43">
        <v>20622620205</v>
      </c>
      <c r="E447" s="43">
        <v>20622621645</v>
      </c>
      <c r="F447" s="43" t="s">
        <v>173</v>
      </c>
      <c r="G447" s="43" t="b">
        <v>0</v>
      </c>
      <c r="H447" s="43" t="b">
        <v>0</v>
      </c>
      <c r="I447" s="43"/>
      <c r="J447" s="45" t="s">
        <v>590</v>
      </c>
      <c r="K447" s="46">
        <v>20622621645</v>
      </c>
      <c r="M447" s="48" t="s">
        <v>590</v>
      </c>
      <c r="N447" s="48">
        <v>17088570913</v>
      </c>
      <c r="O447" s="48">
        <v>17088564647</v>
      </c>
      <c r="P447" s="48" t="s">
        <v>173</v>
      </c>
      <c r="Q447" s="49" t="s">
        <v>590</v>
      </c>
      <c r="R447" s="49">
        <v>17083128050</v>
      </c>
      <c r="S447" s="49">
        <v>17083124472</v>
      </c>
      <c r="T447" s="49" t="s">
        <v>173</v>
      </c>
      <c r="U447" s="50" t="s">
        <v>590</v>
      </c>
      <c r="V447" s="50">
        <v>17083128050</v>
      </c>
      <c r="W447" s="50">
        <v>17083124472</v>
      </c>
      <c r="X447" s="50" t="s">
        <v>173</v>
      </c>
      <c r="Y447" s="50"/>
    </row>
    <row r="448" spans="1:25" x14ac:dyDescent="0.25">
      <c r="A448" s="25" t="s">
        <v>115</v>
      </c>
      <c r="B448" t="b">
        <v>0</v>
      </c>
      <c r="C448" s="43" t="s">
        <v>591</v>
      </c>
      <c r="D448" s="43">
        <v>3251138492</v>
      </c>
      <c r="E448" s="43">
        <v>3251230753</v>
      </c>
      <c r="F448" s="43" t="s">
        <v>119</v>
      </c>
      <c r="G448" s="43" t="b">
        <v>0</v>
      </c>
      <c r="H448" s="43" t="b">
        <v>0</v>
      </c>
      <c r="I448" s="43"/>
      <c r="M448" s="48" t="s">
        <v>591</v>
      </c>
      <c r="N448" s="48">
        <v>17088573242</v>
      </c>
      <c r="O448" s="48">
        <v>17088567703</v>
      </c>
      <c r="P448" s="48" t="s">
        <v>119</v>
      </c>
      <c r="Q448" s="49" t="s">
        <v>591</v>
      </c>
      <c r="R448" s="49">
        <v>17083127457</v>
      </c>
      <c r="S448" s="49">
        <v>17083127568</v>
      </c>
      <c r="T448" s="49" t="s">
        <v>119</v>
      </c>
      <c r="U448" s="50" t="s">
        <v>591</v>
      </c>
      <c r="V448" s="50">
        <v>17083127457</v>
      </c>
      <c r="W448" s="50">
        <v>17083127568</v>
      </c>
      <c r="X448" s="50" t="s">
        <v>119</v>
      </c>
      <c r="Y448" s="50"/>
    </row>
    <row r="449" spans="1:25" x14ac:dyDescent="0.25">
      <c r="A449" s="25" t="s">
        <v>115</v>
      </c>
      <c r="B449" t="b">
        <v>0</v>
      </c>
      <c r="C449" s="43" t="s">
        <v>592</v>
      </c>
      <c r="D449" s="43">
        <v>16632276662</v>
      </c>
      <c r="E449" s="43">
        <v>302018</v>
      </c>
      <c r="F449" s="43" t="s">
        <v>119</v>
      </c>
      <c r="G449" s="43" t="b">
        <v>0</v>
      </c>
      <c r="H449" s="43" t="b">
        <v>0</v>
      </c>
      <c r="I449" s="43"/>
      <c r="M449" s="48" t="s">
        <v>592</v>
      </c>
      <c r="N449" s="48">
        <v>17088572610</v>
      </c>
      <c r="O449" s="48">
        <v>17088565777</v>
      </c>
      <c r="P449" s="48" t="s">
        <v>119</v>
      </c>
      <c r="Q449" s="49" t="s">
        <v>592</v>
      </c>
      <c r="R449" s="49">
        <v>17083128822</v>
      </c>
      <c r="S449" s="49">
        <v>17083124813</v>
      </c>
      <c r="T449" s="49" t="s">
        <v>119</v>
      </c>
      <c r="U449" s="50" t="s">
        <v>592</v>
      </c>
      <c r="V449" s="50">
        <v>17083128822</v>
      </c>
      <c r="W449" s="50">
        <v>17083124813</v>
      </c>
      <c r="X449" s="50" t="s">
        <v>119</v>
      </c>
      <c r="Y449" s="50"/>
    </row>
    <row r="450" spans="1:25" x14ac:dyDescent="0.25">
      <c r="A450" s="25" t="s">
        <v>115</v>
      </c>
      <c r="B450" t="b">
        <v>0</v>
      </c>
      <c r="C450" s="43" t="s">
        <v>593</v>
      </c>
      <c r="D450" s="43">
        <v>16632278710</v>
      </c>
      <c r="E450" s="43">
        <v>302550</v>
      </c>
      <c r="F450" s="43" t="s">
        <v>117</v>
      </c>
      <c r="G450" s="43" t="b">
        <v>0</v>
      </c>
      <c r="H450" s="43" t="b">
        <v>0</v>
      </c>
      <c r="I450" s="43"/>
      <c r="M450" s="48" t="s">
        <v>593</v>
      </c>
      <c r="N450" s="48">
        <v>17088569468</v>
      </c>
      <c r="O450" s="48">
        <v>17088567422</v>
      </c>
      <c r="P450" s="48" t="s">
        <v>117</v>
      </c>
      <c r="Q450" s="49" t="s">
        <v>593</v>
      </c>
      <c r="R450" s="49">
        <v>17083125942</v>
      </c>
      <c r="S450" s="49">
        <v>17083122261</v>
      </c>
      <c r="T450" s="49" t="s">
        <v>117</v>
      </c>
      <c r="U450" s="50" t="s">
        <v>593</v>
      </c>
      <c r="V450" s="50">
        <v>17083125942</v>
      </c>
      <c r="W450" s="50">
        <v>17083122261</v>
      </c>
      <c r="X450" s="50" t="s">
        <v>117</v>
      </c>
      <c r="Y450" s="50"/>
    </row>
    <row r="451" spans="1:25" x14ac:dyDescent="0.25">
      <c r="A451" s="25" t="s">
        <v>115</v>
      </c>
      <c r="B451" t="b">
        <v>0</v>
      </c>
      <c r="C451" s="43" t="s">
        <v>594</v>
      </c>
      <c r="D451" s="43">
        <v>16632275382</v>
      </c>
      <c r="E451" s="43">
        <v>300660</v>
      </c>
      <c r="F451" s="43" t="s">
        <v>117</v>
      </c>
      <c r="G451" s="43" t="b">
        <v>0</v>
      </c>
      <c r="H451" s="43" t="b">
        <v>0</v>
      </c>
      <c r="I451" s="43"/>
      <c r="M451" s="48" t="s">
        <v>594</v>
      </c>
      <c r="N451" s="48">
        <v>17088572260</v>
      </c>
      <c r="O451" s="48">
        <v>17088567972</v>
      </c>
      <c r="P451" s="48" t="s">
        <v>117</v>
      </c>
      <c r="Q451" s="49" t="s">
        <v>594</v>
      </c>
      <c r="R451" s="49">
        <v>17083126426</v>
      </c>
      <c r="S451" s="49">
        <v>17083122138</v>
      </c>
      <c r="T451" s="49" t="s">
        <v>117</v>
      </c>
      <c r="U451" s="50" t="s">
        <v>594</v>
      </c>
      <c r="V451" s="50">
        <v>17083126426</v>
      </c>
      <c r="W451" s="50">
        <v>17083122138</v>
      </c>
      <c r="X451" s="50" t="s">
        <v>117</v>
      </c>
      <c r="Y451" s="50"/>
    </row>
    <row r="452" spans="1:25" x14ac:dyDescent="0.25">
      <c r="A452" s="25" t="s">
        <v>115</v>
      </c>
      <c r="B452" t="b">
        <v>0</v>
      </c>
      <c r="C452" s="43" t="s">
        <v>595</v>
      </c>
      <c r="D452" s="43">
        <v>16632277430</v>
      </c>
      <c r="E452" s="43">
        <v>301532</v>
      </c>
      <c r="F452" s="43" t="s">
        <v>117</v>
      </c>
      <c r="G452" s="43" t="b">
        <v>0</v>
      </c>
      <c r="H452" s="43" t="b">
        <v>0</v>
      </c>
      <c r="I452" s="43"/>
      <c r="M452" s="48" t="s">
        <v>595</v>
      </c>
      <c r="N452" s="48">
        <v>17088570164</v>
      </c>
      <c r="O452" s="48">
        <v>17088566460</v>
      </c>
      <c r="P452" s="48" t="s">
        <v>117</v>
      </c>
      <c r="Q452" s="49" t="s">
        <v>595</v>
      </c>
      <c r="R452" s="49">
        <v>17083127674</v>
      </c>
      <c r="S452" s="49">
        <v>17083121806</v>
      </c>
      <c r="T452" s="49" t="s">
        <v>117</v>
      </c>
      <c r="U452" s="50" t="s">
        <v>595</v>
      </c>
      <c r="V452" s="50">
        <v>17083127674</v>
      </c>
      <c r="W452" s="50">
        <v>17083121806</v>
      </c>
      <c r="X452" s="50" t="s">
        <v>117</v>
      </c>
      <c r="Y452" s="50"/>
    </row>
    <row r="453" spans="1:25" x14ac:dyDescent="0.25">
      <c r="A453" s="25" t="s">
        <v>115</v>
      </c>
      <c r="B453" t="b">
        <v>0</v>
      </c>
      <c r="C453" s="43" t="s">
        <v>596</v>
      </c>
      <c r="D453" s="43">
        <v>16632276406</v>
      </c>
      <c r="E453" s="43">
        <v>300779</v>
      </c>
      <c r="F453" s="43" t="s">
        <v>117</v>
      </c>
      <c r="G453" s="43" t="b">
        <v>0</v>
      </c>
      <c r="H453" s="43" t="b">
        <v>0</v>
      </c>
      <c r="I453" s="43"/>
      <c r="M453" s="48" t="s">
        <v>596</v>
      </c>
      <c r="N453" s="48">
        <v>17088570982</v>
      </c>
      <c r="O453" s="48">
        <v>17088558200</v>
      </c>
      <c r="P453" s="48" t="s">
        <v>117</v>
      </c>
      <c r="Q453" s="49" t="s">
        <v>596</v>
      </c>
      <c r="R453" s="49">
        <v>17083127241</v>
      </c>
      <c r="S453" s="49">
        <v>17083092290</v>
      </c>
      <c r="T453" s="49" t="s">
        <v>117</v>
      </c>
      <c r="U453" s="50" t="s">
        <v>596</v>
      </c>
      <c r="V453" s="50">
        <v>17083127241</v>
      </c>
      <c r="W453" s="50">
        <v>17083092290</v>
      </c>
      <c r="X453" s="50" t="s">
        <v>117</v>
      </c>
      <c r="Y453" s="50"/>
    </row>
    <row r="454" spans="1:25" x14ac:dyDescent="0.25">
      <c r="A454" s="25" t="s">
        <v>115</v>
      </c>
      <c r="B454" t="b">
        <v>0</v>
      </c>
      <c r="C454" s="43" t="s">
        <v>597</v>
      </c>
      <c r="D454" s="43">
        <v>16632278454</v>
      </c>
      <c r="E454" s="43">
        <v>301553</v>
      </c>
      <c r="F454" s="43" t="s">
        <v>117</v>
      </c>
      <c r="G454" s="43" t="b">
        <v>0</v>
      </c>
      <c r="H454" s="43" t="b">
        <v>0</v>
      </c>
      <c r="I454" s="43"/>
      <c r="M454" s="48" t="s">
        <v>597</v>
      </c>
      <c r="N454" s="48">
        <v>17088570762</v>
      </c>
      <c r="O454" s="48">
        <v>17088568803</v>
      </c>
      <c r="P454" s="48" t="s">
        <v>117</v>
      </c>
      <c r="Q454" s="49" t="s">
        <v>597</v>
      </c>
      <c r="R454" s="49">
        <v>17083127358</v>
      </c>
      <c r="S454" s="49">
        <v>17083122583</v>
      </c>
      <c r="T454" s="49" t="s">
        <v>117</v>
      </c>
      <c r="U454" s="50" t="s">
        <v>597</v>
      </c>
      <c r="V454" s="50">
        <v>17083127358</v>
      </c>
      <c r="W454" s="50">
        <v>17083122583</v>
      </c>
      <c r="X454" s="50" t="s">
        <v>117</v>
      </c>
      <c r="Y454" s="50"/>
    </row>
    <row r="455" spans="1:25" x14ac:dyDescent="0.25">
      <c r="A455" s="25" t="s">
        <v>115</v>
      </c>
      <c r="B455" t="b">
        <v>0</v>
      </c>
      <c r="C455" s="43" t="s">
        <v>598</v>
      </c>
      <c r="D455" s="43">
        <v>16632275894</v>
      </c>
      <c r="E455" s="43">
        <v>300472</v>
      </c>
      <c r="F455" s="43" t="s">
        <v>117</v>
      </c>
      <c r="G455" s="43" t="b">
        <v>0</v>
      </c>
      <c r="H455" s="43" t="b">
        <v>0</v>
      </c>
      <c r="I455" s="43"/>
      <c r="M455" s="48" t="s">
        <v>598</v>
      </c>
      <c r="N455" s="48">
        <v>17088572030</v>
      </c>
      <c r="O455" s="48">
        <v>17088562559</v>
      </c>
      <c r="P455" s="48" t="s">
        <v>117</v>
      </c>
      <c r="Q455" s="49" t="s">
        <v>598</v>
      </c>
      <c r="R455" s="49">
        <v>17083126770</v>
      </c>
      <c r="S455" s="49">
        <v>17083125228</v>
      </c>
      <c r="T455" s="49" t="s">
        <v>117</v>
      </c>
      <c r="U455" s="50" t="s">
        <v>598</v>
      </c>
      <c r="V455" s="50">
        <v>17083126770</v>
      </c>
      <c r="W455" s="50">
        <v>17083125228</v>
      </c>
      <c r="X455" s="50" t="s">
        <v>117</v>
      </c>
      <c r="Y455" s="50"/>
    </row>
    <row r="456" spans="1:25" x14ac:dyDescent="0.25">
      <c r="A456" s="25" t="s">
        <v>115</v>
      </c>
      <c r="B456" t="b">
        <v>0</v>
      </c>
      <c r="C456" s="43" t="s">
        <v>599</v>
      </c>
      <c r="D456" s="43">
        <v>16632277942</v>
      </c>
      <c r="E456" s="43">
        <v>302548</v>
      </c>
      <c r="F456" s="43" t="s">
        <v>117</v>
      </c>
      <c r="G456" s="43" t="b">
        <v>0</v>
      </c>
      <c r="H456" s="43" t="b">
        <v>0</v>
      </c>
      <c r="I456" s="43"/>
      <c r="M456" s="48" t="s">
        <v>599</v>
      </c>
      <c r="N456" s="48">
        <v>17088570273</v>
      </c>
      <c r="O456" s="48">
        <v>17088567064</v>
      </c>
      <c r="P456" s="48" t="s">
        <v>117</v>
      </c>
      <c r="Q456" s="49" t="s">
        <v>599</v>
      </c>
      <c r="R456" s="49">
        <v>17083129258</v>
      </c>
      <c r="S456" s="49">
        <v>17083124210</v>
      </c>
      <c r="T456" s="49" t="s">
        <v>117</v>
      </c>
      <c r="U456" s="50" t="s">
        <v>599</v>
      </c>
      <c r="V456" s="50">
        <v>17083129258</v>
      </c>
      <c r="W456" s="50">
        <v>17083124210</v>
      </c>
      <c r="X456" s="50" t="s">
        <v>117</v>
      </c>
      <c r="Y456" s="50"/>
    </row>
    <row r="457" spans="1:25" x14ac:dyDescent="0.25">
      <c r="A457" s="25" t="s">
        <v>115</v>
      </c>
      <c r="B457" t="b">
        <v>0</v>
      </c>
      <c r="C457" s="43" t="s">
        <v>600</v>
      </c>
      <c r="D457" s="43">
        <v>67110385283</v>
      </c>
      <c r="E457" s="43">
        <v>67110385795</v>
      </c>
      <c r="F457" s="43" t="s">
        <v>123</v>
      </c>
      <c r="G457" s="43" t="b">
        <v>1</v>
      </c>
      <c r="H457" s="43" t="b">
        <v>0</v>
      </c>
      <c r="I457" s="43" t="s">
        <v>126</v>
      </c>
      <c r="M457" s="48"/>
      <c r="N457" s="48"/>
      <c r="O457" s="48"/>
      <c r="P457" s="48"/>
      <c r="Q457" s="49"/>
      <c r="R457" s="49"/>
      <c r="S457" s="49"/>
      <c r="T457" s="49"/>
      <c r="U457" s="50" t="s">
        <v>600</v>
      </c>
      <c r="V457" s="50">
        <v>17102546421</v>
      </c>
      <c r="W457" s="50">
        <v>17101190896</v>
      </c>
      <c r="X457" s="50" t="s">
        <v>123</v>
      </c>
      <c r="Y457" s="50">
        <v>140409</v>
      </c>
    </row>
    <row r="458" spans="1:25" x14ac:dyDescent="0.25">
      <c r="A458" s="25" t="s">
        <v>115</v>
      </c>
      <c r="B458" t="b">
        <v>0</v>
      </c>
      <c r="C458" s="43" t="s">
        <v>601</v>
      </c>
      <c r="D458" s="43">
        <v>192486081003</v>
      </c>
      <c r="E458" s="43">
        <v>192486082659</v>
      </c>
      <c r="F458" s="43" t="s">
        <v>132</v>
      </c>
      <c r="G458" s="43" t="b">
        <v>0</v>
      </c>
      <c r="H458" s="43" t="b">
        <v>0</v>
      </c>
      <c r="I458" s="43"/>
      <c r="J458" s="45" t="s">
        <v>601</v>
      </c>
      <c r="K458" s="46">
        <v>192486082659</v>
      </c>
      <c r="L458" s="47">
        <v>990000648</v>
      </c>
      <c r="M458" s="48" t="s">
        <v>601</v>
      </c>
      <c r="N458" s="48">
        <v>17093055964</v>
      </c>
      <c r="O458" s="48">
        <v>17093057296</v>
      </c>
      <c r="P458" s="48" t="s">
        <v>132</v>
      </c>
      <c r="Q458" s="49" t="s">
        <v>601</v>
      </c>
      <c r="R458" s="49">
        <v>17086185212</v>
      </c>
      <c r="S458" s="49">
        <v>17085067929</v>
      </c>
      <c r="T458" s="49" t="s">
        <v>132</v>
      </c>
      <c r="U458" s="50" t="s">
        <v>601</v>
      </c>
      <c r="V458" s="50">
        <v>17084590290</v>
      </c>
      <c r="W458" s="50">
        <v>17084591516</v>
      </c>
      <c r="X458" s="50" t="s">
        <v>132</v>
      </c>
      <c r="Y458" s="50"/>
    </row>
    <row r="459" spans="1:25" x14ac:dyDescent="0.25">
      <c r="A459" s="25" t="s">
        <v>115</v>
      </c>
      <c r="B459" t="b">
        <v>0</v>
      </c>
      <c r="C459" s="43" t="s">
        <v>602</v>
      </c>
      <c r="D459" s="43">
        <v>192486083051</v>
      </c>
      <c r="E459" s="43">
        <v>192486080803</v>
      </c>
      <c r="F459" s="43" t="s">
        <v>132</v>
      </c>
      <c r="G459" s="43" t="b">
        <v>0</v>
      </c>
      <c r="H459" s="43" t="b">
        <v>0</v>
      </c>
      <c r="I459" s="43"/>
      <c r="J459" s="45" t="s">
        <v>602</v>
      </c>
      <c r="K459" s="46">
        <v>192486080803</v>
      </c>
      <c r="L459" s="47">
        <v>990000638</v>
      </c>
      <c r="M459" s="48" t="s">
        <v>602</v>
      </c>
      <c r="N459" s="48">
        <v>17093056572</v>
      </c>
      <c r="O459" s="48">
        <v>17093055200</v>
      </c>
      <c r="P459" s="48" t="s">
        <v>132</v>
      </c>
      <c r="Q459" s="49" t="s">
        <v>602</v>
      </c>
      <c r="R459" s="49">
        <v>17086175954</v>
      </c>
      <c r="S459" s="49">
        <v>17085068697</v>
      </c>
      <c r="T459" s="49" t="s">
        <v>132</v>
      </c>
      <c r="U459" s="50" t="s">
        <v>602</v>
      </c>
      <c r="V459" s="50">
        <v>17084589266</v>
      </c>
      <c r="W459" s="50">
        <v>17084589084</v>
      </c>
      <c r="X459" s="50" t="s">
        <v>132</v>
      </c>
      <c r="Y459" s="50"/>
    </row>
    <row r="460" spans="1:25" x14ac:dyDescent="0.25">
      <c r="A460" s="25" t="s">
        <v>115</v>
      </c>
      <c r="B460" t="b">
        <v>0</v>
      </c>
      <c r="C460" s="43" t="s">
        <v>603</v>
      </c>
      <c r="D460" s="43">
        <v>192486082027</v>
      </c>
      <c r="E460" s="43">
        <v>192486082147</v>
      </c>
      <c r="F460" s="43" t="s">
        <v>132</v>
      </c>
      <c r="G460" s="43" t="b">
        <v>0</v>
      </c>
      <c r="H460" s="43" t="b">
        <v>0</v>
      </c>
      <c r="I460" s="43"/>
      <c r="J460" s="45" t="s">
        <v>603</v>
      </c>
      <c r="K460" s="46">
        <v>192486082147</v>
      </c>
      <c r="L460" s="47">
        <v>990000645</v>
      </c>
      <c r="M460" s="48" t="s">
        <v>603</v>
      </c>
      <c r="N460" s="48">
        <v>17093055548</v>
      </c>
      <c r="O460" s="48">
        <v>17093055632</v>
      </c>
      <c r="P460" s="48" t="s">
        <v>132</v>
      </c>
      <c r="Q460" s="49" t="s">
        <v>603</v>
      </c>
      <c r="R460" s="49">
        <v>17086181884</v>
      </c>
      <c r="S460" s="49">
        <v>17085067353</v>
      </c>
      <c r="T460" s="49" t="s">
        <v>132</v>
      </c>
      <c r="U460" s="50" t="s">
        <v>603</v>
      </c>
      <c r="V460" s="50">
        <v>17084591314</v>
      </c>
      <c r="W460" s="50">
        <v>17084588124</v>
      </c>
      <c r="X460" s="50" t="s">
        <v>132</v>
      </c>
      <c r="Y460" s="50"/>
    </row>
    <row r="461" spans="1:25" x14ac:dyDescent="0.25">
      <c r="A461" s="25" t="s">
        <v>115</v>
      </c>
      <c r="B461" t="b">
        <v>0</v>
      </c>
      <c r="C461" s="43" t="s">
        <v>604</v>
      </c>
      <c r="D461" s="43">
        <v>192486084075</v>
      </c>
      <c r="E461" s="43">
        <v>192486083363</v>
      </c>
      <c r="F461" s="43" t="s">
        <v>132</v>
      </c>
      <c r="G461" s="43" t="b">
        <v>0</v>
      </c>
      <c r="H461" s="43" t="b">
        <v>0</v>
      </c>
      <c r="I461" s="43"/>
      <c r="J461" s="45" t="s">
        <v>604</v>
      </c>
      <c r="K461" s="46">
        <v>192486083363</v>
      </c>
      <c r="L461" s="47">
        <v>990000654</v>
      </c>
      <c r="M461" s="48" t="s">
        <v>604</v>
      </c>
      <c r="N461" s="48">
        <v>17093057596</v>
      </c>
      <c r="O461" s="48">
        <v>17093056992</v>
      </c>
      <c r="P461" s="48" t="s">
        <v>132</v>
      </c>
      <c r="Q461" s="49" t="s">
        <v>604</v>
      </c>
      <c r="R461" s="49">
        <v>17085041228</v>
      </c>
      <c r="S461" s="49">
        <v>17085041548</v>
      </c>
      <c r="T461" s="49" t="s">
        <v>132</v>
      </c>
      <c r="U461" s="50" t="s">
        <v>604</v>
      </c>
      <c r="V461" s="50">
        <v>17084588754</v>
      </c>
      <c r="W461" s="50">
        <v>17084591644</v>
      </c>
      <c r="X461" s="50" t="s">
        <v>132</v>
      </c>
      <c r="Y461" s="50"/>
    </row>
    <row r="462" spans="1:25" x14ac:dyDescent="0.25">
      <c r="A462" s="25" t="s">
        <v>115</v>
      </c>
      <c r="B462" t="b">
        <v>0</v>
      </c>
      <c r="C462" s="43" t="s">
        <v>605</v>
      </c>
      <c r="D462" s="43">
        <v>192486081515</v>
      </c>
      <c r="E462" s="43">
        <v>192486082787</v>
      </c>
      <c r="F462" s="43" t="s">
        <v>132</v>
      </c>
      <c r="G462" s="43" t="b">
        <v>0</v>
      </c>
      <c r="H462" s="43" t="b">
        <v>0</v>
      </c>
      <c r="I462" s="43"/>
      <c r="J462" s="45" t="s">
        <v>605</v>
      </c>
      <c r="K462" s="46">
        <v>192486082787</v>
      </c>
      <c r="L462" s="47">
        <v>990000650</v>
      </c>
      <c r="M462" s="48" t="s">
        <v>605</v>
      </c>
      <c r="N462" s="48">
        <v>17093051779</v>
      </c>
      <c r="O462" s="48">
        <v>17093057424</v>
      </c>
      <c r="P462" s="48" t="s">
        <v>132</v>
      </c>
      <c r="Q462" s="49" t="s">
        <v>605</v>
      </c>
      <c r="R462" s="49">
        <v>17086176850</v>
      </c>
      <c r="S462" s="49">
        <v>17085068889</v>
      </c>
      <c r="T462" s="49" t="s">
        <v>132</v>
      </c>
      <c r="U462" s="50" t="s">
        <v>605</v>
      </c>
      <c r="V462" s="50">
        <v>17084590802</v>
      </c>
      <c r="W462" s="50">
        <v>17084591452</v>
      </c>
      <c r="X462" s="50" t="s">
        <v>132</v>
      </c>
      <c r="Y462" s="50"/>
    </row>
    <row r="463" spans="1:25" x14ac:dyDescent="0.25">
      <c r="A463" s="25" t="s">
        <v>115</v>
      </c>
      <c r="B463" t="b">
        <v>0</v>
      </c>
      <c r="C463" s="43" t="s">
        <v>606</v>
      </c>
      <c r="D463" s="43">
        <v>192486083563</v>
      </c>
      <c r="E463" s="43">
        <v>192486082275</v>
      </c>
      <c r="F463" s="43" t="s">
        <v>132</v>
      </c>
      <c r="G463" s="43" t="b">
        <v>0</v>
      </c>
      <c r="H463" s="43" t="b">
        <v>0</v>
      </c>
      <c r="I463" s="43"/>
      <c r="J463" s="45" t="s">
        <v>606</v>
      </c>
      <c r="K463" s="46">
        <v>192486082275</v>
      </c>
      <c r="L463" s="47">
        <v>990000646</v>
      </c>
      <c r="M463" s="48" t="s">
        <v>606</v>
      </c>
      <c r="N463" s="48">
        <v>17093053827</v>
      </c>
      <c r="O463" s="48">
        <v>17093055568</v>
      </c>
      <c r="P463" s="48" t="s">
        <v>132</v>
      </c>
      <c r="Q463" s="49" t="s">
        <v>606</v>
      </c>
      <c r="R463" s="49">
        <v>17086184863</v>
      </c>
      <c r="S463" s="49">
        <v>17085068121</v>
      </c>
      <c r="T463" s="49" t="s">
        <v>132</v>
      </c>
      <c r="U463" s="50" t="s">
        <v>606</v>
      </c>
      <c r="V463" s="50">
        <v>17084589778</v>
      </c>
      <c r="W463" s="50">
        <v>17084588252</v>
      </c>
      <c r="X463" s="50" t="s">
        <v>132</v>
      </c>
      <c r="Y463" s="50"/>
    </row>
    <row r="464" spans="1:25" x14ac:dyDescent="0.25">
      <c r="A464" s="25" t="s">
        <v>115</v>
      </c>
      <c r="B464" t="b">
        <v>0</v>
      </c>
      <c r="C464" s="43" t="s">
        <v>607</v>
      </c>
      <c r="D464" s="43">
        <v>192486082539</v>
      </c>
      <c r="E464" s="43">
        <v>192486084067</v>
      </c>
      <c r="F464" s="43" t="s">
        <v>132</v>
      </c>
      <c r="G464" s="43" t="b">
        <v>0</v>
      </c>
      <c r="H464" s="43" t="b">
        <v>0</v>
      </c>
      <c r="I464" s="43"/>
      <c r="J464" s="45" t="s">
        <v>607</v>
      </c>
      <c r="K464" s="46">
        <v>192486084067</v>
      </c>
      <c r="L464" s="47">
        <v>990000658</v>
      </c>
      <c r="M464" s="48" t="s">
        <v>607</v>
      </c>
      <c r="N464" s="48">
        <v>17093051267</v>
      </c>
      <c r="O464" s="48">
        <v>17093058128</v>
      </c>
      <c r="P464" s="48" t="s">
        <v>132</v>
      </c>
      <c r="Q464" s="49" t="s">
        <v>607</v>
      </c>
      <c r="R464" s="49">
        <v>17086182303</v>
      </c>
      <c r="S464" s="49">
        <v>17085068505</v>
      </c>
      <c r="T464" s="49" t="s">
        <v>132</v>
      </c>
      <c r="U464" s="50" t="s">
        <v>607</v>
      </c>
      <c r="V464" s="50">
        <v>17084591826</v>
      </c>
      <c r="W464" s="50">
        <v>17084590812</v>
      </c>
      <c r="X464" s="50" t="s">
        <v>132</v>
      </c>
      <c r="Y464" s="50"/>
    </row>
    <row r="465" spans="1:25" x14ac:dyDescent="0.25">
      <c r="A465" s="25" t="s">
        <v>115</v>
      </c>
      <c r="B465" t="b">
        <v>0</v>
      </c>
      <c r="C465" s="43" t="s">
        <v>608</v>
      </c>
      <c r="D465" s="43">
        <v>192486084587</v>
      </c>
      <c r="E465" s="43">
        <v>192486080531</v>
      </c>
      <c r="F465" s="43" t="s">
        <v>132</v>
      </c>
      <c r="G465" s="43" t="b">
        <v>0</v>
      </c>
      <c r="H465" s="43" t="b">
        <v>0</v>
      </c>
      <c r="I465" s="43"/>
      <c r="J465" s="45" t="s">
        <v>608</v>
      </c>
      <c r="K465" s="46">
        <v>192486080531</v>
      </c>
      <c r="L465" s="47">
        <v>990000636</v>
      </c>
      <c r="M465" s="48" t="s">
        <v>608</v>
      </c>
      <c r="N465" s="48">
        <v>17093053315</v>
      </c>
      <c r="O465" s="48">
        <v>17093055312</v>
      </c>
      <c r="P465" s="48" t="s">
        <v>132</v>
      </c>
      <c r="Q465" s="49" t="s">
        <v>608</v>
      </c>
      <c r="R465" s="49">
        <v>17085038924</v>
      </c>
      <c r="S465" s="49">
        <v>17085038988</v>
      </c>
      <c r="T465" s="49" t="s">
        <v>132</v>
      </c>
      <c r="U465" s="50" t="s">
        <v>608</v>
      </c>
      <c r="V465" s="50">
        <v>17084588498</v>
      </c>
      <c r="W465" s="50">
        <v>17084589532</v>
      </c>
      <c r="X465" s="50" t="s">
        <v>132</v>
      </c>
      <c r="Y465" s="50"/>
    </row>
    <row r="466" spans="1:25" x14ac:dyDescent="0.25">
      <c r="A466" s="25" t="s">
        <v>115</v>
      </c>
      <c r="B466" t="b">
        <v>0</v>
      </c>
      <c r="C466" s="43" t="s">
        <v>609</v>
      </c>
      <c r="D466" s="43">
        <v>192486080539</v>
      </c>
      <c r="E466" s="43">
        <v>192486082707</v>
      </c>
      <c r="F466" s="43" t="s">
        <v>132</v>
      </c>
      <c r="G466" s="43" t="b">
        <v>0</v>
      </c>
      <c r="H466" s="43" t="b">
        <v>0</v>
      </c>
      <c r="I466" s="43"/>
      <c r="M466" s="48" t="s">
        <v>609</v>
      </c>
      <c r="N466" s="48">
        <v>17093055727</v>
      </c>
      <c r="O466" s="48">
        <v>17093057488</v>
      </c>
      <c r="P466" s="48" t="s">
        <v>132</v>
      </c>
      <c r="Q466" s="49" t="s">
        <v>609</v>
      </c>
      <c r="R466" s="49">
        <v>17086184572</v>
      </c>
      <c r="S466" s="49">
        <v>17085069785</v>
      </c>
      <c r="T466" s="49" t="s">
        <v>132</v>
      </c>
      <c r="U466" s="50" t="s">
        <v>609</v>
      </c>
      <c r="V466" s="50">
        <v>17084590546</v>
      </c>
      <c r="W466" s="50">
        <v>17084591420</v>
      </c>
      <c r="X466" s="50" t="s">
        <v>132</v>
      </c>
      <c r="Y466" s="50"/>
    </row>
    <row r="467" spans="1:25" x14ac:dyDescent="0.25">
      <c r="A467" s="25" t="s">
        <v>115</v>
      </c>
      <c r="B467" t="b">
        <v>0</v>
      </c>
      <c r="C467" s="43" t="s">
        <v>610</v>
      </c>
      <c r="D467" s="43">
        <v>192486082587</v>
      </c>
      <c r="E467" s="43">
        <v>192486083091</v>
      </c>
      <c r="F467" s="43" t="s">
        <v>132</v>
      </c>
      <c r="G467" s="43" t="b">
        <v>0</v>
      </c>
      <c r="H467" s="43" t="b">
        <v>0</v>
      </c>
      <c r="I467" s="43"/>
      <c r="M467" s="48" t="s">
        <v>610</v>
      </c>
      <c r="N467" s="48">
        <v>17093057775</v>
      </c>
      <c r="O467" s="48">
        <v>17093056720</v>
      </c>
      <c r="P467" s="48" t="s">
        <v>132</v>
      </c>
      <c r="Q467" s="49" t="s">
        <v>610</v>
      </c>
      <c r="R467" s="49">
        <v>17086185404</v>
      </c>
      <c r="S467" s="49">
        <v>17085070297</v>
      </c>
      <c r="T467" s="49" t="s">
        <v>132</v>
      </c>
      <c r="U467" s="50" t="s">
        <v>610</v>
      </c>
      <c r="V467" s="50">
        <v>17084589522</v>
      </c>
      <c r="W467" s="50">
        <v>17084592092</v>
      </c>
      <c r="X467" s="50" t="s">
        <v>132</v>
      </c>
      <c r="Y467" s="50"/>
    </row>
    <row r="468" spans="1:25" x14ac:dyDescent="0.25">
      <c r="A468" s="25" t="s">
        <v>115</v>
      </c>
      <c r="B468" t="b">
        <v>0</v>
      </c>
      <c r="C468" s="43" t="s">
        <v>611</v>
      </c>
      <c r="D468" s="43">
        <v>192486081563</v>
      </c>
      <c r="E468" s="43">
        <v>192486080787</v>
      </c>
      <c r="F468" s="43" t="s">
        <v>132</v>
      </c>
      <c r="G468" s="43" t="b">
        <v>0</v>
      </c>
      <c r="H468" s="43" t="b">
        <v>0</v>
      </c>
      <c r="I468" s="43"/>
      <c r="M468" s="48" t="s">
        <v>611</v>
      </c>
      <c r="N468" s="48">
        <v>17093055215</v>
      </c>
      <c r="O468" s="48">
        <v>17093055184</v>
      </c>
      <c r="P468" s="48" t="s">
        <v>132</v>
      </c>
      <c r="Q468" s="49" t="s">
        <v>611</v>
      </c>
      <c r="R468" s="49">
        <v>17086181500</v>
      </c>
      <c r="S468" s="49">
        <v>17085069369</v>
      </c>
      <c r="T468" s="49" t="s">
        <v>132</v>
      </c>
      <c r="U468" s="50" t="s">
        <v>611</v>
      </c>
      <c r="V468" s="50">
        <v>17084591570</v>
      </c>
      <c r="W468" s="50">
        <v>17084589116</v>
      </c>
      <c r="X468" s="50" t="s">
        <v>132</v>
      </c>
      <c r="Y468" s="50"/>
    </row>
    <row r="469" spans="1:25" x14ac:dyDescent="0.25">
      <c r="A469" s="25" t="s">
        <v>115</v>
      </c>
      <c r="B469" t="b">
        <v>0</v>
      </c>
      <c r="C469" s="43" t="s">
        <v>612</v>
      </c>
      <c r="D469" s="43">
        <v>192486083611</v>
      </c>
      <c r="E469" s="43">
        <v>192486083859</v>
      </c>
      <c r="F469" s="43" t="s">
        <v>132</v>
      </c>
      <c r="G469" s="43" t="b">
        <v>0</v>
      </c>
      <c r="H469" s="43" t="b">
        <v>0</v>
      </c>
      <c r="I469" s="43"/>
      <c r="M469" s="48" t="s">
        <v>612</v>
      </c>
      <c r="N469" s="48">
        <v>17093057263</v>
      </c>
      <c r="O469" s="48">
        <v>17093058256</v>
      </c>
      <c r="P469" s="48" t="s">
        <v>132</v>
      </c>
      <c r="Q469" s="49" t="s">
        <v>612</v>
      </c>
      <c r="R469" s="49">
        <v>17086183548</v>
      </c>
      <c r="S469" s="49">
        <v>17085069881</v>
      </c>
      <c r="T469" s="49" t="s">
        <v>132</v>
      </c>
      <c r="U469" s="50" t="s">
        <v>612</v>
      </c>
      <c r="V469" s="50">
        <v>17084589010</v>
      </c>
      <c r="W469" s="50">
        <v>17084590652</v>
      </c>
      <c r="X469" s="50" t="s">
        <v>132</v>
      </c>
      <c r="Y469" s="50"/>
    </row>
    <row r="470" spans="1:25" x14ac:dyDescent="0.25">
      <c r="A470" s="25" t="s">
        <v>115</v>
      </c>
      <c r="B470" t="b">
        <v>0</v>
      </c>
      <c r="C470" s="43" t="s">
        <v>613</v>
      </c>
      <c r="D470" s="43">
        <v>192486081051</v>
      </c>
      <c r="E470" s="43">
        <v>192486082323</v>
      </c>
      <c r="F470" s="43" t="s">
        <v>132</v>
      </c>
      <c r="G470" s="43" t="b">
        <v>0</v>
      </c>
      <c r="H470" s="43" t="b">
        <v>0</v>
      </c>
      <c r="I470" s="43"/>
      <c r="M470" s="48" t="s">
        <v>613</v>
      </c>
      <c r="N470" s="48">
        <v>17093056239</v>
      </c>
      <c r="O470" s="48">
        <v>17093055952</v>
      </c>
      <c r="P470" s="48" t="s">
        <v>132</v>
      </c>
      <c r="Q470" s="49" t="s">
        <v>613</v>
      </c>
      <c r="R470" s="49">
        <v>17086182524</v>
      </c>
      <c r="S470" s="49">
        <v>17085069625</v>
      </c>
      <c r="T470" s="49" t="s">
        <v>132</v>
      </c>
      <c r="U470" s="50" t="s">
        <v>613</v>
      </c>
      <c r="V470" s="50">
        <v>17084591058</v>
      </c>
      <c r="W470" s="50">
        <v>17084588348</v>
      </c>
      <c r="X470" s="50" t="s">
        <v>132</v>
      </c>
      <c r="Y470" s="50"/>
    </row>
    <row r="471" spans="1:25" x14ac:dyDescent="0.25">
      <c r="A471" s="25" t="s">
        <v>115</v>
      </c>
      <c r="B471" t="b">
        <v>0</v>
      </c>
      <c r="C471" s="43" t="s">
        <v>614</v>
      </c>
      <c r="D471" s="43">
        <v>192486083099</v>
      </c>
      <c r="E471" s="43">
        <v>192486081171</v>
      </c>
      <c r="F471" s="43" t="s">
        <v>132</v>
      </c>
      <c r="G471" s="43" t="b">
        <v>0</v>
      </c>
      <c r="H471" s="43" t="b">
        <v>0</v>
      </c>
      <c r="I471" s="43"/>
      <c r="M471" s="48" t="s">
        <v>614</v>
      </c>
      <c r="N471" s="48">
        <v>17093058508</v>
      </c>
      <c r="O471" s="48">
        <v>17093054512</v>
      </c>
      <c r="P471" s="48" t="s">
        <v>132</v>
      </c>
      <c r="Q471" s="49" t="s">
        <v>614</v>
      </c>
      <c r="R471" s="49">
        <v>17086181314</v>
      </c>
      <c r="S471" s="49">
        <v>17085070137</v>
      </c>
      <c r="T471" s="49" t="s">
        <v>132</v>
      </c>
      <c r="U471" s="50" t="s">
        <v>614</v>
      </c>
      <c r="V471" s="50">
        <v>17084590034</v>
      </c>
      <c r="W471" s="50">
        <v>17084589884</v>
      </c>
      <c r="X471" s="50" t="s">
        <v>132</v>
      </c>
      <c r="Y471" s="50"/>
    </row>
    <row r="472" spans="1:25" x14ac:dyDescent="0.25">
      <c r="A472" s="25" t="s">
        <v>115</v>
      </c>
      <c r="B472" t="b">
        <v>0</v>
      </c>
      <c r="C472" s="43" t="s">
        <v>615</v>
      </c>
      <c r="D472" s="43">
        <v>192486082075</v>
      </c>
      <c r="E472" s="43">
        <v>192486084243</v>
      </c>
      <c r="F472" s="43" t="s">
        <v>132</v>
      </c>
      <c r="G472" s="43" t="b">
        <v>0</v>
      </c>
      <c r="H472" s="43" t="b">
        <v>0</v>
      </c>
      <c r="I472" s="43"/>
      <c r="M472" s="48" t="s">
        <v>615</v>
      </c>
      <c r="N472" s="48">
        <v>17093054508</v>
      </c>
      <c r="O472" s="48">
        <v>17093057584</v>
      </c>
      <c r="P472" s="48" t="s">
        <v>132</v>
      </c>
      <c r="Q472" s="49" t="s">
        <v>615</v>
      </c>
      <c r="R472" s="49">
        <v>17086177314</v>
      </c>
      <c r="S472" s="49">
        <v>17085069497</v>
      </c>
      <c r="T472" s="49" t="s">
        <v>132</v>
      </c>
      <c r="U472" s="50" t="s">
        <v>615</v>
      </c>
      <c r="V472" s="50">
        <v>17084592082</v>
      </c>
      <c r="W472" s="50">
        <v>17084590268</v>
      </c>
      <c r="X472" s="50" t="s">
        <v>132</v>
      </c>
      <c r="Y472" s="50"/>
    </row>
    <row r="473" spans="1:25" x14ac:dyDescent="0.25">
      <c r="A473" s="25" t="s">
        <v>115</v>
      </c>
      <c r="B473" t="b">
        <v>0</v>
      </c>
      <c r="C473" s="43" t="s">
        <v>616</v>
      </c>
      <c r="D473" s="43">
        <v>192486084123</v>
      </c>
      <c r="E473" s="43">
        <v>192486081939</v>
      </c>
      <c r="F473" s="43" t="s">
        <v>132</v>
      </c>
      <c r="G473" s="43" t="b">
        <v>0</v>
      </c>
      <c r="H473" s="43" t="b">
        <v>0</v>
      </c>
      <c r="I473" s="43"/>
      <c r="M473" s="48" t="s">
        <v>616</v>
      </c>
      <c r="N473" s="48">
        <v>17093056556</v>
      </c>
      <c r="O473" s="48">
        <v>17093056048</v>
      </c>
      <c r="P473" s="48" t="s">
        <v>132</v>
      </c>
      <c r="Q473" s="49" t="s">
        <v>616</v>
      </c>
      <c r="R473" s="49">
        <v>17086179362</v>
      </c>
      <c r="S473" s="49">
        <v>17085070009</v>
      </c>
      <c r="T473" s="49" t="s">
        <v>132</v>
      </c>
      <c r="U473" s="50" t="s">
        <v>616</v>
      </c>
      <c r="V473" s="50">
        <v>17084588082</v>
      </c>
      <c r="W473" s="50">
        <v>17084588732</v>
      </c>
      <c r="X473" s="50" t="s">
        <v>132</v>
      </c>
      <c r="Y473" s="50"/>
    </row>
    <row r="474" spans="1:25" x14ac:dyDescent="0.25">
      <c r="A474" s="25" t="s">
        <v>115</v>
      </c>
      <c r="B474" t="b">
        <v>0</v>
      </c>
      <c r="C474" s="43" t="s">
        <v>617</v>
      </c>
      <c r="D474" s="43">
        <v>192486080795</v>
      </c>
      <c r="E474" s="43">
        <v>192486083475</v>
      </c>
      <c r="F474" s="43" t="s">
        <v>132</v>
      </c>
      <c r="G474" s="43" t="b">
        <v>0</v>
      </c>
      <c r="H474" s="43" t="b">
        <v>0</v>
      </c>
      <c r="I474" s="43"/>
      <c r="M474" s="48" t="s">
        <v>617</v>
      </c>
      <c r="N474" s="48">
        <v>17093055532</v>
      </c>
      <c r="O474" s="48">
        <v>17093056816</v>
      </c>
      <c r="P474" s="48" t="s">
        <v>132</v>
      </c>
      <c r="Q474" s="49" t="s">
        <v>617</v>
      </c>
      <c r="R474" s="49">
        <v>17086178338</v>
      </c>
      <c r="S474" s="49">
        <v>17085069753</v>
      </c>
      <c r="T474" s="49" t="s">
        <v>132</v>
      </c>
      <c r="U474" s="50" t="s">
        <v>617</v>
      </c>
      <c r="V474" s="50">
        <v>17084590130</v>
      </c>
      <c r="W474" s="50">
        <v>17084591804</v>
      </c>
      <c r="X474" s="50" t="s">
        <v>132</v>
      </c>
      <c r="Y474" s="50"/>
    </row>
    <row r="475" spans="1:25" x14ac:dyDescent="0.25">
      <c r="A475" s="25" t="s">
        <v>115</v>
      </c>
      <c r="B475" t="b">
        <v>0</v>
      </c>
      <c r="C475" s="43" t="s">
        <v>618</v>
      </c>
      <c r="D475" s="43">
        <v>192486082843</v>
      </c>
      <c r="E475" s="43">
        <v>192486080595</v>
      </c>
      <c r="F475" s="43" t="s">
        <v>132</v>
      </c>
      <c r="G475" s="43" t="b">
        <v>0</v>
      </c>
      <c r="H475" s="43" t="b">
        <v>0</v>
      </c>
      <c r="I475" s="43"/>
      <c r="M475" s="48" t="s">
        <v>618</v>
      </c>
      <c r="N475" s="48">
        <v>17093057580</v>
      </c>
      <c r="O475" s="48">
        <v>17093055280</v>
      </c>
      <c r="P475" s="48" t="s">
        <v>132</v>
      </c>
      <c r="Q475" s="49" t="s">
        <v>618</v>
      </c>
      <c r="R475" s="49">
        <v>17086189548</v>
      </c>
      <c r="S475" s="49">
        <v>17085070265</v>
      </c>
      <c r="T475" s="49" t="s">
        <v>132</v>
      </c>
      <c r="U475" s="50" t="s">
        <v>618</v>
      </c>
      <c r="V475" s="50">
        <v>17084589106</v>
      </c>
      <c r="W475" s="50">
        <v>17084589500</v>
      </c>
      <c r="X475" s="50" t="s">
        <v>132</v>
      </c>
      <c r="Y475" s="50"/>
    </row>
    <row r="476" spans="1:25" x14ac:dyDescent="0.25">
      <c r="A476" s="25" t="s">
        <v>115</v>
      </c>
      <c r="B476" t="b">
        <v>0</v>
      </c>
      <c r="C476" s="43" t="s">
        <v>619</v>
      </c>
      <c r="D476" s="43">
        <v>192486081819</v>
      </c>
      <c r="E476" s="43">
        <v>192486083979</v>
      </c>
      <c r="F476" s="43" t="s">
        <v>132</v>
      </c>
      <c r="G476" s="43" t="b">
        <v>0</v>
      </c>
      <c r="H476" s="43" t="b">
        <v>0</v>
      </c>
      <c r="I476" s="43"/>
      <c r="M476" s="48" t="s">
        <v>619</v>
      </c>
      <c r="N476" s="48">
        <v>17093055020</v>
      </c>
      <c r="O476" s="48">
        <v>17093056084</v>
      </c>
      <c r="P476" s="48" t="s">
        <v>132</v>
      </c>
      <c r="Q476" s="49" t="s">
        <v>619</v>
      </c>
      <c r="R476" s="49">
        <v>17086185500</v>
      </c>
      <c r="S476" s="49">
        <v>17085069433</v>
      </c>
      <c r="T476" s="49" t="s">
        <v>132</v>
      </c>
      <c r="U476" s="50" t="s">
        <v>619</v>
      </c>
      <c r="V476" s="50">
        <v>17084591154</v>
      </c>
      <c r="W476" s="50">
        <v>17084590754</v>
      </c>
      <c r="X476" s="50" t="s">
        <v>132</v>
      </c>
      <c r="Y476" s="50"/>
    </row>
    <row r="477" spans="1:25" x14ac:dyDescent="0.25">
      <c r="A477" s="25" t="s">
        <v>115</v>
      </c>
      <c r="B477" t="b">
        <v>0</v>
      </c>
      <c r="C477" s="43" t="s">
        <v>620</v>
      </c>
      <c r="D477" s="43">
        <v>192486083867</v>
      </c>
      <c r="E477" s="43">
        <v>192486082443</v>
      </c>
      <c r="F477" s="43" t="s">
        <v>132</v>
      </c>
      <c r="G477" s="43" t="b">
        <v>0</v>
      </c>
      <c r="H477" s="43" t="b">
        <v>0</v>
      </c>
      <c r="I477" s="43"/>
      <c r="M477" s="48" t="s">
        <v>620</v>
      </c>
      <c r="N477" s="48">
        <v>17093057068</v>
      </c>
      <c r="O477" s="48">
        <v>17093056852</v>
      </c>
      <c r="P477" s="48" t="s">
        <v>132</v>
      </c>
      <c r="Q477" s="49" t="s">
        <v>620</v>
      </c>
      <c r="R477" s="49">
        <v>17086187548</v>
      </c>
      <c r="S477" s="49">
        <v>17085069945</v>
      </c>
      <c r="T477" s="49" t="s">
        <v>132</v>
      </c>
      <c r="U477" s="50" t="s">
        <v>620</v>
      </c>
      <c r="V477" s="50">
        <v>17084588594</v>
      </c>
      <c r="W477" s="50">
        <v>17084588450</v>
      </c>
      <c r="X477" s="50" t="s">
        <v>132</v>
      </c>
      <c r="Y477" s="50"/>
    </row>
    <row r="478" spans="1:25" x14ac:dyDescent="0.25">
      <c r="A478" s="25" t="s">
        <v>115</v>
      </c>
      <c r="B478" t="b">
        <v>0</v>
      </c>
      <c r="C478" s="43" t="s">
        <v>621</v>
      </c>
      <c r="D478" s="43">
        <v>192486081307</v>
      </c>
      <c r="E478" s="43">
        <v>192486082635</v>
      </c>
      <c r="F478" s="43" t="s">
        <v>132</v>
      </c>
      <c r="G478" s="43" t="b">
        <v>0</v>
      </c>
      <c r="H478" s="43" t="b">
        <v>0</v>
      </c>
      <c r="I478" s="43"/>
      <c r="M478" s="48" t="s">
        <v>621</v>
      </c>
      <c r="N478" s="48">
        <v>17093056044</v>
      </c>
      <c r="O478" s="48">
        <v>17093055316</v>
      </c>
      <c r="P478" s="48" t="s">
        <v>132</v>
      </c>
      <c r="Q478" s="49" t="s">
        <v>621</v>
      </c>
      <c r="R478" s="49">
        <v>17086186524</v>
      </c>
      <c r="S478" s="49">
        <v>17085069689</v>
      </c>
      <c r="T478" s="49" t="s">
        <v>132</v>
      </c>
      <c r="U478" s="50" t="s">
        <v>621</v>
      </c>
      <c r="V478" s="50">
        <v>17084590642</v>
      </c>
      <c r="W478" s="50">
        <v>17084591522</v>
      </c>
      <c r="X478" s="50" t="s">
        <v>132</v>
      </c>
      <c r="Y478" s="50"/>
    </row>
    <row r="479" spans="1:25" x14ac:dyDescent="0.25">
      <c r="A479" s="25" t="s">
        <v>115</v>
      </c>
      <c r="B479" t="b">
        <v>0</v>
      </c>
      <c r="C479" s="43" t="s">
        <v>622</v>
      </c>
      <c r="D479" s="43">
        <v>192486083355</v>
      </c>
      <c r="E479" s="43">
        <v>192486080979</v>
      </c>
      <c r="F479" s="43" t="s">
        <v>132</v>
      </c>
      <c r="G479" s="43" t="b">
        <v>0</v>
      </c>
      <c r="H479" s="43" t="b">
        <v>0</v>
      </c>
      <c r="I479" s="43"/>
      <c r="M479" s="48" t="s">
        <v>622</v>
      </c>
      <c r="N479" s="48">
        <v>17093056172</v>
      </c>
      <c r="O479" s="48">
        <v>17093055088</v>
      </c>
      <c r="P479" s="48" t="s">
        <v>132</v>
      </c>
      <c r="Q479" s="49" t="s">
        <v>622</v>
      </c>
      <c r="R479" s="49">
        <v>17086181756</v>
      </c>
      <c r="S479" s="49">
        <v>17085070201</v>
      </c>
      <c r="T479" s="49" t="s">
        <v>132</v>
      </c>
      <c r="U479" s="50" t="s">
        <v>622</v>
      </c>
      <c r="V479" s="50">
        <v>17084589618</v>
      </c>
      <c r="W479" s="50">
        <v>17084589308</v>
      </c>
      <c r="X479" s="50" t="s">
        <v>132</v>
      </c>
      <c r="Y479" s="50"/>
    </row>
    <row r="480" spans="1:25" x14ac:dyDescent="0.25">
      <c r="A480" s="25" t="s">
        <v>115</v>
      </c>
      <c r="B480" t="b">
        <v>0</v>
      </c>
      <c r="C480" s="43" t="s">
        <v>623</v>
      </c>
      <c r="D480" s="43">
        <v>192486082331</v>
      </c>
      <c r="E480" s="43">
        <v>192486081363</v>
      </c>
      <c r="F480" s="43" t="s">
        <v>132</v>
      </c>
      <c r="G480" s="43" t="b">
        <v>0</v>
      </c>
      <c r="H480" s="43" t="b">
        <v>0</v>
      </c>
      <c r="I480" s="43"/>
      <c r="M480" s="48" t="s">
        <v>623</v>
      </c>
      <c r="N480" s="48">
        <v>17093058220</v>
      </c>
      <c r="O480" s="48">
        <v>17093054896</v>
      </c>
      <c r="P480" s="48" t="s">
        <v>132</v>
      </c>
      <c r="Q480" s="49" t="s">
        <v>623</v>
      </c>
      <c r="R480" s="49">
        <v>17086182012</v>
      </c>
      <c r="S480" s="49">
        <v>17085069561</v>
      </c>
      <c r="T480" s="49" t="s">
        <v>132</v>
      </c>
      <c r="U480" s="50" t="s">
        <v>623</v>
      </c>
      <c r="V480" s="50">
        <v>17084591666</v>
      </c>
      <c r="W480" s="50">
        <v>17084589692</v>
      </c>
      <c r="X480" s="50" t="s">
        <v>132</v>
      </c>
      <c r="Y480" s="50"/>
    </row>
    <row r="481" spans="1:29" x14ac:dyDescent="0.25">
      <c r="A481" s="25" t="s">
        <v>115</v>
      </c>
      <c r="B481" t="b">
        <v>0</v>
      </c>
      <c r="C481" s="43" t="s">
        <v>624</v>
      </c>
      <c r="D481" s="43">
        <v>192486084379</v>
      </c>
      <c r="E481" s="43">
        <v>192486084435</v>
      </c>
      <c r="F481" s="43" t="s">
        <v>132</v>
      </c>
      <c r="G481" s="43" t="b">
        <v>0</v>
      </c>
      <c r="H481" s="43" t="b">
        <v>0</v>
      </c>
      <c r="I481" s="43"/>
      <c r="M481" s="48" t="s">
        <v>624</v>
      </c>
      <c r="N481" s="48">
        <v>17093054892</v>
      </c>
      <c r="O481" s="48">
        <v>17093057968</v>
      </c>
      <c r="P481" s="48" t="s">
        <v>132</v>
      </c>
      <c r="Q481" s="49" t="s">
        <v>624</v>
      </c>
      <c r="R481" s="49">
        <v>17086184060</v>
      </c>
      <c r="S481" s="49">
        <v>17085070073</v>
      </c>
      <c r="T481" s="49" t="s">
        <v>132</v>
      </c>
      <c r="U481" s="50" t="s">
        <v>624</v>
      </c>
      <c r="V481" s="50">
        <v>17084588338</v>
      </c>
      <c r="W481" s="50">
        <v>17084590460</v>
      </c>
      <c r="X481" s="50" t="s">
        <v>132</v>
      </c>
      <c r="Y481" s="50"/>
    </row>
    <row r="482" spans="1:29" x14ac:dyDescent="0.25">
      <c r="A482" s="25" t="s">
        <v>115</v>
      </c>
      <c r="B482" t="b">
        <v>0</v>
      </c>
      <c r="C482" s="43" t="s">
        <v>625</v>
      </c>
      <c r="D482" s="43">
        <v>192486080667</v>
      </c>
      <c r="E482" s="43">
        <v>192486081747</v>
      </c>
      <c r="F482" s="43" t="s">
        <v>132</v>
      </c>
      <c r="G482" s="43" t="b">
        <v>0</v>
      </c>
      <c r="H482" s="43" t="b">
        <v>0</v>
      </c>
      <c r="I482" s="43"/>
      <c r="M482" s="48" t="s">
        <v>625</v>
      </c>
      <c r="N482" s="48">
        <v>17093056940</v>
      </c>
      <c r="O482" s="48">
        <v>17093056432</v>
      </c>
      <c r="P482" s="48" t="s">
        <v>132</v>
      </c>
      <c r="Q482" s="49" t="s">
        <v>625</v>
      </c>
      <c r="R482" s="49">
        <v>17086183036</v>
      </c>
      <c r="S482" s="49">
        <v>17085069817</v>
      </c>
      <c r="T482" s="49" t="s">
        <v>132</v>
      </c>
      <c r="U482" s="50" t="s">
        <v>625</v>
      </c>
      <c r="V482" s="50">
        <v>17084590386</v>
      </c>
      <c r="W482" s="50">
        <v>17084588924</v>
      </c>
      <c r="X482" s="50" t="s">
        <v>132</v>
      </c>
      <c r="Y482" s="50"/>
    </row>
    <row r="483" spans="1:29" x14ac:dyDescent="0.25">
      <c r="A483" s="25" t="s">
        <v>115</v>
      </c>
      <c r="B483" t="b">
        <v>0</v>
      </c>
      <c r="C483" s="43" t="s">
        <v>626</v>
      </c>
      <c r="D483" s="43">
        <v>192486082715</v>
      </c>
      <c r="E483" s="43">
        <v>192486083283</v>
      </c>
      <c r="F483" s="43" t="s">
        <v>132</v>
      </c>
      <c r="G483" s="43" t="b">
        <v>0</v>
      </c>
      <c r="H483" s="43" t="b">
        <v>0</v>
      </c>
      <c r="I483" s="43"/>
      <c r="M483" s="48" t="s">
        <v>626</v>
      </c>
      <c r="N483" s="48">
        <v>17093055916</v>
      </c>
      <c r="O483" s="48">
        <v>17093056624</v>
      </c>
      <c r="P483" s="48" t="s">
        <v>132</v>
      </c>
      <c r="Q483" s="49" t="s">
        <v>626</v>
      </c>
      <c r="R483" s="49">
        <v>17086185084</v>
      </c>
      <c r="S483" s="49">
        <v>17085070329</v>
      </c>
      <c r="T483" s="49" t="s">
        <v>132</v>
      </c>
      <c r="U483" s="50" t="s">
        <v>626</v>
      </c>
      <c r="V483" s="50">
        <v>17084589362</v>
      </c>
      <c r="W483" s="50">
        <v>17084591996</v>
      </c>
      <c r="X483" s="50" t="s">
        <v>132</v>
      </c>
      <c r="Y483" s="50"/>
    </row>
    <row r="484" spans="1:29" x14ac:dyDescent="0.25">
      <c r="A484" s="25" t="s">
        <v>115</v>
      </c>
      <c r="B484" t="b">
        <v>0</v>
      </c>
      <c r="C484" s="43" t="s">
        <v>627</v>
      </c>
      <c r="D484" s="43">
        <v>192486081691</v>
      </c>
      <c r="E484" s="43">
        <v>192486084051</v>
      </c>
      <c r="F484" s="43" t="s">
        <v>132</v>
      </c>
      <c r="G484" s="43" t="b">
        <v>0</v>
      </c>
      <c r="H484" s="43" t="b">
        <v>0</v>
      </c>
      <c r="I484" s="43"/>
      <c r="M484" s="48" t="s">
        <v>627</v>
      </c>
      <c r="N484" s="48">
        <v>17093057964</v>
      </c>
      <c r="O484" s="48">
        <v>17093058160</v>
      </c>
      <c r="P484" s="48" t="s">
        <v>132</v>
      </c>
      <c r="Q484" s="49" t="s">
        <v>627</v>
      </c>
      <c r="R484" s="49">
        <v>17086175314</v>
      </c>
      <c r="S484" s="49">
        <v>17085069317</v>
      </c>
      <c r="T484" s="49" t="s">
        <v>132</v>
      </c>
      <c r="U484" s="50" t="s">
        <v>627</v>
      </c>
      <c r="V484" s="50">
        <v>17084591410</v>
      </c>
      <c r="W484" s="50">
        <v>17084590844</v>
      </c>
      <c r="X484" s="50" t="s">
        <v>132</v>
      </c>
      <c r="Y484" s="50"/>
    </row>
    <row r="485" spans="1:29" x14ac:dyDescent="0.25">
      <c r="A485" s="25" t="s">
        <v>115</v>
      </c>
      <c r="B485" t="b">
        <v>0</v>
      </c>
      <c r="C485" s="43" t="s">
        <v>628</v>
      </c>
      <c r="D485" s="43">
        <v>192486083739</v>
      </c>
      <c r="E485" s="43">
        <v>192486082515</v>
      </c>
      <c r="F485" s="43" t="s">
        <v>132</v>
      </c>
      <c r="G485" s="43" t="b">
        <v>0</v>
      </c>
      <c r="H485" s="43" t="b">
        <v>0</v>
      </c>
      <c r="I485" s="43"/>
      <c r="M485" s="48" t="s">
        <v>628</v>
      </c>
      <c r="N485" s="48">
        <v>17093055404</v>
      </c>
      <c r="O485" s="48">
        <v>17093055856</v>
      </c>
      <c r="P485" s="48" t="s">
        <v>132</v>
      </c>
      <c r="Q485" s="49" t="s">
        <v>628</v>
      </c>
      <c r="R485" s="49">
        <v>17086174290</v>
      </c>
      <c r="S485" s="49">
        <v>17085069829</v>
      </c>
      <c r="T485" s="49" t="s">
        <v>132</v>
      </c>
      <c r="U485" s="50" t="s">
        <v>628</v>
      </c>
      <c r="V485" s="50">
        <v>17084588850</v>
      </c>
      <c r="W485" s="50">
        <v>17084588540</v>
      </c>
      <c r="X485" s="50" t="s">
        <v>132</v>
      </c>
      <c r="Y485" s="50"/>
    </row>
    <row r="486" spans="1:29" x14ac:dyDescent="0.25">
      <c r="A486" s="25" t="s">
        <v>115</v>
      </c>
      <c r="B486" t="b">
        <v>0</v>
      </c>
      <c r="C486" s="43" t="s">
        <v>629</v>
      </c>
      <c r="D486" s="43">
        <v>192486081179</v>
      </c>
      <c r="E486" s="43">
        <v>192486082611</v>
      </c>
      <c r="F486" s="43" t="s">
        <v>132</v>
      </c>
      <c r="G486" s="43" t="b">
        <v>0</v>
      </c>
      <c r="H486" s="43" t="b">
        <v>0</v>
      </c>
      <c r="I486" s="43"/>
      <c r="M486" s="48" t="s">
        <v>629</v>
      </c>
      <c r="N486" s="48">
        <v>17093057452</v>
      </c>
      <c r="O486" s="48">
        <v>17093057392</v>
      </c>
      <c r="P486" s="48" t="s">
        <v>132</v>
      </c>
      <c r="Q486" s="49" t="s">
        <v>629</v>
      </c>
      <c r="R486" s="49">
        <v>17086176338</v>
      </c>
      <c r="S486" s="49">
        <v>17085069573</v>
      </c>
      <c r="T486" s="49" t="s">
        <v>132</v>
      </c>
      <c r="U486" s="50" t="s">
        <v>629</v>
      </c>
      <c r="V486" s="50">
        <v>17084590898</v>
      </c>
      <c r="W486" s="50">
        <v>17084591612</v>
      </c>
      <c r="X486" s="50" t="s">
        <v>132</v>
      </c>
      <c r="Y486" s="50"/>
    </row>
    <row r="487" spans="1:29" x14ac:dyDescent="0.25">
      <c r="A487" s="25" t="s">
        <v>115</v>
      </c>
      <c r="B487" t="b">
        <v>1</v>
      </c>
      <c r="C487" s="43" t="s">
        <v>630</v>
      </c>
      <c r="D487" s="43">
        <v>18384215515</v>
      </c>
      <c r="E487" s="43">
        <v>18578002204</v>
      </c>
      <c r="F487" s="43" t="s">
        <v>123</v>
      </c>
      <c r="G487" s="43" t="b">
        <v>1</v>
      </c>
      <c r="H487" s="43" t="b">
        <v>0</v>
      </c>
      <c r="I487" s="43"/>
      <c r="M487" s="48" t="s">
        <v>630</v>
      </c>
      <c r="N487" s="48">
        <v>17088571738</v>
      </c>
      <c r="O487" s="48">
        <v>17088566595</v>
      </c>
      <c r="P487" s="48" t="s">
        <v>123</v>
      </c>
      <c r="Q487" s="49" t="s">
        <v>630</v>
      </c>
      <c r="R487" s="49">
        <v>17083128830</v>
      </c>
      <c r="S487" s="49">
        <v>17083125031</v>
      </c>
      <c r="T487" s="49" t="s">
        <v>123</v>
      </c>
      <c r="U487" s="50" t="s">
        <v>630</v>
      </c>
      <c r="V487" s="50">
        <v>17083128830</v>
      </c>
      <c r="W487" s="50">
        <v>17083125031</v>
      </c>
      <c r="X487" s="50" t="s">
        <v>123</v>
      </c>
      <c r="Y487" s="50">
        <v>150060</v>
      </c>
    </row>
    <row r="488" spans="1:29" x14ac:dyDescent="0.25">
      <c r="A488" s="25" t="s">
        <v>115</v>
      </c>
      <c r="B488" t="b">
        <v>1</v>
      </c>
      <c r="C488" s="43" t="s">
        <v>631</v>
      </c>
      <c r="D488" s="43">
        <v>18384212955</v>
      </c>
      <c r="E488" s="43">
        <v>18384214939</v>
      </c>
      <c r="F488" s="43" t="s">
        <v>123</v>
      </c>
      <c r="G488" s="43" t="b">
        <v>1</v>
      </c>
      <c r="H488" s="43" t="b">
        <v>0</v>
      </c>
      <c r="I488" s="43"/>
      <c r="M488" s="48" t="s">
        <v>631</v>
      </c>
      <c r="N488" s="48">
        <v>17088572890</v>
      </c>
      <c r="O488" s="48">
        <v>17088567641</v>
      </c>
      <c r="P488" s="48" t="s">
        <v>123</v>
      </c>
      <c r="Q488" s="49" t="s">
        <v>631</v>
      </c>
      <c r="R488" s="49">
        <v>17083127873</v>
      </c>
      <c r="S488" s="49">
        <v>17083124221</v>
      </c>
      <c r="T488" s="49" t="s">
        <v>123</v>
      </c>
      <c r="U488" s="50" t="s">
        <v>631</v>
      </c>
      <c r="V488" s="50">
        <v>17083127873</v>
      </c>
      <c r="W488" s="50">
        <v>17083124221</v>
      </c>
      <c r="X488" s="50" t="s">
        <v>123</v>
      </c>
      <c r="Y488" s="50">
        <v>150061</v>
      </c>
    </row>
    <row r="489" spans="1:29" x14ac:dyDescent="0.25">
      <c r="A489" s="25" t="s">
        <v>115</v>
      </c>
      <c r="B489" t="b">
        <v>1</v>
      </c>
      <c r="C489" s="43" t="s">
        <v>632</v>
      </c>
      <c r="D489" s="43">
        <v>18384215003</v>
      </c>
      <c r="E489" s="43">
        <v>18384212571</v>
      </c>
      <c r="F489" s="43" t="s">
        <v>123</v>
      </c>
      <c r="G489" s="43" t="b">
        <v>1</v>
      </c>
      <c r="H489" s="43" t="b">
        <v>0</v>
      </c>
      <c r="I489" s="43"/>
      <c r="M489" s="48" t="s">
        <v>632</v>
      </c>
      <c r="N489" s="48">
        <v>17088570810</v>
      </c>
      <c r="O489" s="48">
        <v>17088565465</v>
      </c>
      <c r="P489" s="48" t="s">
        <v>123</v>
      </c>
      <c r="Q489" s="49" t="s">
        <v>632</v>
      </c>
      <c r="R489" s="49">
        <v>17083126049</v>
      </c>
      <c r="S489" s="49">
        <v>17083121667</v>
      </c>
      <c r="T489" s="49" t="s">
        <v>123</v>
      </c>
      <c r="U489" s="50" t="s">
        <v>632</v>
      </c>
      <c r="V489" s="50">
        <v>17083126049</v>
      </c>
      <c r="W489" s="50">
        <v>17083121667</v>
      </c>
      <c r="X489" s="50" t="s">
        <v>123</v>
      </c>
      <c r="Y489" s="50">
        <v>150062</v>
      </c>
    </row>
    <row r="490" spans="1:29" x14ac:dyDescent="0.25">
      <c r="A490" s="25" t="s">
        <v>115</v>
      </c>
      <c r="B490" t="b">
        <v>0</v>
      </c>
      <c r="C490" s="43" t="s">
        <v>633</v>
      </c>
      <c r="D490" s="43">
        <v>18384213979</v>
      </c>
      <c r="E490" s="43">
        <v>18384213211</v>
      </c>
      <c r="F490" s="43" t="s">
        <v>123</v>
      </c>
      <c r="G490" s="43" t="b">
        <v>1</v>
      </c>
      <c r="H490" s="43" t="b">
        <v>0</v>
      </c>
      <c r="I490" s="43" t="s">
        <v>134</v>
      </c>
      <c r="M490" s="48" t="s">
        <v>633</v>
      </c>
      <c r="N490" s="48">
        <v>17088570742</v>
      </c>
      <c r="O490" s="48">
        <v>17088569107</v>
      </c>
      <c r="P490" s="48" t="s">
        <v>123</v>
      </c>
      <c r="Q490" s="49" t="s">
        <v>633</v>
      </c>
      <c r="R490" s="49">
        <v>17083128745</v>
      </c>
      <c r="S490" s="49">
        <v>17083122775</v>
      </c>
      <c r="T490" s="49" t="s">
        <v>123</v>
      </c>
      <c r="U490" s="50" t="s">
        <v>633</v>
      </c>
      <c r="V490" s="50">
        <v>17083128745</v>
      </c>
      <c r="W490" s="50">
        <v>17083122775</v>
      </c>
      <c r="X490" s="50" t="s">
        <v>123</v>
      </c>
      <c r="Y490" s="50">
        <v>150064</v>
      </c>
    </row>
    <row r="491" spans="1:29" x14ac:dyDescent="0.25">
      <c r="A491" s="25" t="s">
        <v>115</v>
      </c>
      <c r="B491" t="b">
        <v>0</v>
      </c>
      <c r="C491" s="43" t="s">
        <v>634</v>
      </c>
      <c r="D491" s="43">
        <v>18384216027</v>
      </c>
      <c r="E491" s="43">
        <v>18384215387</v>
      </c>
      <c r="F491" s="43" t="s">
        <v>123</v>
      </c>
      <c r="G491" s="43" t="b">
        <v>1</v>
      </c>
      <c r="H491" s="43" t="b">
        <v>0</v>
      </c>
      <c r="I491" s="43" t="s">
        <v>134</v>
      </c>
      <c r="M491" s="48" t="s">
        <v>634</v>
      </c>
      <c r="N491" s="48">
        <v>17088572342</v>
      </c>
      <c r="O491" s="48">
        <v>17088569049</v>
      </c>
      <c r="P491" s="48" t="s">
        <v>123</v>
      </c>
      <c r="Q491" s="49" t="s">
        <v>634</v>
      </c>
      <c r="R491" s="49">
        <v>17083127593</v>
      </c>
      <c r="S491" s="49">
        <v>17083125251</v>
      </c>
      <c r="T491" s="49" t="s">
        <v>123</v>
      </c>
      <c r="U491" s="50" t="s">
        <v>634</v>
      </c>
      <c r="V491" s="50">
        <v>17083127593</v>
      </c>
      <c r="W491" s="50">
        <v>17083125251</v>
      </c>
      <c r="X491" s="50" t="s">
        <v>123</v>
      </c>
      <c r="Y491" s="50">
        <v>150063</v>
      </c>
    </row>
    <row r="492" spans="1:29" x14ac:dyDescent="0.25">
      <c r="A492" s="25" t="s">
        <v>115</v>
      </c>
      <c r="B492" t="b">
        <v>0</v>
      </c>
      <c r="C492" s="43" t="s">
        <v>635</v>
      </c>
      <c r="D492" s="43">
        <v>67108978866</v>
      </c>
      <c r="E492" s="43">
        <v>20112579563</v>
      </c>
      <c r="F492" s="43" t="s">
        <v>186</v>
      </c>
      <c r="G492" s="43" t="b">
        <v>0</v>
      </c>
      <c r="H492" s="43" t="b">
        <v>1</v>
      </c>
      <c r="I492" s="43"/>
      <c r="J492" s="45" t="s">
        <v>635</v>
      </c>
      <c r="K492" s="46">
        <v>20112579563</v>
      </c>
      <c r="L492" s="47">
        <v>990000552</v>
      </c>
      <c r="M492" s="48" t="s">
        <v>635</v>
      </c>
      <c r="N492" s="48">
        <v>17090350449</v>
      </c>
      <c r="O492" s="48">
        <v>17088564263</v>
      </c>
      <c r="P492" s="48" t="s">
        <v>186</v>
      </c>
      <c r="Q492" s="49" t="s">
        <v>635</v>
      </c>
      <c r="R492" s="49">
        <v>17083657415</v>
      </c>
      <c r="S492" s="49">
        <v>17083125624</v>
      </c>
      <c r="T492" s="49" t="s">
        <v>186</v>
      </c>
      <c r="U492" s="50" t="s">
        <v>635</v>
      </c>
      <c r="V492" s="50">
        <v>17083657415</v>
      </c>
      <c r="W492" s="50">
        <v>17083125624</v>
      </c>
      <c r="X492" s="50" t="s">
        <v>186</v>
      </c>
      <c r="Y492" s="50"/>
      <c r="Z492" s="51" t="s">
        <v>636</v>
      </c>
      <c r="AA492" s="51" t="s">
        <v>187</v>
      </c>
      <c r="AB492" s="51">
        <v>655</v>
      </c>
      <c r="AC492" s="51">
        <v>780</v>
      </c>
    </row>
    <row r="493" spans="1:29" x14ac:dyDescent="0.25">
      <c r="A493" s="25" t="s">
        <v>115</v>
      </c>
      <c r="B493" t="b">
        <v>0</v>
      </c>
      <c r="C493" s="43" t="s">
        <v>637</v>
      </c>
      <c r="D493" s="43">
        <v>67108980914</v>
      </c>
      <c r="E493" s="43">
        <v>20112576875</v>
      </c>
      <c r="F493" s="43" t="s">
        <v>125</v>
      </c>
      <c r="G493" s="43" t="b">
        <v>0</v>
      </c>
      <c r="H493" s="43" t="b">
        <v>1</v>
      </c>
      <c r="I493" s="43"/>
      <c r="J493" s="45" t="s">
        <v>637</v>
      </c>
      <c r="K493" s="46">
        <v>20112576875</v>
      </c>
      <c r="L493" s="47">
        <v>990000551</v>
      </c>
      <c r="M493" s="48" t="s">
        <v>637</v>
      </c>
      <c r="N493" s="48">
        <v>17090347889</v>
      </c>
      <c r="O493" s="48">
        <v>17088564915</v>
      </c>
      <c r="P493" s="48" t="s">
        <v>125</v>
      </c>
      <c r="Q493" s="49" t="s">
        <v>637</v>
      </c>
      <c r="R493" s="49">
        <v>17083654855</v>
      </c>
      <c r="S493" s="49">
        <v>17083122448</v>
      </c>
      <c r="T493" s="49" t="s">
        <v>125</v>
      </c>
      <c r="U493" s="50" t="s">
        <v>637</v>
      </c>
      <c r="V493" s="50">
        <v>17083654855</v>
      </c>
      <c r="W493" s="50">
        <v>17083122448</v>
      </c>
      <c r="X493" s="50" t="s">
        <v>125</v>
      </c>
      <c r="Y493" s="50"/>
      <c r="Z493" s="51" t="s">
        <v>638</v>
      </c>
      <c r="AA493" s="51" t="s">
        <v>189</v>
      </c>
      <c r="AB493" s="51">
        <v>15195</v>
      </c>
      <c r="AC493" s="51">
        <v>18082</v>
      </c>
    </row>
    <row r="494" spans="1:29" x14ac:dyDescent="0.25">
      <c r="A494" s="25" t="s">
        <v>115</v>
      </c>
      <c r="B494" t="b">
        <v>0</v>
      </c>
      <c r="C494" s="43" t="s">
        <v>639</v>
      </c>
      <c r="D494" s="43">
        <v>67108979890</v>
      </c>
      <c r="E494" s="43">
        <v>67108982322</v>
      </c>
      <c r="F494" s="43" t="s">
        <v>186</v>
      </c>
      <c r="G494" s="43" t="b">
        <v>0</v>
      </c>
      <c r="H494" s="43" t="b">
        <v>1</v>
      </c>
      <c r="I494" s="43"/>
      <c r="J494" s="45" t="s">
        <v>639</v>
      </c>
      <c r="K494" s="46">
        <v>67108982322</v>
      </c>
      <c r="L494" s="47">
        <v>990000423</v>
      </c>
      <c r="M494" s="48" t="s">
        <v>639</v>
      </c>
      <c r="N494" s="48">
        <v>17090349937</v>
      </c>
      <c r="O494" s="48">
        <v>17090348145</v>
      </c>
      <c r="P494" s="48" t="s">
        <v>186</v>
      </c>
      <c r="Q494" s="49" t="s">
        <v>639</v>
      </c>
      <c r="R494" s="49">
        <v>17083656903</v>
      </c>
      <c r="S494" s="49">
        <v>17083655495</v>
      </c>
      <c r="T494" s="49" t="s">
        <v>186</v>
      </c>
      <c r="U494" s="50" t="s">
        <v>639</v>
      </c>
      <c r="V494" s="50">
        <v>17083656903</v>
      </c>
      <c r="W494" s="50">
        <v>17083655495</v>
      </c>
      <c r="X494" s="50" t="s">
        <v>186</v>
      </c>
      <c r="Y494" s="50"/>
      <c r="Z494" s="51" t="s">
        <v>640</v>
      </c>
      <c r="AA494" s="51" t="s">
        <v>187</v>
      </c>
      <c r="AB494" s="51">
        <v>482</v>
      </c>
      <c r="AC494" s="51" t="s">
        <v>641</v>
      </c>
    </row>
    <row r="495" spans="1:29" x14ac:dyDescent="0.25">
      <c r="A495" s="25" t="s">
        <v>115</v>
      </c>
      <c r="B495" t="b">
        <v>0</v>
      </c>
      <c r="C495" s="43" t="s">
        <v>642</v>
      </c>
      <c r="D495" s="43">
        <v>67108981938</v>
      </c>
      <c r="E495" s="43">
        <v>67108980018</v>
      </c>
      <c r="F495" s="43" t="s">
        <v>186</v>
      </c>
      <c r="G495" s="43" t="b">
        <v>0</v>
      </c>
      <c r="H495" s="43" t="b">
        <v>1</v>
      </c>
      <c r="I495" s="43"/>
      <c r="J495" s="45" t="s">
        <v>642</v>
      </c>
      <c r="K495" s="46">
        <v>67108980018</v>
      </c>
      <c r="L495" s="47">
        <v>990000426</v>
      </c>
      <c r="M495" s="48" t="s">
        <v>642</v>
      </c>
      <c r="N495" s="48">
        <v>17090348913</v>
      </c>
      <c r="O495" s="48">
        <v>17090349681</v>
      </c>
      <c r="P495" s="48" t="s">
        <v>186</v>
      </c>
      <c r="Q495" s="49" t="s">
        <v>642</v>
      </c>
      <c r="R495" s="49">
        <v>17083655879</v>
      </c>
      <c r="S495" s="49">
        <v>17083657031</v>
      </c>
      <c r="T495" s="49" t="s">
        <v>186</v>
      </c>
      <c r="U495" s="50" t="s">
        <v>642</v>
      </c>
      <c r="V495" s="50">
        <v>17083655879</v>
      </c>
      <c r="W495" s="50">
        <v>17083657031</v>
      </c>
      <c r="X495" s="50" t="s">
        <v>186</v>
      </c>
      <c r="Y495" s="50"/>
      <c r="Z495" s="51" t="s">
        <v>643</v>
      </c>
      <c r="AA495" s="51" t="s">
        <v>187</v>
      </c>
      <c r="AB495" s="51">
        <v>1445</v>
      </c>
      <c r="AC495" s="51" t="s">
        <v>644</v>
      </c>
    </row>
    <row r="496" spans="1:29" x14ac:dyDescent="0.25">
      <c r="A496" s="25" t="s">
        <v>115</v>
      </c>
      <c r="B496" t="b">
        <v>0</v>
      </c>
      <c r="C496" s="43" t="s">
        <v>645</v>
      </c>
      <c r="D496" s="43">
        <v>67108979378</v>
      </c>
      <c r="E496" s="43">
        <v>20112577499</v>
      </c>
      <c r="F496" s="43" t="s">
        <v>125</v>
      </c>
      <c r="G496" s="43" t="b">
        <v>0</v>
      </c>
      <c r="H496" s="43" t="b">
        <v>1</v>
      </c>
      <c r="I496" s="43"/>
      <c r="J496" s="45" t="s">
        <v>645</v>
      </c>
      <c r="K496" s="46">
        <v>20112577499</v>
      </c>
      <c r="L496" s="47">
        <v>990000420</v>
      </c>
      <c r="M496" s="48" t="s">
        <v>645</v>
      </c>
      <c r="N496" s="48">
        <v>17090350961</v>
      </c>
      <c r="O496" s="48">
        <v>17088561459</v>
      </c>
      <c r="P496" s="48" t="s">
        <v>125</v>
      </c>
      <c r="Q496" s="49" t="s">
        <v>645</v>
      </c>
      <c r="R496" s="49">
        <v>17083657927</v>
      </c>
      <c r="S496" s="49">
        <v>17083123936</v>
      </c>
      <c r="T496" s="49" t="s">
        <v>125</v>
      </c>
      <c r="U496" s="50" t="s">
        <v>645</v>
      </c>
      <c r="V496" s="50">
        <v>17083657927</v>
      </c>
      <c r="W496" s="50">
        <v>17083123936</v>
      </c>
      <c r="X496" s="50" t="s">
        <v>125</v>
      </c>
      <c r="Y496" s="50"/>
      <c r="Z496" s="51" t="s">
        <v>646</v>
      </c>
      <c r="AA496" s="51" t="s">
        <v>189</v>
      </c>
      <c r="AB496" s="51">
        <v>19925</v>
      </c>
      <c r="AC496" s="51">
        <v>23710</v>
      </c>
    </row>
    <row r="497" spans="1:29" x14ac:dyDescent="0.25">
      <c r="A497" s="25" t="s">
        <v>115</v>
      </c>
      <c r="B497" t="b">
        <v>0</v>
      </c>
      <c r="C497" s="43" t="s">
        <v>647</v>
      </c>
      <c r="D497" s="43">
        <v>67108981426</v>
      </c>
      <c r="E497" s="43">
        <v>67108981330</v>
      </c>
      <c r="F497" s="43" t="s">
        <v>125</v>
      </c>
      <c r="G497" s="43" t="b">
        <v>0</v>
      </c>
      <c r="H497" s="43" t="b">
        <v>1</v>
      </c>
      <c r="I497" s="43"/>
      <c r="M497" s="48" t="s">
        <v>647</v>
      </c>
      <c r="N497" s="48">
        <v>17090347249</v>
      </c>
      <c r="O497" s="48">
        <v>17090347057</v>
      </c>
      <c r="P497" s="48" t="s">
        <v>125</v>
      </c>
      <c r="Q497" s="49" t="s">
        <v>647</v>
      </c>
      <c r="R497" s="49">
        <v>17083654599</v>
      </c>
      <c r="S497" s="49">
        <v>17083654407</v>
      </c>
      <c r="T497" s="49" t="s">
        <v>125</v>
      </c>
      <c r="U497" s="50" t="s">
        <v>647</v>
      </c>
      <c r="V497" s="50">
        <v>17083654599</v>
      </c>
      <c r="W497" s="50">
        <v>17083654407</v>
      </c>
      <c r="X497" s="50" t="s">
        <v>125</v>
      </c>
      <c r="Y497" s="50"/>
      <c r="Z497" s="51" t="s">
        <v>648</v>
      </c>
      <c r="AA497" s="51" t="s">
        <v>189</v>
      </c>
      <c r="AB497" s="51">
        <v>26167</v>
      </c>
      <c r="AC497" s="51">
        <v>32185</v>
      </c>
    </row>
    <row r="498" spans="1:29" x14ac:dyDescent="0.25">
      <c r="A498" s="25" t="s">
        <v>115</v>
      </c>
      <c r="B498" t="b">
        <v>0</v>
      </c>
      <c r="C498" s="43" t="s">
        <v>649</v>
      </c>
      <c r="D498" s="43">
        <v>67108980402</v>
      </c>
      <c r="E498" s="43">
        <v>67108979026</v>
      </c>
      <c r="F498" s="43" t="s">
        <v>125</v>
      </c>
      <c r="G498" s="43" t="b">
        <v>0</v>
      </c>
      <c r="H498" s="43" t="b">
        <v>1</v>
      </c>
      <c r="I498" s="43"/>
      <c r="J498" s="45" t="s">
        <v>649</v>
      </c>
      <c r="K498" s="46">
        <v>67108979026</v>
      </c>
      <c r="L498" s="47">
        <v>990000421</v>
      </c>
      <c r="M498" s="48" t="s">
        <v>649</v>
      </c>
      <c r="N498" s="48">
        <v>17090349297</v>
      </c>
      <c r="O498" s="48">
        <v>17090350129</v>
      </c>
      <c r="P498" s="48" t="s">
        <v>125</v>
      </c>
      <c r="Q498" s="49" t="s">
        <v>649</v>
      </c>
      <c r="R498" s="49">
        <v>17083656647</v>
      </c>
      <c r="S498" s="49">
        <v>17083657479</v>
      </c>
      <c r="T498" s="49" t="s">
        <v>125</v>
      </c>
      <c r="U498" s="50" t="s">
        <v>649</v>
      </c>
      <c r="V498" s="50">
        <v>17083656647</v>
      </c>
      <c r="W498" s="50">
        <v>17083657479</v>
      </c>
      <c r="X498" s="50" t="s">
        <v>125</v>
      </c>
      <c r="Y498" s="50"/>
      <c r="Z498" s="51" t="s">
        <v>650</v>
      </c>
      <c r="AA498" s="51" t="s">
        <v>189</v>
      </c>
      <c r="AB498" s="51">
        <v>28304</v>
      </c>
      <c r="AC498" s="51">
        <v>33682</v>
      </c>
    </row>
    <row r="499" spans="1:29" x14ac:dyDescent="0.25">
      <c r="A499" s="25" t="s">
        <v>115</v>
      </c>
      <c r="B499" t="b">
        <v>0</v>
      </c>
      <c r="C499" s="43" t="s">
        <v>651</v>
      </c>
      <c r="D499" s="43">
        <v>67108982450</v>
      </c>
      <c r="E499" s="43">
        <v>67108982098</v>
      </c>
      <c r="F499" s="43" t="s">
        <v>125</v>
      </c>
      <c r="G499" s="43" t="b">
        <v>0</v>
      </c>
      <c r="H499" s="43" t="b">
        <v>1</v>
      </c>
      <c r="I499" s="43"/>
      <c r="J499" s="45" t="s">
        <v>651</v>
      </c>
      <c r="K499" s="46">
        <v>67108982098</v>
      </c>
      <c r="L499" s="47">
        <v>990000557</v>
      </c>
      <c r="M499" s="48" t="s">
        <v>651</v>
      </c>
      <c r="N499" s="48">
        <v>17090348273</v>
      </c>
      <c r="O499" s="48">
        <v>17090348593</v>
      </c>
      <c r="P499" s="48" t="s">
        <v>125</v>
      </c>
      <c r="Q499" s="49" t="s">
        <v>651</v>
      </c>
      <c r="R499" s="49">
        <v>17083655623</v>
      </c>
      <c r="S499" s="49">
        <v>17083655943</v>
      </c>
      <c r="T499" s="49" t="s">
        <v>125</v>
      </c>
      <c r="U499" s="50" t="s">
        <v>651</v>
      </c>
      <c r="V499" s="50">
        <v>17083655623</v>
      </c>
      <c r="W499" s="50">
        <v>17083655943</v>
      </c>
      <c r="X499" s="50" t="s">
        <v>125</v>
      </c>
      <c r="Y499" s="50"/>
      <c r="Z499" s="51" t="s">
        <v>652</v>
      </c>
      <c r="AA499" s="51" t="s">
        <v>189</v>
      </c>
      <c r="AB499" s="51">
        <v>38547</v>
      </c>
      <c r="AC499" s="51">
        <v>45870</v>
      </c>
    </row>
    <row r="500" spans="1:29" x14ac:dyDescent="0.25">
      <c r="A500" s="25" t="s">
        <v>115</v>
      </c>
      <c r="B500" t="b">
        <v>0</v>
      </c>
      <c r="C500" s="43" t="s">
        <v>653</v>
      </c>
      <c r="D500" s="43">
        <v>67108979122</v>
      </c>
      <c r="E500" s="43">
        <v>67108980562</v>
      </c>
      <c r="F500" s="43" t="s">
        <v>125</v>
      </c>
      <c r="G500" s="43" t="b">
        <v>0</v>
      </c>
      <c r="H500" s="43" t="b">
        <v>1</v>
      </c>
      <c r="I500" s="43"/>
      <c r="J500" s="45" t="s">
        <v>653</v>
      </c>
      <c r="K500" s="46">
        <v>67108980562</v>
      </c>
      <c r="L500" s="47">
        <v>990000424</v>
      </c>
      <c r="M500" s="48" t="s">
        <v>653</v>
      </c>
      <c r="N500" s="48">
        <v>17090350321</v>
      </c>
      <c r="O500" s="48">
        <v>17090349361</v>
      </c>
      <c r="P500" s="48" t="s">
        <v>125</v>
      </c>
      <c r="Q500" s="49" t="s">
        <v>653</v>
      </c>
      <c r="R500" s="49">
        <v>17083657671</v>
      </c>
      <c r="S500" s="49">
        <v>17083656327</v>
      </c>
      <c r="T500" s="49" t="s">
        <v>125</v>
      </c>
      <c r="U500" s="50" t="s">
        <v>653</v>
      </c>
      <c r="V500" s="50">
        <v>17083657671</v>
      </c>
      <c r="W500" s="50">
        <v>17083656327</v>
      </c>
      <c r="X500" s="50" t="s">
        <v>125</v>
      </c>
      <c r="Y500" s="50"/>
      <c r="Z500" s="51" t="s">
        <v>654</v>
      </c>
      <c r="AA500" s="51" t="s">
        <v>189</v>
      </c>
      <c r="AB500" s="51">
        <v>47856</v>
      </c>
      <c r="AC500" s="51">
        <v>56949</v>
      </c>
    </row>
    <row r="501" spans="1:29" x14ac:dyDescent="0.25">
      <c r="A501" s="25" t="s">
        <v>115</v>
      </c>
      <c r="B501" t="b">
        <v>0</v>
      </c>
      <c r="C501" s="43" t="s">
        <v>655</v>
      </c>
      <c r="D501" s="43">
        <v>67108981170</v>
      </c>
      <c r="E501" s="43">
        <v>67108980946</v>
      </c>
      <c r="F501" s="43" t="s">
        <v>125</v>
      </c>
      <c r="G501" s="43" t="b">
        <v>0</v>
      </c>
      <c r="H501" s="43" t="b">
        <v>1</v>
      </c>
      <c r="I501" s="43"/>
      <c r="M501" s="48" t="s">
        <v>655</v>
      </c>
      <c r="N501" s="48">
        <v>17090347761</v>
      </c>
      <c r="O501" s="48">
        <v>17090347825</v>
      </c>
      <c r="P501" s="48" t="s">
        <v>125</v>
      </c>
      <c r="Q501" s="49" t="s">
        <v>655</v>
      </c>
      <c r="R501" s="49">
        <v>17083655111</v>
      </c>
      <c r="S501" s="49">
        <v>17083654791</v>
      </c>
      <c r="T501" s="49" t="s">
        <v>125</v>
      </c>
      <c r="U501" s="50" t="s">
        <v>655</v>
      </c>
      <c r="V501" s="50">
        <v>17083655111</v>
      </c>
      <c r="W501" s="50">
        <v>17083654791</v>
      </c>
      <c r="X501" s="50" t="s">
        <v>125</v>
      </c>
      <c r="Y501" s="50"/>
      <c r="Z501" s="51" t="s">
        <v>656</v>
      </c>
      <c r="AA501" s="51" t="s">
        <v>189</v>
      </c>
      <c r="AB501" s="51">
        <v>51167</v>
      </c>
      <c r="AC501" s="51">
        <v>62935</v>
      </c>
    </row>
    <row r="502" spans="1:29" x14ac:dyDescent="0.25">
      <c r="A502" s="25" t="s">
        <v>115</v>
      </c>
      <c r="B502" t="b">
        <v>0</v>
      </c>
      <c r="C502" s="43" t="s">
        <v>657</v>
      </c>
      <c r="D502" s="43">
        <v>67108980146</v>
      </c>
      <c r="E502" s="43">
        <v>67108979410</v>
      </c>
      <c r="F502" s="43" t="s">
        <v>125</v>
      </c>
      <c r="G502" s="43" t="b">
        <v>0</v>
      </c>
      <c r="H502" s="43" t="b">
        <v>1</v>
      </c>
      <c r="I502" s="43"/>
      <c r="J502" s="45" t="s">
        <v>657</v>
      </c>
      <c r="K502" s="46">
        <v>67108979410</v>
      </c>
      <c r="L502" s="47">
        <v>990000555</v>
      </c>
      <c r="M502" s="48" t="s">
        <v>657</v>
      </c>
      <c r="N502" s="48">
        <v>17090349809</v>
      </c>
      <c r="O502" s="48">
        <v>17090350897</v>
      </c>
      <c r="P502" s="48" t="s">
        <v>125</v>
      </c>
      <c r="Q502" s="49" t="s">
        <v>657</v>
      </c>
      <c r="R502" s="49">
        <v>17083657159</v>
      </c>
      <c r="S502" s="49">
        <v>17083657863</v>
      </c>
      <c r="T502" s="49" t="s">
        <v>125</v>
      </c>
      <c r="U502" s="50" t="s">
        <v>657</v>
      </c>
      <c r="V502" s="50">
        <v>17083657159</v>
      </c>
      <c r="W502" s="50">
        <v>17083657863</v>
      </c>
      <c r="X502" s="50" t="s">
        <v>125</v>
      </c>
      <c r="Y502" s="50"/>
      <c r="Z502" s="51" t="s">
        <v>658</v>
      </c>
      <c r="AA502" s="51" t="s">
        <v>189</v>
      </c>
      <c r="AB502" s="51">
        <v>65547</v>
      </c>
      <c r="AC502" s="51">
        <v>78000</v>
      </c>
    </row>
    <row r="503" spans="1:29" x14ac:dyDescent="0.25">
      <c r="A503" s="25" t="s">
        <v>115</v>
      </c>
      <c r="B503" t="b">
        <v>0</v>
      </c>
      <c r="C503" s="43" t="s">
        <v>659</v>
      </c>
      <c r="D503" s="43">
        <v>67108982194</v>
      </c>
      <c r="E503" s="43">
        <v>67108982482</v>
      </c>
      <c r="F503" s="43" t="s">
        <v>125</v>
      </c>
      <c r="G503" s="43" t="b">
        <v>0</v>
      </c>
      <c r="H503" s="43" t="b">
        <v>1</v>
      </c>
      <c r="I503" s="43"/>
      <c r="M503" s="48" t="s">
        <v>659</v>
      </c>
      <c r="N503" s="48">
        <v>17090348785</v>
      </c>
      <c r="O503" s="48">
        <v>17090348209</v>
      </c>
      <c r="P503" s="48" t="s">
        <v>125</v>
      </c>
      <c r="Q503" s="49" t="s">
        <v>659</v>
      </c>
      <c r="R503" s="49">
        <v>17083656135</v>
      </c>
      <c r="S503" s="49">
        <v>17083655559</v>
      </c>
      <c r="T503" s="49" t="s">
        <v>125</v>
      </c>
      <c r="U503" s="50" t="s">
        <v>659</v>
      </c>
      <c r="V503" s="50">
        <v>17083656135</v>
      </c>
      <c r="W503" s="50">
        <v>17083655559</v>
      </c>
      <c r="X503" s="50" t="s">
        <v>125</v>
      </c>
      <c r="Y503" s="50"/>
      <c r="Z503" s="51" t="s">
        <v>660</v>
      </c>
      <c r="AA503" s="51" t="s">
        <v>189</v>
      </c>
      <c r="AB503" s="51">
        <v>67000</v>
      </c>
      <c r="AC503" s="51">
        <v>82410</v>
      </c>
    </row>
    <row r="504" spans="1:29" x14ac:dyDescent="0.25">
      <c r="A504" s="25" t="s">
        <v>115</v>
      </c>
      <c r="B504" t="b">
        <v>0</v>
      </c>
      <c r="C504" s="43" t="s">
        <v>661</v>
      </c>
      <c r="D504" s="43">
        <v>67108979634</v>
      </c>
      <c r="E504" s="43">
        <v>67108980178</v>
      </c>
      <c r="F504" s="43" t="s">
        <v>125</v>
      </c>
      <c r="G504" s="43" t="b">
        <v>0</v>
      </c>
      <c r="H504" s="43" t="b">
        <v>1</v>
      </c>
      <c r="I504" s="43"/>
      <c r="J504" s="45" t="s">
        <v>661</v>
      </c>
      <c r="K504" s="46">
        <v>67108980178</v>
      </c>
      <c r="L504" s="47">
        <v>990000556</v>
      </c>
      <c r="M504" s="48" t="s">
        <v>661</v>
      </c>
      <c r="N504" s="48">
        <v>17090350833</v>
      </c>
      <c r="O504" s="48">
        <v>17090349745</v>
      </c>
      <c r="P504" s="48" t="s">
        <v>125</v>
      </c>
      <c r="Q504" s="49" t="s">
        <v>661</v>
      </c>
      <c r="R504" s="49">
        <v>17083658183</v>
      </c>
      <c r="S504" s="49">
        <v>17083657095</v>
      </c>
      <c r="T504" s="49" t="s">
        <v>125</v>
      </c>
      <c r="U504" s="50" t="s">
        <v>661</v>
      </c>
      <c r="V504" s="50">
        <v>17083658183</v>
      </c>
      <c r="W504" s="50">
        <v>17083657095</v>
      </c>
      <c r="X504" s="50" t="s">
        <v>125</v>
      </c>
      <c r="Y504" s="50"/>
      <c r="Z504" s="51" t="s">
        <v>662</v>
      </c>
      <c r="AA504" s="51" t="s">
        <v>189</v>
      </c>
      <c r="AB504" s="51">
        <v>74857</v>
      </c>
      <c r="AC504" s="51">
        <v>89079</v>
      </c>
    </row>
    <row r="505" spans="1:29" x14ac:dyDescent="0.25">
      <c r="A505" s="25" t="s">
        <v>115</v>
      </c>
      <c r="B505" t="b">
        <v>0</v>
      </c>
      <c r="C505" s="43" t="s">
        <v>663</v>
      </c>
      <c r="D505" s="43">
        <v>67108981682</v>
      </c>
      <c r="E505" s="43">
        <v>67108981714</v>
      </c>
      <c r="F505" s="43" t="s">
        <v>125</v>
      </c>
      <c r="G505" s="43" t="b">
        <v>0</v>
      </c>
      <c r="H505" s="43" t="b">
        <v>1</v>
      </c>
      <c r="I505" s="43"/>
      <c r="M505" s="48" t="s">
        <v>663</v>
      </c>
      <c r="N505" s="48">
        <v>17090347505</v>
      </c>
      <c r="O505" s="48">
        <v>17090347441</v>
      </c>
      <c r="P505" s="48" t="s">
        <v>125</v>
      </c>
      <c r="Q505" s="49" t="s">
        <v>663</v>
      </c>
      <c r="R505" s="49">
        <v>17083654183</v>
      </c>
      <c r="S505" s="49">
        <v>17083654215</v>
      </c>
      <c r="T505" s="49" t="s">
        <v>125</v>
      </c>
      <c r="U505" s="50" t="s">
        <v>663</v>
      </c>
      <c r="V505" s="50">
        <v>17083654183</v>
      </c>
      <c r="W505" s="50">
        <v>17083654215</v>
      </c>
      <c r="X505" s="50" t="s">
        <v>125</v>
      </c>
      <c r="Y505" s="50"/>
      <c r="Z505" s="51" t="s">
        <v>664</v>
      </c>
      <c r="AA505" s="51" t="s">
        <v>189</v>
      </c>
      <c r="AB505" s="51">
        <v>83667</v>
      </c>
      <c r="AC505" s="51">
        <v>102910</v>
      </c>
    </row>
    <row r="506" spans="1:29" x14ac:dyDescent="0.25">
      <c r="A506" s="25" t="s">
        <v>115</v>
      </c>
      <c r="B506" t="b">
        <v>0</v>
      </c>
      <c r="C506" s="43" t="s">
        <v>665</v>
      </c>
      <c r="D506" s="43">
        <v>67108980658</v>
      </c>
      <c r="E506" s="43">
        <v>67108978738</v>
      </c>
      <c r="F506" s="43" t="s">
        <v>125</v>
      </c>
      <c r="G506" s="43" t="b">
        <v>0</v>
      </c>
      <c r="H506" s="43" t="b">
        <v>1</v>
      </c>
      <c r="I506" s="43"/>
      <c r="J506" s="45" t="s">
        <v>665</v>
      </c>
      <c r="K506" s="46">
        <v>67108978738</v>
      </c>
      <c r="L506" s="47">
        <v>990000425</v>
      </c>
      <c r="M506" s="48" t="s">
        <v>665</v>
      </c>
      <c r="N506" s="48">
        <v>17090349553</v>
      </c>
      <c r="O506" s="48">
        <v>17090350513</v>
      </c>
      <c r="P506" s="48" t="s">
        <v>125</v>
      </c>
      <c r="Q506" s="49" t="s">
        <v>665</v>
      </c>
      <c r="R506" s="49">
        <v>17083656231</v>
      </c>
      <c r="S506" s="49">
        <v>17083657287</v>
      </c>
      <c r="T506" s="49" t="s">
        <v>125</v>
      </c>
      <c r="U506" s="50" t="s">
        <v>665</v>
      </c>
      <c r="V506" s="50">
        <v>17083656231</v>
      </c>
      <c r="W506" s="50">
        <v>17083657287</v>
      </c>
      <c r="X506" s="50" t="s">
        <v>125</v>
      </c>
      <c r="Y506" s="50"/>
      <c r="Z506" s="51" t="s">
        <v>666</v>
      </c>
      <c r="AA506" s="51" t="s">
        <v>189</v>
      </c>
      <c r="AB506" s="51">
        <v>84166</v>
      </c>
      <c r="AC506" s="51">
        <v>100158</v>
      </c>
    </row>
    <row r="507" spans="1:29" x14ac:dyDescent="0.25">
      <c r="A507" s="25" t="s">
        <v>115</v>
      </c>
      <c r="B507" t="b">
        <v>0</v>
      </c>
      <c r="C507" s="43" t="s">
        <v>667</v>
      </c>
      <c r="D507" s="43">
        <v>67108982706</v>
      </c>
      <c r="E507" s="43">
        <v>67108981554</v>
      </c>
      <c r="F507" s="43" t="s">
        <v>125</v>
      </c>
      <c r="G507" s="43" t="b">
        <v>0</v>
      </c>
      <c r="H507" s="43" t="b">
        <v>1</v>
      </c>
      <c r="I507" s="43"/>
      <c r="J507" s="45" t="s">
        <v>667</v>
      </c>
      <c r="K507" s="46">
        <v>67108981554</v>
      </c>
      <c r="L507" s="47">
        <v>990000495</v>
      </c>
      <c r="M507" s="48"/>
      <c r="N507" s="48"/>
      <c r="O507" s="48"/>
      <c r="P507" s="48"/>
      <c r="Q507" s="49" t="s">
        <v>667</v>
      </c>
      <c r="R507" s="49">
        <v>17086201382</v>
      </c>
      <c r="S507" s="49">
        <v>17083654343</v>
      </c>
      <c r="T507" s="49" t="s">
        <v>125</v>
      </c>
      <c r="U507" s="50"/>
      <c r="V507" s="50"/>
      <c r="W507" s="50"/>
      <c r="X507" s="50"/>
      <c r="Y507" s="50"/>
      <c r="Z507" s="51" t="s">
        <v>667</v>
      </c>
      <c r="AA507" s="51" t="s">
        <v>189</v>
      </c>
      <c r="AB507" s="51">
        <v>1863</v>
      </c>
      <c r="AC507" s="51">
        <v>2217</v>
      </c>
    </row>
    <row r="508" spans="1:29" x14ac:dyDescent="0.25">
      <c r="A508" s="25" t="s">
        <v>115</v>
      </c>
      <c r="B508" t="b">
        <v>0</v>
      </c>
      <c r="C508" s="43" t="s">
        <v>668</v>
      </c>
      <c r="D508" s="43">
        <v>67111223323</v>
      </c>
      <c r="E508" s="43">
        <v>67111226315</v>
      </c>
      <c r="F508" s="43" t="s">
        <v>132</v>
      </c>
      <c r="G508" s="43" t="b">
        <v>0</v>
      </c>
      <c r="H508" s="43" t="b">
        <v>1</v>
      </c>
      <c r="I508" s="43"/>
      <c r="J508" s="45" t="s">
        <v>668</v>
      </c>
      <c r="K508" s="46">
        <v>67111226315</v>
      </c>
      <c r="L508" s="47">
        <v>990000492</v>
      </c>
      <c r="M508" s="48" t="s">
        <v>668</v>
      </c>
      <c r="N508" s="48">
        <v>17090417191</v>
      </c>
      <c r="O508" s="48">
        <v>17090420219</v>
      </c>
      <c r="P508" s="48" t="s">
        <v>132</v>
      </c>
      <c r="Q508" s="49" t="s">
        <v>668</v>
      </c>
      <c r="R508" s="49">
        <v>17083665947</v>
      </c>
      <c r="S508" s="49">
        <v>17083664331</v>
      </c>
      <c r="T508" s="49" t="s">
        <v>132</v>
      </c>
      <c r="U508" s="50" t="s">
        <v>668</v>
      </c>
      <c r="V508" s="50">
        <v>17083665947</v>
      </c>
      <c r="W508" s="50">
        <v>17083664331</v>
      </c>
      <c r="X508" s="50" t="s">
        <v>132</v>
      </c>
      <c r="Y508" s="50"/>
      <c r="Z508" s="51" t="s">
        <v>669</v>
      </c>
      <c r="AA508" s="51" t="s">
        <v>192</v>
      </c>
      <c r="AB508" s="51">
        <v>21094</v>
      </c>
      <c r="AC508" s="51">
        <v>25102</v>
      </c>
    </row>
    <row r="509" spans="1:29" x14ac:dyDescent="0.25">
      <c r="A509" s="25" t="s">
        <v>115</v>
      </c>
      <c r="B509" t="b">
        <v>0</v>
      </c>
      <c r="C509" s="43" t="s">
        <v>670</v>
      </c>
      <c r="D509" s="43">
        <v>67111225371</v>
      </c>
      <c r="E509" s="43">
        <v>67111223339</v>
      </c>
      <c r="F509" s="43" t="s">
        <v>132</v>
      </c>
      <c r="G509" s="43" t="b">
        <v>0</v>
      </c>
      <c r="H509" s="43" t="b">
        <v>1</v>
      </c>
      <c r="I509" s="43"/>
      <c r="J509" s="45" t="s">
        <v>670</v>
      </c>
      <c r="K509" s="46">
        <v>67111223339</v>
      </c>
      <c r="L509" s="47">
        <v>990000490</v>
      </c>
      <c r="M509" s="48" t="s">
        <v>670</v>
      </c>
      <c r="N509" s="48">
        <v>17090419239</v>
      </c>
      <c r="O509" s="48">
        <v>17090418683</v>
      </c>
      <c r="P509" s="48" t="s">
        <v>132</v>
      </c>
      <c r="Q509" s="49" t="s">
        <v>670</v>
      </c>
      <c r="R509" s="49">
        <v>17083662619</v>
      </c>
      <c r="S509" s="49">
        <v>17083664427</v>
      </c>
      <c r="T509" s="49" t="s">
        <v>132</v>
      </c>
      <c r="U509" s="50" t="s">
        <v>670</v>
      </c>
      <c r="V509" s="50">
        <v>17083662619</v>
      </c>
      <c r="W509" s="50">
        <v>17083664427</v>
      </c>
      <c r="X509" s="50" t="s">
        <v>132</v>
      </c>
      <c r="Y509" s="50"/>
      <c r="Z509" s="51" t="s">
        <v>671</v>
      </c>
      <c r="AA509" s="51" t="s">
        <v>192</v>
      </c>
      <c r="AB509" s="51">
        <v>24946</v>
      </c>
      <c r="AC509" s="51">
        <v>29685</v>
      </c>
    </row>
    <row r="510" spans="1:29" x14ac:dyDescent="0.25">
      <c r="A510" s="25" t="s">
        <v>115</v>
      </c>
      <c r="B510" t="b">
        <v>0</v>
      </c>
      <c r="C510" s="43" t="s">
        <v>672</v>
      </c>
      <c r="D510" s="43">
        <v>67111224347</v>
      </c>
      <c r="E510" s="43">
        <v>67111226411</v>
      </c>
      <c r="F510" s="43" t="s">
        <v>132</v>
      </c>
      <c r="G510" s="43" t="b">
        <v>0</v>
      </c>
      <c r="H510" s="43" t="b">
        <v>1</v>
      </c>
      <c r="I510" s="43"/>
      <c r="J510" s="45" t="s">
        <v>672</v>
      </c>
      <c r="K510" s="46">
        <v>67111226411</v>
      </c>
      <c r="L510" s="47">
        <v>990000422</v>
      </c>
      <c r="M510" s="48" t="s">
        <v>672</v>
      </c>
      <c r="N510" s="48">
        <v>17090418215</v>
      </c>
      <c r="O510" s="48">
        <v>17090418695</v>
      </c>
      <c r="P510" s="48" t="s">
        <v>132</v>
      </c>
      <c r="Q510" s="49" t="s">
        <v>672</v>
      </c>
      <c r="R510" s="49">
        <v>17083664667</v>
      </c>
      <c r="S510" s="49">
        <v>17083662891</v>
      </c>
      <c r="T510" s="49" t="s">
        <v>132</v>
      </c>
      <c r="U510" s="50" t="s">
        <v>672</v>
      </c>
      <c r="V510" s="50">
        <v>17083664667</v>
      </c>
      <c r="W510" s="50">
        <v>17083662891</v>
      </c>
      <c r="X510" s="50" t="s">
        <v>132</v>
      </c>
      <c r="Y510" s="50"/>
      <c r="Z510" s="51" t="s">
        <v>673</v>
      </c>
      <c r="AA510" s="51" t="s">
        <v>192</v>
      </c>
      <c r="AB510" s="51">
        <v>26872</v>
      </c>
      <c r="AC510" s="51">
        <v>31977</v>
      </c>
    </row>
    <row r="511" spans="1:29" x14ac:dyDescent="0.25">
      <c r="A511" s="25" t="s">
        <v>115</v>
      </c>
      <c r="B511" t="b">
        <v>0</v>
      </c>
      <c r="C511" s="43" t="s">
        <v>674</v>
      </c>
      <c r="D511" s="43">
        <v>67111226395</v>
      </c>
      <c r="E511" s="43">
        <v>67111224875</v>
      </c>
      <c r="F511" s="43" t="s">
        <v>132</v>
      </c>
      <c r="G511" s="43" t="b">
        <v>0</v>
      </c>
      <c r="H511" s="43" t="b">
        <v>1</v>
      </c>
      <c r="I511" s="43"/>
      <c r="J511" s="45" t="s">
        <v>674</v>
      </c>
      <c r="K511" s="46">
        <v>67111224875</v>
      </c>
      <c r="L511" s="47">
        <v>990000547</v>
      </c>
      <c r="M511" s="48" t="s">
        <v>674</v>
      </c>
      <c r="N511" s="48">
        <v>17090420263</v>
      </c>
      <c r="O511" s="48">
        <v>17090417159</v>
      </c>
      <c r="P511" s="48" t="s">
        <v>132</v>
      </c>
      <c r="Q511" s="49" t="s">
        <v>674</v>
      </c>
      <c r="R511" s="49">
        <v>17083663643</v>
      </c>
      <c r="S511" s="49">
        <v>17083665963</v>
      </c>
      <c r="T511" s="49" t="s">
        <v>132</v>
      </c>
      <c r="U511" s="50" t="s">
        <v>674</v>
      </c>
      <c r="V511" s="50">
        <v>17083663643</v>
      </c>
      <c r="W511" s="50">
        <v>17083665963</v>
      </c>
      <c r="X511" s="50" t="s">
        <v>132</v>
      </c>
      <c r="Y511" s="50"/>
      <c r="Z511" s="51" t="s">
        <v>675</v>
      </c>
      <c r="AA511" s="51" t="s">
        <v>192</v>
      </c>
      <c r="AB511" s="51">
        <v>36503</v>
      </c>
      <c r="AC511" s="51">
        <v>43439</v>
      </c>
    </row>
    <row r="512" spans="1:29" x14ac:dyDescent="0.25">
      <c r="A512" s="25" t="s">
        <v>115</v>
      </c>
      <c r="B512" t="b">
        <v>0</v>
      </c>
      <c r="C512" s="43" t="s">
        <v>676</v>
      </c>
      <c r="D512" s="43">
        <v>67111223835</v>
      </c>
      <c r="E512" s="43">
        <v>67111225643</v>
      </c>
      <c r="F512" s="43" t="s">
        <v>132</v>
      </c>
      <c r="G512" s="43" t="b">
        <v>0</v>
      </c>
      <c r="H512" s="43" t="b">
        <v>1</v>
      </c>
      <c r="I512" s="43"/>
      <c r="J512" s="45" t="s">
        <v>676</v>
      </c>
      <c r="K512" s="46">
        <v>67111225643</v>
      </c>
      <c r="L512" s="47">
        <v>990000548</v>
      </c>
      <c r="M512" s="48" t="s">
        <v>676</v>
      </c>
      <c r="N512" s="48">
        <v>17090416935</v>
      </c>
      <c r="O512" s="48">
        <v>17090420231</v>
      </c>
      <c r="P512" s="48" t="s">
        <v>132</v>
      </c>
      <c r="Q512" s="49" t="s">
        <v>676</v>
      </c>
      <c r="R512" s="49">
        <v>17083665691</v>
      </c>
      <c r="S512" s="49">
        <v>17083663659</v>
      </c>
      <c r="T512" s="49" t="s">
        <v>132</v>
      </c>
      <c r="U512" s="50" t="s">
        <v>676</v>
      </c>
      <c r="V512" s="50">
        <v>17083665691</v>
      </c>
      <c r="W512" s="50">
        <v>17083663659</v>
      </c>
      <c r="X512" s="50" t="s">
        <v>132</v>
      </c>
      <c r="Y512" s="50"/>
      <c r="Z512" s="51" t="s">
        <v>677</v>
      </c>
      <c r="AA512" s="51" t="s">
        <v>192</v>
      </c>
      <c r="AB512" s="51">
        <v>28612</v>
      </c>
      <c r="AC512" s="51">
        <v>34048</v>
      </c>
    </row>
    <row r="513" spans="1:29" x14ac:dyDescent="0.25">
      <c r="A513" s="25" t="s">
        <v>115</v>
      </c>
      <c r="B513" t="b">
        <v>0</v>
      </c>
      <c r="C513" s="43" t="s">
        <v>678</v>
      </c>
      <c r="D513" s="43">
        <v>67111225883</v>
      </c>
      <c r="E513" s="43">
        <v>67111224107</v>
      </c>
      <c r="F513" s="43" t="s">
        <v>132</v>
      </c>
      <c r="G513" s="43" t="b">
        <v>0</v>
      </c>
      <c r="H513" s="43" t="b">
        <v>1</v>
      </c>
      <c r="I513" s="43"/>
      <c r="J513" s="45" t="s">
        <v>678</v>
      </c>
      <c r="K513" s="46">
        <v>67111224107</v>
      </c>
      <c r="L513" s="47">
        <v>990000428</v>
      </c>
      <c r="M513" s="48" t="s">
        <v>678</v>
      </c>
      <c r="N513" s="48">
        <v>17090418983</v>
      </c>
      <c r="O513" s="48">
        <v>17090417927</v>
      </c>
      <c r="P513" s="48" t="s">
        <v>132</v>
      </c>
      <c r="Q513" s="49" t="s">
        <v>678</v>
      </c>
      <c r="R513" s="49">
        <v>17083663131</v>
      </c>
      <c r="S513" s="49">
        <v>17083665195</v>
      </c>
      <c r="T513" s="49" t="s">
        <v>132</v>
      </c>
      <c r="U513" s="50" t="s">
        <v>678</v>
      </c>
      <c r="V513" s="50">
        <v>17083663131</v>
      </c>
      <c r="W513" s="50">
        <v>17083665195</v>
      </c>
      <c r="X513" s="50" t="s">
        <v>132</v>
      </c>
      <c r="Y513" s="50"/>
      <c r="Z513" s="51" t="s">
        <v>679</v>
      </c>
      <c r="AA513" s="51" t="s">
        <v>192</v>
      </c>
      <c r="AB513" s="51">
        <v>46135</v>
      </c>
      <c r="AC513" s="51">
        <v>54901</v>
      </c>
    </row>
    <row r="514" spans="1:29" x14ac:dyDescent="0.25">
      <c r="A514" s="25" t="s">
        <v>115</v>
      </c>
      <c r="B514" t="b">
        <v>0</v>
      </c>
      <c r="C514" s="43" t="s">
        <v>680</v>
      </c>
      <c r="D514" s="43">
        <v>67111224859</v>
      </c>
      <c r="E514" s="43">
        <v>67111227179</v>
      </c>
      <c r="F514" s="43" t="s">
        <v>132</v>
      </c>
      <c r="G514" s="43" t="b">
        <v>0</v>
      </c>
      <c r="H514" s="43" t="b">
        <v>1</v>
      </c>
      <c r="I514" s="43"/>
      <c r="M514" s="48" t="s">
        <v>680</v>
      </c>
      <c r="N514" s="48">
        <v>17090417959</v>
      </c>
      <c r="O514" s="48">
        <v>17090419463</v>
      </c>
      <c r="P514" s="48" t="s">
        <v>132</v>
      </c>
      <c r="Q514" s="49" t="s">
        <v>680</v>
      </c>
      <c r="R514" s="49">
        <v>17083665179</v>
      </c>
      <c r="S514" s="49">
        <v>17083662507</v>
      </c>
      <c r="T514" s="49" t="s">
        <v>132</v>
      </c>
      <c r="U514" s="50" t="s">
        <v>680</v>
      </c>
      <c r="V514" s="50">
        <v>17083665179</v>
      </c>
      <c r="W514" s="50">
        <v>17083662507</v>
      </c>
      <c r="X514" s="50" t="s">
        <v>132</v>
      </c>
      <c r="Y514" s="50"/>
      <c r="Z514" s="51" t="s">
        <v>681</v>
      </c>
      <c r="AA514" s="51" t="s">
        <v>192</v>
      </c>
      <c r="AB514" s="51">
        <v>37233</v>
      </c>
      <c r="AC514" s="51">
        <v>44307</v>
      </c>
    </row>
    <row r="515" spans="1:29" x14ac:dyDescent="0.25">
      <c r="A515" s="25" t="s">
        <v>115</v>
      </c>
      <c r="B515" t="b">
        <v>0</v>
      </c>
      <c r="C515" s="43" t="s">
        <v>682</v>
      </c>
      <c r="D515" s="43">
        <v>67111226907</v>
      </c>
      <c r="E515" s="43">
        <v>67111224491</v>
      </c>
      <c r="F515" s="43" t="s">
        <v>132</v>
      </c>
      <c r="G515" s="43" t="b">
        <v>0</v>
      </c>
      <c r="H515" s="43" t="b">
        <v>1</v>
      </c>
      <c r="I515" s="43"/>
      <c r="J515" s="45" t="s">
        <v>682</v>
      </c>
      <c r="K515" s="46">
        <v>67111224491</v>
      </c>
      <c r="L515" s="47">
        <v>990000429</v>
      </c>
      <c r="M515" s="48" t="s">
        <v>682</v>
      </c>
      <c r="N515" s="48">
        <v>17090420007</v>
      </c>
      <c r="O515" s="48">
        <v>17090416775</v>
      </c>
      <c r="P515" s="48" t="s">
        <v>132</v>
      </c>
      <c r="Q515" s="49" t="s">
        <v>682</v>
      </c>
      <c r="R515" s="49">
        <v>17083664155</v>
      </c>
      <c r="S515" s="49">
        <v>17083665579</v>
      </c>
      <c r="T515" s="49" t="s">
        <v>132</v>
      </c>
      <c r="U515" s="50" t="s">
        <v>682</v>
      </c>
      <c r="V515" s="50">
        <v>17083664155</v>
      </c>
      <c r="W515" s="50">
        <v>17083665579</v>
      </c>
      <c r="X515" s="50" t="s">
        <v>132</v>
      </c>
      <c r="Y515" s="50"/>
      <c r="Z515" s="51" t="s">
        <v>683</v>
      </c>
      <c r="AA515" s="51" t="s">
        <v>192</v>
      </c>
      <c r="AB515" s="51">
        <v>55766</v>
      </c>
      <c r="AC515" s="51">
        <v>66361</v>
      </c>
    </row>
    <row r="516" spans="1:29" x14ac:dyDescent="0.25">
      <c r="A516" s="25" t="s">
        <v>115</v>
      </c>
      <c r="B516" t="b">
        <v>0</v>
      </c>
      <c r="C516" s="43" t="s">
        <v>684</v>
      </c>
      <c r="D516" s="43">
        <v>67111223579</v>
      </c>
      <c r="E516" s="43">
        <v>67111226027</v>
      </c>
      <c r="F516" s="43" t="s">
        <v>132</v>
      </c>
      <c r="G516" s="43" t="b">
        <v>0</v>
      </c>
      <c r="H516" s="43" t="b">
        <v>1</v>
      </c>
      <c r="I516" s="43"/>
      <c r="M516" s="48" t="s">
        <v>684</v>
      </c>
      <c r="N516" s="48">
        <v>17090417447</v>
      </c>
      <c r="O516" s="48">
        <v>17090419847</v>
      </c>
      <c r="P516" s="48" t="s">
        <v>132</v>
      </c>
      <c r="Q516" s="49" t="s">
        <v>684</v>
      </c>
      <c r="R516" s="49">
        <v>17083666203</v>
      </c>
      <c r="S516" s="49">
        <v>17083664043</v>
      </c>
      <c r="T516" s="49" t="s">
        <v>132</v>
      </c>
      <c r="U516" s="50" t="s">
        <v>684</v>
      </c>
      <c r="V516" s="50">
        <v>17083666203</v>
      </c>
      <c r="W516" s="50">
        <v>17083664043</v>
      </c>
      <c r="X516" s="50" t="s">
        <v>132</v>
      </c>
      <c r="Y516" s="50"/>
      <c r="Z516" s="51" t="s">
        <v>685</v>
      </c>
      <c r="AA516" s="51" t="s">
        <v>192</v>
      </c>
      <c r="AB516" s="51">
        <v>45853</v>
      </c>
      <c r="AC516" s="51">
        <v>54565</v>
      </c>
    </row>
    <row r="517" spans="1:29" x14ac:dyDescent="0.25">
      <c r="A517" s="25" t="s">
        <v>115</v>
      </c>
      <c r="B517" t="b">
        <v>0</v>
      </c>
      <c r="C517" s="43" t="s">
        <v>686</v>
      </c>
      <c r="D517" s="43">
        <v>67111225627</v>
      </c>
      <c r="E517" s="43">
        <v>67111223723</v>
      </c>
      <c r="F517" s="43" t="s">
        <v>132</v>
      </c>
      <c r="G517" s="43" t="b">
        <v>0</v>
      </c>
      <c r="H517" s="43" t="b">
        <v>1</v>
      </c>
      <c r="I517" s="43"/>
      <c r="J517" s="45" t="s">
        <v>686</v>
      </c>
      <c r="K517" s="46">
        <v>67111223723</v>
      </c>
      <c r="L517" s="47">
        <v>990000430</v>
      </c>
      <c r="M517" s="48" t="s">
        <v>686</v>
      </c>
      <c r="N517" s="48">
        <v>17090419495</v>
      </c>
      <c r="O517" s="48">
        <v>17090418311</v>
      </c>
      <c r="P517" s="48" t="s">
        <v>132</v>
      </c>
      <c r="Q517" s="49" t="s">
        <v>686</v>
      </c>
      <c r="R517" s="49">
        <v>17083662491</v>
      </c>
      <c r="S517" s="49">
        <v>17083664811</v>
      </c>
      <c r="T517" s="49" t="s">
        <v>132</v>
      </c>
      <c r="U517" s="50" t="s">
        <v>686</v>
      </c>
      <c r="V517" s="50">
        <v>17083662491</v>
      </c>
      <c r="W517" s="50">
        <v>17083664811</v>
      </c>
      <c r="X517" s="50" t="s">
        <v>132</v>
      </c>
      <c r="Y517" s="50"/>
      <c r="Z517" s="51" t="s">
        <v>687</v>
      </c>
      <c r="AA517" s="51" t="s">
        <v>192</v>
      </c>
      <c r="AB517" s="51">
        <v>65400</v>
      </c>
      <c r="AC517" s="51">
        <v>77826</v>
      </c>
    </row>
    <row r="518" spans="1:29" x14ac:dyDescent="0.25">
      <c r="A518" s="25" t="s">
        <v>115</v>
      </c>
      <c r="B518" t="b">
        <v>0</v>
      </c>
      <c r="C518" s="43" t="s">
        <v>688</v>
      </c>
      <c r="D518" s="43">
        <v>67111224603</v>
      </c>
      <c r="E518" s="43">
        <v>67111226795</v>
      </c>
      <c r="F518" s="43" t="s">
        <v>132</v>
      </c>
      <c r="G518" s="43" t="b">
        <v>0</v>
      </c>
      <c r="H518" s="43" t="b">
        <v>1</v>
      </c>
      <c r="I518" s="43"/>
      <c r="M518" s="48" t="s">
        <v>688</v>
      </c>
      <c r="N518" s="48">
        <v>17090418471</v>
      </c>
      <c r="O518" s="48">
        <v>17090419079</v>
      </c>
      <c r="P518" s="48" t="s">
        <v>132</v>
      </c>
      <c r="Q518" s="49" t="s">
        <v>688</v>
      </c>
      <c r="R518" s="49">
        <v>17083664539</v>
      </c>
      <c r="S518" s="49">
        <v>17083663275</v>
      </c>
      <c r="T518" s="49" t="s">
        <v>132</v>
      </c>
      <c r="U518" s="50" t="s">
        <v>688</v>
      </c>
      <c r="V518" s="50">
        <v>17083664539</v>
      </c>
      <c r="W518" s="50">
        <v>17083663275</v>
      </c>
      <c r="X518" s="50" t="s">
        <v>132</v>
      </c>
      <c r="Y518" s="50"/>
      <c r="Z518" s="51" t="s">
        <v>689</v>
      </c>
      <c r="AA518" s="51" t="s">
        <v>192</v>
      </c>
      <c r="AB518" s="51">
        <v>54474</v>
      </c>
      <c r="AC518" s="51">
        <v>64824</v>
      </c>
    </row>
    <row r="519" spans="1:29" x14ac:dyDescent="0.25">
      <c r="A519" s="25" t="s">
        <v>115</v>
      </c>
      <c r="B519" t="b">
        <v>0</v>
      </c>
      <c r="C519" s="43" t="s">
        <v>690</v>
      </c>
      <c r="D519" s="43">
        <v>67111226651</v>
      </c>
      <c r="E519" s="43">
        <v>67111225259</v>
      </c>
      <c r="F519" s="43" t="s">
        <v>132</v>
      </c>
      <c r="G519" s="43" t="b">
        <v>0</v>
      </c>
      <c r="H519" s="43" t="b">
        <v>1</v>
      </c>
      <c r="I519" s="43"/>
      <c r="J519" s="45" t="s">
        <v>690</v>
      </c>
      <c r="K519" s="46">
        <v>67111225259</v>
      </c>
      <c r="L519" s="47">
        <v>990000493</v>
      </c>
      <c r="M519" s="48" t="s">
        <v>690</v>
      </c>
      <c r="N519" s="48">
        <v>17090420519</v>
      </c>
      <c r="O519" s="48">
        <v>17090417543</v>
      </c>
      <c r="P519" s="48" t="s">
        <v>132</v>
      </c>
      <c r="Q519" s="49" t="s">
        <v>690</v>
      </c>
      <c r="R519" s="49">
        <v>17083663515</v>
      </c>
      <c r="S519" s="49">
        <v>17083666347</v>
      </c>
      <c r="T519" s="49" t="s">
        <v>132</v>
      </c>
      <c r="U519" s="50" t="s">
        <v>690</v>
      </c>
      <c r="V519" s="50">
        <v>17083663515</v>
      </c>
      <c r="W519" s="50">
        <v>17083666347</v>
      </c>
      <c r="X519" s="50" t="s">
        <v>132</v>
      </c>
      <c r="Y519" s="50"/>
      <c r="Z519" s="51" t="s">
        <v>691</v>
      </c>
      <c r="AA519" s="51" t="s">
        <v>192</v>
      </c>
      <c r="AB519" s="51">
        <v>75030</v>
      </c>
      <c r="AC519" s="51">
        <v>89286</v>
      </c>
    </row>
    <row r="520" spans="1:29" x14ac:dyDescent="0.25">
      <c r="A520" s="25" t="s">
        <v>115</v>
      </c>
      <c r="B520" t="b">
        <v>0</v>
      </c>
      <c r="C520" s="43" t="s">
        <v>692</v>
      </c>
      <c r="D520" s="43">
        <v>67111224091</v>
      </c>
      <c r="E520" s="43">
        <v>67111225451</v>
      </c>
      <c r="F520" s="43" t="s">
        <v>132</v>
      </c>
      <c r="G520" s="43" t="b">
        <v>0</v>
      </c>
      <c r="H520" s="43" t="b">
        <v>1</v>
      </c>
      <c r="I520" s="43"/>
      <c r="M520" s="48" t="s">
        <v>692</v>
      </c>
      <c r="N520" s="48">
        <v>17090416807</v>
      </c>
      <c r="O520" s="48">
        <v>17090420615</v>
      </c>
      <c r="P520" s="48" t="s">
        <v>132</v>
      </c>
      <c r="Q520" s="49" t="s">
        <v>692</v>
      </c>
      <c r="R520" s="49">
        <v>17083665563</v>
      </c>
      <c r="S520" s="49">
        <v>17083663467</v>
      </c>
      <c r="T520" s="49" t="s">
        <v>132</v>
      </c>
      <c r="U520" s="50" t="s">
        <v>692</v>
      </c>
      <c r="V520" s="50">
        <v>17083665563</v>
      </c>
      <c r="W520" s="50">
        <v>17083663467</v>
      </c>
      <c r="X520" s="50" t="s">
        <v>132</v>
      </c>
      <c r="Y520" s="50"/>
      <c r="Z520" s="51" t="s">
        <v>693</v>
      </c>
      <c r="AA520" s="51" t="s">
        <v>192</v>
      </c>
      <c r="AB520" s="51">
        <v>60466</v>
      </c>
      <c r="AC520" s="51">
        <v>71955</v>
      </c>
    </row>
    <row r="521" spans="1:29" x14ac:dyDescent="0.25">
      <c r="A521" s="25" t="s">
        <v>115</v>
      </c>
      <c r="B521" t="b">
        <v>0</v>
      </c>
      <c r="C521" s="43" t="s">
        <v>694</v>
      </c>
      <c r="D521" s="43">
        <v>67111226139</v>
      </c>
      <c r="E521" s="43">
        <v>67111223915</v>
      </c>
      <c r="F521" s="43" t="s">
        <v>132</v>
      </c>
      <c r="G521" s="43" t="b">
        <v>0</v>
      </c>
      <c r="H521" s="43" t="b">
        <v>1</v>
      </c>
      <c r="I521" s="43"/>
      <c r="J521" s="45" t="s">
        <v>694</v>
      </c>
      <c r="K521" s="46">
        <v>67111223915</v>
      </c>
      <c r="L521" s="47">
        <v>990000431</v>
      </c>
      <c r="M521" s="48" t="s">
        <v>694</v>
      </c>
      <c r="N521" s="48">
        <v>17090418855</v>
      </c>
      <c r="O521" s="48">
        <v>17090417735</v>
      </c>
      <c r="P521" s="48" t="s">
        <v>132</v>
      </c>
      <c r="Q521" s="49" t="s">
        <v>694</v>
      </c>
      <c r="R521" s="49">
        <v>17083663003</v>
      </c>
      <c r="S521" s="49">
        <v>17083665003</v>
      </c>
      <c r="T521" s="49" t="s">
        <v>132</v>
      </c>
      <c r="U521" s="50" t="s">
        <v>694</v>
      </c>
      <c r="V521" s="50">
        <v>17083663003</v>
      </c>
      <c r="W521" s="50">
        <v>17083665003</v>
      </c>
      <c r="X521" s="50" t="s">
        <v>132</v>
      </c>
      <c r="Y521" s="50"/>
      <c r="Z521" s="51" t="s">
        <v>695</v>
      </c>
      <c r="AA521" s="51" t="s">
        <v>192</v>
      </c>
      <c r="AB521" s="51">
        <v>84662</v>
      </c>
      <c r="AC521" s="51">
        <v>100748</v>
      </c>
    </row>
    <row r="522" spans="1:29" x14ac:dyDescent="0.25">
      <c r="A522" s="25" t="s">
        <v>115</v>
      </c>
      <c r="B522" t="b">
        <v>0</v>
      </c>
      <c r="C522" s="43" t="s">
        <v>696</v>
      </c>
      <c r="D522" s="43">
        <v>67111225115</v>
      </c>
      <c r="E522" s="43">
        <v>67111226987</v>
      </c>
      <c r="F522" s="43" t="s">
        <v>132</v>
      </c>
      <c r="G522" s="43" t="b">
        <v>0</v>
      </c>
      <c r="H522" s="43" t="b">
        <v>1</v>
      </c>
      <c r="I522" s="43"/>
      <c r="M522" s="48" t="s">
        <v>696</v>
      </c>
      <c r="N522" s="48">
        <v>17090417831</v>
      </c>
      <c r="O522" s="48">
        <v>17090419271</v>
      </c>
      <c r="P522" s="48" t="s">
        <v>132</v>
      </c>
      <c r="Q522" s="49" t="s">
        <v>696</v>
      </c>
      <c r="R522" s="49">
        <v>17083665051</v>
      </c>
      <c r="S522" s="49">
        <v>17083662699</v>
      </c>
      <c r="T522" s="49" t="s">
        <v>132</v>
      </c>
      <c r="U522" s="50" t="s">
        <v>696</v>
      </c>
      <c r="V522" s="50">
        <v>17083665051</v>
      </c>
      <c r="W522" s="50">
        <v>17083662699</v>
      </c>
      <c r="X522" s="50" t="s">
        <v>132</v>
      </c>
      <c r="Y522" s="50"/>
      <c r="Z522" s="51" t="s">
        <v>697</v>
      </c>
      <c r="AA522" s="51" t="s">
        <v>192</v>
      </c>
      <c r="AB522" s="51">
        <v>69086</v>
      </c>
      <c r="AC522" s="51">
        <v>82212</v>
      </c>
    </row>
    <row r="523" spans="1:29" x14ac:dyDescent="0.25">
      <c r="A523" s="25" t="s">
        <v>115</v>
      </c>
      <c r="B523" t="b">
        <v>0</v>
      </c>
      <c r="C523" s="43" t="s">
        <v>698</v>
      </c>
      <c r="D523" s="43">
        <v>67111227163</v>
      </c>
      <c r="E523" s="43">
        <v>67111224683</v>
      </c>
      <c r="F523" s="43" t="s">
        <v>132</v>
      </c>
      <c r="G523" s="43" t="b">
        <v>0</v>
      </c>
      <c r="H523" s="43" t="b">
        <v>1</v>
      </c>
      <c r="I523" s="43"/>
      <c r="J523" s="45" t="s">
        <v>698</v>
      </c>
      <c r="K523" s="46">
        <v>67111224683</v>
      </c>
      <c r="L523" s="47">
        <v>990000489</v>
      </c>
      <c r="M523" s="48" t="s">
        <v>698</v>
      </c>
      <c r="N523" s="48">
        <v>17090419879</v>
      </c>
      <c r="O523" s="48">
        <v>17090416967</v>
      </c>
      <c r="P523" s="48" t="s">
        <v>132</v>
      </c>
      <c r="Q523" s="49" t="s">
        <v>698</v>
      </c>
      <c r="R523" s="49">
        <v>17083664027</v>
      </c>
      <c r="S523" s="49">
        <v>17083665771</v>
      </c>
      <c r="T523" s="49" t="s">
        <v>132</v>
      </c>
      <c r="U523" s="50" t="s">
        <v>698</v>
      </c>
      <c r="V523" s="50">
        <v>17083664027</v>
      </c>
      <c r="W523" s="50">
        <v>17083665771</v>
      </c>
      <c r="X523" s="50" t="s">
        <v>132</v>
      </c>
      <c r="Y523" s="50"/>
      <c r="Z523" s="51" t="s">
        <v>699</v>
      </c>
      <c r="AA523" s="51" t="s">
        <v>192</v>
      </c>
      <c r="AB523" s="51">
        <v>94293</v>
      </c>
      <c r="AC523" s="51">
        <v>112209</v>
      </c>
    </row>
    <row r="524" spans="1:29" x14ac:dyDescent="0.25">
      <c r="A524" s="25" t="s">
        <v>115</v>
      </c>
      <c r="B524" t="b">
        <v>0</v>
      </c>
      <c r="C524" s="43" t="s">
        <v>700</v>
      </c>
      <c r="D524" s="43">
        <v>67111223451</v>
      </c>
      <c r="E524" s="43">
        <v>67111226219</v>
      </c>
      <c r="F524" s="43" t="s">
        <v>132</v>
      </c>
      <c r="G524" s="43" t="b">
        <v>0</v>
      </c>
      <c r="H524" s="43" t="b">
        <v>1</v>
      </c>
      <c r="I524" s="43"/>
      <c r="M524" s="48" t="s">
        <v>700</v>
      </c>
      <c r="N524" s="48">
        <v>17090417319</v>
      </c>
      <c r="O524" s="48">
        <v>17090420039</v>
      </c>
      <c r="P524" s="48" t="s">
        <v>132</v>
      </c>
      <c r="Q524" s="49" t="s">
        <v>700</v>
      </c>
      <c r="R524" s="49">
        <v>17083666075</v>
      </c>
      <c r="S524" s="49">
        <v>17083664235</v>
      </c>
      <c r="T524" s="49" t="s">
        <v>132</v>
      </c>
      <c r="U524" s="50" t="s">
        <v>700</v>
      </c>
      <c r="V524" s="50">
        <v>17083666075</v>
      </c>
      <c r="W524" s="50">
        <v>17083664235</v>
      </c>
      <c r="X524" s="50" t="s">
        <v>132</v>
      </c>
      <c r="Y524" s="50"/>
      <c r="Z524" s="51" t="s">
        <v>701</v>
      </c>
      <c r="AA524" s="51" t="s">
        <v>192</v>
      </c>
      <c r="AB524" s="51">
        <v>77707</v>
      </c>
      <c r="AC524" s="51">
        <v>92471</v>
      </c>
    </row>
    <row r="525" spans="1:29" x14ac:dyDescent="0.25">
      <c r="A525" s="25" t="s">
        <v>115</v>
      </c>
      <c r="B525" t="b">
        <v>0</v>
      </c>
      <c r="C525" s="43" t="s">
        <v>702</v>
      </c>
      <c r="D525" s="43">
        <v>67111225499</v>
      </c>
      <c r="E525" s="43">
        <v>67111223531</v>
      </c>
      <c r="F525" s="43" t="s">
        <v>132</v>
      </c>
      <c r="G525" s="43" t="b">
        <v>0</v>
      </c>
      <c r="H525" s="43" t="b">
        <v>1</v>
      </c>
      <c r="I525" s="43"/>
      <c r="J525" s="45" t="s">
        <v>702</v>
      </c>
      <c r="K525" s="46">
        <v>67111223531</v>
      </c>
      <c r="L525" s="47">
        <v>990000427</v>
      </c>
      <c r="M525" s="48" t="s">
        <v>702</v>
      </c>
      <c r="N525" s="48">
        <v>17090419367</v>
      </c>
      <c r="O525" s="48">
        <v>17090418503</v>
      </c>
      <c r="P525" s="48" t="s">
        <v>132</v>
      </c>
      <c r="Q525" s="49" t="s">
        <v>702</v>
      </c>
      <c r="R525" s="49">
        <v>17083662747</v>
      </c>
      <c r="S525" s="49">
        <v>17083664619</v>
      </c>
      <c r="T525" s="49" t="s">
        <v>132</v>
      </c>
      <c r="U525" s="50" t="s">
        <v>702</v>
      </c>
      <c r="V525" s="50">
        <v>17083662747</v>
      </c>
      <c r="W525" s="50">
        <v>17083664619</v>
      </c>
      <c r="X525" s="50" t="s">
        <v>132</v>
      </c>
      <c r="Y525" s="50"/>
      <c r="Z525" s="51" t="s">
        <v>703</v>
      </c>
      <c r="AA525" s="51" t="s">
        <v>192</v>
      </c>
      <c r="AB525" s="51">
        <v>194460</v>
      </c>
      <c r="AC525" s="51">
        <v>231408</v>
      </c>
    </row>
    <row r="526" spans="1:29" x14ac:dyDescent="0.25">
      <c r="A526" s="25" t="s">
        <v>115</v>
      </c>
      <c r="B526" t="b">
        <v>0</v>
      </c>
      <c r="C526" s="43" t="s">
        <v>704</v>
      </c>
      <c r="D526" s="43">
        <v>67111224475</v>
      </c>
      <c r="E526" s="43">
        <v>67111226603</v>
      </c>
      <c r="F526" s="43" t="s">
        <v>132</v>
      </c>
      <c r="G526" s="43" t="b">
        <v>0</v>
      </c>
      <c r="H526" s="43" t="b">
        <v>1</v>
      </c>
      <c r="I526" s="43"/>
      <c r="J526" s="45" t="s">
        <v>704</v>
      </c>
      <c r="K526" s="46">
        <v>67111226603</v>
      </c>
      <c r="L526" s="47">
        <v>990000494</v>
      </c>
      <c r="M526" s="48" t="s">
        <v>704</v>
      </c>
      <c r="N526" s="48">
        <v>17090418343</v>
      </c>
      <c r="O526" s="48">
        <v>17090418887</v>
      </c>
      <c r="P526" s="48" t="s">
        <v>132</v>
      </c>
      <c r="Q526" s="49" t="s">
        <v>704</v>
      </c>
      <c r="R526" s="49">
        <v>17083664795</v>
      </c>
      <c r="S526" s="49">
        <v>17083663083</v>
      </c>
      <c r="T526" s="49" t="s">
        <v>132</v>
      </c>
      <c r="U526" s="50" t="s">
        <v>704</v>
      </c>
      <c r="V526" s="50">
        <v>17083664795</v>
      </c>
      <c r="W526" s="50">
        <v>17083663083</v>
      </c>
      <c r="X526" s="50" t="s">
        <v>132</v>
      </c>
      <c r="Y526" s="50"/>
      <c r="Z526" s="51" t="s">
        <v>704</v>
      </c>
      <c r="AA526" s="51" t="s">
        <v>192</v>
      </c>
      <c r="AB526" s="51">
        <v>290776</v>
      </c>
      <c r="AC526" s="51">
        <v>346023</v>
      </c>
    </row>
    <row r="527" spans="1:29" x14ac:dyDescent="0.25">
      <c r="A527" s="25" t="s">
        <v>115</v>
      </c>
      <c r="B527" t="b">
        <v>0</v>
      </c>
      <c r="C527" s="43" t="s">
        <v>705</v>
      </c>
      <c r="D527" s="43">
        <v>67111226523</v>
      </c>
      <c r="E527" s="43">
        <v>67111225067</v>
      </c>
      <c r="F527" s="43" t="s">
        <v>132</v>
      </c>
      <c r="G527" s="43" t="b">
        <v>0</v>
      </c>
      <c r="H527" s="43" t="b">
        <v>1</v>
      </c>
      <c r="I527" s="43"/>
      <c r="M527" s="48" t="s">
        <v>705</v>
      </c>
      <c r="N527" s="48">
        <v>17090420391</v>
      </c>
      <c r="O527" s="48">
        <v>17090417351</v>
      </c>
      <c r="P527" s="48" t="s">
        <v>132</v>
      </c>
      <c r="Q527" s="49" t="s">
        <v>705</v>
      </c>
      <c r="R527" s="49">
        <v>17083663771</v>
      </c>
      <c r="S527" s="49">
        <v>17083666155</v>
      </c>
      <c r="T527" s="49" t="s">
        <v>132</v>
      </c>
      <c r="U527" s="50" t="s">
        <v>705</v>
      </c>
      <c r="V527" s="50">
        <v>17083663771</v>
      </c>
      <c r="W527" s="50">
        <v>17083666155</v>
      </c>
      <c r="X527" s="50" t="s">
        <v>132</v>
      </c>
      <c r="Y527" s="50"/>
      <c r="Z527" s="51" t="s">
        <v>705</v>
      </c>
      <c r="AA527" s="51" t="s">
        <v>192</v>
      </c>
      <c r="AB527" s="51">
        <v>9536</v>
      </c>
      <c r="AC527" s="51">
        <v>11348</v>
      </c>
    </row>
    <row r="528" spans="1:29" x14ac:dyDescent="0.25">
      <c r="A528" s="25" t="s">
        <v>115</v>
      </c>
      <c r="B528" t="b">
        <v>0</v>
      </c>
      <c r="C528" s="43" t="s">
        <v>706</v>
      </c>
      <c r="D528" s="43">
        <v>67111223963</v>
      </c>
      <c r="E528" s="43">
        <v>67111225835</v>
      </c>
      <c r="F528" s="43" t="s">
        <v>132</v>
      </c>
      <c r="G528" s="43" t="b">
        <v>0</v>
      </c>
      <c r="H528" s="43" t="b">
        <v>1</v>
      </c>
      <c r="I528" s="43"/>
      <c r="J528" s="45" t="s">
        <v>706</v>
      </c>
      <c r="K528" s="46">
        <v>67111225835</v>
      </c>
      <c r="L528" s="47">
        <v>990000537</v>
      </c>
      <c r="M528" s="48" t="s">
        <v>706</v>
      </c>
      <c r="N528" s="48">
        <v>17090417063</v>
      </c>
      <c r="O528" s="48">
        <v>17090420423</v>
      </c>
      <c r="P528" s="48" t="s">
        <v>132</v>
      </c>
      <c r="Q528" s="49" t="s">
        <v>706</v>
      </c>
      <c r="R528" s="49">
        <v>17083665819</v>
      </c>
      <c r="S528" s="49">
        <v>17083663851</v>
      </c>
      <c r="T528" s="49" t="s">
        <v>132</v>
      </c>
      <c r="U528" s="50" t="s">
        <v>706</v>
      </c>
      <c r="V528" s="50">
        <v>17083665819</v>
      </c>
      <c r="W528" s="50">
        <v>17083663851</v>
      </c>
      <c r="X528" s="50" t="s">
        <v>132</v>
      </c>
      <c r="Y528" s="50"/>
      <c r="Z528" s="51" t="s">
        <v>706</v>
      </c>
      <c r="AA528" s="51" t="s">
        <v>192</v>
      </c>
      <c r="AB528" s="51">
        <v>9536</v>
      </c>
      <c r="AC528" s="51">
        <v>11348</v>
      </c>
    </row>
    <row r="529" spans="1:29" x14ac:dyDescent="0.25">
      <c r="A529" s="25" t="s">
        <v>115</v>
      </c>
      <c r="B529" t="b">
        <v>0</v>
      </c>
      <c r="C529" s="43" t="s">
        <v>707</v>
      </c>
      <c r="D529" s="43">
        <v>67111226011</v>
      </c>
      <c r="E529" s="43">
        <v>67111224299</v>
      </c>
      <c r="F529" s="43" t="s">
        <v>132</v>
      </c>
      <c r="G529" s="43" t="b">
        <v>0</v>
      </c>
      <c r="H529" s="43" t="b">
        <v>1</v>
      </c>
      <c r="I529" s="43"/>
      <c r="J529" s="45" t="s">
        <v>707</v>
      </c>
      <c r="K529" s="46">
        <v>67111224299</v>
      </c>
      <c r="L529" s="47">
        <v>990000536</v>
      </c>
      <c r="M529" s="48" t="s">
        <v>707</v>
      </c>
      <c r="N529" s="48">
        <v>17090419111</v>
      </c>
      <c r="O529" s="48">
        <v>17090418119</v>
      </c>
      <c r="P529" s="48" t="s">
        <v>132</v>
      </c>
      <c r="Q529" s="49" t="s">
        <v>707</v>
      </c>
      <c r="R529" s="49">
        <v>17083663259</v>
      </c>
      <c r="S529" s="49">
        <v>17083665387</v>
      </c>
      <c r="T529" s="49" t="s">
        <v>132</v>
      </c>
      <c r="U529" s="50" t="s">
        <v>707</v>
      </c>
      <c r="V529" s="50">
        <v>17083663259</v>
      </c>
      <c r="W529" s="50">
        <v>17083665387</v>
      </c>
      <c r="X529" s="50" t="s">
        <v>132</v>
      </c>
      <c r="Y529" s="50"/>
      <c r="Z529" s="51" t="s">
        <v>707</v>
      </c>
      <c r="AA529" s="51" t="s">
        <v>192</v>
      </c>
      <c r="AB529" s="51">
        <v>14351</v>
      </c>
      <c r="AC529" s="51">
        <v>17078</v>
      </c>
    </row>
    <row r="530" spans="1:29" x14ac:dyDescent="0.25">
      <c r="A530" s="25" t="s">
        <v>115</v>
      </c>
      <c r="B530" t="b">
        <v>0</v>
      </c>
      <c r="C530" s="43" t="s">
        <v>708</v>
      </c>
      <c r="D530" s="43">
        <v>321744</v>
      </c>
      <c r="E530" s="43">
        <v>302542</v>
      </c>
      <c r="F530" s="43" t="s">
        <v>123</v>
      </c>
      <c r="G530" s="43" t="b">
        <v>0</v>
      </c>
      <c r="H530" s="43" t="b">
        <v>0</v>
      </c>
      <c r="I530" s="43"/>
      <c r="M530" s="48" t="s">
        <v>708</v>
      </c>
      <c r="N530" s="48">
        <v>17088569370</v>
      </c>
      <c r="O530" s="48">
        <v>17088567699</v>
      </c>
      <c r="P530" s="48" t="s">
        <v>123</v>
      </c>
      <c r="Q530" s="49" t="s">
        <v>708</v>
      </c>
      <c r="R530" s="49">
        <v>17083127809</v>
      </c>
      <c r="S530" s="49">
        <v>17083122519</v>
      </c>
      <c r="T530" s="49" t="s">
        <v>123</v>
      </c>
      <c r="U530" s="50" t="s">
        <v>708</v>
      </c>
      <c r="V530" s="50">
        <v>17083127809</v>
      </c>
      <c r="W530" s="50">
        <v>17083122519</v>
      </c>
      <c r="X530" s="50" t="s">
        <v>123</v>
      </c>
      <c r="Y530" s="50"/>
    </row>
    <row r="531" spans="1:29" x14ac:dyDescent="0.25">
      <c r="A531" s="25" t="s">
        <v>115</v>
      </c>
      <c r="B531" t="b">
        <v>0</v>
      </c>
      <c r="C531" s="43" t="s">
        <v>709</v>
      </c>
      <c r="D531" s="43">
        <v>320720</v>
      </c>
      <c r="E531" s="43">
        <v>301718</v>
      </c>
      <c r="F531" s="43" t="s">
        <v>123</v>
      </c>
      <c r="G531" s="43" t="b">
        <v>0</v>
      </c>
      <c r="H531" s="43" t="b">
        <v>0</v>
      </c>
      <c r="I531" s="43"/>
      <c r="M531" s="48" t="s">
        <v>709</v>
      </c>
      <c r="N531" s="48">
        <v>17088569942</v>
      </c>
      <c r="O531" s="48">
        <v>17088566159</v>
      </c>
      <c r="P531" s="48" t="s">
        <v>123</v>
      </c>
      <c r="Q531" s="49" t="s">
        <v>709</v>
      </c>
      <c r="R531" s="49">
        <v>17083129329</v>
      </c>
      <c r="S531" s="49">
        <v>17083129736</v>
      </c>
      <c r="T531" s="49" t="s">
        <v>123</v>
      </c>
      <c r="U531" s="50" t="s">
        <v>709</v>
      </c>
      <c r="V531" s="50">
        <v>17083129329</v>
      </c>
      <c r="W531" s="50">
        <v>17083129736</v>
      </c>
      <c r="X531" s="50" t="s">
        <v>123</v>
      </c>
      <c r="Y531" s="50"/>
    </row>
    <row r="532" spans="1:29" x14ac:dyDescent="0.25">
      <c r="A532" s="25" t="s">
        <v>115</v>
      </c>
      <c r="B532" t="b">
        <v>0</v>
      </c>
      <c r="C532" s="43" t="s">
        <v>710</v>
      </c>
      <c r="D532" s="43">
        <v>322768</v>
      </c>
      <c r="E532" s="43">
        <v>300950</v>
      </c>
      <c r="F532" s="43" t="s">
        <v>123</v>
      </c>
      <c r="G532" s="43" t="b">
        <v>0</v>
      </c>
      <c r="H532" s="43" t="b">
        <v>0</v>
      </c>
      <c r="I532" s="43"/>
      <c r="M532" s="48" t="s">
        <v>710</v>
      </c>
      <c r="N532" s="48">
        <v>17088571542</v>
      </c>
      <c r="O532" s="48">
        <v>17088567951</v>
      </c>
      <c r="P532" s="48" t="s">
        <v>123</v>
      </c>
      <c r="Q532" s="49" t="s">
        <v>710</v>
      </c>
      <c r="R532" s="49">
        <v>17083126129</v>
      </c>
      <c r="S532" s="49">
        <v>17083126152</v>
      </c>
      <c r="T532" s="49" t="s">
        <v>123</v>
      </c>
      <c r="U532" s="50" t="s">
        <v>710</v>
      </c>
      <c r="V532" s="50">
        <v>17083126129</v>
      </c>
      <c r="W532" s="50">
        <v>17083126152</v>
      </c>
      <c r="X532" s="50" t="s">
        <v>123</v>
      </c>
      <c r="Y532" s="50"/>
    </row>
    <row r="533" spans="1:29" x14ac:dyDescent="0.25">
      <c r="A533" s="25" t="s">
        <v>115</v>
      </c>
      <c r="B533" t="b">
        <v>0</v>
      </c>
      <c r="C533" s="43" t="s">
        <v>711</v>
      </c>
      <c r="D533" s="43">
        <v>320208</v>
      </c>
      <c r="E533" s="43">
        <v>299734</v>
      </c>
      <c r="F533" s="43" t="s">
        <v>123</v>
      </c>
      <c r="G533" s="43" t="b">
        <v>0</v>
      </c>
      <c r="H533" s="43" t="b">
        <v>0</v>
      </c>
      <c r="I533" s="43"/>
      <c r="M533" s="48" t="s">
        <v>711</v>
      </c>
      <c r="N533" s="48">
        <v>17088571606</v>
      </c>
      <c r="O533" s="48">
        <v>17088567055</v>
      </c>
      <c r="P533" s="48" t="s">
        <v>123</v>
      </c>
      <c r="Q533" s="49" t="s">
        <v>711</v>
      </c>
      <c r="R533" s="49">
        <v>17083126281</v>
      </c>
      <c r="S533" s="49">
        <v>17083127944</v>
      </c>
      <c r="T533" s="49" t="s">
        <v>123</v>
      </c>
      <c r="U533" s="50" t="s">
        <v>711</v>
      </c>
      <c r="V533" s="50">
        <v>17083126281</v>
      </c>
      <c r="W533" s="50">
        <v>17083127944</v>
      </c>
      <c r="X533" s="50" t="s">
        <v>123</v>
      </c>
      <c r="Y533" s="50"/>
    </row>
    <row r="534" spans="1:29" x14ac:dyDescent="0.25">
      <c r="A534" s="25" t="s">
        <v>115</v>
      </c>
      <c r="B534" t="b">
        <v>0</v>
      </c>
      <c r="C534" s="43" t="s">
        <v>712</v>
      </c>
      <c r="D534" s="43">
        <v>322256</v>
      </c>
      <c r="E534" s="43">
        <v>299390</v>
      </c>
      <c r="F534" s="43" t="s">
        <v>132</v>
      </c>
      <c r="G534" s="43" t="b">
        <v>0</v>
      </c>
      <c r="H534" s="43" t="b">
        <v>0</v>
      </c>
      <c r="I534" s="43"/>
      <c r="M534" s="48" t="s">
        <v>712</v>
      </c>
      <c r="N534" s="48">
        <v>17088572290</v>
      </c>
      <c r="O534" s="48">
        <v>17088565257</v>
      </c>
      <c r="P534" s="48" t="s">
        <v>132</v>
      </c>
      <c r="Q534" s="49" t="s">
        <v>712</v>
      </c>
      <c r="R534" s="49">
        <v>17083126030</v>
      </c>
      <c r="S534" s="49">
        <v>17083121693</v>
      </c>
      <c r="T534" s="49" t="s">
        <v>132</v>
      </c>
      <c r="U534" s="50" t="s">
        <v>712</v>
      </c>
      <c r="V534" s="50">
        <v>17083126030</v>
      </c>
      <c r="W534" s="50">
        <v>17083121693</v>
      </c>
      <c r="X534" s="50" t="s">
        <v>132</v>
      </c>
      <c r="Y534" s="50"/>
    </row>
    <row r="535" spans="1:29" x14ac:dyDescent="0.25">
      <c r="A535" s="25" t="s">
        <v>115</v>
      </c>
      <c r="B535" t="b">
        <v>0</v>
      </c>
      <c r="C535" s="43" t="s">
        <v>713</v>
      </c>
      <c r="D535" s="43">
        <v>321232</v>
      </c>
      <c r="E535" s="43">
        <v>299398</v>
      </c>
      <c r="F535" s="43" t="s">
        <v>119</v>
      </c>
      <c r="G535" s="43" t="b">
        <v>0</v>
      </c>
      <c r="H535" s="43" t="b">
        <v>0</v>
      </c>
      <c r="I535" s="43"/>
      <c r="M535" s="48" t="s">
        <v>713</v>
      </c>
      <c r="N535" s="48">
        <v>17088572694</v>
      </c>
      <c r="O535" s="48">
        <v>17088567983</v>
      </c>
      <c r="P535" s="48" t="s">
        <v>119</v>
      </c>
      <c r="Q535" s="49" t="s">
        <v>713</v>
      </c>
      <c r="R535" s="49">
        <v>17083126897</v>
      </c>
      <c r="S535" s="49">
        <v>17083126184</v>
      </c>
      <c r="T535" s="49" t="s">
        <v>119</v>
      </c>
      <c r="U535" s="50" t="s">
        <v>713</v>
      </c>
      <c r="V535" s="50">
        <v>17083126897</v>
      </c>
      <c r="W535" s="50">
        <v>17083126184</v>
      </c>
      <c r="X535" s="50" t="s">
        <v>119</v>
      </c>
      <c r="Y535" s="50"/>
    </row>
    <row r="536" spans="1:29" x14ac:dyDescent="0.25">
      <c r="A536" s="25" t="s">
        <v>115</v>
      </c>
      <c r="B536" t="b">
        <v>0</v>
      </c>
      <c r="C536" s="43" t="s">
        <v>714</v>
      </c>
      <c r="D536" s="43">
        <v>323280</v>
      </c>
      <c r="E536" s="43">
        <v>299462</v>
      </c>
      <c r="F536" s="43" t="s">
        <v>117</v>
      </c>
      <c r="G536" s="43" t="b">
        <v>0</v>
      </c>
      <c r="H536" s="43" t="b">
        <v>0</v>
      </c>
      <c r="I536" s="43"/>
      <c r="M536" s="48" t="s">
        <v>714</v>
      </c>
      <c r="N536" s="48">
        <v>17088572502</v>
      </c>
      <c r="O536" s="48">
        <v>17088565551</v>
      </c>
      <c r="P536" s="48" t="s">
        <v>117</v>
      </c>
      <c r="Q536" s="49" t="s">
        <v>714</v>
      </c>
      <c r="R536" s="49">
        <v>17083127281</v>
      </c>
      <c r="S536" s="49">
        <v>17083129128</v>
      </c>
      <c r="T536" s="49" t="s">
        <v>117</v>
      </c>
      <c r="U536" s="50" t="s">
        <v>714</v>
      </c>
      <c r="V536" s="50">
        <v>17083127281</v>
      </c>
      <c r="W536" s="50">
        <v>17083129128</v>
      </c>
      <c r="X536" s="50" t="s">
        <v>117</v>
      </c>
      <c r="Y536" s="50"/>
    </row>
    <row r="537" spans="1:29" x14ac:dyDescent="0.25">
      <c r="A537" s="25" t="s">
        <v>115</v>
      </c>
      <c r="B537" t="b">
        <v>0</v>
      </c>
      <c r="C537" s="43" t="s">
        <v>715</v>
      </c>
      <c r="D537" s="43">
        <v>319952</v>
      </c>
      <c r="E537" s="43">
        <v>299238</v>
      </c>
      <c r="F537" s="43" t="s">
        <v>119</v>
      </c>
      <c r="G537" s="43" t="b">
        <v>0</v>
      </c>
      <c r="H537" s="43" t="b">
        <v>0</v>
      </c>
      <c r="I537" s="43"/>
      <c r="M537" s="48" t="s">
        <v>715</v>
      </c>
      <c r="N537" s="48">
        <v>17088570454</v>
      </c>
      <c r="O537" s="48">
        <v>17088566095</v>
      </c>
      <c r="P537" s="48" t="s">
        <v>119</v>
      </c>
      <c r="Q537" s="49" t="s">
        <v>715</v>
      </c>
      <c r="R537" s="49">
        <v>17083128305</v>
      </c>
      <c r="S537" s="49">
        <v>17083129672</v>
      </c>
      <c r="T537" s="49" t="s">
        <v>119</v>
      </c>
      <c r="U537" s="50" t="s">
        <v>715</v>
      </c>
      <c r="V537" s="50">
        <v>17083128305</v>
      </c>
      <c r="W537" s="50">
        <v>17083129672</v>
      </c>
      <c r="X537" s="50" t="s">
        <v>119</v>
      </c>
      <c r="Y537" s="50"/>
    </row>
    <row r="538" spans="1:29" x14ac:dyDescent="0.25">
      <c r="A538" s="25" t="b">
        <v>1</v>
      </c>
      <c r="B538" t="b">
        <v>0</v>
      </c>
      <c r="C538" s="43" t="s">
        <v>716</v>
      </c>
      <c r="D538" s="43">
        <v>322000</v>
      </c>
      <c r="E538" s="43">
        <v>300614</v>
      </c>
      <c r="F538" s="43" t="s">
        <v>173</v>
      </c>
      <c r="G538" s="43" t="b">
        <v>0</v>
      </c>
      <c r="H538" s="43" t="b">
        <v>0</v>
      </c>
      <c r="I538" s="43"/>
      <c r="J538" s="45" t="s">
        <v>716</v>
      </c>
      <c r="K538" s="46">
        <v>300614</v>
      </c>
      <c r="M538" s="48" t="s">
        <v>716</v>
      </c>
      <c r="N538" s="48">
        <v>17088571478</v>
      </c>
      <c r="O538" s="48">
        <v>17088566447</v>
      </c>
      <c r="P538" s="48" t="s">
        <v>173</v>
      </c>
      <c r="Q538" s="49" t="s">
        <v>716</v>
      </c>
      <c r="R538" s="49">
        <v>17083126257</v>
      </c>
      <c r="S538" s="49">
        <v>17083128488</v>
      </c>
      <c r="T538" s="49" t="s">
        <v>173</v>
      </c>
      <c r="U538" s="50" t="s">
        <v>716</v>
      </c>
      <c r="V538" s="50">
        <v>17083126257</v>
      </c>
      <c r="W538" s="50">
        <v>17083128488</v>
      </c>
      <c r="X538" s="50" t="s">
        <v>173</v>
      </c>
      <c r="Y538" s="50"/>
    </row>
    <row r="539" spans="1:29" x14ac:dyDescent="0.25">
      <c r="A539" s="25" t="s">
        <v>115</v>
      </c>
      <c r="B539" t="b">
        <v>0</v>
      </c>
      <c r="C539" s="43" t="s">
        <v>717</v>
      </c>
      <c r="D539" s="43">
        <v>320976</v>
      </c>
      <c r="E539" s="43">
        <v>302458</v>
      </c>
      <c r="F539" s="43" t="s">
        <v>132</v>
      </c>
      <c r="G539" s="43" t="b">
        <v>0</v>
      </c>
      <c r="H539" s="43" t="b">
        <v>0</v>
      </c>
      <c r="I539" s="43"/>
      <c r="M539" s="48" t="s">
        <v>717</v>
      </c>
      <c r="N539" s="48">
        <v>17088570646</v>
      </c>
      <c r="O539" s="48">
        <v>17088565999</v>
      </c>
      <c r="P539" s="48" t="s">
        <v>132</v>
      </c>
      <c r="Q539" s="49" t="s">
        <v>717</v>
      </c>
      <c r="R539" s="49">
        <v>17083127921</v>
      </c>
      <c r="S539" s="49">
        <v>17083129576</v>
      </c>
      <c r="T539" s="49" t="s">
        <v>132</v>
      </c>
      <c r="U539" s="50" t="s">
        <v>717</v>
      </c>
      <c r="V539" s="50">
        <v>17083127921</v>
      </c>
      <c r="W539" s="50">
        <v>17083129576</v>
      </c>
      <c r="X539" s="50" t="s">
        <v>132</v>
      </c>
      <c r="Y539" s="50"/>
    </row>
    <row r="540" spans="1:29" x14ac:dyDescent="0.25">
      <c r="A540" s="25" t="s">
        <v>115</v>
      </c>
      <c r="B540" t="b">
        <v>0</v>
      </c>
      <c r="C540" s="43" t="s">
        <v>718</v>
      </c>
      <c r="D540" s="43">
        <v>323024</v>
      </c>
      <c r="E540" s="43">
        <v>299326</v>
      </c>
      <c r="F540" s="43" t="s">
        <v>383</v>
      </c>
      <c r="G540" s="43" t="b">
        <v>0</v>
      </c>
      <c r="H540" s="43" t="b">
        <v>0</v>
      </c>
      <c r="I540" s="43"/>
      <c r="M540" s="48" t="s">
        <v>718</v>
      </c>
      <c r="N540" s="48">
        <v>17088573106</v>
      </c>
      <c r="O540" s="48">
        <v>17088566685</v>
      </c>
      <c r="P540" s="48" t="s">
        <v>383</v>
      </c>
      <c r="Q540" s="49" t="s">
        <v>718</v>
      </c>
      <c r="R540" s="49">
        <v>17083128350</v>
      </c>
      <c r="S540" s="49">
        <v>17083121851</v>
      </c>
      <c r="T540" s="49" t="s">
        <v>383</v>
      </c>
      <c r="U540" s="50" t="s">
        <v>718</v>
      </c>
      <c r="V540" s="50">
        <v>17083128350</v>
      </c>
      <c r="W540" s="50">
        <v>17083121851</v>
      </c>
      <c r="X540" s="50" t="s">
        <v>383</v>
      </c>
      <c r="Y540" s="50"/>
    </row>
    <row r="541" spans="1:29" x14ac:dyDescent="0.25">
      <c r="A541" s="25" t="s">
        <v>115</v>
      </c>
      <c r="B541" t="b">
        <v>0</v>
      </c>
      <c r="C541" s="43" t="s">
        <v>719</v>
      </c>
      <c r="D541" s="43">
        <v>320464</v>
      </c>
      <c r="E541" s="43">
        <v>301182</v>
      </c>
      <c r="F541" s="43" t="s">
        <v>123</v>
      </c>
      <c r="G541" s="43" t="b">
        <v>0</v>
      </c>
      <c r="H541" s="43" t="b">
        <v>0</v>
      </c>
      <c r="I541" s="43"/>
      <c r="M541" s="48" t="s">
        <v>719</v>
      </c>
      <c r="N541" s="48">
        <v>17088570482</v>
      </c>
      <c r="O541" s="48">
        <v>17088568477</v>
      </c>
      <c r="P541" s="48" t="s">
        <v>123</v>
      </c>
      <c r="Q541" s="49" t="s">
        <v>719</v>
      </c>
      <c r="R541" s="49">
        <v>17083129630</v>
      </c>
      <c r="S541" s="49">
        <v>17083124027</v>
      </c>
      <c r="T541" s="49" t="s">
        <v>123</v>
      </c>
      <c r="U541" s="50" t="s">
        <v>719</v>
      </c>
      <c r="V541" s="50">
        <v>17083129630</v>
      </c>
      <c r="W541" s="50">
        <v>17083124027</v>
      </c>
      <c r="X541" s="50" t="s">
        <v>123</v>
      </c>
      <c r="Y541" s="50"/>
    </row>
    <row r="542" spans="1:29" x14ac:dyDescent="0.25">
      <c r="A542" s="25" t="b">
        <v>1</v>
      </c>
      <c r="B542" t="b">
        <v>0</v>
      </c>
      <c r="C542" s="43" t="s">
        <v>720</v>
      </c>
      <c r="D542" s="43">
        <v>322512</v>
      </c>
      <c r="E542" s="43">
        <v>300926</v>
      </c>
      <c r="F542" s="43" t="s">
        <v>173</v>
      </c>
      <c r="G542" s="43" t="b">
        <v>0</v>
      </c>
      <c r="H542" s="43" t="b">
        <v>0</v>
      </c>
      <c r="I542" s="43"/>
      <c r="J542" s="45" t="s">
        <v>720</v>
      </c>
      <c r="K542" s="46">
        <v>300926</v>
      </c>
      <c r="M542" s="48" t="s">
        <v>720</v>
      </c>
      <c r="N542" s="48">
        <v>17088570802</v>
      </c>
      <c r="O542" s="48">
        <v>17088565405</v>
      </c>
      <c r="P542" s="48" t="s">
        <v>173</v>
      </c>
      <c r="Q542" s="49" t="s">
        <v>720</v>
      </c>
      <c r="R542" s="49">
        <v>17083129374</v>
      </c>
      <c r="S542" s="49">
        <v>17083123259</v>
      </c>
      <c r="T542" s="49" t="s">
        <v>173</v>
      </c>
      <c r="U542" s="50" t="s">
        <v>720</v>
      </c>
      <c r="V542" s="50">
        <v>17083129374</v>
      </c>
      <c r="W542" s="50">
        <v>17083123259</v>
      </c>
      <c r="X542" s="50" t="s">
        <v>173</v>
      </c>
      <c r="Y542" s="50"/>
    </row>
    <row r="543" spans="1:29" x14ac:dyDescent="0.25">
      <c r="A543" s="25" t="s">
        <v>115</v>
      </c>
      <c r="B543" t="b">
        <v>0</v>
      </c>
      <c r="C543" s="43" t="s">
        <v>721</v>
      </c>
      <c r="D543" s="43">
        <v>321488</v>
      </c>
      <c r="E543" s="43">
        <v>301166</v>
      </c>
      <c r="F543" s="43" t="s">
        <v>132</v>
      </c>
      <c r="G543" s="43" t="b">
        <v>0</v>
      </c>
      <c r="H543" s="43" t="b">
        <v>0</v>
      </c>
      <c r="I543" s="43"/>
      <c r="M543" s="48" t="s">
        <v>721</v>
      </c>
      <c r="N543" s="48">
        <v>17088570970</v>
      </c>
      <c r="O543" s="48">
        <v>17088565579</v>
      </c>
      <c r="P543" s="48" t="s">
        <v>132</v>
      </c>
      <c r="Q543" s="49" t="s">
        <v>721</v>
      </c>
      <c r="R543" s="49">
        <v>17083126337</v>
      </c>
      <c r="S543" s="49">
        <v>17083125647</v>
      </c>
      <c r="T543" s="49" t="s">
        <v>132</v>
      </c>
      <c r="U543" s="50" t="s">
        <v>721</v>
      </c>
      <c r="V543" s="50">
        <v>17083126337</v>
      </c>
      <c r="W543" s="50">
        <v>17083125647</v>
      </c>
      <c r="X543" s="50" t="s">
        <v>132</v>
      </c>
      <c r="Y543" s="50"/>
    </row>
    <row r="544" spans="1:29" x14ac:dyDescent="0.25">
      <c r="A544" s="25" t="s">
        <v>115</v>
      </c>
      <c r="B544" t="b">
        <v>0</v>
      </c>
      <c r="C544" s="43" t="s">
        <v>722</v>
      </c>
      <c r="D544" s="43">
        <v>323536</v>
      </c>
      <c r="E544" s="43">
        <v>299102</v>
      </c>
      <c r="F544" s="43" t="s">
        <v>119</v>
      </c>
      <c r="G544" s="43" t="b">
        <v>0</v>
      </c>
      <c r="H544" s="43" t="b">
        <v>0</v>
      </c>
      <c r="I544" s="43"/>
      <c r="M544" s="48" t="s">
        <v>722</v>
      </c>
      <c r="N544" s="48">
        <v>17088571482</v>
      </c>
      <c r="O544" s="48">
        <v>17088565323</v>
      </c>
      <c r="P544" s="48" t="s">
        <v>119</v>
      </c>
      <c r="Q544" s="49" t="s">
        <v>722</v>
      </c>
      <c r="R544" s="49">
        <v>17083129729</v>
      </c>
      <c r="S544" s="49">
        <v>17083125391</v>
      </c>
      <c r="T544" s="49" t="s">
        <v>119</v>
      </c>
      <c r="U544" s="50" t="s">
        <v>722</v>
      </c>
      <c r="V544" s="50">
        <v>17083129729</v>
      </c>
      <c r="W544" s="50">
        <v>17083125391</v>
      </c>
      <c r="X544" s="50" t="s">
        <v>119</v>
      </c>
      <c r="Y544" s="50"/>
    </row>
    <row r="545" spans="1:25" x14ac:dyDescent="0.25">
      <c r="A545" s="25" t="s">
        <v>115</v>
      </c>
      <c r="B545" t="b">
        <v>0</v>
      </c>
      <c r="C545" s="43" t="s">
        <v>723</v>
      </c>
      <c r="D545" s="43">
        <v>319536</v>
      </c>
      <c r="E545" s="43">
        <v>302006</v>
      </c>
      <c r="F545" s="43" t="s">
        <v>117</v>
      </c>
      <c r="G545" s="43" t="b">
        <v>0</v>
      </c>
      <c r="H545" s="43" t="b">
        <v>0</v>
      </c>
      <c r="I545" s="43"/>
      <c r="M545" s="48" t="s">
        <v>723</v>
      </c>
      <c r="N545" s="48">
        <v>17088570998</v>
      </c>
      <c r="O545" s="48">
        <v>17088567743</v>
      </c>
      <c r="P545" s="48" t="s">
        <v>117</v>
      </c>
      <c r="Q545" s="49" t="s">
        <v>723</v>
      </c>
      <c r="R545" s="49">
        <v>17083129257</v>
      </c>
      <c r="S545" s="49">
        <v>17083126532</v>
      </c>
      <c r="T545" s="49" t="s">
        <v>117</v>
      </c>
      <c r="U545" s="50" t="s">
        <v>723</v>
      </c>
      <c r="V545" s="50">
        <v>17083129257</v>
      </c>
      <c r="W545" s="50">
        <v>17083126532</v>
      </c>
      <c r="X545" s="50" t="s">
        <v>117</v>
      </c>
      <c r="Y545" s="50"/>
    </row>
    <row r="546" spans="1:25" x14ac:dyDescent="0.25">
      <c r="A546" s="25" t="s">
        <v>115</v>
      </c>
      <c r="B546" t="b">
        <v>0</v>
      </c>
      <c r="C546" s="43" t="s">
        <v>724</v>
      </c>
      <c r="D546" s="43">
        <v>321584</v>
      </c>
      <c r="E546" s="43">
        <v>302134</v>
      </c>
      <c r="F546" s="43" t="s">
        <v>132</v>
      </c>
      <c r="G546" s="43" t="b">
        <v>0</v>
      </c>
      <c r="H546" s="43" t="b">
        <v>0</v>
      </c>
      <c r="I546" s="43"/>
      <c r="M546" s="48" t="s">
        <v>724</v>
      </c>
      <c r="N546" s="48">
        <v>17088571958</v>
      </c>
      <c r="O546" s="48">
        <v>17088566783</v>
      </c>
      <c r="P546" s="48" t="s">
        <v>132</v>
      </c>
      <c r="Q546" s="49" t="s">
        <v>724</v>
      </c>
      <c r="R546" s="49">
        <v>17083128649</v>
      </c>
      <c r="S546" s="49">
        <v>17083128644</v>
      </c>
      <c r="T546" s="49" t="s">
        <v>132</v>
      </c>
      <c r="U546" s="50" t="s">
        <v>724</v>
      </c>
      <c r="V546" s="50">
        <v>17083128649</v>
      </c>
      <c r="W546" s="50">
        <v>17083128644</v>
      </c>
      <c r="X546" s="50" t="s">
        <v>132</v>
      </c>
      <c r="Y546" s="50"/>
    </row>
    <row r="547" spans="1:25" x14ac:dyDescent="0.25">
      <c r="A547" s="25" t="s">
        <v>115</v>
      </c>
      <c r="B547" t="b">
        <v>0</v>
      </c>
      <c r="C547" s="43" t="s">
        <v>725</v>
      </c>
      <c r="D547" s="43">
        <v>320560</v>
      </c>
      <c r="E547" s="43">
        <v>301006</v>
      </c>
      <c r="F547" s="43" t="s">
        <v>125</v>
      </c>
      <c r="G547" s="43" t="b">
        <v>0</v>
      </c>
      <c r="H547" s="43" t="b">
        <v>0</v>
      </c>
      <c r="I547" s="43"/>
      <c r="M547" s="48" t="s">
        <v>725</v>
      </c>
      <c r="N547" s="48">
        <v>17088572022</v>
      </c>
      <c r="O547" s="48">
        <v>17088569311</v>
      </c>
      <c r="P547" s="48" t="s">
        <v>125</v>
      </c>
      <c r="Q547" s="49" t="s">
        <v>725</v>
      </c>
      <c r="R547" s="49">
        <v>17083127209</v>
      </c>
      <c r="S547" s="49">
        <v>17083127032</v>
      </c>
      <c r="T547" s="49" t="s">
        <v>125</v>
      </c>
      <c r="U547" s="50" t="s">
        <v>725</v>
      </c>
      <c r="V547" s="50">
        <v>17083127209</v>
      </c>
      <c r="W547" s="50">
        <v>17083127032</v>
      </c>
      <c r="X547" s="50" t="s">
        <v>125</v>
      </c>
      <c r="Y547" s="50"/>
    </row>
    <row r="548" spans="1:25" x14ac:dyDescent="0.25">
      <c r="A548" s="25" t="s">
        <v>115</v>
      </c>
      <c r="B548" t="b">
        <v>0</v>
      </c>
      <c r="C548" s="43" t="s">
        <v>726</v>
      </c>
      <c r="D548" s="43">
        <v>322608</v>
      </c>
      <c r="E548" s="43">
        <v>301014</v>
      </c>
      <c r="F548" s="43" t="s">
        <v>119</v>
      </c>
      <c r="G548" s="43" t="b">
        <v>0</v>
      </c>
      <c r="H548" s="43" t="b">
        <v>0</v>
      </c>
      <c r="I548" s="43"/>
      <c r="M548" s="48" t="s">
        <v>726</v>
      </c>
      <c r="N548" s="48">
        <v>17088571062</v>
      </c>
      <c r="O548" s="48">
        <v>17088568319</v>
      </c>
      <c r="P548" s="48" t="s">
        <v>119</v>
      </c>
      <c r="Q548" s="49" t="s">
        <v>726</v>
      </c>
      <c r="R548" s="49">
        <v>17083126825</v>
      </c>
      <c r="S548" s="49">
        <v>17083125956</v>
      </c>
      <c r="T548" s="49" t="s">
        <v>119</v>
      </c>
      <c r="U548" s="50" t="s">
        <v>726</v>
      </c>
      <c r="V548" s="50">
        <v>17083126825</v>
      </c>
      <c r="W548" s="50">
        <v>17083125956</v>
      </c>
      <c r="X548" s="50" t="s">
        <v>119</v>
      </c>
      <c r="Y548" s="50"/>
    </row>
    <row r="549" spans="1:25" x14ac:dyDescent="0.25">
      <c r="A549" s="25" t="s">
        <v>115</v>
      </c>
      <c r="B549" t="b">
        <v>0</v>
      </c>
      <c r="C549" s="43" t="s">
        <v>727</v>
      </c>
      <c r="D549" s="43">
        <v>320048</v>
      </c>
      <c r="E549" s="43">
        <v>300974</v>
      </c>
      <c r="F549" s="43" t="s">
        <v>132</v>
      </c>
      <c r="G549" s="43" t="b">
        <v>0</v>
      </c>
      <c r="H549" s="43" t="b">
        <v>0</v>
      </c>
      <c r="I549" s="43"/>
      <c r="M549" s="48" t="s">
        <v>727</v>
      </c>
      <c r="N549" s="48">
        <v>17088570010</v>
      </c>
      <c r="O549" s="48">
        <v>17088568651</v>
      </c>
      <c r="P549" s="48" t="s">
        <v>132</v>
      </c>
      <c r="Q549" s="49" t="s">
        <v>727</v>
      </c>
      <c r="R549" s="49">
        <v>17083127425</v>
      </c>
      <c r="S549" s="49">
        <v>17083122767</v>
      </c>
      <c r="T549" s="49" t="s">
        <v>132</v>
      </c>
      <c r="U549" s="50" t="s">
        <v>727</v>
      </c>
      <c r="V549" s="50">
        <v>17083127425</v>
      </c>
      <c r="W549" s="50">
        <v>17083122767</v>
      </c>
      <c r="X549" s="50" t="s">
        <v>132</v>
      </c>
      <c r="Y549" s="50"/>
    </row>
    <row r="550" spans="1:25" x14ac:dyDescent="0.25">
      <c r="A550" s="25" t="s">
        <v>115</v>
      </c>
      <c r="B550" t="b">
        <v>0</v>
      </c>
      <c r="C550" s="43" t="s">
        <v>728</v>
      </c>
      <c r="D550" s="43">
        <v>322096</v>
      </c>
      <c r="E550" s="43">
        <v>300598</v>
      </c>
      <c r="F550" s="43" t="s">
        <v>119</v>
      </c>
      <c r="G550" s="43" t="b">
        <v>0</v>
      </c>
      <c r="H550" s="43" t="b">
        <v>0</v>
      </c>
      <c r="I550" s="43"/>
      <c r="M550" s="48" t="s">
        <v>728</v>
      </c>
      <c r="N550" s="48">
        <v>17088571350</v>
      </c>
      <c r="O550" s="48">
        <v>17088568063</v>
      </c>
      <c r="P550" s="48" t="s">
        <v>119</v>
      </c>
      <c r="Q550" s="49" t="s">
        <v>728</v>
      </c>
      <c r="R550" s="49">
        <v>17083125833</v>
      </c>
      <c r="S550" s="49">
        <v>17083126084</v>
      </c>
      <c r="T550" s="49" t="s">
        <v>119</v>
      </c>
      <c r="U550" s="50" t="s">
        <v>728</v>
      </c>
      <c r="V550" s="50">
        <v>17083125833</v>
      </c>
      <c r="W550" s="50">
        <v>17083126084</v>
      </c>
      <c r="X550" s="50" t="s">
        <v>119</v>
      </c>
      <c r="Y550" s="50"/>
    </row>
    <row r="551" spans="1:25" x14ac:dyDescent="0.25">
      <c r="A551" s="25" t="b">
        <v>1</v>
      </c>
      <c r="B551" t="b">
        <v>0</v>
      </c>
      <c r="C551" s="43" t="s">
        <v>729</v>
      </c>
      <c r="D551" s="43">
        <v>321072</v>
      </c>
      <c r="E551" s="43">
        <v>301454</v>
      </c>
      <c r="F551" s="43" t="s">
        <v>173</v>
      </c>
      <c r="G551" s="43" t="b">
        <v>0</v>
      </c>
      <c r="H551" s="43" t="b">
        <v>0</v>
      </c>
      <c r="I551" s="43"/>
      <c r="J551" s="45" t="s">
        <v>729</v>
      </c>
      <c r="K551" s="46">
        <v>301454</v>
      </c>
      <c r="L551" s="47">
        <v>990000413</v>
      </c>
      <c r="M551" s="48" t="s">
        <v>729</v>
      </c>
      <c r="N551" s="48">
        <v>17088572854</v>
      </c>
      <c r="O551" s="48">
        <v>17088567615</v>
      </c>
      <c r="P551" s="48" t="s">
        <v>173</v>
      </c>
      <c r="Q551" s="49" t="s">
        <v>729</v>
      </c>
      <c r="R551" s="49">
        <v>17083129129</v>
      </c>
      <c r="S551" s="49">
        <v>17083126776</v>
      </c>
      <c r="T551" s="49" t="s">
        <v>173</v>
      </c>
      <c r="U551" s="50" t="s">
        <v>729</v>
      </c>
      <c r="V551" s="50">
        <v>17083129129</v>
      </c>
      <c r="W551" s="50">
        <v>17083126776</v>
      </c>
      <c r="X551" s="50" t="s">
        <v>173</v>
      </c>
      <c r="Y551" s="50"/>
    </row>
    <row r="552" spans="1:25" x14ac:dyDescent="0.25">
      <c r="A552" s="25" t="s">
        <v>115</v>
      </c>
      <c r="B552" t="b">
        <v>0</v>
      </c>
      <c r="C552" s="43" t="s">
        <v>730</v>
      </c>
      <c r="D552" s="43">
        <v>323120</v>
      </c>
      <c r="E552" s="43">
        <v>301777</v>
      </c>
      <c r="F552" s="43" t="s">
        <v>117</v>
      </c>
      <c r="G552" s="43" t="b">
        <v>0</v>
      </c>
      <c r="H552" s="43" t="b">
        <v>0</v>
      </c>
      <c r="I552" s="43"/>
      <c r="M552" s="48" t="s">
        <v>730</v>
      </c>
      <c r="N552" s="48">
        <v>17088573218</v>
      </c>
      <c r="O552" s="48">
        <v>17088565481</v>
      </c>
      <c r="P552" s="48" t="s">
        <v>117</v>
      </c>
      <c r="Q552" s="49" t="s">
        <v>730</v>
      </c>
      <c r="R552" s="49">
        <v>17083126350</v>
      </c>
      <c r="S552" s="49">
        <v>17083125181</v>
      </c>
      <c r="T552" s="49" t="s">
        <v>117</v>
      </c>
      <c r="U552" s="50" t="s">
        <v>730</v>
      </c>
      <c r="V552" s="50">
        <v>17083126350</v>
      </c>
      <c r="W552" s="50">
        <v>17083125181</v>
      </c>
      <c r="X552" s="50" t="s">
        <v>117</v>
      </c>
      <c r="Y552" s="50"/>
    </row>
    <row r="553" spans="1:25" x14ac:dyDescent="0.25">
      <c r="A553" s="25" t="s">
        <v>115</v>
      </c>
      <c r="B553" t="b">
        <v>0</v>
      </c>
      <c r="C553" s="43" t="s">
        <v>731</v>
      </c>
      <c r="D553" s="43">
        <v>319792</v>
      </c>
      <c r="E553" s="43">
        <v>302321</v>
      </c>
      <c r="F553" s="43" t="s">
        <v>132</v>
      </c>
      <c r="G553" s="43" t="b">
        <v>0</v>
      </c>
      <c r="H553" s="43" t="b">
        <v>0</v>
      </c>
      <c r="I553" s="43"/>
      <c r="M553" s="48" t="s">
        <v>731</v>
      </c>
      <c r="N553" s="48">
        <v>17088572066</v>
      </c>
      <c r="O553" s="48">
        <v>17088568425</v>
      </c>
      <c r="P553" s="48" t="s">
        <v>132</v>
      </c>
      <c r="Q553" s="49" t="s">
        <v>731</v>
      </c>
      <c r="R553" s="49">
        <v>17083127118</v>
      </c>
      <c r="S553" s="49">
        <v>17083123517</v>
      </c>
      <c r="T553" s="49" t="s">
        <v>132</v>
      </c>
      <c r="U553" s="50" t="s">
        <v>731</v>
      </c>
      <c r="V553" s="50">
        <v>17083127118</v>
      </c>
      <c r="W553" s="50">
        <v>17083123517</v>
      </c>
      <c r="X553" s="50" t="s">
        <v>132</v>
      </c>
      <c r="Y553" s="50"/>
    </row>
    <row r="554" spans="1:25" x14ac:dyDescent="0.25">
      <c r="A554" s="25" t="s">
        <v>115</v>
      </c>
      <c r="B554" t="b">
        <v>0</v>
      </c>
      <c r="C554" s="43" t="s">
        <v>732</v>
      </c>
      <c r="D554" s="43">
        <v>321840</v>
      </c>
      <c r="E554" s="43">
        <v>301089</v>
      </c>
      <c r="F554" s="43" t="s">
        <v>383</v>
      </c>
      <c r="G554" s="43" t="b">
        <v>0</v>
      </c>
      <c r="H554" s="43" t="b">
        <v>0</v>
      </c>
      <c r="I554" s="43"/>
      <c r="M554" s="48" t="s">
        <v>732</v>
      </c>
      <c r="N554" s="48">
        <v>17088571506</v>
      </c>
      <c r="O554" s="48">
        <v>17088567533</v>
      </c>
      <c r="P554" s="48" t="s">
        <v>383</v>
      </c>
      <c r="Q554" s="49" t="s">
        <v>732</v>
      </c>
      <c r="R554" s="49">
        <v>17083127582</v>
      </c>
      <c r="S554" s="49">
        <v>17083125339</v>
      </c>
      <c r="T554" s="49" t="s">
        <v>383</v>
      </c>
      <c r="U554" s="50" t="s">
        <v>732</v>
      </c>
      <c r="V554" s="50">
        <v>17083127582</v>
      </c>
      <c r="W554" s="50">
        <v>17083125339</v>
      </c>
      <c r="X554" s="50" t="s">
        <v>383</v>
      </c>
      <c r="Y554" s="50"/>
    </row>
    <row r="555" spans="1:25" x14ac:dyDescent="0.25">
      <c r="A555" s="25" t="s">
        <v>115</v>
      </c>
      <c r="B555" t="b">
        <v>0</v>
      </c>
      <c r="C555" s="43" t="s">
        <v>733</v>
      </c>
      <c r="D555" s="43">
        <v>320816</v>
      </c>
      <c r="E555" s="43">
        <v>299585</v>
      </c>
      <c r="F555" s="43" t="s">
        <v>186</v>
      </c>
      <c r="G555" s="43" t="b">
        <v>0</v>
      </c>
      <c r="H555" s="43" t="b">
        <v>0</v>
      </c>
      <c r="I555" s="43"/>
      <c r="M555" s="48" t="s">
        <v>733</v>
      </c>
      <c r="N555" s="48">
        <v>17088569458</v>
      </c>
      <c r="O555" s="48">
        <v>17088569325</v>
      </c>
      <c r="P555" s="48" t="s">
        <v>186</v>
      </c>
      <c r="Q555" s="49" t="s">
        <v>733</v>
      </c>
      <c r="R555" s="49">
        <v>17083128606</v>
      </c>
      <c r="S555" s="49">
        <v>17083124443</v>
      </c>
      <c r="T555" s="49" t="s">
        <v>186</v>
      </c>
      <c r="U555" s="50" t="s">
        <v>733</v>
      </c>
      <c r="V555" s="50">
        <v>17083128606</v>
      </c>
      <c r="W555" s="50">
        <v>17083124443</v>
      </c>
      <c r="X555" s="50" t="s">
        <v>186</v>
      </c>
      <c r="Y555" s="50"/>
    </row>
    <row r="556" spans="1:25" x14ac:dyDescent="0.25">
      <c r="A556" s="25" t="s">
        <v>115</v>
      </c>
      <c r="B556" t="b">
        <v>0</v>
      </c>
      <c r="C556" s="43" t="s">
        <v>734</v>
      </c>
      <c r="D556" s="43">
        <v>322864</v>
      </c>
      <c r="E556" s="43">
        <v>299566</v>
      </c>
      <c r="F556" s="43" t="s">
        <v>123</v>
      </c>
      <c r="G556" s="43" t="b">
        <v>0</v>
      </c>
      <c r="H556" s="43" t="b">
        <v>0</v>
      </c>
      <c r="I556" s="43"/>
      <c r="M556" s="48" t="s">
        <v>734</v>
      </c>
      <c r="N556" s="48">
        <v>17088572086</v>
      </c>
      <c r="O556" s="48">
        <v>17088568031</v>
      </c>
      <c r="P556" s="48" t="s">
        <v>123</v>
      </c>
      <c r="Q556" s="49" t="s">
        <v>734</v>
      </c>
      <c r="R556" s="49">
        <v>17083127849</v>
      </c>
      <c r="S556" s="49">
        <v>17083126136</v>
      </c>
      <c r="T556" s="49" t="s">
        <v>123</v>
      </c>
      <c r="U556" s="50" t="s">
        <v>734</v>
      </c>
      <c r="V556" s="50">
        <v>17083127849</v>
      </c>
      <c r="W556" s="50">
        <v>17083126136</v>
      </c>
      <c r="X556" s="50" t="s">
        <v>123</v>
      </c>
      <c r="Y556" s="50"/>
    </row>
    <row r="557" spans="1:25" x14ac:dyDescent="0.25">
      <c r="A557" s="25" t="s">
        <v>115</v>
      </c>
      <c r="B557" t="b">
        <v>0</v>
      </c>
      <c r="C557" s="43" t="s">
        <v>735</v>
      </c>
      <c r="D557" s="43">
        <v>320304</v>
      </c>
      <c r="E557" s="43">
        <v>299425</v>
      </c>
      <c r="F557" s="43" t="s">
        <v>132</v>
      </c>
      <c r="G557" s="43" t="b">
        <v>0</v>
      </c>
      <c r="H557" s="43" t="b">
        <v>0</v>
      </c>
      <c r="I557" s="43"/>
      <c r="M557" s="48" t="s">
        <v>735</v>
      </c>
      <c r="N557" s="48">
        <v>17088572866</v>
      </c>
      <c r="O557" s="48">
        <v>17088568297</v>
      </c>
      <c r="P557" s="48" t="s">
        <v>132</v>
      </c>
      <c r="Q557" s="49" t="s">
        <v>735</v>
      </c>
      <c r="R557" s="49">
        <v>17083126158</v>
      </c>
      <c r="S557" s="49">
        <v>17083122045</v>
      </c>
      <c r="T557" s="49" t="s">
        <v>132</v>
      </c>
      <c r="U557" s="50" t="s">
        <v>735</v>
      </c>
      <c r="V557" s="50">
        <v>17083126158</v>
      </c>
      <c r="W557" s="50">
        <v>17083122045</v>
      </c>
      <c r="X557" s="50" t="s">
        <v>132</v>
      </c>
      <c r="Y557" s="50"/>
    </row>
    <row r="558" spans="1:25" x14ac:dyDescent="0.25">
      <c r="A558" s="25" t="s">
        <v>115</v>
      </c>
      <c r="B558" t="b">
        <v>0</v>
      </c>
      <c r="C558" s="43" t="s">
        <v>736</v>
      </c>
      <c r="D558" s="43">
        <v>322352</v>
      </c>
      <c r="E558" s="43">
        <v>301569</v>
      </c>
      <c r="F558" s="43" t="s">
        <v>119</v>
      </c>
      <c r="G558" s="43" t="b">
        <v>0</v>
      </c>
      <c r="H558" s="43" t="b">
        <v>0</v>
      </c>
      <c r="I558" s="43"/>
      <c r="M558" s="48" t="s">
        <v>736</v>
      </c>
      <c r="N558" s="48">
        <v>17088570738</v>
      </c>
      <c r="O558" s="48">
        <v>17088565533</v>
      </c>
      <c r="P558" s="48" t="s">
        <v>119</v>
      </c>
      <c r="Q558" s="49" t="s">
        <v>736</v>
      </c>
      <c r="R558" s="49">
        <v>17083127454</v>
      </c>
      <c r="S558" s="49">
        <v>17083123675</v>
      </c>
      <c r="T558" s="49" t="s">
        <v>119</v>
      </c>
      <c r="U558" s="50" t="s">
        <v>736</v>
      </c>
      <c r="V558" s="50">
        <v>17083127454</v>
      </c>
      <c r="W558" s="50">
        <v>17083123675</v>
      </c>
      <c r="X558" s="50" t="s">
        <v>119</v>
      </c>
      <c r="Y558" s="50"/>
    </row>
    <row r="559" spans="1:25" x14ac:dyDescent="0.25">
      <c r="A559" s="25" t="s">
        <v>115</v>
      </c>
      <c r="B559" t="b">
        <v>0</v>
      </c>
      <c r="C559" s="43" t="s">
        <v>737</v>
      </c>
      <c r="D559" s="43">
        <v>323376</v>
      </c>
      <c r="E559" s="43">
        <v>301729</v>
      </c>
      <c r="F559" s="43" t="s">
        <v>125</v>
      </c>
      <c r="G559" s="43" t="b">
        <v>0</v>
      </c>
      <c r="H559" s="43" t="b">
        <v>0</v>
      </c>
      <c r="I559" s="43"/>
      <c r="M559" s="48" t="s">
        <v>737</v>
      </c>
      <c r="N559" s="48">
        <v>17088573298</v>
      </c>
      <c r="O559" s="48">
        <v>17088568685</v>
      </c>
      <c r="P559" s="48" t="s">
        <v>125</v>
      </c>
      <c r="Q559" s="49" t="s">
        <v>737</v>
      </c>
      <c r="R559" s="49">
        <v>17083126686</v>
      </c>
      <c r="S559" s="49">
        <v>17083123803</v>
      </c>
      <c r="T559" s="49" t="s">
        <v>125</v>
      </c>
      <c r="U559" s="50" t="s">
        <v>737</v>
      </c>
      <c r="V559" s="50">
        <v>17083126686</v>
      </c>
      <c r="W559" s="50">
        <v>17083123803</v>
      </c>
      <c r="X559" s="50" t="s">
        <v>125</v>
      </c>
      <c r="Y559" s="50"/>
    </row>
    <row r="560" spans="1:25" x14ac:dyDescent="0.25">
      <c r="A560" s="25" t="s">
        <v>115</v>
      </c>
      <c r="B560" t="b">
        <v>0</v>
      </c>
      <c r="C560" s="43" t="s">
        <v>738</v>
      </c>
      <c r="D560" s="43">
        <v>319664</v>
      </c>
      <c r="E560" s="43">
        <v>300766</v>
      </c>
      <c r="F560" s="43" t="s">
        <v>123</v>
      </c>
      <c r="G560" s="43" t="b">
        <v>0</v>
      </c>
      <c r="H560" s="43" t="b">
        <v>0</v>
      </c>
      <c r="I560" s="43"/>
      <c r="M560" s="48" t="s">
        <v>738</v>
      </c>
      <c r="N560" s="48">
        <v>17088572762</v>
      </c>
      <c r="O560" s="48">
        <v>17088566555</v>
      </c>
      <c r="P560" s="48" t="s">
        <v>123</v>
      </c>
      <c r="Q560" s="49" t="s">
        <v>738</v>
      </c>
      <c r="R560" s="49">
        <v>17083126081</v>
      </c>
      <c r="S560" s="49">
        <v>17083121695</v>
      </c>
      <c r="T560" s="49" t="s">
        <v>123</v>
      </c>
      <c r="U560" s="50" t="s">
        <v>738</v>
      </c>
      <c r="V560" s="50">
        <v>17083126081</v>
      </c>
      <c r="W560" s="50">
        <v>17083121695</v>
      </c>
      <c r="X560" s="50" t="s">
        <v>123</v>
      </c>
      <c r="Y560" s="50"/>
    </row>
    <row r="561" spans="1:25" x14ac:dyDescent="0.25">
      <c r="A561" s="25" t="s">
        <v>115</v>
      </c>
      <c r="B561" t="b">
        <v>0</v>
      </c>
      <c r="C561" s="43" t="s">
        <v>739</v>
      </c>
      <c r="D561" s="43">
        <v>321712</v>
      </c>
      <c r="E561" s="43">
        <v>302990</v>
      </c>
      <c r="F561" s="43" t="s">
        <v>123</v>
      </c>
      <c r="G561" s="43" t="b">
        <v>0</v>
      </c>
      <c r="H561" s="43" t="b">
        <v>0</v>
      </c>
      <c r="I561" s="43" t="s">
        <v>134</v>
      </c>
      <c r="M561" s="48" t="s">
        <v>739</v>
      </c>
      <c r="N561" s="48">
        <v>17088569526</v>
      </c>
      <c r="O561" s="48">
        <v>17088566335</v>
      </c>
      <c r="P561" s="48" t="s">
        <v>123</v>
      </c>
      <c r="Q561" s="49" t="s">
        <v>739</v>
      </c>
      <c r="R561" s="49">
        <v>17083128265</v>
      </c>
      <c r="S561" s="49">
        <v>17083128568</v>
      </c>
      <c r="T561" s="49" t="s">
        <v>123</v>
      </c>
      <c r="U561" s="50" t="s">
        <v>739</v>
      </c>
      <c r="V561" s="50">
        <v>17083128265</v>
      </c>
      <c r="W561" s="50">
        <v>17083128568</v>
      </c>
      <c r="X561" s="50" t="s">
        <v>123</v>
      </c>
      <c r="Y561" s="50"/>
    </row>
    <row r="562" spans="1:25" x14ac:dyDescent="0.25">
      <c r="A562" s="25" t="s">
        <v>115</v>
      </c>
      <c r="B562" t="b">
        <v>0</v>
      </c>
      <c r="C562" s="43" t="s">
        <v>740</v>
      </c>
      <c r="D562" s="43">
        <v>320688</v>
      </c>
      <c r="E562" s="43">
        <v>302774</v>
      </c>
      <c r="F562" s="43" t="s">
        <v>125</v>
      </c>
      <c r="G562" s="43" t="b">
        <v>0</v>
      </c>
      <c r="H562" s="43" t="b">
        <v>0</v>
      </c>
      <c r="I562" s="43" t="s">
        <v>126</v>
      </c>
      <c r="M562" s="48" t="s">
        <v>740</v>
      </c>
      <c r="N562" s="48">
        <v>17088569910</v>
      </c>
      <c r="O562" s="48">
        <v>17088568447</v>
      </c>
      <c r="P562" s="48" t="s">
        <v>125</v>
      </c>
      <c r="Q562" s="49" t="s">
        <v>740</v>
      </c>
      <c r="R562" s="49">
        <v>17083126601</v>
      </c>
      <c r="S562" s="49">
        <v>17083127428</v>
      </c>
      <c r="T562" s="49" t="s">
        <v>125</v>
      </c>
      <c r="U562" s="50" t="s">
        <v>740</v>
      </c>
      <c r="V562" s="50">
        <v>17083126601</v>
      </c>
      <c r="W562" s="50">
        <v>17083127428</v>
      </c>
      <c r="X562" s="50" t="s">
        <v>125</v>
      </c>
      <c r="Y562" s="50"/>
    </row>
    <row r="563" spans="1:25" x14ac:dyDescent="0.25">
      <c r="A563" s="25" t="s">
        <v>115</v>
      </c>
      <c r="B563" t="b">
        <v>0</v>
      </c>
      <c r="C563" s="43" t="s">
        <v>741</v>
      </c>
      <c r="D563" s="43">
        <v>322736</v>
      </c>
      <c r="E563" s="43">
        <v>300481</v>
      </c>
      <c r="F563" s="43" t="s">
        <v>383</v>
      </c>
      <c r="G563" s="43" t="b">
        <v>0</v>
      </c>
      <c r="H563" s="43" t="b">
        <v>0</v>
      </c>
      <c r="I563" s="43"/>
      <c r="M563" s="48" t="s">
        <v>741</v>
      </c>
      <c r="N563" s="48">
        <v>17088571762</v>
      </c>
      <c r="O563" s="48">
        <v>17088565741</v>
      </c>
      <c r="P563" s="48" t="s">
        <v>383</v>
      </c>
      <c r="Q563" s="49" t="s">
        <v>741</v>
      </c>
      <c r="R563" s="49">
        <v>17083128478</v>
      </c>
      <c r="S563" s="49">
        <v>17083123547</v>
      </c>
      <c r="T563" s="49" t="s">
        <v>383</v>
      </c>
      <c r="U563" s="50" t="s">
        <v>741</v>
      </c>
      <c r="V563" s="50">
        <v>17083128478</v>
      </c>
      <c r="W563" s="50">
        <v>17083123547</v>
      </c>
      <c r="X563" s="50" t="s">
        <v>383</v>
      </c>
      <c r="Y563" s="50"/>
    </row>
    <row r="564" spans="1:25" x14ac:dyDescent="0.25">
      <c r="A564" s="25" t="s">
        <v>115</v>
      </c>
      <c r="B564" t="b">
        <v>0</v>
      </c>
      <c r="C564" s="43" t="s">
        <v>742</v>
      </c>
      <c r="D564" s="43">
        <v>320176</v>
      </c>
      <c r="E564" s="43">
        <v>301102</v>
      </c>
      <c r="F564" s="43" t="s">
        <v>123</v>
      </c>
      <c r="G564" s="43" t="b">
        <v>0</v>
      </c>
      <c r="H564" s="43" t="b">
        <v>0</v>
      </c>
      <c r="I564" s="43"/>
      <c r="M564" s="48" t="s">
        <v>742</v>
      </c>
      <c r="N564" s="48">
        <v>17088570806</v>
      </c>
      <c r="O564" s="48">
        <v>17088566239</v>
      </c>
      <c r="P564" s="48" t="s">
        <v>123</v>
      </c>
      <c r="Q564" s="49" t="s">
        <v>742</v>
      </c>
      <c r="R564" s="49">
        <v>17083127081</v>
      </c>
      <c r="S564" s="49">
        <v>17083129720</v>
      </c>
      <c r="T564" s="49" t="s">
        <v>123</v>
      </c>
      <c r="U564" s="50" t="s">
        <v>742</v>
      </c>
      <c r="V564" s="50">
        <v>17083127081</v>
      </c>
      <c r="W564" s="50">
        <v>17083129720</v>
      </c>
      <c r="X564" s="50" t="s">
        <v>123</v>
      </c>
      <c r="Y564" s="50"/>
    </row>
    <row r="565" spans="1:25" x14ac:dyDescent="0.25">
      <c r="A565" s="25" t="s">
        <v>115</v>
      </c>
      <c r="B565" t="b">
        <v>0</v>
      </c>
      <c r="C565" s="43" t="s">
        <v>743</v>
      </c>
      <c r="D565" s="43">
        <v>322224</v>
      </c>
      <c r="E565" s="43">
        <v>301814</v>
      </c>
      <c r="F565" s="43" t="s">
        <v>125</v>
      </c>
      <c r="G565" s="43" t="b">
        <v>0</v>
      </c>
      <c r="H565" s="43" t="b">
        <v>0</v>
      </c>
      <c r="I565" s="43" t="s">
        <v>126</v>
      </c>
      <c r="M565" s="48" t="s">
        <v>743</v>
      </c>
      <c r="N565" s="48">
        <v>17088573238</v>
      </c>
      <c r="O565" s="48">
        <v>17088566079</v>
      </c>
      <c r="P565" s="48" t="s">
        <v>125</v>
      </c>
      <c r="Q565" s="49" t="s">
        <v>743</v>
      </c>
      <c r="R565" s="49">
        <v>17083126217</v>
      </c>
      <c r="S565" s="49">
        <v>17083129848</v>
      </c>
      <c r="T565" s="49" t="s">
        <v>125</v>
      </c>
      <c r="U565" s="50" t="s">
        <v>743</v>
      </c>
      <c r="V565" s="50">
        <v>17083126217</v>
      </c>
      <c r="W565" s="50">
        <v>17083129848</v>
      </c>
      <c r="X565" s="50" t="s">
        <v>125</v>
      </c>
      <c r="Y565" s="50"/>
    </row>
    <row r="566" spans="1:25" x14ac:dyDescent="0.25">
      <c r="A566" s="25" t="s">
        <v>115</v>
      </c>
      <c r="B566" t="b">
        <v>0</v>
      </c>
      <c r="C566" s="43" t="s">
        <v>744</v>
      </c>
      <c r="D566" s="43">
        <v>321200</v>
      </c>
      <c r="E566" s="43">
        <v>300785</v>
      </c>
      <c r="F566" s="43" t="s">
        <v>132</v>
      </c>
      <c r="G566" s="43" t="b">
        <v>0</v>
      </c>
      <c r="H566" s="43" t="b">
        <v>0</v>
      </c>
      <c r="I566" s="43"/>
      <c r="M566" s="48" t="s">
        <v>744</v>
      </c>
      <c r="N566" s="48">
        <v>17088570818</v>
      </c>
      <c r="O566" s="48">
        <v>17088565353</v>
      </c>
      <c r="P566" s="48" t="s">
        <v>132</v>
      </c>
      <c r="Q566" s="49" t="s">
        <v>744</v>
      </c>
      <c r="R566" s="49">
        <v>17083129486</v>
      </c>
      <c r="S566" s="49">
        <v>17083125053</v>
      </c>
      <c r="T566" s="49" t="s">
        <v>132</v>
      </c>
      <c r="U566" s="50" t="s">
        <v>744</v>
      </c>
      <c r="V566" s="50">
        <v>17083129486</v>
      </c>
      <c r="W566" s="50">
        <v>17083125053</v>
      </c>
      <c r="X566" s="50" t="s">
        <v>132</v>
      </c>
      <c r="Y566" s="50"/>
    </row>
    <row r="567" spans="1:25" x14ac:dyDescent="0.25">
      <c r="A567" s="25" t="s">
        <v>115</v>
      </c>
      <c r="B567" t="b">
        <v>0</v>
      </c>
      <c r="C567" s="43" t="s">
        <v>745</v>
      </c>
      <c r="D567" s="43">
        <v>323248</v>
      </c>
      <c r="E567" s="43">
        <v>301745</v>
      </c>
      <c r="F567" s="43" t="s">
        <v>117</v>
      </c>
      <c r="G567" s="43" t="b">
        <v>0</v>
      </c>
      <c r="H567" s="43" t="b">
        <v>0</v>
      </c>
      <c r="I567" s="43"/>
      <c r="M567" s="48" t="s">
        <v>745</v>
      </c>
      <c r="N567" s="48">
        <v>17088570018</v>
      </c>
      <c r="O567" s="48">
        <v>17088566889</v>
      </c>
      <c r="P567" s="48" t="s">
        <v>117</v>
      </c>
      <c r="Q567" s="49" t="s">
        <v>745</v>
      </c>
      <c r="R567" s="49">
        <v>17083128142</v>
      </c>
      <c r="S567" s="49">
        <v>17083123901</v>
      </c>
      <c r="T567" s="49" t="s">
        <v>117</v>
      </c>
      <c r="U567" s="50" t="s">
        <v>745</v>
      </c>
      <c r="V567" s="50">
        <v>17083128142</v>
      </c>
      <c r="W567" s="50">
        <v>17083123901</v>
      </c>
      <c r="X567" s="50" t="s">
        <v>117</v>
      </c>
      <c r="Y567" s="50"/>
    </row>
    <row r="568" spans="1:25" x14ac:dyDescent="0.25">
      <c r="A568" s="25" t="s">
        <v>115</v>
      </c>
      <c r="B568" t="b">
        <v>0</v>
      </c>
      <c r="C568" s="43" t="s">
        <v>746</v>
      </c>
      <c r="D568" s="43">
        <v>319920</v>
      </c>
      <c r="E568" s="43">
        <v>301886</v>
      </c>
      <c r="F568" s="43" t="s">
        <v>117</v>
      </c>
      <c r="G568" s="43" t="b">
        <v>0</v>
      </c>
      <c r="H568" s="43" t="b">
        <v>0</v>
      </c>
      <c r="I568" s="43"/>
      <c r="M568" s="48" t="s">
        <v>746</v>
      </c>
      <c r="N568" s="48">
        <v>17088571250</v>
      </c>
      <c r="O568" s="48">
        <v>17088566157</v>
      </c>
      <c r="P568" s="48" t="s">
        <v>117</v>
      </c>
      <c r="Q568" s="49" t="s">
        <v>746</v>
      </c>
      <c r="R568" s="49">
        <v>17083129246</v>
      </c>
      <c r="S568" s="49">
        <v>17083122859</v>
      </c>
      <c r="T568" s="49" t="s">
        <v>117</v>
      </c>
      <c r="U568" s="50" t="s">
        <v>746</v>
      </c>
      <c r="V568" s="50">
        <v>17083129246</v>
      </c>
      <c r="W568" s="50">
        <v>17083122859</v>
      </c>
      <c r="X568" s="50" t="s">
        <v>117</v>
      </c>
      <c r="Y568" s="50"/>
    </row>
    <row r="569" spans="1:25" x14ac:dyDescent="0.25">
      <c r="A569" s="25" t="s">
        <v>115</v>
      </c>
      <c r="B569" t="b">
        <v>0</v>
      </c>
      <c r="C569" s="43" t="s">
        <v>747</v>
      </c>
      <c r="D569" s="43">
        <v>321968</v>
      </c>
      <c r="E569" s="43">
        <v>299678</v>
      </c>
      <c r="F569" s="43" t="s">
        <v>132</v>
      </c>
      <c r="G569" s="43" t="b">
        <v>0</v>
      </c>
      <c r="H569" s="43" t="b">
        <v>0</v>
      </c>
      <c r="I569" s="43"/>
      <c r="M569" s="48" t="s">
        <v>747</v>
      </c>
      <c r="N569" s="48">
        <v>17088571802</v>
      </c>
      <c r="O569" s="48">
        <v>17088567883</v>
      </c>
      <c r="P569" s="48" t="s">
        <v>132</v>
      </c>
      <c r="Q569" s="49" t="s">
        <v>747</v>
      </c>
      <c r="R569" s="49">
        <v>17083127169</v>
      </c>
      <c r="S569" s="49">
        <v>17083122575</v>
      </c>
      <c r="T569" s="49" t="s">
        <v>132</v>
      </c>
      <c r="U569" s="50" t="s">
        <v>747</v>
      </c>
      <c r="V569" s="50">
        <v>17083127169</v>
      </c>
      <c r="W569" s="50">
        <v>17083122575</v>
      </c>
      <c r="X569" s="50" t="s">
        <v>132</v>
      </c>
      <c r="Y569" s="50"/>
    </row>
    <row r="570" spans="1:25" x14ac:dyDescent="0.25">
      <c r="A570" s="25" t="s">
        <v>115</v>
      </c>
      <c r="B570" t="b">
        <v>0</v>
      </c>
      <c r="C570" s="43" t="s">
        <v>748</v>
      </c>
      <c r="D570" s="43">
        <v>320944</v>
      </c>
      <c r="E570" s="43">
        <v>299230</v>
      </c>
      <c r="F570" s="43" t="s">
        <v>125</v>
      </c>
      <c r="G570" s="43" t="b">
        <v>1</v>
      </c>
      <c r="H570" s="43" t="b">
        <v>0</v>
      </c>
      <c r="I570" s="43"/>
      <c r="M570" s="48" t="s">
        <v>748</v>
      </c>
      <c r="N570" s="48">
        <v>17088572698</v>
      </c>
      <c r="O570" s="48">
        <v>17088568203</v>
      </c>
      <c r="P570" s="48" t="s">
        <v>125</v>
      </c>
      <c r="Q570" s="49" t="s">
        <v>748</v>
      </c>
      <c r="R570" s="49">
        <v>17083126529</v>
      </c>
      <c r="S570" s="49">
        <v>17083122319</v>
      </c>
      <c r="T570" s="49" t="s">
        <v>125</v>
      </c>
      <c r="U570" s="50" t="s">
        <v>748</v>
      </c>
      <c r="V570" s="50">
        <v>17083126529</v>
      </c>
      <c r="W570" s="50">
        <v>17083122319</v>
      </c>
      <c r="X570" s="50" t="s">
        <v>125</v>
      </c>
      <c r="Y570" s="50">
        <v>110338</v>
      </c>
    </row>
    <row r="571" spans="1:25" x14ac:dyDescent="0.25">
      <c r="A571" s="25" t="s">
        <v>115</v>
      </c>
      <c r="B571" t="b">
        <v>0</v>
      </c>
      <c r="C571" s="43" t="s">
        <v>749</v>
      </c>
      <c r="D571" s="43">
        <v>322992</v>
      </c>
      <c r="E571" s="43">
        <v>302390</v>
      </c>
      <c r="F571" s="43" t="s">
        <v>119</v>
      </c>
      <c r="G571" s="43" t="b">
        <v>0</v>
      </c>
      <c r="H571" s="43" t="b">
        <v>0</v>
      </c>
      <c r="I571" s="43"/>
      <c r="M571" s="48" t="s">
        <v>749</v>
      </c>
      <c r="N571" s="48">
        <v>17088572374</v>
      </c>
      <c r="O571" s="48">
        <v>17088565503</v>
      </c>
      <c r="P571" s="48" t="s">
        <v>119</v>
      </c>
      <c r="Q571" s="49" t="s">
        <v>749</v>
      </c>
      <c r="R571" s="49">
        <v>17083126153</v>
      </c>
      <c r="S571" s="49">
        <v>17083128900</v>
      </c>
      <c r="T571" s="49" t="s">
        <v>119</v>
      </c>
      <c r="U571" s="50" t="s">
        <v>749</v>
      </c>
      <c r="V571" s="50">
        <v>17083126153</v>
      </c>
      <c r="W571" s="50">
        <v>17083128900</v>
      </c>
      <c r="X571" s="50" t="s">
        <v>119</v>
      </c>
      <c r="Y571" s="50"/>
    </row>
    <row r="572" spans="1:25" x14ac:dyDescent="0.25">
      <c r="A572" s="25" t="s">
        <v>115</v>
      </c>
      <c r="B572" t="b">
        <v>0</v>
      </c>
      <c r="C572" s="43" t="s">
        <v>750</v>
      </c>
      <c r="D572" s="43">
        <v>320432</v>
      </c>
      <c r="E572" s="43">
        <v>299638</v>
      </c>
      <c r="F572" s="43" t="s">
        <v>117</v>
      </c>
      <c r="G572" s="43" t="b">
        <v>0</v>
      </c>
      <c r="H572" s="43" t="b">
        <v>0</v>
      </c>
      <c r="I572" s="43"/>
      <c r="M572" s="48" t="s">
        <v>750</v>
      </c>
      <c r="N572" s="48">
        <v>17088570326</v>
      </c>
      <c r="O572" s="48">
        <v>17088566463</v>
      </c>
      <c r="P572" s="48" t="s">
        <v>117</v>
      </c>
      <c r="Q572" s="49" t="s">
        <v>750</v>
      </c>
      <c r="R572" s="49">
        <v>17083129481</v>
      </c>
      <c r="S572" s="49">
        <v>17083128324</v>
      </c>
      <c r="T572" s="49" t="s">
        <v>117</v>
      </c>
      <c r="U572" s="50" t="s">
        <v>750</v>
      </c>
      <c r="V572" s="50">
        <v>17083129481</v>
      </c>
      <c r="W572" s="50">
        <v>17083128324</v>
      </c>
      <c r="X572" s="50" t="s">
        <v>117</v>
      </c>
      <c r="Y572" s="50"/>
    </row>
    <row r="573" spans="1:25" x14ac:dyDescent="0.25">
      <c r="A573" s="25" t="s">
        <v>115</v>
      </c>
      <c r="B573" t="b">
        <v>0</v>
      </c>
      <c r="C573" s="43" t="s">
        <v>751</v>
      </c>
      <c r="D573" s="43">
        <v>322480</v>
      </c>
      <c r="E573" s="43">
        <v>299185</v>
      </c>
      <c r="F573" s="43" t="s">
        <v>117</v>
      </c>
      <c r="G573" s="43" t="b">
        <v>0</v>
      </c>
      <c r="H573" s="43" t="b">
        <v>0</v>
      </c>
      <c r="I573" s="43"/>
      <c r="M573" s="48" t="s">
        <v>751</v>
      </c>
      <c r="N573" s="48">
        <v>17088571842</v>
      </c>
      <c r="O573" s="48">
        <v>17088568681</v>
      </c>
      <c r="P573" s="48" t="s">
        <v>117</v>
      </c>
      <c r="Q573" s="49" t="s">
        <v>751</v>
      </c>
      <c r="R573" s="49">
        <v>17083127438</v>
      </c>
      <c r="S573" s="49">
        <v>17083123389</v>
      </c>
      <c r="T573" s="49" t="s">
        <v>117</v>
      </c>
      <c r="U573" s="50" t="s">
        <v>751</v>
      </c>
      <c r="V573" s="50">
        <v>17083127438</v>
      </c>
      <c r="W573" s="50">
        <v>17083123389</v>
      </c>
      <c r="X573" s="50" t="s">
        <v>117</v>
      </c>
      <c r="Y573" s="50"/>
    </row>
    <row r="574" spans="1:25" x14ac:dyDescent="0.25">
      <c r="A574" s="25" t="b">
        <v>1</v>
      </c>
      <c r="B574" t="b">
        <v>0</v>
      </c>
      <c r="C574" s="43" t="s">
        <v>752</v>
      </c>
      <c r="D574" s="43">
        <v>321456</v>
      </c>
      <c r="E574" s="43">
        <v>301310</v>
      </c>
      <c r="F574" s="43" t="s">
        <v>173</v>
      </c>
      <c r="G574" s="43" t="b">
        <v>0</v>
      </c>
      <c r="H574" s="43" t="b">
        <v>0</v>
      </c>
      <c r="I574" s="43"/>
      <c r="J574" s="45" t="s">
        <v>752</v>
      </c>
      <c r="K574" s="46">
        <v>301310</v>
      </c>
      <c r="M574" s="48" t="s">
        <v>752</v>
      </c>
      <c r="N574" s="48">
        <v>17088571122</v>
      </c>
      <c r="O574" s="48">
        <v>17088568093</v>
      </c>
      <c r="P574" s="48" t="s">
        <v>173</v>
      </c>
      <c r="Q574" s="49" t="s">
        <v>752</v>
      </c>
      <c r="R574" s="49">
        <v>17083125854</v>
      </c>
      <c r="S574" s="49">
        <v>17083124795</v>
      </c>
      <c r="T574" s="49" t="s">
        <v>173</v>
      </c>
      <c r="U574" s="50" t="s">
        <v>752</v>
      </c>
      <c r="V574" s="50">
        <v>17083125854</v>
      </c>
      <c r="W574" s="50">
        <v>17083124795</v>
      </c>
      <c r="X574" s="50" t="s">
        <v>173</v>
      </c>
      <c r="Y574" s="50"/>
    </row>
    <row r="575" spans="1:25" x14ac:dyDescent="0.25">
      <c r="A575" s="25" t="s">
        <v>115</v>
      </c>
      <c r="B575" t="b">
        <v>0</v>
      </c>
      <c r="C575" s="43" t="s">
        <v>753</v>
      </c>
      <c r="D575" s="43">
        <v>323504</v>
      </c>
      <c r="E575" s="43">
        <v>301121</v>
      </c>
      <c r="F575" s="43" t="s">
        <v>186</v>
      </c>
      <c r="G575" s="43" t="b">
        <v>0</v>
      </c>
      <c r="H575" s="43" t="b">
        <v>0</v>
      </c>
      <c r="I575" s="43"/>
      <c r="M575" s="48" t="s">
        <v>753</v>
      </c>
      <c r="N575" s="48">
        <v>17088572146</v>
      </c>
      <c r="O575" s="48">
        <v>17088566301</v>
      </c>
      <c r="P575" s="48" t="s">
        <v>186</v>
      </c>
      <c r="Q575" s="49" t="s">
        <v>753</v>
      </c>
      <c r="R575" s="49">
        <v>17083129758</v>
      </c>
      <c r="S575" s="49">
        <v>17083122139</v>
      </c>
      <c r="T575" s="49" t="s">
        <v>186</v>
      </c>
      <c r="U575" s="50" t="s">
        <v>753</v>
      </c>
      <c r="V575" s="50">
        <v>17083129758</v>
      </c>
      <c r="W575" s="50">
        <v>17083122139</v>
      </c>
      <c r="X575" s="50" t="s">
        <v>186</v>
      </c>
      <c r="Y575" s="50"/>
    </row>
    <row r="576" spans="1:25" x14ac:dyDescent="0.25">
      <c r="A576" s="25" t="s">
        <v>115</v>
      </c>
      <c r="B576" t="b">
        <v>0</v>
      </c>
      <c r="C576" s="43" t="s">
        <v>754</v>
      </c>
      <c r="D576" s="43">
        <v>319600</v>
      </c>
      <c r="E576" s="43">
        <v>300470</v>
      </c>
      <c r="F576" s="43" t="s">
        <v>125</v>
      </c>
      <c r="G576" s="43" t="b">
        <v>0</v>
      </c>
      <c r="H576" s="43" t="b">
        <v>0</v>
      </c>
      <c r="I576" s="43"/>
      <c r="M576" s="48" t="s">
        <v>754</v>
      </c>
      <c r="N576" s="48">
        <v>17088571190</v>
      </c>
      <c r="O576" s="48">
        <v>17088565375</v>
      </c>
      <c r="P576" s="48" t="s">
        <v>125</v>
      </c>
      <c r="Q576" s="49" t="s">
        <v>754</v>
      </c>
      <c r="R576" s="49">
        <v>17083129545</v>
      </c>
      <c r="S576" s="49">
        <v>17083128964</v>
      </c>
      <c r="T576" s="49" t="s">
        <v>125</v>
      </c>
      <c r="U576" s="50" t="s">
        <v>754</v>
      </c>
      <c r="V576" s="50">
        <v>17083129545</v>
      </c>
      <c r="W576" s="50">
        <v>17083128964</v>
      </c>
      <c r="X576" s="50" t="s">
        <v>125</v>
      </c>
      <c r="Y576" s="50"/>
    </row>
    <row r="577" spans="1:25" x14ac:dyDescent="0.25">
      <c r="A577" s="25" t="b">
        <v>1</v>
      </c>
      <c r="B577" t="b">
        <v>0</v>
      </c>
      <c r="C577" s="43" t="s">
        <v>755</v>
      </c>
      <c r="D577" s="43">
        <v>20622622253</v>
      </c>
      <c r="E577" s="43">
        <v>20622618669</v>
      </c>
      <c r="F577" s="43" t="s">
        <v>173</v>
      </c>
      <c r="G577" s="43" t="b">
        <v>0</v>
      </c>
      <c r="H577" s="43" t="b">
        <v>0</v>
      </c>
      <c r="I577" s="43"/>
      <c r="J577" s="45" t="s">
        <v>755</v>
      </c>
      <c r="K577" s="46">
        <v>20622618669</v>
      </c>
      <c r="M577" s="48" t="s">
        <v>755</v>
      </c>
      <c r="N577" s="48">
        <v>17088570916</v>
      </c>
      <c r="O577" s="48">
        <v>17088561423</v>
      </c>
      <c r="P577" s="48" t="s">
        <v>173</v>
      </c>
      <c r="Q577" s="49" t="s">
        <v>755</v>
      </c>
      <c r="R577" s="49">
        <v>17083128458</v>
      </c>
      <c r="S577" s="49">
        <v>17083123604</v>
      </c>
      <c r="T577" s="49" t="s">
        <v>173</v>
      </c>
      <c r="U577" s="50" t="s">
        <v>755</v>
      </c>
      <c r="V577" s="50">
        <v>17083128458</v>
      </c>
      <c r="W577" s="50">
        <v>17083123604</v>
      </c>
      <c r="X577" s="50" t="s">
        <v>173</v>
      </c>
      <c r="Y577" s="50"/>
    </row>
    <row r="578" spans="1:25" x14ac:dyDescent="0.25">
      <c r="A578" s="25" t="b">
        <v>1</v>
      </c>
      <c r="B578" t="b">
        <v>0</v>
      </c>
      <c r="C578" s="43" t="s">
        <v>756</v>
      </c>
      <c r="D578" s="43">
        <v>20622618925</v>
      </c>
      <c r="E578" s="43">
        <v>20622621741</v>
      </c>
      <c r="F578" s="43" t="s">
        <v>173</v>
      </c>
      <c r="G578" s="43" t="b">
        <v>0</v>
      </c>
      <c r="H578" s="43" t="b">
        <v>0</v>
      </c>
      <c r="I578" s="43"/>
      <c r="J578" s="45" t="s">
        <v>756</v>
      </c>
      <c r="K578" s="46">
        <v>20622621741</v>
      </c>
      <c r="M578" s="48" t="s">
        <v>756</v>
      </c>
      <c r="N578" s="48">
        <v>17088570004</v>
      </c>
      <c r="O578" s="48">
        <v>17088564863</v>
      </c>
      <c r="P578" s="48" t="s">
        <v>173</v>
      </c>
      <c r="Q578" s="49" t="s">
        <v>756</v>
      </c>
      <c r="R578" s="49">
        <v>17083125802</v>
      </c>
      <c r="S578" s="49">
        <v>17083122156</v>
      </c>
      <c r="T578" s="49" t="s">
        <v>173</v>
      </c>
      <c r="U578" s="50" t="s">
        <v>756</v>
      </c>
      <c r="V578" s="50">
        <v>17083125802</v>
      </c>
      <c r="W578" s="50">
        <v>17083122156</v>
      </c>
      <c r="X578" s="50" t="s">
        <v>173</v>
      </c>
      <c r="Y578" s="50"/>
    </row>
    <row r="579" spans="1:25" x14ac:dyDescent="0.25">
      <c r="A579" s="25" t="b">
        <v>1</v>
      </c>
      <c r="B579" t="b">
        <v>0</v>
      </c>
      <c r="C579" s="43" t="s">
        <v>757</v>
      </c>
      <c r="D579" s="43">
        <v>20804290299</v>
      </c>
      <c r="E579" s="43">
        <v>20804288955</v>
      </c>
      <c r="F579" s="43" t="s">
        <v>173</v>
      </c>
      <c r="G579" s="43" t="b">
        <v>0</v>
      </c>
      <c r="H579" s="43" t="b">
        <v>0</v>
      </c>
      <c r="I579" s="43"/>
      <c r="J579" s="45" t="s">
        <v>757</v>
      </c>
      <c r="K579" s="46">
        <v>20804288955</v>
      </c>
      <c r="M579" s="48"/>
      <c r="N579" s="48"/>
      <c r="O579" s="48"/>
      <c r="P579" s="48"/>
      <c r="Q579" s="49" t="s">
        <v>757</v>
      </c>
      <c r="R579" s="49">
        <v>17083129386</v>
      </c>
      <c r="S579" s="49">
        <v>17083122002</v>
      </c>
      <c r="T579" s="49" t="s">
        <v>173</v>
      </c>
      <c r="U579" s="50" t="s">
        <v>757</v>
      </c>
      <c r="V579" s="50">
        <v>17083129386</v>
      </c>
      <c r="W579" s="50">
        <v>17083122002</v>
      </c>
      <c r="X579" s="50" t="s">
        <v>173</v>
      </c>
      <c r="Y579" s="50"/>
    </row>
    <row r="580" spans="1:25" x14ac:dyDescent="0.25">
      <c r="A580" s="25" t="b">
        <v>1</v>
      </c>
      <c r="B580" t="b">
        <v>0</v>
      </c>
      <c r="C580" s="43" t="s">
        <v>758</v>
      </c>
      <c r="D580" s="43">
        <v>20804292347</v>
      </c>
      <c r="E580" s="43">
        <v>20804292027</v>
      </c>
      <c r="F580" s="43" t="s">
        <v>173</v>
      </c>
      <c r="G580" s="43" t="b">
        <v>0</v>
      </c>
      <c r="H580" s="43" t="b">
        <v>0</v>
      </c>
      <c r="I580" s="43"/>
      <c r="J580" s="45" t="s">
        <v>758</v>
      </c>
      <c r="K580" s="46">
        <v>20804292027</v>
      </c>
      <c r="M580" s="48"/>
      <c r="N580" s="48"/>
      <c r="O580" s="48"/>
      <c r="P580" s="48"/>
      <c r="Q580" s="49" t="s">
        <v>758</v>
      </c>
      <c r="R580" s="49">
        <v>17083129353</v>
      </c>
      <c r="S580" s="49">
        <v>17083126868</v>
      </c>
      <c r="T580" s="49" t="s">
        <v>173</v>
      </c>
      <c r="U580" s="50" t="s">
        <v>758</v>
      </c>
      <c r="V580" s="50">
        <v>17083129353</v>
      </c>
      <c r="W580" s="50">
        <v>17083126868</v>
      </c>
      <c r="X580" s="50" t="s">
        <v>173</v>
      </c>
      <c r="Y580" s="50"/>
    </row>
    <row r="581" spans="1:25" x14ac:dyDescent="0.25">
      <c r="A581" s="25" t="b">
        <v>1</v>
      </c>
      <c r="B581" t="b">
        <v>0</v>
      </c>
      <c r="C581" s="43" t="s">
        <v>759</v>
      </c>
      <c r="D581" s="43">
        <v>20804289019</v>
      </c>
      <c r="E581" s="43">
        <v>20804290491</v>
      </c>
      <c r="F581" s="43" t="s">
        <v>173</v>
      </c>
      <c r="G581" s="43" t="b">
        <v>0</v>
      </c>
      <c r="H581" s="43" t="b">
        <v>0</v>
      </c>
      <c r="I581" s="43"/>
      <c r="J581" s="45" t="s">
        <v>759</v>
      </c>
      <c r="K581" s="46">
        <v>20804290491</v>
      </c>
      <c r="M581" s="48"/>
      <c r="N581" s="48"/>
      <c r="O581" s="48"/>
      <c r="P581" s="48"/>
      <c r="Q581" s="49" t="s">
        <v>759</v>
      </c>
      <c r="R581" s="49">
        <v>17083128902</v>
      </c>
      <c r="S581" s="49">
        <v>17083123710</v>
      </c>
      <c r="T581" s="49" t="s">
        <v>173</v>
      </c>
      <c r="U581" s="50" t="s">
        <v>759</v>
      </c>
      <c r="V581" s="50">
        <v>17083128902</v>
      </c>
      <c r="W581" s="50">
        <v>17083123710</v>
      </c>
      <c r="X581" s="50" t="s">
        <v>173</v>
      </c>
      <c r="Y581" s="50"/>
    </row>
    <row r="582" spans="1:25" x14ac:dyDescent="0.25">
      <c r="A582" s="25" t="b">
        <v>1</v>
      </c>
      <c r="B582" t="b">
        <v>0</v>
      </c>
      <c r="C582" s="43" t="s">
        <v>760</v>
      </c>
      <c r="D582" s="43">
        <v>20804291067</v>
      </c>
      <c r="E582" s="43">
        <v>20804290683</v>
      </c>
      <c r="F582" s="43" t="s">
        <v>173</v>
      </c>
      <c r="G582" s="43" t="b">
        <v>0</v>
      </c>
      <c r="H582" s="43" t="b">
        <v>0</v>
      </c>
      <c r="I582" s="43"/>
      <c r="J582" s="45" t="s">
        <v>760</v>
      </c>
      <c r="K582" s="46">
        <v>20804290683</v>
      </c>
      <c r="M582" s="48"/>
      <c r="N582" s="48"/>
      <c r="O582" s="48"/>
      <c r="P582" s="48"/>
      <c r="Q582" s="49" t="s">
        <v>760</v>
      </c>
      <c r="R582" s="49">
        <v>17083127161</v>
      </c>
      <c r="S582" s="49">
        <v>17083123712</v>
      </c>
      <c r="T582" s="49" t="s">
        <v>173</v>
      </c>
      <c r="U582" s="50" t="s">
        <v>760</v>
      </c>
      <c r="V582" s="50">
        <v>17083127161</v>
      </c>
      <c r="W582" s="50">
        <v>17083123712</v>
      </c>
      <c r="X582" s="50" t="s">
        <v>173</v>
      </c>
      <c r="Y582" s="50"/>
    </row>
    <row r="583" spans="1:25" x14ac:dyDescent="0.25">
      <c r="A583" s="25" t="s">
        <v>115</v>
      </c>
      <c r="B583" t="b">
        <v>0</v>
      </c>
      <c r="C583" s="43" t="s">
        <v>761</v>
      </c>
      <c r="D583" s="43">
        <v>20804290043</v>
      </c>
      <c r="E583" s="43">
        <v>20804289147</v>
      </c>
      <c r="F583" s="43" t="s">
        <v>132</v>
      </c>
      <c r="G583" s="43" t="b">
        <v>0</v>
      </c>
      <c r="H583" s="43" t="b">
        <v>0</v>
      </c>
      <c r="I583" s="43"/>
      <c r="M583" s="48"/>
      <c r="N583" s="48"/>
      <c r="O583" s="48"/>
      <c r="P583" s="48"/>
      <c r="Q583" s="49" t="s">
        <v>761</v>
      </c>
      <c r="R583" s="49">
        <v>17083126954</v>
      </c>
      <c r="S583" s="49">
        <v>17083124306</v>
      </c>
      <c r="T583" s="49" t="s">
        <v>132</v>
      </c>
      <c r="U583" s="50" t="s">
        <v>761</v>
      </c>
      <c r="V583" s="50">
        <v>17083126954</v>
      </c>
      <c r="W583" s="50">
        <v>17083124306</v>
      </c>
      <c r="X583" s="50" t="s">
        <v>132</v>
      </c>
      <c r="Y583" s="50"/>
    </row>
    <row r="584" spans="1:25" x14ac:dyDescent="0.25">
      <c r="A584" s="25" t="s">
        <v>115</v>
      </c>
      <c r="B584" t="b">
        <v>0</v>
      </c>
      <c r="C584" s="43" t="s">
        <v>762</v>
      </c>
      <c r="D584" s="43">
        <v>20804292091</v>
      </c>
      <c r="E584" s="43">
        <v>20804292219</v>
      </c>
      <c r="F584" s="43" t="s">
        <v>132</v>
      </c>
      <c r="G584" s="43" t="b">
        <v>0</v>
      </c>
      <c r="H584" s="43" t="b">
        <v>0</v>
      </c>
      <c r="I584" s="43"/>
      <c r="M584" s="48"/>
      <c r="N584" s="48"/>
      <c r="O584" s="48"/>
      <c r="P584" s="48"/>
      <c r="Q584" s="49" t="s">
        <v>762</v>
      </c>
      <c r="R584" s="49">
        <v>17083129753</v>
      </c>
      <c r="S584" s="49">
        <v>17083090962</v>
      </c>
      <c r="T584" s="49" t="s">
        <v>132</v>
      </c>
      <c r="U584" s="50" t="s">
        <v>762</v>
      </c>
      <c r="V584" s="50">
        <v>17083129753</v>
      </c>
      <c r="W584" s="50">
        <v>17083090962</v>
      </c>
      <c r="X584" s="50" t="s">
        <v>132</v>
      </c>
      <c r="Y584" s="50"/>
    </row>
    <row r="585" spans="1:25" x14ac:dyDescent="0.25">
      <c r="A585" s="25" t="s">
        <v>115</v>
      </c>
      <c r="B585" t="b">
        <v>0</v>
      </c>
      <c r="C585" s="43" t="s">
        <v>763</v>
      </c>
      <c r="D585" s="43">
        <v>20804289531</v>
      </c>
      <c r="E585" s="43">
        <v>20804289915</v>
      </c>
      <c r="F585" s="43" t="s">
        <v>132</v>
      </c>
      <c r="G585" s="43" t="b">
        <v>0</v>
      </c>
      <c r="H585" s="43" t="b">
        <v>0</v>
      </c>
      <c r="I585" s="43"/>
      <c r="M585" s="48"/>
      <c r="N585" s="48"/>
      <c r="O585" s="48"/>
      <c r="P585" s="48"/>
      <c r="Q585" s="49" t="s">
        <v>763</v>
      </c>
      <c r="R585" s="49">
        <v>17083126698</v>
      </c>
      <c r="S585" s="49">
        <v>17083122770</v>
      </c>
      <c r="T585" s="49" t="s">
        <v>132</v>
      </c>
      <c r="U585" s="50" t="s">
        <v>763</v>
      </c>
      <c r="V585" s="50">
        <v>17083126698</v>
      </c>
      <c r="W585" s="50">
        <v>17083122770</v>
      </c>
      <c r="X585" s="50" t="s">
        <v>132</v>
      </c>
      <c r="Y585" s="50"/>
    </row>
    <row r="586" spans="1:25" x14ac:dyDescent="0.25">
      <c r="A586" s="25" t="s">
        <v>115</v>
      </c>
      <c r="B586" t="b">
        <v>0</v>
      </c>
      <c r="C586" s="43" t="s">
        <v>764</v>
      </c>
      <c r="D586" s="43">
        <v>20804291579</v>
      </c>
      <c r="E586" s="43">
        <v>20804291451</v>
      </c>
      <c r="F586" s="43" t="s">
        <v>132</v>
      </c>
      <c r="G586" s="43" t="b">
        <v>0</v>
      </c>
      <c r="H586" s="43" t="b">
        <v>0</v>
      </c>
      <c r="I586" s="43"/>
      <c r="M586" s="48"/>
      <c r="N586" s="48"/>
      <c r="O586" s="48"/>
      <c r="P586" s="48"/>
      <c r="Q586" s="49" t="s">
        <v>764</v>
      </c>
      <c r="R586" s="49">
        <v>17083127666</v>
      </c>
      <c r="S586" s="49">
        <v>17083124460</v>
      </c>
      <c r="T586" s="49" t="s">
        <v>132</v>
      </c>
      <c r="U586" s="50" t="s">
        <v>764</v>
      </c>
      <c r="V586" s="50">
        <v>17083127666</v>
      </c>
      <c r="W586" s="50">
        <v>17083124460</v>
      </c>
      <c r="X586" s="50" t="s">
        <v>132</v>
      </c>
      <c r="Y586" s="50"/>
    </row>
    <row r="587" spans="1:25" x14ac:dyDescent="0.25">
      <c r="A587" s="25" t="s">
        <v>115</v>
      </c>
      <c r="B587" t="b">
        <v>0</v>
      </c>
      <c r="C587" s="43" t="s">
        <v>765</v>
      </c>
      <c r="D587" s="43">
        <v>20804290555</v>
      </c>
      <c r="E587" s="43">
        <v>20804288763</v>
      </c>
      <c r="F587" s="43" t="s">
        <v>132</v>
      </c>
      <c r="G587" s="43" t="b">
        <v>0</v>
      </c>
      <c r="H587" s="43" t="b">
        <v>0</v>
      </c>
      <c r="I587" s="43"/>
      <c r="M587" s="48"/>
      <c r="N587" s="48"/>
      <c r="O587" s="48"/>
      <c r="P587" s="48"/>
      <c r="Q587" s="49" t="s">
        <v>765</v>
      </c>
      <c r="R587" s="49">
        <v>17083128409</v>
      </c>
      <c r="S587" s="49">
        <v>17083090914</v>
      </c>
      <c r="T587" s="49" t="s">
        <v>132</v>
      </c>
      <c r="U587" s="50" t="s">
        <v>765</v>
      </c>
      <c r="V587" s="50">
        <v>17083128409</v>
      </c>
      <c r="W587" s="50">
        <v>17083090914</v>
      </c>
      <c r="X587" s="50" t="s">
        <v>132</v>
      </c>
      <c r="Y587" s="50"/>
    </row>
    <row r="588" spans="1:25" x14ac:dyDescent="0.25">
      <c r="A588" s="25" t="s">
        <v>115</v>
      </c>
      <c r="B588" t="b">
        <v>0</v>
      </c>
      <c r="C588" s="43" t="s">
        <v>766</v>
      </c>
      <c r="D588" s="43">
        <v>20804292603</v>
      </c>
      <c r="E588" s="43">
        <v>20804291835</v>
      </c>
      <c r="F588" s="43" t="s">
        <v>132</v>
      </c>
      <c r="G588" s="43" t="b">
        <v>0</v>
      </c>
      <c r="H588" s="43" t="b">
        <v>0</v>
      </c>
      <c r="I588" s="43"/>
      <c r="M588" s="48"/>
      <c r="N588" s="48"/>
      <c r="O588" s="48"/>
      <c r="P588" s="48"/>
      <c r="Q588" s="49" t="s">
        <v>766</v>
      </c>
      <c r="R588" s="49">
        <v>17083129098</v>
      </c>
      <c r="S588" s="49">
        <v>17083122924</v>
      </c>
      <c r="T588" s="49" t="s">
        <v>132</v>
      </c>
      <c r="U588" s="50" t="s">
        <v>766</v>
      </c>
      <c r="V588" s="50">
        <v>17083129098</v>
      </c>
      <c r="W588" s="50">
        <v>17083122924</v>
      </c>
      <c r="X588" s="50" t="s">
        <v>132</v>
      </c>
      <c r="Y588" s="50"/>
    </row>
    <row r="589" spans="1:25" x14ac:dyDescent="0.25">
      <c r="A589" s="25" t="s">
        <v>115</v>
      </c>
      <c r="B589" t="b">
        <v>0</v>
      </c>
      <c r="C589" s="43" t="s">
        <v>767</v>
      </c>
      <c r="D589" s="43">
        <v>21509410210</v>
      </c>
      <c r="E589" s="43">
        <v>21509410594</v>
      </c>
      <c r="F589" s="43" t="s">
        <v>132</v>
      </c>
      <c r="G589" s="43" t="b">
        <v>0</v>
      </c>
      <c r="H589" s="43" t="b">
        <v>0</v>
      </c>
      <c r="I589" s="43"/>
      <c r="J589" s="45" t="s">
        <v>767</v>
      </c>
      <c r="K589" s="46">
        <v>21509410594</v>
      </c>
      <c r="L589" s="47">
        <v>990000620</v>
      </c>
      <c r="M589" s="48" t="s">
        <v>767</v>
      </c>
      <c r="N589" s="48">
        <v>17088569586</v>
      </c>
      <c r="O589" s="48">
        <v>17088566693</v>
      </c>
      <c r="P589" s="48" t="s">
        <v>132</v>
      </c>
      <c r="Q589" s="49" t="s">
        <v>767</v>
      </c>
      <c r="R589" s="49">
        <v>17083129838</v>
      </c>
      <c r="S589" s="49">
        <v>17083122771</v>
      </c>
      <c r="T589" s="49" t="s">
        <v>132</v>
      </c>
      <c r="U589" s="50" t="s">
        <v>767</v>
      </c>
      <c r="V589" s="50">
        <v>17083129838</v>
      </c>
      <c r="W589" s="50">
        <v>17083122771</v>
      </c>
      <c r="X589" s="50" t="s">
        <v>132</v>
      </c>
      <c r="Y589" s="50"/>
    </row>
    <row r="590" spans="1:25" x14ac:dyDescent="0.25">
      <c r="A590" s="25" t="s">
        <v>115</v>
      </c>
      <c r="B590" t="b">
        <v>0</v>
      </c>
      <c r="C590" s="43" t="s">
        <v>768</v>
      </c>
      <c r="D590" s="43">
        <v>21509407650</v>
      </c>
      <c r="E590" s="43">
        <v>21509407522</v>
      </c>
      <c r="F590" s="43" t="s">
        <v>125</v>
      </c>
      <c r="G590" s="43" t="b">
        <v>1</v>
      </c>
      <c r="H590" s="43" t="b">
        <v>0</v>
      </c>
      <c r="I590" s="43" t="s">
        <v>126</v>
      </c>
      <c r="M590" s="48" t="s">
        <v>768</v>
      </c>
      <c r="N590" s="48">
        <v>17088571426</v>
      </c>
      <c r="O590" s="48">
        <v>17088568078</v>
      </c>
      <c r="P590" s="48" t="s">
        <v>125</v>
      </c>
      <c r="Q590" s="49" t="s">
        <v>768</v>
      </c>
      <c r="R590" s="49">
        <v>17083126390</v>
      </c>
      <c r="S590" s="49">
        <v>17083122553</v>
      </c>
      <c r="T590" s="49" t="s">
        <v>125</v>
      </c>
      <c r="U590" s="50" t="s">
        <v>768</v>
      </c>
      <c r="V590" s="50">
        <v>17083126390</v>
      </c>
      <c r="W590" s="50">
        <v>17083122553</v>
      </c>
      <c r="X590" s="50" t="s">
        <v>125</v>
      </c>
      <c r="Y590" s="50">
        <v>120413</v>
      </c>
    </row>
    <row r="591" spans="1:25" x14ac:dyDescent="0.25">
      <c r="A591" s="25" t="s">
        <v>115</v>
      </c>
      <c r="B591" t="b">
        <v>0</v>
      </c>
      <c r="C591" s="43" t="s">
        <v>769</v>
      </c>
      <c r="D591" s="43">
        <v>21727613252</v>
      </c>
      <c r="E591" s="43">
        <v>21727614020</v>
      </c>
      <c r="F591" s="43" t="s">
        <v>132</v>
      </c>
      <c r="G591" s="43" t="b">
        <v>0</v>
      </c>
      <c r="H591" s="43" t="b">
        <v>0</v>
      </c>
      <c r="I591" s="43"/>
      <c r="J591" s="45" t="s">
        <v>770</v>
      </c>
      <c r="K591" s="46">
        <v>21727614020</v>
      </c>
      <c r="L591" s="47">
        <v>990000571</v>
      </c>
      <c r="M591" s="48"/>
      <c r="N591" s="48"/>
      <c r="O591" s="48"/>
      <c r="P591" s="48"/>
      <c r="Q591" s="49"/>
      <c r="R591" s="49"/>
      <c r="S591" s="49"/>
      <c r="T591" s="49"/>
      <c r="U591" s="50" t="s">
        <v>769</v>
      </c>
      <c r="V591" s="50">
        <v>17084997215</v>
      </c>
      <c r="W591" s="50">
        <v>17084994143</v>
      </c>
      <c r="X591" s="50" t="s">
        <v>132</v>
      </c>
      <c r="Y591" s="50"/>
    </row>
    <row r="592" spans="1:25" x14ac:dyDescent="0.25">
      <c r="A592" s="25" t="s">
        <v>115</v>
      </c>
      <c r="B592" t="b">
        <v>0</v>
      </c>
      <c r="C592" s="43" t="s">
        <v>771</v>
      </c>
      <c r="D592" s="43">
        <v>21727615300</v>
      </c>
      <c r="E592" s="43">
        <v>21727615556</v>
      </c>
      <c r="F592" s="43" t="s">
        <v>132</v>
      </c>
      <c r="G592" s="43" t="b">
        <v>0</v>
      </c>
      <c r="H592" s="43" t="b">
        <v>0</v>
      </c>
      <c r="I592" s="43"/>
      <c r="J592" s="45" t="s">
        <v>772</v>
      </c>
      <c r="K592" s="46">
        <v>21727615556</v>
      </c>
      <c r="L592" s="47">
        <v>990000569</v>
      </c>
      <c r="M592" s="48"/>
      <c r="N592" s="48"/>
      <c r="O592" s="48"/>
      <c r="P592" s="48"/>
      <c r="Q592" s="49"/>
      <c r="R592" s="49"/>
      <c r="S592" s="49"/>
      <c r="T592" s="49"/>
      <c r="U592" s="50" t="s">
        <v>771</v>
      </c>
      <c r="V592" s="50">
        <v>17100982710</v>
      </c>
      <c r="W592" s="50">
        <v>17100981942</v>
      </c>
      <c r="X592" s="50" t="s">
        <v>132</v>
      </c>
      <c r="Y592" s="50"/>
    </row>
    <row r="593" spans="1:25" x14ac:dyDescent="0.25">
      <c r="A593" s="25" t="b">
        <v>1</v>
      </c>
      <c r="B593" t="b">
        <v>0</v>
      </c>
      <c r="C593" s="43" t="s">
        <v>773</v>
      </c>
      <c r="D593" s="43">
        <v>21805234624</v>
      </c>
      <c r="E593" s="43">
        <v>21805235008</v>
      </c>
      <c r="F593" s="43" t="s">
        <v>173</v>
      </c>
      <c r="G593" s="43" t="b">
        <v>0</v>
      </c>
      <c r="H593" s="43" t="b">
        <v>0</v>
      </c>
      <c r="I593" s="43"/>
      <c r="J593" s="45" t="s">
        <v>773</v>
      </c>
      <c r="K593" s="46">
        <v>21805235008</v>
      </c>
      <c r="M593" s="48" t="s">
        <v>773</v>
      </c>
      <c r="N593" s="48">
        <v>17088572636</v>
      </c>
      <c r="O593" s="48">
        <v>17088566214</v>
      </c>
      <c r="P593" s="48" t="s">
        <v>173</v>
      </c>
      <c r="Q593" s="49" t="s">
        <v>773</v>
      </c>
      <c r="R593" s="49">
        <v>17083126934</v>
      </c>
      <c r="S593" s="49">
        <v>17083123241</v>
      </c>
      <c r="T593" s="49" t="s">
        <v>173</v>
      </c>
      <c r="U593" s="50" t="s">
        <v>773</v>
      </c>
      <c r="V593" s="50">
        <v>17083126934</v>
      </c>
      <c r="W593" s="50">
        <v>17083123241</v>
      </c>
      <c r="X593" s="50" t="s">
        <v>173</v>
      </c>
      <c r="Y593" s="50"/>
    </row>
    <row r="594" spans="1:25" x14ac:dyDescent="0.25">
      <c r="A594" s="25" t="b">
        <v>1</v>
      </c>
      <c r="B594" t="b">
        <v>0</v>
      </c>
      <c r="C594" s="43" t="s">
        <v>774</v>
      </c>
      <c r="D594" s="43">
        <v>21805233600</v>
      </c>
      <c r="E594" s="43">
        <v>21805232320</v>
      </c>
      <c r="F594" s="43" t="s">
        <v>173</v>
      </c>
      <c r="G594" s="43" t="b">
        <v>0</v>
      </c>
      <c r="H594" s="43" t="b">
        <v>0</v>
      </c>
      <c r="I594" s="43"/>
      <c r="J594" s="45" t="s">
        <v>774</v>
      </c>
      <c r="K594" s="46">
        <v>21805232320</v>
      </c>
      <c r="M594" s="48" t="s">
        <v>774</v>
      </c>
      <c r="N594" s="48">
        <v>17088572892</v>
      </c>
      <c r="O594" s="48">
        <v>17088567750</v>
      </c>
      <c r="P594" s="48" t="s">
        <v>173</v>
      </c>
      <c r="Q594" s="49" t="s">
        <v>774</v>
      </c>
      <c r="R594" s="49">
        <v>17083127958</v>
      </c>
      <c r="S594" s="49">
        <v>17083124777</v>
      </c>
      <c r="T594" s="49" t="s">
        <v>173</v>
      </c>
      <c r="U594" s="50" t="s">
        <v>774</v>
      </c>
      <c r="V594" s="50">
        <v>17083127958</v>
      </c>
      <c r="W594" s="50">
        <v>17083124777</v>
      </c>
      <c r="X594" s="50" t="s">
        <v>173</v>
      </c>
      <c r="Y594" s="50"/>
    </row>
    <row r="595" spans="1:25" x14ac:dyDescent="0.25">
      <c r="A595" s="25" t="b">
        <v>1</v>
      </c>
      <c r="B595" t="b">
        <v>0</v>
      </c>
      <c r="C595" s="43" t="s">
        <v>775</v>
      </c>
      <c r="D595" s="43">
        <v>21805235648</v>
      </c>
      <c r="E595" s="43">
        <v>21805235392</v>
      </c>
      <c r="F595" s="43" t="s">
        <v>173</v>
      </c>
      <c r="G595" s="43" t="b">
        <v>0</v>
      </c>
      <c r="H595" s="43" t="b">
        <v>0</v>
      </c>
      <c r="I595" s="43"/>
      <c r="J595" s="45" t="s">
        <v>775</v>
      </c>
      <c r="K595" s="46">
        <v>21805235392</v>
      </c>
      <c r="M595" s="48" t="s">
        <v>775</v>
      </c>
      <c r="N595" s="48">
        <v>17088572156</v>
      </c>
      <c r="O595" s="48">
        <v>17088569078</v>
      </c>
      <c r="P595" s="48" t="s">
        <v>173</v>
      </c>
      <c r="Q595" s="49" t="s">
        <v>775</v>
      </c>
      <c r="R595" s="49">
        <v>17083127862</v>
      </c>
      <c r="S595" s="49">
        <v>17083123321</v>
      </c>
      <c r="T595" s="49" t="s">
        <v>173</v>
      </c>
      <c r="U595" s="50" t="s">
        <v>775</v>
      </c>
      <c r="V595" s="50">
        <v>17083127862</v>
      </c>
      <c r="W595" s="50">
        <v>17083123321</v>
      </c>
      <c r="X595" s="50" t="s">
        <v>173</v>
      </c>
      <c r="Y595" s="50"/>
    </row>
    <row r="596" spans="1:25" x14ac:dyDescent="0.25">
      <c r="A596" s="25" t="b">
        <v>1</v>
      </c>
      <c r="B596" t="b">
        <v>0</v>
      </c>
      <c r="C596" s="43" t="s">
        <v>776</v>
      </c>
      <c r="D596" s="43">
        <v>21805233088</v>
      </c>
      <c r="E596" s="43">
        <v>21805233856</v>
      </c>
      <c r="F596" s="43" t="s">
        <v>173</v>
      </c>
      <c r="G596" s="43" t="b">
        <v>0</v>
      </c>
      <c r="H596" s="43" t="b">
        <v>0</v>
      </c>
      <c r="I596" s="43"/>
      <c r="J596" s="45" t="s">
        <v>776</v>
      </c>
      <c r="K596" s="46">
        <v>21805233856</v>
      </c>
      <c r="M596" s="48" t="s">
        <v>776</v>
      </c>
      <c r="N596" s="48">
        <v>17088571546</v>
      </c>
      <c r="O596" s="48">
        <v>17088567847</v>
      </c>
      <c r="P596" s="48" t="s">
        <v>173</v>
      </c>
      <c r="Q596" s="49" t="s">
        <v>776</v>
      </c>
      <c r="R596" s="49">
        <v>17083127841</v>
      </c>
      <c r="S596" s="49">
        <v>17083126048</v>
      </c>
      <c r="T596" s="49" t="s">
        <v>173</v>
      </c>
      <c r="U596" s="50" t="s">
        <v>776</v>
      </c>
      <c r="V596" s="50">
        <v>17083127841</v>
      </c>
      <c r="W596" s="50">
        <v>17083126048</v>
      </c>
      <c r="X596" s="50" t="s">
        <v>173</v>
      </c>
      <c r="Y596" s="50"/>
    </row>
    <row r="597" spans="1:25" x14ac:dyDescent="0.25">
      <c r="A597" s="25" t="b">
        <v>1</v>
      </c>
      <c r="B597" t="b">
        <v>0</v>
      </c>
      <c r="C597" s="43" t="s">
        <v>777</v>
      </c>
      <c r="D597" s="43">
        <v>21806118377</v>
      </c>
      <c r="E597" s="43">
        <v>21806120489</v>
      </c>
      <c r="F597" s="43" t="s">
        <v>173</v>
      </c>
      <c r="G597" s="43" t="b">
        <v>0</v>
      </c>
      <c r="H597" s="43" t="b">
        <v>0</v>
      </c>
      <c r="I597" s="43"/>
      <c r="J597" s="45" t="s">
        <v>777</v>
      </c>
      <c r="K597" s="46">
        <v>21806120489</v>
      </c>
      <c r="M597" s="48" t="s">
        <v>777</v>
      </c>
      <c r="N597" s="48">
        <v>17088569620</v>
      </c>
      <c r="O597" s="48">
        <v>17088561599</v>
      </c>
      <c r="P597" s="48" t="s">
        <v>173</v>
      </c>
      <c r="Q597" s="49" t="s">
        <v>777</v>
      </c>
      <c r="R597" s="49">
        <v>17086171827</v>
      </c>
      <c r="S597" s="49">
        <v>17084621369</v>
      </c>
      <c r="T597" s="49" t="s">
        <v>173</v>
      </c>
      <c r="U597" s="50" t="s">
        <v>777</v>
      </c>
      <c r="V597" s="50">
        <v>17102546509</v>
      </c>
      <c r="W597" s="50">
        <v>17101190980</v>
      </c>
      <c r="X597" s="50" t="s">
        <v>173</v>
      </c>
      <c r="Y597" s="50"/>
    </row>
    <row r="598" spans="1:25" x14ac:dyDescent="0.25">
      <c r="A598" s="25" t="b">
        <v>1</v>
      </c>
      <c r="B598" t="b">
        <v>0</v>
      </c>
      <c r="C598" s="43" t="s">
        <v>778</v>
      </c>
      <c r="D598" s="43">
        <v>21806120425</v>
      </c>
      <c r="E598" s="43">
        <v>21806118185</v>
      </c>
      <c r="F598" s="43" t="s">
        <v>173</v>
      </c>
      <c r="G598" s="43" t="b">
        <v>0</v>
      </c>
      <c r="H598" s="43" t="b">
        <v>0</v>
      </c>
      <c r="I598" s="43"/>
      <c r="J598" s="45" t="s">
        <v>778</v>
      </c>
      <c r="K598" s="46">
        <v>21806118185</v>
      </c>
      <c r="M598" s="48" t="s">
        <v>778</v>
      </c>
      <c r="N598" s="48">
        <v>17088569780</v>
      </c>
      <c r="O598" s="48">
        <v>17088566352</v>
      </c>
      <c r="P598" s="48" t="s">
        <v>173</v>
      </c>
      <c r="Q598" s="49" t="s">
        <v>778</v>
      </c>
      <c r="R598" s="49">
        <v>17086170803</v>
      </c>
      <c r="S598" s="49">
        <v>17084624441</v>
      </c>
      <c r="T598" s="49" t="s">
        <v>173</v>
      </c>
      <c r="U598" s="50" t="s">
        <v>778</v>
      </c>
      <c r="V598" s="50">
        <v>17102548557</v>
      </c>
      <c r="W598" s="50">
        <v>17101191364</v>
      </c>
      <c r="X598" s="50" t="s">
        <v>173</v>
      </c>
      <c r="Y598" s="50"/>
    </row>
    <row r="599" spans="1:25" x14ac:dyDescent="0.25">
      <c r="A599" s="25" t="b">
        <v>1</v>
      </c>
      <c r="B599" t="b">
        <v>0</v>
      </c>
      <c r="C599" s="43" t="s">
        <v>779</v>
      </c>
      <c r="D599" s="43">
        <v>21806117865</v>
      </c>
      <c r="E599" s="43">
        <v>21806119721</v>
      </c>
      <c r="F599" s="43" t="s">
        <v>173</v>
      </c>
      <c r="G599" s="43" t="b">
        <v>0</v>
      </c>
      <c r="H599" s="43" t="b">
        <v>0</v>
      </c>
      <c r="I599" s="43"/>
      <c r="J599" s="45" t="s">
        <v>779</v>
      </c>
      <c r="K599" s="46">
        <v>21806119721</v>
      </c>
      <c r="M599" s="48" t="s">
        <v>779</v>
      </c>
      <c r="N599" s="48">
        <v>17088572684</v>
      </c>
      <c r="O599" s="48">
        <v>17088565704</v>
      </c>
      <c r="P599" s="48" t="s">
        <v>173</v>
      </c>
      <c r="Q599" s="49" t="s">
        <v>779</v>
      </c>
      <c r="R599" s="49">
        <v>17086172851</v>
      </c>
      <c r="S599" s="49">
        <v>17084622137</v>
      </c>
      <c r="T599" s="49" t="s">
        <v>173</v>
      </c>
      <c r="U599" s="50" t="s">
        <v>779</v>
      </c>
      <c r="V599" s="50">
        <v>17102545229</v>
      </c>
      <c r="W599" s="50">
        <v>17101189828</v>
      </c>
      <c r="X599" s="50" t="s">
        <v>173</v>
      </c>
      <c r="Y599" s="50"/>
    </row>
    <row r="600" spans="1:25" x14ac:dyDescent="0.25">
      <c r="A600" s="25" t="b">
        <v>1</v>
      </c>
      <c r="B600" t="b">
        <v>0</v>
      </c>
      <c r="C600" s="43" t="s">
        <v>780</v>
      </c>
      <c r="D600" s="43">
        <v>21806119913</v>
      </c>
      <c r="E600" s="43">
        <v>21806117417</v>
      </c>
      <c r="F600" s="43" t="s">
        <v>173</v>
      </c>
      <c r="G600" s="43" t="b">
        <v>0</v>
      </c>
      <c r="H600" s="43" t="b">
        <v>0</v>
      </c>
      <c r="I600" s="43"/>
      <c r="J600" s="45" t="s">
        <v>780</v>
      </c>
      <c r="K600" s="46">
        <v>21806117417</v>
      </c>
      <c r="M600" s="48" t="s">
        <v>780</v>
      </c>
      <c r="N600" s="48">
        <v>17088573186</v>
      </c>
      <c r="O600" s="48">
        <v>17088566822</v>
      </c>
      <c r="P600" s="48" t="s">
        <v>173</v>
      </c>
      <c r="Q600" s="49" t="s">
        <v>780</v>
      </c>
      <c r="R600" s="49">
        <v>17086169779</v>
      </c>
      <c r="S600" s="49">
        <v>17084622905</v>
      </c>
      <c r="T600" s="49" t="s">
        <v>173</v>
      </c>
      <c r="U600" s="50" t="s">
        <v>780</v>
      </c>
      <c r="V600" s="50">
        <v>17102547533</v>
      </c>
      <c r="W600" s="50">
        <v>17101192516</v>
      </c>
      <c r="X600" s="50" t="s">
        <v>173</v>
      </c>
      <c r="Y600" s="50"/>
    </row>
    <row r="601" spans="1:25" x14ac:dyDescent="0.25">
      <c r="A601" s="25" t="b">
        <v>1</v>
      </c>
      <c r="B601" t="b">
        <v>0</v>
      </c>
      <c r="C601" s="43" t="s">
        <v>781</v>
      </c>
      <c r="D601" s="43">
        <v>21806118889</v>
      </c>
      <c r="E601" s="43">
        <v>21806118953</v>
      </c>
      <c r="F601" s="43" t="s">
        <v>173</v>
      </c>
      <c r="G601" s="43" t="b">
        <v>0</v>
      </c>
      <c r="H601" s="43" t="b">
        <v>0</v>
      </c>
      <c r="I601" s="43"/>
      <c r="J601" s="45" t="s">
        <v>781</v>
      </c>
      <c r="K601" s="46">
        <v>21806118953</v>
      </c>
      <c r="M601" s="48" t="s">
        <v>781</v>
      </c>
      <c r="N601" s="48">
        <v>17088569980</v>
      </c>
      <c r="O601" s="48">
        <v>17088566554</v>
      </c>
      <c r="P601" s="48" t="s">
        <v>173</v>
      </c>
      <c r="Q601" s="49" t="s">
        <v>781</v>
      </c>
      <c r="R601" s="49">
        <v>17086172339</v>
      </c>
      <c r="S601" s="49">
        <v>17084622809</v>
      </c>
      <c r="T601" s="49" t="s">
        <v>173</v>
      </c>
      <c r="U601" s="50" t="s">
        <v>781</v>
      </c>
      <c r="V601" s="50">
        <v>17102545485</v>
      </c>
      <c r="W601" s="50">
        <v>17101189444</v>
      </c>
      <c r="X601" s="50" t="s">
        <v>173</v>
      </c>
      <c r="Y601" s="50"/>
    </row>
    <row r="602" spans="1:25" x14ac:dyDescent="0.25">
      <c r="A602" s="25" t="b">
        <v>1</v>
      </c>
      <c r="B602" t="b">
        <v>0</v>
      </c>
      <c r="C602" s="43" t="s">
        <v>782</v>
      </c>
      <c r="D602" s="43">
        <v>21806120937</v>
      </c>
      <c r="E602" s="43">
        <v>21806118857</v>
      </c>
      <c r="F602" s="43" t="s">
        <v>173</v>
      </c>
      <c r="G602" s="43" t="b">
        <v>0</v>
      </c>
      <c r="H602" s="43" t="b">
        <v>0</v>
      </c>
      <c r="I602" s="43"/>
      <c r="J602" s="45" t="s">
        <v>782</v>
      </c>
      <c r="K602" s="46">
        <v>21806118857</v>
      </c>
      <c r="M602" s="48" t="s">
        <v>782</v>
      </c>
      <c r="N602" s="48">
        <v>17088571196</v>
      </c>
      <c r="O602" s="48">
        <v>17088568274</v>
      </c>
      <c r="P602" s="48" t="s">
        <v>173</v>
      </c>
      <c r="Q602" s="49" t="s">
        <v>782</v>
      </c>
      <c r="R602" s="49">
        <v>17086170291</v>
      </c>
      <c r="S602" s="49">
        <v>17084624345</v>
      </c>
      <c r="T602" s="49" t="s">
        <v>173</v>
      </c>
      <c r="U602" s="50" t="s">
        <v>782</v>
      </c>
      <c r="V602" s="50">
        <v>17102548045</v>
      </c>
      <c r="W602" s="50">
        <v>17101191748</v>
      </c>
      <c r="X602" s="50" t="s">
        <v>173</v>
      </c>
      <c r="Y602" s="50"/>
    </row>
    <row r="603" spans="1:25" x14ac:dyDescent="0.25">
      <c r="A603" s="25" t="b">
        <v>1</v>
      </c>
      <c r="B603" t="b">
        <v>0</v>
      </c>
      <c r="C603" s="43" t="s">
        <v>783</v>
      </c>
      <c r="D603" s="43">
        <v>21806116889</v>
      </c>
      <c r="E603" s="43">
        <v>21806120873</v>
      </c>
      <c r="F603" s="43" t="s">
        <v>173</v>
      </c>
      <c r="G603" s="43" t="b">
        <v>0</v>
      </c>
      <c r="H603" s="43" t="b">
        <v>0</v>
      </c>
      <c r="I603" s="43"/>
      <c r="J603" s="45" t="s">
        <v>783</v>
      </c>
      <c r="K603" s="46">
        <v>21806120873</v>
      </c>
      <c r="M603" s="48" t="s">
        <v>783</v>
      </c>
      <c r="N603" s="48">
        <v>17088573084</v>
      </c>
      <c r="O603" s="48">
        <v>17088568060</v>
      </c>
      <c r="P603" s="48" t="s">
        <v>173</v>
      </c>
      <c r="Q603" s="49" t="s">
        <v>783</v>
      </c>
      <c r="R603" s="49">
        <v>17086177791</v>
      </c>
      <c r="S603" s="49">
        <v>17084623673</v>
      </c>
      <c r="T603" s="49" t="s">
        <v>173</v>
      </c>
      <c r="U603" s="50" t="s">
        <v>783</v>
      </c>
      <c r="V603" s="50">
        <v>17102547277</v>
      </c>
      <c r="W603" s="50">
        <v>17101192900</v>
      </c>
      <c r="X603" s="50" t="s">
        <v>173</v>
      </c>
      <c r="Y603" s="50"/>
    </row>
    <row r="604" spans="1:25" x14ac:dyDescent="0.25">
      <c r="A604" s="25" t="b">
        <v>1</v>
      </c>
      <c r="B604" t="b">
        <v>0</v>
      </c>
      <c r="C604" s="43" t="s">
        <v>784</v>
      </c>
      <c r="D604" s="43">
        <v>21806118937</v>
      </c>
      <c r="E604" s="43">
        <v>21806117801</v>
      </c>
      <c r="F604" s="43" t="s">
        <v>173</v>
      </c>
      <c r="G604" s="43" t="b">
        <v>0</v>
      </c>
      <c r="H604" s="43" t="b">
        <v>0</v>
      </c>
      <c r="I604" s="43"/>
      <c r="J604" s="45" t="s">
        <v>784</v>
      </c>
      <c r="K604" s="46">
        <v>21806117801</v>
      </c>
      <c r="M604" s="48" t="s">
        <v>784</v>
      </c>
      <c r="N604" s="48">
        <v>17088570588</v>
      </c>
      <c r="O604" s="48">
        <v>17088566738</v>
      </c>
      <c r="P604" s="48" t="s">
        <v>173</v>
      </c>
      <c r="Q604" s="49" t="s">
        <v>784</v>
      </c>
      <c r="R604" s="49">
        <v>17086179839</v>
      </c>
      <c r="S604" s="49">
        <v>17084620985</v>
      </c>
      <c r="T604" s="49" t="s">
        <v>173</v>
      </c>
      <c r="U604" s="50" t="s">
        <v>784</v>
      </c>
      <c r="V604" s="50">
        <v>17102546253</v>
      </c>
      <c r="W604" s="50">
        <v>17101190596</v>
      </c>
      <c r="X604" s="50" t="s">
        <v>173</v>
      </c>
      <c r="Y604" s="50"/>
    </row>
    <row r="605" spans="1:25" x14ac:dyDescent="0.25">
      <c r="A605" s="25" t="b">
        <v>1</v>
      </c>
      <c r="B605" t="b">
        <v>0</v>
      </c>
      <c r="C605" s="43" t="s">
        <v>785</v>
      </c>
      <c r="D605" s="43">
        <v>21806117913</v>
      </c>
      <c r="E605" s="43">
        <v>21806119337</v>
      </c>
      <c r="F605" s="43" t="s">
        <v>173</v>
      </c>
      <c r="G605" s="43" t="b">
        <v>0</v>
      </c>
      <c r="H605" s="43" t="b">
        <v>0</v>
      </c>
      <c r="I605" s="43"/>
      <c r="J605" s="45" t="s">
        <v>785</v>
      </c>
      <c r="K605" s="46">
        <v>21806119337</v>
      </c>
      <c r="M605" s="48" t="s">
        <v>785</v>
      </c>
      <c r="N605" s="48">
        <v>17088573180</v>
      </c>
      <c r="O605" s="48">
        <v>17088568858</v>
      </c>
      <c r="P605" s="48" t="s">
        <v>173</v>
      </c>
      <c r="Q605" s="49" t="s">
        <v>785</v>
      </c>
      <c r="R605" s="49">
        <v>17086178815</v>
      </c>
      <c r="S605" s="49">
        <v>17084624057</v>
      </c>
      <c r="T605" s="49" t="s">
        <v>173</v>
      </c>
      <c r="U605" s="50" t="s">
        <v>785</v>
      </c>
      <c r="V605" s="50">
        <v>17102548301</v>
      </c>
      <c r="W605" s="50">
        <v>17101192132</v>
      </c>
      <c r="X605" s="50" t="s">
        <v>173</v>
      </c>
      <c r="Y605" s="50"/>
    </row>
    <row r="606" spans="1:25" x14ac:dyDescent="0.25">
      <c r="A606" s="25" t="b">
        <v>1</v>
      </c>
      <c r="B606" t="b">
        <v>0</v>
      </c>
      <c r="C606" s="43" t="s">
        <v>786</v>
      </c>
      <c r="D606" s="43">
        <v>21806119961</v>
      </c>
      <c r="E606" s="43">
        <v>21806120105</v>
      </c>
      <c r="F606" s="43" t="s">
        <v>173</v>
      </c>
      <c r="G606" s="43" t="b">
        <v>0</v>
      </c>
      <c r="H606" s="43" t="b">
        <v>0</v>
      </c>
      <c r="I606" s="43"/>
      <c r="J606" s="45" t="s">
        <v>786</v>
      </c>
      <c r="K606" s="46">
        <v>21806120105</v>
      </c>
      <c r="M606" s="48" t="s">
        <v>786</v>
      </c>
      <c r="N606" s="48">
        <v>17088572756</v>
      </c>
      <c r="O606" s="48">
        <v>17088563903</v>
      </c>
      <c r="P606" s="48" t="s">
        <v>173</v>
      </c>
      <c r="Q606" s="49" t="s">
        <v>786</v>
      </c>
      <c r="R606" s="49">
        <v>17086178303</v>
      </c>
      <c r="S606" s="49">
        <v>17084623289</v>
      </c>
      <c r="T606" s="49" t="s">
        <v>173</v>
      </c>
      <c r="U606" s="50" t="s">
        <v>786</v>
      </c>
      <c r="V606" s="50">
        <v>17102547789</v>
      </c>
      <c r="W606" s="50">
        <v>17101192228</v>
      </c>
      <c r="X606" s="50" t="s">
        <v>173</v>
      </c>
      <c r="Y606" s="50"/>
    </row>
    <row r="607" spans="1:25" x14ac:dyDescent="0.25">
      <c r="A607" s="25" t="b">
        <v>1</v>
      </c>
      <c r="B607" t="b">
        <v>0</v>
      </c>
      <c r="C607" s="43" t="s">
        <v>787</v>
      </c>
      <c r="D607" s="43">
        <v>21806117401</v>
      </c>
      <c r="E607" s="43">
        <v>21806118569</v>
      </c>
      <c r="F607" s="43" t="s">
        <v>173</v>
      </c>
      <c r="G607" s="43" t="b">
        <v>0</v>
      </c>
      <c r="H607" s="43" t="b">
        <v>0</v>
      </c>
      <c r="I607" s="43"/>
      <c r="J607" s="45" t="s">
        <v>787</v>
      </c>
      <c r="K607" s="46">
        <v>21806118569</v>
      </c>
      <c r="M607" s="48" t="s">
        <v>787</v>
      </c>
      <c r="N607" s="48">
        <v>17088571124</v>
      </c>
      <c r="O607" s="48">
        <v>17088569232</v>
      </c>
      <c r="P607" s="48" t="s">
        <v>173</v>
      </c>
      <c r="Q607" s="49" t="s">
        <v>787</v>
      </c>
      <c r="R607" s="49">
        <v>17086180351</v>
      </c>
      <c r="S607" s="49">
        <v>17084621753</v>
      </c>
      <c r="T607" s="49" t="s">
        <v>173</v>
      </c>
      <c r="U607" s="50" t="s">
        <v>787</v>
      </c>
      <c r="V607" s="50">
        <v>17102546765</v>
      </c>
      <c r="W607" s="50">
        <v>17101190692</v>
      </c>
      <c r="X607" s="50" t="s">
        <v>173</v>
      </c>
      <c r="Y607" s="50"/>
    </row>
    <row r="608" spans="1:25" x14ac:dyDescent="0.25">
      <c r="A608" s="25" t="b">
        <v>1</v>
      </c>
      <c r="B608" t="b">
        <v>0</v>
      </c>
      <c r="C608" s="43" t="s">
        <v>788</v>
      </c>
      <c r="D608" s="43">
        <v>21806119449</v>
      </c>
      <c r="E608" s="43">
        <v>21806117033</v>
      </c>
      <c r="F608" s="43" t="s">
        <v>173</v>
      </c>
      <c r="G608" s="43" t="b">
        <v>0</v>
      </c>
      <c r="H608" s="43" t="b">
        <v>0</v>
      </c>
      <c r="I608" s="43"/>
      <c r="J608" s="45" t="s">
        <v>788</v>
      </c>
      <c r="K608" s="46">
        <v>21806117033</v>
      </c>
      <c r="M608" s="48" t="s">
        <v>788</v>
      </c>
      <c r="N608" s="48">
        <v>17088572836</v>
      </c>
      <c r="O608" s="48">
        <v>17088562167</v>
      </c>
      <c r="P608" s="48" t="s">
        <v>173</v>
      </c>
      <c r="Q608" s="49" t="s">
        <v>788</v>
      </c>
      <c r="R608" s="49">
        <v>17086180863</v>
      </c>
      <c r="S608" s="49">
        <v>17084622521</v>
      </c>
      <c r="T608" s="49" t="s">
        <v>173</v>
      </c>
      <c r="U608" s="50" t="s">
        <v>788</v>
      </c>
      <c r="V608" s="50">
        <v>17102545741</v>
      </c>
      <c r="W608" s="50">
        <v>17101189156</v>
      </c>
      <c r="X608" s="50" t="s">
        <v>173</v>
      </c>
      <c r="Y608" s="50"/>
    </row>
    <row r="609" spans="1:29" x14ac:dyDescent="0.25">
      <c r="A609" s="25" t="s">
        <v>248</v>
      </c>
      <c r="B609" t="b">
        <v>0</v>
      </c>
      <c r="C609" s="43" t="s">
        <v>789</v>
      </c>
      <c r="D609" s="43">
        <v>21806118425</v>
      </c>
      <c r="E609" s="43">
        <v>21806119145</v>
      </c>
      <c r="F609" s="43" t="s">
        <v>173</v>
      </c>
      <c r="G609" s="43" t="b">
        <v>0</v>
      </c>
      <c r="H609" s="43" t="b">
        <v>0</v>
      </c>
      <c r="I609" s="43"/>
      <c r="J609" s="45" t="s">
        <v>789</v>
      </c>
      <c r="K609" s="46">
        <v>21806119145</v>
      </c>
      <c r="M609" s="48" t="s">
        <v>789</v>
      </c>
      <c r="N609" s="48">
        <v>17088571714</v>
      </c>
      <c r="O609" s="48">
        <v>17088567310</v>
      </c>
      <c r="P609" s="48" t="s">
        <v>173</v>
      </c>
      <c r="Q609" s="49" t="s">
        <v>789</v>
      </c>
      <c r="R609" s="49">
        <v>17086189357</v>
      </c>
      <c r="S609" s="49">
        <v>17084623193</v>
      </c>
      <c r="T609" s="49" t="s">
        <v>173</v>
      </c>
      <c r="U609" s="50" t="s">
        <v>789</v>
      </c>
      <c r="V609" s="50">
        <v>17102547853</v>
      </c>
      <c r="W609" s="50">
        <v>17101192324</v>
      </c>
      <c r="X609" s="50" t="s">
        <v>173</v>
      </c>
      <c r="Y609" s="50"/>
    </row>
    <row r="610" spans="1:29" x14ac:dyDescent="0.25">
      <c r="A610" s="25" t="s">
        <v>248</v>
      </c>
      <c r="B610" t="b">
        <v>0</v>
      </c>
      <c r="C610" s="43" t="s">
        <v>790</v>
      </c>
      <c r="D610" s="43">
        <v>21806120473</v>
      </c>
      <c r="E610" s="43">
        <v>21806117993</v>
      </c>
      <c r="F610" s="43" t="s">
        <v>173</v>
      </c>
      <c r="G610" s="43" t="b">
        <v>0</v>
      </c>
      <c r="H610" s="43" t="b">
        <v>0</v>
      </c>
      <c r="I610" s="43"/>
      <c r="J610" s="45" t="s">
        <v>790</v>
      </c>
      <c r="K610" s="46">
        <v>21806117993</v>
      </c>
      <c r="M610" s="48" t="s">
        <v>790</v>
      </c>
      <c r="N610" s="48">
        <v>17088569900</v>
      </c>
      <c r="O610" s="48">
        <v>17088565368</v>
      </c>
      <c r="P610" s="48" t="s">
        <v>173</v>
      </c>
      <c r="Q610" s="49" t="s">
        <v>790</v>
      </c>
      <c r="R610" s="49">
        <v>17086186669</v>
      </c>
      <c r="S610" s="49">
        <v>17084622041</v>
      </c>
      <c r="T610" s="49" t="s">
        <v>173</v>
      </c>
      <c r="U610" s="50" t="s">
        <v>790</v>
      </c>
      <c r="V610" s="50">
        <v>17102544973</v>
      </c>
      <c r="W610" s="50">
        <v>17101190020</v>
      </c>
      <c r="X610" s="50" t="s">
        <v>173</v>
      </c>
      <c r="Y610" s="50"/>
    </row>
    <row r="611" spans="1:29" x14ac:dyDescent="0.25">
      <c r="A611" s="25" t="s">
        <v>248</v>
      </c>
      <c r="B611" t="b">
        <v>0</v>
      </c>
      <c r="C611" s="43" t="s">
        <v>791</v>
      </c>
      <c r="D611" s="43">
        <v>21806117145</v>
      </c>
      <c r="E611" s="43">
        <v>21806119529</v>
      </c>
      <c r="F611" s="43" t="s">
        <v>173</v>
      </c>
      <c r="G611" s="43" t="b">
        <v>0</v>
      </c>
      <c r="H611" s="43" t="b">
        <v>0</v>
      </c>
      <c r="I611" s="43"/>
      <c r="J611" s="45" t="s">
        <v>791</v>
      </c>
      <c r="K611" s="46">
        <v>21806119529</v>
      </c>
      <c r="M611" s="48" t="s">
        <v>791</v>
      </c>
      <c r="N611" s="48">
        <v>17088571308</v>
      </c>
      <c r="O611" s="48">
        <v>17088568804</v>
      </c>
      <c r="P611" s="48" t="s">
        <v>173</v>
      </c>
      <c r="Q611" s="49" t="s">
        <v>791</v>
      </c>
      <c r="R611" s="49">
        <v>17086188717</v>
      </c>
      <c r="S611" s="49">
        <v>17084623577</v>
      </c>
      <c r="T611" s="49" t="s">
        <v>173</v>
      </c>
      <c r="U611" s="50" t="s">
        <v>791</v>
      </c>
      <c r="V611" s="50">
        <v>17102547021</v>
      </c>
      <c r="W611" s="50">
        <v>17101193092</v>
      </c>
      <c r="X611" s="50" t="s">
        <v>173</v>
      </c>
      <c r="Y611" s="50"/>
    </row>
    <row r="612" spans="1:29" x14ac:dyDescent="0.25">
      <c r="A612" s="25" t="s">
        <v>248</v>
      </c>
      <c r="B612" t="b">
        <v>0</v>
      </c>
      <c r="C612" s="43" t="s">
        <v>792</v>
      </c>
      <c r="D612" s="43">
        <v>21806119193</v>
      </c>
      <c r="E612" s="43">
        <v>21806117225</v>
      </c>
      <c r="F612" s="43" t="s">
        <v>173</v>
      </c>
      <c r="G612" s="43" t="b">
        <v>0</v>
      </c>
      <c r="H612" s="43" t="b">
        <v>0</v>
      </c>
      <c r="I612" s="43"/>
      <c r="J612" s="45" t="s">
        <v>792</v>
      </c>
      <c r="K612" s="46">
        <v>21806117225</v>
      </c>
      <c r="M612" s="48" t="s">
        <v>792</v>
      </c>
      <c r="N612" s="48">
        <v>17088571372</v>
      </c>
      <c r="O612" s="48">
        <v>17088566124</v>
      </c>
      <c r="P612" s="48" t="s">
        <v>173</v>
      </c>
      <c r="Q612" s="49" t="s">
        <v>792</v>
      </c>
      <c r="R612" s="49">
        <v>17086186157</v>
      </c>
      <c r="S612" s="49">
        <v>17084621273</v>
      </c>
      <c r="T612" s="49" t="s">
        <v>173</v>
      </c>
      <c r="U612" s="50" t="s">
        <v>792</v>
      </c>
      <c r="V612" s="50">
        <v>17102545997</v>
      </c>
      <c r="W612" s="50">
        <v>17101190212</v>
      </c>
      <c r="X612" s="50" t="s">
        <v>173</v>
      </c>
      <c r="Y612" s="50"/>
    </row>
    <row r="613" spans="1:29" x14ac:dyDescent="0.25">
      <c r="A613" s="25" t="s">
        <v>248</v>
      </c>
      <c r="B613" t="b">
        <v>0</v>
      </c>
      <c r="C613" s="43" t="s">
        <v>793</v>
      </c>
      <c r="D613" s="43">
        <v>21806118169</v>
      </c>
      <c r="E613" s="43">
        <v>21806118761</v>
      </c>
      <c r="F613" s="43" t="s">
        <v>173</v>
      </c>
      <c r="G613" s="43" t="b">
        <v>0</v>
      </c>
      <c r="H613" s="43" t="b">
        <v>0</v>
      </c>
      <c r="I613" s="43"/>
      <c r="J613" s="45" t="s">
        <v>793</v>
      </c>
      <c r="K613" s="46">
        <v>21806118761</v>
      </c>
      <c r="M613" s="48" t="s">
        <v>793</v>
      </c>
      <c r="N613" s="48">
        <v>17088573090</v>
      </c>
      <c r="O613" s="48">
        <v>17088566750</v>
      </c>
      <c r="P613" s="48" t="s">
        <v>173</v>
      </c>
      <c r="Q613" s="49" t="s">
        <v>793</v>
      </c>
      <c r="R613" s="49">
        <v>17086185645</v>
      </c>
      <c r="S613" s="49">
        <v>17084621657</v>
      </c>
      <c r="T613" s="49" t="s">
        <v>173</v>
      </c>
      <c r="U613" s="50" t="s">
        <v>793</v>
      </c>
      <c r="V613" s="50">
        <v>17102546829</v>
      </c>
      <c r="W613" s="50">
        <v>17101190788</v>
      </c>
      <c r="X613" s="50" t="s">
        <v>173</v>
      </c>
      <c r="Y613" s="50"/>
    </row>
    <row r="614" spans="1:29" x14ac:dyDescent="0.25">
      <c r="A614" s="25" t="s">
        <v>248</v>
      </c>
      <c r="B614" t="b">
        <v>0</v>
      </c>
      <c r="C614" s="43" t="s">
        <v>794</v>
      </c>
      <c r="D614" s="43">
        <v>21806120217</v>
      </c>
      <c r="E614" s="43">
        <v>21806120297</v>
      </c>
      <c r="F614" s="43" t="s">
        <v>173</v>
      </c>
      <c r="G614" s="43" t="b">
        <v>0</v>
      </c>
      <c r="H614" s="43" t="b">
        <v>0</v>
      </c>
      <c r="I614" s="43"/>
      <c r="J614" s="45" t="s">
        <v>794</v>
      </c>
      <c r="K614" s="46">
        <v>21806120297</v>
      </c>
      <c r="M614" s="48" t="s">
        <v>794</v>
      </c>
      <c r="N614" s="48">
        <v>17088572434</v>
      </c>
      <c r="O614" s="48">
        <v>17088567841</v>
      </c>
      <c r="P614" s="48" t="s">
        <v>173</v>
      </c>
      <c r="Q614" s="49" t="s">
        <v>794</v>
      </c>
      <c r="R614" s="49">
        <v>17086187693</v>
      </c>
      <c r="S614" s="49">
        <v>17084624729</v>
      </c>
      <c r="T614" s="49" t="s">
        <v>173</v>
      </c>
      <c r="U614" s="50" t="s">
        <v>794</v>
      </c>
      <c r="V614" s="50">
        <v>17102548877</v>
      </c>
      <c r="W614" s="50">
        <v>17101191556</v>
      </c>
      <c r="X614" s="50" t="s">
        <v>173</v>
      </c>
      <c r="Y614" s="50"/>
    </row>
    <row r="615" spans="1:29" x14ac:dyDescent="0.25">
      <c r="A615" s="25" t="b">
        <v>1</v>
      </c>
      <c r="B615" t="b">
        <v>0</v>
      </c>
      <c r="C615" s="43" t="s">
        <v>795</v>
      </c>
      <c r="D615" s="43">
        <v>21806117657</v>
      </c>
      <c r="E615" s="43">
        <v>21806117609</v>
      </c>
      <c r="F615" s="43" t="s">
        <v>173</v>
      </c>
      <c r="G615" s="43" t="b">
        <v>0</v>
      </c>
      <c r="H615" s="43" t="b">
        <v>0</v>
      </c>
      <c r="I615" s="43"/>
      <c r="J615" s="45" t="s">
        <v>795</v>
      </c>
      <c r="K615" s="46">
        <v>21806117609</v>
      </c>
      <c r="M615" s="48" t="s">
        <v>795</v>
      </c>
      <c r="N615" s="48">
        <v>17088570678</v>
      </c>
      <c r="O615" s="48">
        <v>17088558892</v>
      </c>
      <c r="P615" s="48" t="s">
        <v>173</v>
      </c>
      <c r="Q615" s="49" t="s">
        <v>795</v>
      </c>
      <c r="R615" s="49">
        <v>17086180768</v>
      </c>
      <c r="S615" s="49">
        <v>17084623961</v>
      </c>
      <c r="T615" s="49" t="s">
        <v>173</v>
      </c>
      <c r="U615" s="50" t="s">
        <v>795</v>
      </c>
      <c r="V615" s="50">
        <v>17102548365</v>
      </c>
      <c r="W615" s="50">
        <v>17101191940</v>
      </c>
      <c r="X615" s="50" t="s">
        <v>173</v>
      </c>
      <c r="Y615" s="50"/>
    </row>
    <row r="616" spans="1:29" x14ac:dyDescent="0.25">
      <c r="A616" s="25" t="b">
        <v>1</v>
      </c>
      <c r="B616" t="b">
        <v>0</v>
      </c>
      <c r="C616" s="43" t="s">
        <v>796</v>
      </c>
      <c r="D616" s="43">
        <v>21806119705</v>
      </c>
      <c r="E616" s="43">
        <v>21806120681</v>
      </c>
      <c r="F616" s="43" t="s">
        <v>173</v>
      </c>
      <c r="G616" s="43" t="b">
        <v>0</v>
      </c>
      <c r="H616" s="43" t="b">
        <v>0</v>
      </c>
      <c r="I616" s="43"/>
      <c r="J616" s="45" t="s">
        <v>796</v>
      </c>
      <c r="K616" s="46">
        <v>21806120681</v>
      </c>
      <c r="M616" s="48" t="s">
        <v>796</v>
      </c>
      <c r="N616" s="48">
        <v>17088571042</v>
      </c>
      <c r="O616" s="48">
        <v>17088565553</v>
      </c>
      <c r="P616" s="48" t="s">
        <v>173</v>
      </c>
      <c r="Q616" s="49" t="s">
        <v>796</v>
      </c>
      <c r="R616" s="49">
        <v>17086178208</v>
      </c>
      <c r="S616" s="49">
        <v>17084622425</v>
      </c>
      <c r="T616" s="49" t="s">
        <v>173</v>
      </c>
      <c r="U616" s="50" t="s">
        <v>796</v>
      </c>
      <c r="V616" s="50">
        <v>17102545805</v>
      </c>
      <c r="W616" s="50">
        <v>17101189252</v>
      </c>
      <c r="X616" s="50" t="s">
        <v>173</v>
      </c>
      <c r="Y616" s="50"/>
    </row>
    <row r="617" spans="1:29" x14ac:dyDescent="0.25">
      <c r="A617" s="25" t="s">
        <v>115</v>
      </c>
      <c r="B617" t="b">
        <v>0</v>
      </c>
      <c r="C617" s="43" t="s">
        <v>797</v>
      </c>
      <c r="D617" s="43">
        <v>22095007786</v>
      </c>
      <c r="E617" s="43">
        <v>22095009354</v>
      </c>
      <c r="F617" s="43" t="s">
        <v>119</v>
      </c>
      <c r="G617" s="43" t="b">
        <v>0</v>
      </c>
      <c r="H617" s="43" t="b">
        <v>0</v>
      </c>
      <c r="I617" s="43"/>
      <c r="M617" s="48" t="s">
        <v>797</v>
      </c>
      <c r="N617" s="48">
        <v>17088570694</v>
      </c>
      <c r="O617" s="48">
        <v>17088568475</v>
      </c>
      <c r="P617" s="48" t="s">
        <v>119</v>
      </c>
      <c r="Q617" s="49" t="s">
        <v>797</v>
      </c>
      <c r="R617" s="49">
        <v>17083127201</v>
      </c>
      <c r="S617" s="49">
        <v>17083123999</v>
      </c>
      <c r="T617" s="49" t="s">
        <v>119</v>
      </c>
      <c r="U617" s="50" t="s">
        <v>797</v>
      </c>
      <c r="V617" s="50">
        <v>17083127201</v>
      </c>
      <c r="W617" s="50">
        <v>17083123999</v>
      </c>
      <c r="X617" s="50" t="s">
        <v>119</v>
      </c>
      <c r="Y617" s="50"/>
    </row>
    <row r="618" spans="1:29" x14ac:dyDescent="0.25">
      <c r="A618" s="25" t="s">
        <v>115</v>
      </c>
      <c r="B618" t="b">
        <v>0</v>
      </c>
      <c r="C618" s="43" t="s">
        <v>798</v>
      </c>
      <c r="D618" s="43">
        <v>22095009834</v>
      </c>
      <c r="E618" s="43">
        <v>22095011146</v>
      </c>
      <c r="F618" s="43" t="s">
        <v>119</v>
      </c>
      <c r="G618" s="43" t="b">
        <v>0</v>
      </c>
      <c r="H618" s="43" t="b">
        <v>0</v>
      </c>
      <c r="I618" s="43"/>
      <c r="M618" s="48" t="s">
        <v>798</v>
      </c>
      <c r="N618" s="48">
        <v>17088572646</v>
      </c>
      <c r="O618" s="48">
        <v>17088565287</v>
      </c>
      <c r="P618" s="48" t="s">
        <v>119</v>
      </c>
      <c r="Q618" s="49" t="s">
        <v>798</v>
      </c>
      <c r="R618" s="49">
        <v>17083128593</v>
      </c>
      <c r="S618" s="49">
        <v>17083126464</v>
      </c>
      <c r="T618" s="49" t="s">
        <v>119</v>
      </c>
      <c r="U618" s="50" t="s">
        <v>798</v>
      </c>
      <c r="V618" s="50">
        <v>17083128593</v>
      </c>
      <c r="W618" s="50">
        <v>17083126464</v>
      </c>
      <c r="X618" s="50" t="s">
        <v>119</v>
      </c>
      <c r="Y618" s="50"/>
    </row>
    <row r="619" spans="1:29" x14ac:dyDescent="0.25">
      <c r="A619" s="25" t="s">
        <v>115</v>
      </c>
      <c r="B619" t="b">
        <v>0</v>
      </c>
      <c r="C619" s="43" t="s">
        <v>799</v>
      </c>
      <c r="D619" s="43">
        <v>22095008810</v>
      </c>
      <c r="E619" s="43">
        <v>22095008650</v>
      </c>
      <c r="F619" s="43" t="s">
        <v>123</v>
      </c>
      <c r="G619" s="43" t="b">
        <v>0</v>
      </c>
      <c r="H619" s="43" t="b">
        <v>0</v>
      </c>
      <c r="I619" s="43"/>
      <c r="M619" s="48" t="s">
        <v>799</v>
      </c>
      <c r="N619" s="48">
        <v>17088570290</v>
      </c>
      <c r="O619" s="48">
        <v>17088568329</v>
      </c>
      <c r="P619" s="48" t="s">
        <v>123</v>
      </c>
      <c r="Q619" s="49" t="s">
        <v>799</v>
      </c>
      <c r="R619" s="49">
        <v>17083129774</v>
      </c>
      <c r="S619" s="49">
        <v>17083124765</v>
      </c>
      <c r="T619" s="49" t="s">
        <v>123</v>
      </c>
      <c r="U619" s="50" t="s">
        <v>799</v>
      </c>
      <c r="V619" s="50">
        <v>17083129774</v>
      </c>
      <c r="W619" s="50">
        <v>17083124765</v>
      </c>
      <c r="X619" s="50" t="s">
        <v>123</v>
      </c>
      <c r="Y619" s="50"/>
    </row>
    <row r="620" spans="1:29" x14ac:dyDescent="0.25">
      <c r="A620" s="25" t="s">
        <v>115</v>
      </c>
      <c r="B620" t="b">
        <v>0</v>
      </c>
      <c r="C620" s="43" t="s">
        <v>800</v>
      </c>
      <c r="D620" s="43">
        <v>22095010858</v>
      </c>
      <c r="E620" s="43">
        <v>22095009866</v>
      </c>
      <c r="F620" s="43" t="s">
        <v>123</v>
      </c>
      <c r="G620" s="43" t="b">
        <v>0</v>
      </c>
      <c r="H620" s="43" t="b">
        <v>0</v>
      </c>
      <c r="I620" s="43"/>
      <c r="M620" s="48" t="s">
        <v>800</v>
      </c>
      <c r="N620" s="48">
        <v>17088573426</v>
      </c>
      <c r="O620" s="48">
        <v>17088568473</v>
      </c>
      <c r="P620" s="48" t="s">
        <v>123</v>
      </c>
      <c r="Q620" s="49" t="s">
        <v>800</v>
      </c>
      <c r="R620" s="49">
        <v>17083127534</v>
      </c>
      <c r="S620" s="49">
        <v>17083122429</v>
      </c>
      <c r="T620" s="49" t="s">
        <v>123</v>
      </c>
      <c r="U620" s="50" t="s">
        <v>800</v>
      </c>
      <c r="V620" s="50">
        <v>17083127534</v>
      </c>
      <c r="W620" s="50">
        <v>17083122429</v>
      </c>
      <c r="X620" s="50" t="s">
        <v>123</v>
      </c>
      <c r="Y620" s="50"/>
    </row>
    <row r="621" spans="1:29" x14ac:dyDescent="0.25">
      <c r="A621" s="25" t="b">
        <v>1</v>
      </c>
      <c r="B621" t="b">
        <v>0</v>
      </c>
      <c r="C621" s="43" t="s">
        <v>801</v>
      </c>
      <c r="D621" s="43">
        <v>16041957184</v>
      </c>
      <c r="E621" s="43">
        <v>16041955904</v>
      </c>
      <c r="F621" s="43" t="s">
        <v>173</v>
      </c>
      <c r="G621" s="43" t="b">
        <v>0</v>
      </c>
      <c r="H621" s="43" t="b">
        <v>0</v>
      </c>
      <c r="I621" s="43"/>
      <c r="J621" s="45" t="s">
        <v>801</v>
      </c>
      <c r="K621" s="46">
        <v>16041955904</v>
      </c>
      <c r="M621" s="48" t="s">
        <v>801</v>
      </c>
      <c r="N621" s="48">
        <v>17088571654</v>
      </c>
      <c r="O621" s="48">
        <v>17088568859</v>
      </c>
      <c r="P621" s="48" t="s">
        <v>173</v>
      </c>
      <c r="Q621" s="49" t="s">
        <v>801</v>
      </c>
      <c r="R621" s="49">
        <v>17083129121</v>
      </c>
      <c r="S621" s="49">
        <v>17083124719</v>
      </c>
      <c r="T621" s="49" t="s">
        <v>173</v>
      </c>
      <c r="U621" s="50" t="s">
        <v>801</v>
      </c>
      <c r="V621" s="50">
        <v>17083129121</v>
      </c>
      <c r="W621" s="50">
        <v>17083124719</v>
      </c>
      <c r="X621" s="50" t="s">
        <v>173</v>
      </c>
      <c r="Y621" s="50"/>
    </row>
    <row r="622" spans="1:29" x14ac:dyDescent="0.25">
      <c r="A622" s="25" t="s">
        <v>115</v>
      </c>
      <c r="B622" t="b">
        <v>0</v>
      </c>
      <c r="C622" s="43" t="s">
        <v>802</v>
      </c>
      <c r="D622" s="43">
        <v>20112865442</v>
      </c>
      <c r="E622" s="43">
        <v>20112866882</v>
      </c>
      <c r="F622" s="43" t="s">
        <v>132</v>
      </c>
      <c r="G622" s="43" t="b">
        <v>0</v>
      </c>
      <c r="H622" s="43" t="b">
        <v>1</v>
      </c>
      <c r="I622" s="43"/>
      <c r="J622" s="45" t="s">
        <v>802</v>
      </c>
      <c r="K622" s="46">
        <v>20112866882</v>
      </c>
      <c r="L622" s="47">
        <v>990000491</v>
      </c>
      <c r="M622" s="48" t="s">
        <v>802</v>
      </c>
      <c r="N622" s="48">
        <v>17088570940</v>
      </c>
      <c r="O622" s="48">
        <v>17088566054</v>
      </c>
      <c r="P622" s="48" t="s">
        <v>132</v>
      </c>
      <c r="Q622" s="49" t="s">
        <v>802</v>
      </c>
      <c r="R622" s="49">
        <v>17083127190</v>
      </c>
      <c r="S622" s="49">
        <v>17083122473</v>
      </c>
      <c r="T622" s="49" t="s">
        <v>132</v>
      </c>
      <c r="U622" s="50" t="s">
        <v>802</v>
      </c>
      <c r="V622" s="50">
        <v>17083127190</v>
      </c>
      <c r="W622" s="50">
        <v>17083122473</v>
      </c>
      <c r="X622" s="50" t="s">
        <v>132</v>
      </c>
      <c r="Y622" s="50"/>
      <c r="Z622" s="51" t="s">
        <v>803</v>
      </c>
      <c r="AA622" s="51" t="s">
        <v>192</v>
      </c>
      <c r="AB622" s="51">
        <v>14351</v>
      </c>
      <c r="AC622" s="51">
        <v>17078</v>
      </c>
    </row>
    <row r="623" spans="1:29" x14ac:dyDescent="0.25">
      <c r="A623" s="25" t="s">
        <v>115</v>
      </c>
      <c r="B623" t="b">
        <v>0</v>
      </c>
      <c r="C623" s="43" t="s">
        <v>804</v>
      </c>
      <c r="D623" s="43">
        <v>20112864418</v>
      </c>
      <c r="E623" s="43">
        <v>20112864962</v>
      </c>
      <c r="F623" s="43" t="s">
        <v>132</v>
      </c>
      <c r="G623" s="43" t="b">
        <v>0</v>
      </c>
      <c r="H623" s="43" t="b">
        <v>0</v>
      </c>
      <c r="I623" s="43"/>
      <c r="M623" s="48" t="s">
        <v>804</v>
      </c>
      <c r="N623" s="48">
        <v>17088571964</v>
      </c>
      <c r="O623" s="48">
        <v>17088567590</v>
      </c>
      <c r="P623" s="48" t="s">
        <v>132</v>
      </c>
      <c r="Q623" s="49" t="s">
        <v>804</v>
      </c>
      <c r="R623" s="49">
        <v>17083128214</v>
      </c>
      <c r="S623" s="49">
        <v>17083124009</v>
      </c>
      <c r="T623" s="49" t="s">
        <v>132</v>
      </c>
      <c r="U623" s="50" t="s">
        <v>804</v>
      </c>
      <c r="V623" s="50">
        <v>17083128214</v>
      </c>
      <c r="W623" s="50">
        <v>17083124009</v>
      </c>
      <c r="X623" s="50" t="s">
        <v>132</v>
      </c>
      <c r="Y623" s="50"/>
    </row>
    <row r="624" spans="1:29" x14ac:dyDescent="0.25">
      <c r="A624" s="25" t="s">
        <v>115</v>
      </c>
      <c r="B624" t="b">
        <v>0</v>
      </c>
      <c r="C624" s="43" t="s">
        <v>805</v>
      </c>
      <c r="D624" s="43">
        <v>20112863906</v>
      </c>
      <c r="E624" s="43">
        <v>20112864578</v>
      </c>
      <c r="F624" s="43" t="s">
        <v>132</v>
      </c>
      <c r="G624" s="43" t="b">
        <v>0</v>
      </c>
      <c r="H624" s="43" t="b">
        <v>0</v>
      </c>
      <c r="I624" s="43"/>
      <c r="M624" s="48" t="s">
        <v>805</v>
      </c>
      <c r="N624" s="48">
        <v>17088572140</v>
      </c>
      <c r="O624" s="48">
        <v>17088566066</v>
      </c>
      <c r="P624" s="48" t="s">
        <v>132</v>
      </c>
      <c r="Q624" s="49" t="s">
        <v>805</v>
      </c>
      <c r="R624" s="49">
        <v>17083127590</v>
      </c>
      <c r="S624" s="49">
        <v>17083125630</v>
      </c>
      <c r="T624" s="49" t="s">
        <v>132</v>
      </c>
      <c r="U624" s="50" t="s">
        <v>805</v>
      </c>
      <c r="V624" s="50">
        <v>17083127590</v>
      </c>
      <c r="W624" s="50">
        <v>17083125630</v>
      </c>
      <c r="X624" s="50" t="s">
        <v>132</v>
      </c>
      <c r="Y624" s="50"/>
    </row>
    <row r="625" spans="1:29" x14ac:dyDescent="0.25">
      <c r="A625" s="25" t="s">
        <v>115</v>
      </c>
      <c r="B625" t="b">
        <v>0</v>
      </c>
      <c r="C625" s="43" t="s">
        <v>806</v>
      </c>
      <c r="D625" s="43">
        <v>20112865954</v>
      </c>
      <c r="E625" s="43">
        <v>20112866114</v>
      </c>
      <c r="F625" s="43" t="s">
        <v>132</v>
      </c>
      <c r="G625" s="43" t="b">
        <v>0</v>
      </c>
      <c r="H625" s="43" t="b">
        <v>0</v>
      </c>
      <c r="I625" s="43"/>
      <c r="M625" s="48" t="s">
        <v>806</v>
      </c>
      <c r="N625" s="48">
        <v>17088570910</v>
      </c>
      <c r="O625" s="48">
        <v>17088563099</v>
      </c>
      <c r="P625" s="48" t="s">
        <v>132</v>
      </c>
      <c r="Q625" s="49" t="s">
        <v>806</v>
      </c>
      <c r="R625" s="49">
        <v>17083129314</v>
      </c>
      <c r="S625" s="49">
        <v>17083122568</v>
      </c>
      <c r="T625" s="49" t="s">
        <v>132</v>
      </c>
      <c r="U625" s="50" t="s">
        <v>806</v>
      </c>
      <c r="V625" s="50">
        <v>17083129314</v>
      </c>
      <c r="W625" s="50">
        <v>17083122568</v>
      </c>
      <c r="X625" s="50" t="s">
        <v>132</v>
      </c>
      <c r="Y625" s="50"/>
    </row>
    <row r="626" spans="1:29" x14ac:dyDescent="0.25">
      <c r="A626" s="25" t="s">
        <v>115</v>
      </c>
      <c r="B626" t="b">
        <v>0</v>
      </c>
      <c r="C626" s="43" t="s">
        <v>807</v>
      </c>
      <c r="D626" s="43">
        <v>20112864930</v>
      </c>
      <c r="E626" s="43">
        <v>20112863426</v>
      </c>
      <c r="F626" s="43" t="s">
        <v>132</v>
      </c>
      <c r="G626" s="43" t="b">
        <v>0</v>
      </c>
      <c r="H626" s="43" t="b">
        <v>0</v>
      </c>
      <c r="I626" s="43"/>
      <c r="M626" s="48" t="s">
        <v>807</v>
      </c>
      <c r="N626" s="48">
        <v>17088570860</v>
      </c>
      <c r="O626" s="48">
        <v>17088567602</v>
      </c>
      <c r="P626" s="48" t="s">
        <v>132</v>
      </c>
      <c r="Q626" s="49" t="s">
        <v>807</v>
      </c>
      <c r="R626" s="49">
        <v>17083126950</v>
      </c>
      <c r="S626" s="49">
        <v>17083122558</v>
      </c>
      <c r="T626" s="49" t="s">
        <v>132</v>
      </c>
      <c r="U626" s="50" t="s">
        <v>807</v>
      </c>
      <c r="V626" s="50">
        <v>17083126950</v>
      </c>
      <c r="W626" s="50">
        <v>17083122558</v>
      </c>
      <c r="X626" s="50" t="s">
        <v>132</v>
      </c>
      <c r="Y626" s="50"/>
    </row>
    <row r="627" spans="1:29" x14ac:dyDescent="0.25">
      <c r="A627" s="25" t="s">
        <v>115</v>
      </c>
      <c r="B627" t="b">
        <v>0</v>
      </c>
      <c r="C627" s="43" t="s">
        <v>808</v>
      </c>
      <c r="D627" s="43">
        <v>20112866978</v>
      </c>
      <c r="E627" s="43">
        <v>20112866498</v>
      </c>
      <c r="F627" s="43" t="s">
        <v>132</v>
      </c>
      <c r="G627" s="43" t="b">
        <v>0</v>
      </c>
      <c r="H627" s="43" t="b">
        <v>0</v>
      </c>
      <c r="I627" s="43"/>
      <c r="M627" s="48" t="s">
        <v>808</v>
      </c>
      <c r="N627" s="48">
        <v>17088572654</v>
      </c>
      <c r="O627" s="48">
        <v>17088564635</v>
      </c>
      <c r="P627" s="48" t="s">
        <v>132</v>
      </c>
      <c r="Q627" s="49" t="s">
        <v>808</v>
      </c>
      <c r="R627" s="49">
        <v>17083129186</v>
      </c>
      <c r="S627" s="49">
        <v>17083124104</v>
      </c>
      <c r="T627" s="49" t="s">
        <v>132</v>
      </c>
      <c r="U627" s="50" t="s">
        <v>808</v>
      </c>
      <c r="V627" s="50">
        <v>17083129186</v>
      </c>
      <c r="W627" s="50">
        <v>17083124104</v>
      </c>
      <c r="X627" s="50" t="s">
        <v>132</v>
      </c>
      <c r="Y627" s="50"/>
    </row>
    <row r="628" spans="1:29" x14ac:dyDescent="0.25">
      <c r="A628" s="25" t="s">
        <v>115</v>
      </c>
      <c r="B628" t="b">
        <v>0</v>
      </c>
      <c r="C628" s="43" t="s">
        <v>809</v>
      </c>
      <c r="D628" s="43">
        <v>20112863650</v>
      </c>
      <c r="E628" s="43">
        <v>20112865730</v>
      </c>
      <c r="F628" s="43" t="s">
        <v>132</v>
      </c>
      <c r="G628" s="43" t="b">
        <v>0</v>
      </c>
      <c r="H628" s="43" t="b">
        <v>0</v>
      </c>
      <c r="I628" s="43"/>
      <c r="M628" s="48" t="s">
        <v>809</v>
      </c>
      <c r="N628" s="48">
        <v>17088571884</v>
      </c>
      <c r="O628" s="48">
        <v>17088566834</v>
      </c>
      <c r="P628" s="48" t="s">
        <v>132</v>
      </c>
      <c r="Q628" s="49" t="s">
        <v>809</v>
      </c>
      <c r="R628" s="49">
        <v>17083127974</v>
      </c>
      <c r="S628" s="49">
        <v>17083124094</v>
      </c>
      <c r="T628" s="49" t="s">
        <v>132</v>
      </c>
      <c r="U628" s="50" t="s">
        <v>809</v>
      </c>
      <c r="V628" s="50">
        <v>17083127974</v>
      </c>
      <c r="W628" s="50">
        <v>17083124094</v>
      </c>
      <c r="X628" s="50" t="s">
        <v>132</v>
      </c>
      <c r="Y628" s="50"/>
    </row>
    <row r="629" spans="1:29" x14ac:dyDescent="0.25">
      <c r="A629" s="25" t="s">
        <v>115</v>
      </c>
      <c r="B629" t="b">
        <v>0</v>
      </c>
      <c r="C629" s="43" t="s">
        <v>810</v>
      </c>
      <c r="D629" s="43">
        <v>20112865698</v>
      </c>
      <c r="E629" s="43">
        <v>20112864194</v>
      </c>
      <c r="F629" s="43" t="s">
        <v>132</v>
      </c>
      <c r="G629" s="43" t="b">
        <v>0</v>
      </c>
      <c r="H629" s="43" t="b">
        <v>0</v>
      </c>
      <c r="I629" s="43"/>
      <c r="M629" s="48" t="s">
        <v>810</v>
      </c>
      <c r="N629" s="48">
        <v>17088571038</v>
      </c>
      <c r="O629" s="48">
        <v>17088561563</v>
      </c>
      <c r="P629" s="48" t="s">
        <v>132</v>
      </c>
      <c r="Q629" s="49" t="s">
        <v>810</v>
      </c>
      <c r="R629" s="49">
        <v>17083128850</v>
      </c>
      <c r="S629" s="49">
        <v>17083123336</v>
      </c>
      <c r="T629" s="49" t="s">
        <v>132</v>
      </c>
      <c r="U629" s="50" t="s">
        <v>810</v>
      </c>
      <c r="V629" s="50">
        <v>17083128850</v>
      </c>
      <c r="W629" s="50">
        <v>17083123336</v>
      </c>
      <c r="X629" s="50" t="s">
        <v>132</v>
      </c>
      <c r="Y629" s="50"/>
    </row>
    <row r="630" spans="1:29" x14ac:dyDescent="0.25">
      <c r="A630" s="25" t="s">
        <v>115</v>
      </c>
      <c r="B630" t="b">
        <v>0</v>
      </c>
      <c r="C630" s="43" t="s">
        <v>811</v>
      </c>
      <c r="D630" s="43">
        <v>20112864674</v>
      </c>
      <c r="E630" s="43">
        <v>20112864290</v>
      </c>
      <c r="F630" s="43" t="s">
        <v>132</v>
      </c>
      <c r="G630" s="43" t="b">
        <v>0</v>
      </c>
      <c r="H630" s="43" t="b">
        <v>0</v>
      </c>
      <c r="I630" s="43"/>
      <c r="M630" s="48" t="s">
        <v>811</v>
      </c>
      <c r="N630" s="48">
        <v>17088570986</v>
      </c>
      <c r="O630" s="48">
        <v>17088566667</v>
      </c>
      <c r="P630" s="48" t="s">
        <v>132</v>
      </c>
      <c r="Q630" s="49" t="s">
        <v>811</v>
      </c>
      <c r="R630" s="49">
        <v>17083127297</v>
      </c>
      <c r="S630" s="49">
        <v>17083123855</v>
      </c>
      <c r="T630" s="49" t="s">
        <v>132</v>
      </c>
      <c r="U630" s="50" t="s">
        <v>811</v>
      </c>
      <c r="V630" s="50">
        <v>17083127297</v>
      </c>
      <c r="W630" s="50">
        <v>17083123855</v>
      </c>
      <c r="X630" s="50" t="s">
        <v>132</v>
      </c>
      <c r="Y630" s="50"/>
    </row>
    <row r="631" spans="1:29" x14ac:dyDescent="0.25">
      <c r="A631" s="25" t="s">
        <v>115</v>
      </c>
      <c r="B631" t="b">
        <v>0</v>
      </c>
      <c r="C631" s="43" t="s">
        <v>812</v>
      </c>
      <c r="D631" s="43">
        <v>20112866722</v>
      </c>
      <c r="E631" s="43">
        <v>20112865826</v>
      </c>
      <c r="F631" s="43" t="s">
        <v>132</v>
      </c>
      <c r="G631" s="43" t="b">
        <v>0</v>
      </c>
      <c r="H631" s="43" t="b">
        <v>0</v>
      </c>
      <c r="I631" s="43"/>
      <c r="M631" s="48" t="s">
        <v>812</v>
      </c>
      <c r="N631" s="48">
        <v>17088573377</v>
      </c>
      <c r="O631" s="48">
        <v>17088568360</v>
      </c>
      <c r="P631" s="48" t="s">
        <v>132</v>
      </c>
      <c r="Q631" s="49" t="s">
        <v>812</v>
      </c>
      <c r="R631" s="49">
        <v>17083127498</v>
      </c>
      <c r="S631" s="49">
        <v>17083125650</v>
      </c>
      <c r="T631" s="49" t="s">
        <v>132</v>
      </c>
      <c r="U631" s="50" t="s">
        <v>812</v>
      </c>
      <c r="V631" s="50">
        <v>17083127498</v>
      </c>
      <c r="W631" s="50">
        <v>17083125650</v>
      </c>
      <c r="X631" s="50" t="s">
        <v>132</v>
      </c>
      <c r="Y631" s="50"/>
    </row>
    <row r="632" spans="1:29" x14ac:dyDescent="0.25">
      <c r="A632" s="25" t="s">
        <v>115</v>
      </c>
      <c r="B632" t="b">
        <v>0</v>
      </c>
      <c r="C632" s="43" t="s">
        <v>813</v>
      </c>
      <c r="D632" s="43">
        <v>20112864162</v>
      </c>
      <c r="E632" s="43">
        <v>20112867266</v>
      </c>
      <c r="F632" s="43" t="s">
        <v>132</v>
      </c>
      <c r="G632" s="43" t="b">
        <v>0</v>
      </c>
      <c r="H632" s="43" t="b">
        <v>0</v>
      </c>
      <c r="I632" s="43"/>
      <c r="M632" s="48" t="s">
        <v>813</v>
      </c>
      <c r="N632" s="48">
        <v>17088572668</v>
      </c>
      <c r="O632" s="48">
        <v>17088566542</v>
      </c>
      <c r="P632" s="48" t="s">
        <v>132</v>
      </c>
      <c r="Q632" s="49" t="s">
        <v>813</v>
      </c>
      <c r="R632" s="49">
        <v>17083127254</v>
      </c>
      <c r="S632" s="49">
        <v>17083124089</v>
      </c>
      <c r="T632" s="49" t="s">
        <v>132</v>
      </c>
      <c r="U632" s="50" t="s">
        <v>813</v>
      </c>
      <c r="V632" s="50">
        <v>17083127254</v>
      </c>
      <c r="W632" s="50">
        <v>17083124089</v>
      </c>
      <c r="X632" s="50" t="s">
        <v>132</v>
      </c>
      <c r="Y632" s="50"/>
    </row>
    <row r="633" spans="1:29" x14ac:dyDescent="0.25">
      <c r="A633" s="25" t="s">
        <v>115</v>
      </c>
      <c r="B633" t="b">
        <v>0</v>
      </c>
      <c r="C633" s="43" t="s">
        <v>814</v>
      </c>
      <c r="D633" s="43">
        <v>20112866210</v>
      </c>
      <c r="E633" s="43">
        <v>20112866594</v>
      </c>
      <c r="F633" s="43" t="s">
        <v>132</v>
      </c>
      <c r="G633" s="43" t="b">
        <v>0</v>
      </c>
      <c r="H633" s="43" t="b">
        <v>0</v>
      </c>
      <c r="I633" s="43"/>
      <c r="M633" s="48" t="s">
        <v>814</v>
      </c>
      <c r="N633" s="48">
        <v>17088570110</v>
      </c>
      <c r="O633" s="48">
        <v>17088563135</v>
      </c>
      <c r="P633" s="48" t="s">
        <v>132</v>
      </c>
      <c r="Q633" s="49" t="s">
        <v>814</v>
      </c>
      <c r="R633" s="49">
        <v>17083125770</v>
      </c>
      <c r="S633" s="49">
        <v>17083124076</v>
      </c>
      <c r="T633" s="49" t="s">
        <v>132</v>
      </c>
      <c r="U633" s="50" t="s">
        <v>814</v>
      </c>
      <c r="V633" s="50">
        <v>17083125770</v>
      </c>
      <c r="W633" s="50">
        <v>17083124076</v>
      </c>
      <c r="X633" s="50" t="s">
        <v>132</v>
      </c>
      <c r="Y633" s="50"/>
    </row>
    <row r="634" spans="1:29" x14ac:dyDescent="0.25">
      <c r="A634" s="25" t="s">
        <v>248</v>
      </c>
      <c r="B634" t="b">
        <v>0</v>
      </c>
      <c r="C634" s="43" t="s">
        <v>815</v>
      </c>
      <c r="D634" s="43">
        <v>20112865186</v>
      </c>
      <c r="E634" s="43">
        <v>20112865922</v>
      </c>
      <c r="F634" s="43" t="s">
        <v>173</v>
      </c>
      <c r="G634" s="43" t="b">
        <v>0</v>
      </c>
      <c r="H634" s="43" t="b">
        <v>1</v>
      </c>
      <c r="I634" s="43"/>
      <c r="J634" s="45" t="s">
        <v>815</v>
      </c>
      <c r="K634" s="46">
        <v>20112865922</v>
      </c>
      <c r="M634" s="48" t="s">
        <v>815</v>
      </c>
      <c r="N634" s="48">
        <v>17088572065</v>
      </c>
      <c r="O634" s="48">
        <v>17088563327</v>
      </c>
      <c r="P634" s="48" t="s">
        <v>173</v>
      </c>
      <c r="Q634" s="49" t="s">
        <v>815</v>
      </c>
      <c r="R634" s="49">
        <v>17083129162</v>
      </c>
      <c r="S634" s="49">
        <v>17083122540</v>
      </c>
      <c r="T634" s="49" t="s">
        <v>173</v>
      </c>
      <c r="U634" s="50" t="s">
        <v>815</v>
      </c>
      <c r="V634" s="50">
        <v>17083129162</v>
      </c>
      <c r="W634" s="50">
        <v>17083122540</v>
      </c>
      <c r="X634" s="50" t="s">
        <v>173</v>
      </c>
      <c r="Y634" s="50"/>
      <c r="Z634" s="51" t="s">
        <v>815</v>
      </c>
      <c r="AA634" s="51" t="s">
        <v>223</v>
      </c>
      <c r="AB634" s="51">
        <v>21551</v>
      </c>
      <c r="AC634" s="51">
        <v>25646</v>
      </c>
    </row>
    <row r="635" spans="1:29" x14ac:dyDescent="0.25">
      <c r="A635" s="25" t="s">
        <v>248</v>
      </c>
      <c r="B635" t="b">
        <v>0</v>
      </c>
      <c r="C635" s="43" t="s">
        <v>816</v>
      </c>
      <c r="D635" s="43">
        <v>20112867234</v>
      </c>
      <c r="E635" s="43">
        <v>20112864386</v>
      </c>
      <c r="F635" s="43" t="s">
        <v>173</v>
      </c>
      <c r="G635" s="43" t="b">
        <v>0</v>
      </c>
      <c r="H635" s="43" t="b">
        <v>1</v>
      </c>
      <c r="I635" s="43"/>
      <c r="J635" s="45" t="s">
        <v>816</v>
      </c>
      <c r="K635" s="46">
        <v>20112864386</v>
      </c>
      <c r="M635" s="48" t="s">
        <v>816</v>
      </c>
      <c r="N635" s="48">
        <v>17088569377</v>
      </c>
      <c r="O635" s="48">
        <v>17088561791</v>
      </c>
      <c r="P635" s="48" t="s">
        <v>173</v>
      </c>
      <c r="Q635" s="49" t="s">
        <v>816</v>
      </c>
      <c r="R635" s="49">
        <v>17083127434</v>
      </c>
      <c r="S635" s="49">
        <v>17083125612</v>
      </c>
      <c r="T635" s="49" t="s">
        <v>173</v>
      </c>
      <c r="U635" s="50" t="s">
        <v>816</v>
      </c>
      <c r="V635" s="50">
        <v>17083127434</v>
      </c>
      <c r="W635" s="50">
        <v>17083125612</v>
      </c>
      <c r="X635" s="50" t="s">
        <v>173</v>
      </c>
      <c r="Y635" s="50"/>
      <c r="Z635" s="51" t="s">
        <v>816</v>
      </c>
      <c r="AA635" s="51" t="s">
        <v>223</v>
      </c>
      <c r="AB635" s="51">
        <v>30172</v>
      </c>
      <c r="AC635" s="51">
        <v>35905</v>
      </c>
    </row>
    <row r="636" spans="1:29" x14ac:dyDescent="0.25">
      <c r="A636" s="25" t="b">
        <v>1</v>
      </c>
      <c r="B636" t="b">
        <v>0</v>
      </c>
      <c r="C636" s="43" t="s">
        <v>817</v>
      </c>
      <c r="D636" s="43">
        <v>20112863330</v>
      </c>
      <c r="E636" s="43">
        <v>20112863522</v>
      </c>
      <c r="F636" s="43" t="s">
        <v>173</v>
      </c>
      <c r="G636" s="43" t="b">
        <v>0</v>
      </c>
      <c r="H636" s="43" t="b">
        <v>1</v>
      </c>
      <c r="I636" s="43"/>
      <c r="J636" s="45" t="s">
        <v>817</v>
      </c>
      <c r="K636" s="46">
        <v>20112863522</v>
      </c>
      <c r="M636" s="48" t="s">
        <v>817</v>
      </c>
      <c r="N636" s="48">
        <v>17088570554</v>
      </c>
      <c r="O636" s="48">
        <v>17088566495</v>
      </c>
      <c r="P636" s="48" t="s">
        <v>173</v>
      </c>
      <c r="Q636" s="49" t="s">
        <v>817</v>
      </c>
      <c r="R636" s="49">
        <v>17083129617</v>
      </c>
      <c r="S636" s="49">
        <v>17083128440</v>
      </c>
      <c r="T636" s="49" t="s">
        <v>173</v>
      </c>
      <c r="U636" s="50" t="s">
        <v>817</v>
      </c>
      <c r="V636" s="50">
        <v>17083129617</v>
      </c>
      <c r="W636" s="50">
        <v>17083128440</v>
      </c>
      <c r="X636" s="50" t="s">
        <v>173</v>
      </c>
      <c r="Y636" s="50"/>
      <c r="Z636" s="51" t="s">
        <v>817</v>
      </c>
      <c r="AA636" s="51" t="s">
        <v>223</v>
      </c>
      <c r="AB636" s="51">
        <v>43965</v>
      </c>
      <c r="AC636" s="51">
        <v>52318</v>
      </c>
    </row>
    <row r="637" spans="1:29" x14ac:dyDescent="0.25">
      <c r="A637" s="25" t="s">
        <v>248</v>
      </c>
      <c r="B637" t="b">
        <v>0</v>
      </c>
      <c r="C637" s="43" t="s">
        <v>818</v>
      </c>
      <c r="D637" s="43">
        <v>20112865378</v>
      </c>
      <c r="E637" s="43">
        <v>20112863618</v>
      </c>
      <c r="F637" s="43" t="s">
        <v>173</v>
      </c>
      <c r="G637" s="43" t="b">
        <v>0</v>
      </c>
      <c r="H637" s="43" t="b">
        <v>1</v>
      </c>
      <c r="I637" s="43"/>
      <c r="J637" s="45" t="s">
        <v>818</v>
      </c>
      <c r="K637" s="46">
        <v>20112863618</v>
      </c>
      <c r="L637" s="47">
        <v>990000401</v>
      </c>
      <c r="M637" s="48" t="s">
        <v>818</v>
      </c>
      <c r="N637" s="48">
        <v>17088570076</v>
      </c>
      <c r="O637" s="48">
        <v>17088565682</v>
      </c>
      <c r="P637" s="48" t="s">
        <v>173</v>
      </c>
      <c r="Q637" s="49" t="s">
        <v>818</v>
      </c>
      <c r="R637" s="49">
        <v>17083129446</v>
      </c>
      <c r="S637" s="49">
        <v>17083125246</v>
      </c>
      <c r="T637" s="49" t="s">
        <v>173</v>
      </c>
      <c r="U637" s="50" t="s">
        <v>818</v>
      </c>
      <c r="V637" s="50">
        <v>17083129446</v>
      </c>
      <c r="W637" s="50">
        <v>17083125246</v>
      </c>
      <c r="X637" s="50" t="s">
        <v>173</v>
      </c>
      <c r="Y637" s="50"/>
      <c r="Z637" s="51" t="s">
        <v>818</v>
      </c>
      <c r="AA637" s="51" t="s">
        <v>223</v>
      </c>
      <c r="AB637" s="51">
        <v>10344</v>
      </c>
      <c r="AC637" s="51">
        <v>12309</v>
      </c>
    </row>
    <row r="638" spans="1:29" x14ac:dyDescent="0.25">
      <c r="A638" s="25" t="s">
        <v>248</v>
      </c>
      <c r="B638" t="b">
        <v>0</v>
      </c>
      <c r="C638" s="43" t="s">
        <v>819</v>
      </c>
      <c r="D638" s="43">
        <v>20112864354</v>
      </c>
      <c r="E638" s="43">
        <v>20112865346</v>
      </c>
      <c r="F638" s="43" t="s">
        <v>173</v>
      </c>
      <c r="G638" s="43" t="b">
        <v>0</v>
      </c>
      <c r="H638" s="43" t="b">
        <v>1</v>
      </c>
      <c r="I638" s="43"/>
      <c r="J638" s="45" t="s">
        <v>819</v>
      </c>
      <c r="K638" s="46">
        <v>20112865346</v>
      </c>
      <c r="L638" s="47">
        <v>990000403</v>
      </c>
      <c r="M638" s="48" t="s">
        <v>819</v>
      </c>
      <c r="N638" s="48">
        <v>17088569410</v>
      </c>
      <c r="O638" s="48">
        <v>17088569126</v>
      </c>
      <c r="P638" s="48" t="s">
        <v>173</v>
      </c>
      <c r="Q638" s="49" t="s">
        <v>819</v>
      </c>
      <c r="R638" s="49">
        <v>17083128374</v>
      </c>
      <c r="S638" s="49">
        <v>17083125545</v>
      </c>
      <c r="T638" s="49" t="s">
        <v>173</v>
      </c>
      <c r="U638" s="50" t="s">
        <v>819</v>
      </c>
      <c r="V638" s="50">
        <v>17083128374</v>
      </c>
      <c r="W638" s="50">
        <v>17083125545</v>
      </c>
      <c r="X638" s="50" t="s">
        <v>173</v>
      </c>
      <c r="Y638" s="50"/>
      <c r="Z638" s="51" t="s">
        <v>819</v>
      </c>
      <c r="AA638" s="51" t="s">
        <v>223</v>
      </c>
      <c r="AB638" s="51">
        <v>8189</v>
      </c>
      <c r="AC638" s="51">
        <v>9745</v>
      </c>
    </row>
    <row r="639" spans="1:29" x14ac:dyDescent="0.25">
      <c r="A639" s="25" t="s">
        <v>248</v>
      </c>
      <c r="B639" t="b">
        <v>0</v>
      </c>
      <c r="C639" s="43" t="s">
        <v>820</v>
      </c>
      <c r="D639" s="43">
        <v>20112866402</v>
      </c>
      <c r="E639" s="43">
        <v>20112866690</v>
      </c>
      <c r="F639" s="43" t="s">
        <v>173</v>
      </c>
      <c r="G639" s="43" t="b">
        <v>0</v>
      </c>
      <c r="H639" s="43" t="b">
        <v>1</v>
      </c>
      <c r="I639" s="43"/>
      <c r="J639" s="45" t="s">
        <v>820</v>
      </c>
      <c r="K639" s="46">
        <v>20112866690</v>
      </c>
      <c r="L639" s="47">
        <v>990000405</v>
      </c>
      <c r="M639" s="48" t="s">
        <v>820</v>
      </c>
      <c r="N639" s="48">
        <v>17088573244</v>
      </c>
      <c r="O639" s="48">
        <v>17088567986</v>
      </c>
      <c r="P639" s="48" t="s">
        <v>173</v>
      </c>
      <c r="Q639" s="49" t="s">
        <v>820</v>
      </c>
      <c r="R639" s="49">
        <v>17083127526</v>
      </c>
      <c r="S639" s="49">
        <v>17083122174</v>
      </c>
      <c r="T639" s="49" t="s">
        <v>173</v>
      </c>
      <c r="U639" s="50" t="s">
        <v>820</v>
      </c>
      <c r="V639" s="50">
        <v>17083127526</v>
      </c>
      <c r="W639" s="50">
        <v>17083122174</v>
      </c>
      <c r="X639" s="50" t="s">
        <v>173</v>
      </c>
      <c r="Y639" s="50"/>
      <c r="Z639" s="51" t="s">
        <v>820</v>
      </c>
      <c r="AA639" s="51" t="s">
        <v>223</v>
      </c>
      <c r="AB639" s="51">
        <v>6896</v>
      </c>
      <c r="AC639" s="51">
        <v>8206</v>
      </c>
    </row>
    <row r="640" spans="1:29" x14ac:dyDescent="0.25">
      <c r="A640" s="25" t="s">
        <v>248</v>
      </c>
      <c r="B640" t="b">
        <v>0</v>
      </c>
      <c r="C640" s="43" t="s">
        <v>821</v>
      </c>
      <c r="D640" s="43">
        <v>20112863842</v>
      </c>
      <c r="E640" s="43">
        <v>20112865154</v>
      </c>
      <c r="F640" s="43" t="s">
        <v>173</v>
      </c>
      <c r="G640" s="43" t="b">
        <v>0</v>
      </c>
      <c r="H640" s="43" t="b">
        <v>1</v>
      </c>
      <c r="I640" s="43"/>
      <c r="J640" s="45" t="s">
        <v>821</v>
      </c>
      <c r="K640" s="46">
        <v>20112865154</v>
      </c>
      <c r="L640" s="47">
        <v>990000407</v>
      </c>
      <c r="M640" s="48" t="s">
        <v>821</v>
      </c>
      <c r="N640" s="48">
        <v>17088573404</v>
      </c>
      <c r="O640" s="48">
        <v>17088566450</v>
      </c>
      <c r="P640" s="48" t="s">
        <v>173</v>
      </c>
      <c r="Q640" s="49" t="s">
        <v>821</v>
      </c>
      <c r="R640" s="49">
        <v>17083128678</v>
      </c>
      <c r="S640" s="49">
        <v>17083124478</v>
      </c>
      <c r="T640" s="49" t="s">
        <v>173</v>
      </c>
      <c r="U640" s="50" t="s">
        <v>821</v>
      </c>
      <c r="V640" s="50">
        <v>17083128678</v>
      </c>
      <c r="W640" s="50">
        <v>17083124478</v>
      </c>
      <c r="X640" s="50" t="s">
        <v>173</v>
      </c>
      <c r="Y640" s="50"/>
      <c r="Z640" s="51" t="s">
        <v>821</v>
      </c>
      <c r="AA640" s="51" t="s">
        <v>223</v>
      </c>
      <c r="AB640" s="51">
        <v>4741</v>
      </c>
      <c r="AC640" s="51">
        <v>5642</v>
      </c>
    </row>
    <row r="641" spans="1:29" x14ac:dyDescent="0.25">
      <c r="A641" s="25" t="b">
        <v>1</v>
      </c>
      <c r="B641" t="b">
        <v>0</v>
      </c>
      <c r="C641" s="43" t="s">
        <v>822</v>
      </c>
      <c r="D641" s="43">
        <v>20112865890</v>
      </c>
      <c r="E641" s="43">
        <v>20112863234</v>
      </c>
      <c r="F641" s="43" t="s">
        <v>173</v>
      </c>
      <c r="G641" s="43" t="b">
        <v>0</v>
      </c>
      <c r="H641" s="43" t="b">
        <v>1</v>
      </c>
      <c r="I641" s="43"/>
      <c r="J641" s="45" t="s">
        <v>822</v>
      </c>
      <c r="K641" s="46">
        <v>20112863234</v>
      </c>
      <c r="M641" s="48" t="s">
        <v>822</v>
      </c>
      <c r="N641" s="48">
        <v>17088571854</v>
      </c>
      <c r="O641" s="48">
        <v>17088559474</v>
      </c>
      <c r="P641" s="48" t="s">
        <v>173</v>
      </c>
      <c r="Q641" s="49" t="s">
        <v>822</v>
      </c>
      <c r="R641" s="49">
        <v>17083127045</v>
      </c>
      <c r="S641" s="49">
        <v>17083117823</v>
      </c>
      <c r="T641" s="49" t="s">
        <v>173</v>
      </c>
      <c r="U641" s="50" t="s">
        <v>822</v>
      </c>
      <c r="V641" s="50">
        <v>17083127045</v>
      </c>
      <c r="W641" s="50">
        <v>17083117823</v>
      </c>
      <c r="X641" s="50" t="s">
        <v>173</v>
      </c>
      <c r="Y641" s="50"/>
      <c r="Z641" s="51" t="s">
        <v>822</v>
      </c>
      <c r="AA641" s="51" t="s">
        <v>223</v>
      </c>
      <c r="AB641" s="51">
        <v>6206</v>
      </c>
      <c r="AC641" s="51">
        <v>7385</v>
      </c>
    </row>
    <row r="642" spans="1:29" x14ac:dyDescent="0.25">
      <c r="A642" s="25" t="b">
        <v>1</v>
      </c>
      <c r="B642" t="b">
        <v>0</v>
      </c>
      <c r="C642" s="43" t="s">
        <v>823</v>
      </c>
      <c r="D642" s="43">
        <v>20112864866</v>
      </c>
      <c r="E642" s="43">
        <v>20112864770</v>
      </c>
      <c r="F642" s="43" t="s">
        <v>173</v>
      </c>
      <c r="G642" s="43" t="b">
        <v>0</v>
      </c>
      <c r="H642" s="43" t="b">
        <v>1</v>
      </c>
      <c r="I642" s="43"/>
      <c r="J642" s="45" t="s">
        <v>823</v>
      </c>
      <c r="K642" s="46">
        <v>20112864770</v>
      </c>
      <c r="M642" s="48" t="s">
        <v>823</v>
      </c>
      <c r="N642" s="48">
        <v>17088573102</v>
      </c>
      <c r="O642" s="48">
        <v>17088564595</v>
      </c>
      <c r="P642" s="48" t="s">
        <v>173</v>
      </c>
      <c r="Q642" s="49" t="s">
        <v>823</v>
      </c>
      <c r="R642" s="49">
        <v>17083126085</v>
      </c>
      <c r="S642" s="49">
        <v>17083123168</v>
      </c>
      <c r="T642" s="49" t="s">
        <v>173</v>
      </c>
      <c r="U642" s="50" t="s">
        <v>823</v>
      </c>
      <c r="V642" s="50">
        <v>17083126085</v>
      </c>
      <c r="W642" s="50">
        <v>17083123168</v>
      </c>
      <c r="X642" s="50" t="s">
        <v>173</v>
      </c>
      <c r="Y642" s="50"/>
      <c r="Z642" s="51" t="s">
        <v>823</v>
      </c>
      <c r="AA642" s="51" t="s">
        <v>223</v>
      </c>
      <c r="AB642" s="51">
        <v>5431</v>
      </c>
      <c r="AC642" s="51">
        <v>6463</v>
      </c>
    </row>
    <row r="643" spans="1:29" x14ac:dyDescent="0.25">
      <c r="A643" s="25" t="b">
        <v>1</v>
      </c>
      <c r="B643" t="b">
        <v>0</v>
      </c>
      <c r="C643" s="43" t="s">
        <v>824</v>
      </c>
      <c r="D643" s="43">
        <v>20112866914</v>
      </c>
      <c r="E643" s="43">
        <v>20112866306</v>
      </c>
      <c r="F643" s="43" t="s">
        <v>173</v>
      </c>
      <c r="G643" s="43" t="b">
        <v>0</v>
      </c>
      <c r="H643" s="43" t="b">
        <v>1</v>
      </c>
      <c r="I643" s="43"/>
      <c r="J643" s="45" t="s">
        <v>824</v>
      </c>
      <c r="K643" s="46">
        <v>20112866306</v>
      </c>
      <c r="M643" s="48" t="s">
        <v>824</v>
      </c>
      <c r="N643" s="48">
        <v>17088570990</v>
      </c>
      <c r="O643" s="48">
        <v>17088563059</v>
      </c>
      <c r="P643" s="48" t="s">
        <v>173</v>
      </c>
      <c r="Q643" s="49" t="s">
        <v>824</v>
      </c>
      <c r="R643" s="49">
        <v>17083129669</v>
      </c>
      <c r="S643" s="49">
        <v>17083124704</v>
      </c>
      <c r="T643" s="49" t="s">
        <v>173</v>
      </c>
      <c r="U643" s="50" t="s">
        <v>824</v>
      </c>
      <c r="V643" s="50">
        <v>17083129669</v>
      </c>
      <c r="W643" s="50">
        <v>17083124704</v>
      </c>
      <c r="X643" s="50" t="s">
        <v>173</v>
      </c>
      <c r="Y643" s="50"/>
      <c r="Z643" s="51" t="s">
        <v>824</v>
      </c>
      <c r="AA643" s="51" t="s">
        <v>223</v>
      </c>
      <c r="AB643" s="51">
        <v>4655</v>
      </c>
      <c r="AC643" s="51">
        <v>5539</v>
      </c>
    </row>
    <row r="644" spans="1:29" x14ac:dyDescent="0.25">
      <c r="A644" s="25" t="b">
        <v>1</v>
      </c>
      <c r="B644" t="b">
        <v>0</v>
      </c>
      <c r="C644" s="43" t="s">
        <v>825</v>
      </c>
      <c r="D644" s="43">
        <v>20112863586</v>
      </c>
      <c r="E644" s="43">
        <v>20112866300</v>
      </c>
      <c r="F644" s="43" t="s">
        <v>173</v>
      </c>
      <c r="G644" s="43" t="b">
        <v>0</v>
      </c>
      <c r="H644" s="43" t="b">
        <v>1</v>
      </c>
      <c r="I644" s="43"/>
      <c r="J644" s="45" t="s">
        <v>825</v>
      </c>
      <c r="K644" s="46">
        <v>20112866300</v>
      </c>
      <c r="M644" s="48" t="s">
        <v>825</v>
      </c>
      <c r="N644" s="48">
        <v>17088569570</v>
      </c>
      <c r="O644" s="48">
        <v>17088565937</v>
      </c>
      <c r="P644" s="48" t="s">
        <v>173</v>
      </c>
      <c r="Q644" s="49" t="s">
        <v>825</v>
      </c>
      <c r="R644" s="49">
        <v>17083128398</v>
      </c>
      <c r="S644" s="49">
        <v>17083122349</v>
      </c>
      <c r="T644" s="49" t="s">
        <v>173</v>
      </c>
      <c r="U644" s="50" t="s">
        <v>825</v>
      </c>
      <c r="V644" s="50">
        <v>17083128398</v>
      </c>
      <c r="W644" s="50">
        <v>17083122349</v>
      </c>
      <c r="X644" s="50" t="s">
        <v>173</v>
      </c>
      <c r="Y644" s="50"/>
      <c r="Z644" s="51" t="s">
        <v>825</v>
      </c>
      <c r="AA644" s="51" t="s">
        <v>223</v>
      </c>
      <c r="AB644" s="51">
        <v>15517</v>
      </c>
      <c r="AC644" s="51">
        <v>18465</v>
      </c>
    </row>
    <row r="645" spans="1:29" x14ac:dyDescent="0.25">
      <c r="A645" s="25" t="s">
        <v>115</v>
      </c>
      <c r="B645" t="b">
        <v>0</v>
      </c>
      <c r="C645" s="43" t="s">
        <v>826</v>
      </c>
      <c r="D645" s="43">
        <v>20112865634</v>
      </c>
      <c r="E645" s="43">
        <v>20112867074</v>
      </c>
      <c r="F645" s="43" t="s">
        <v>173</v>
      </c>
      <c r="G645" s="43" t="b">
        <v>0</v>
      </c>
      <c r="H645" s="43" t="b">
        <v>1</v>
      </c>
      <c r="I645" s="43"/>
      <c r="J645" s="45" t="s">
        <v>826</v>
      </c>
      <c r="K645" s="46">
        <v>20112867074</v>
      </c>
      <c r="M645" s="48" t="s">
        <v>826</v>
      </c>
      <c r="N645" s="48">
        <v>17088572068</v>
      </c>
      <c r="O645" s="48">
        <v>17088563291</v>
      </c>
      <c r="P645" s="48" t="s">
        <v>173</v>
      </c>
      <c r="Q645" s="49" t="s">
        <v>826</v>
      </c>
      <c r="R645" s="49">
        <v>17083126506</v>
      </c>
      <c r="S645" s="49">
        <v>17083125640</v>
      </c>
      <c r="T645" s="49" t="s">
        <v>173</v>
      </c>
      <c r="U645" s="50" t="s">
        <v>826</v>
      </c>
      <c r="V645" s="50">
        <v>17083126506</v>
      </c>
      <c r="W645" s="50">
        <v>17083125640</v>
      </c>
      <c r="X645" s="50" t="s">
        <v>173</v>
      </c>
      <c r="Y645" s="50"/>
      <c r="Z645" s="51" t="s">
        <v>826</v>
      </c>
      <c r="AA645" s="51" t="s">
        <v>223</v>
      </c>
      <c r="AB645" s="51">
        <v>2758</v>
      </c>
      <c r="AC645" s="51">
        <v>3282</v>
      </c>
    </row>
    <row r="646" spans="1:29" x14ac:dyDescent="0.25">
      <c r="A646" s="25" t="b">
        <v>1</v>
      </c>
      <c r="B646" t="b">
        <v>0</v>
      </c>
      <c r="C646" s="43" t="s">
        <v>827</v>
      </c>
      <c r="D646" s="43">
        <v>20112864610</v>
      </c>
      <c r="E646" s="43">
        <v>20112864002</v>
      </c>
      <c r="F646" s="43" t="s">
        <v>173</v>
      </c>
      <c r="G646" s="43" t="b">
        <v>0</v>
      </c>
      <c r="H646" s="43" t="b">
        <v>1</v>
      </c>
      <c r="I646" s="43"/>
      <c r="J646" s="45" t="s">
        <v>827</v>
      </c>
      <c r="K646" s="46">
        <v>20112864002</v>
      </c>
      <c r="M646" s="48" t="s">
        <v>827</v>
      </c>
      <c r="N646" s="48">
        <v>17088570532</v>
      </c>
      <c r="O646" s="48">
        <v>17088561575</v>
      </c>
      <c r="P646" s="48" t="s">
        <v>173</v>
      </c>
      <c r="Q646" s="49" t="s">
        <v>827</v>
      </c>
      <c r="R646" s="49">
        <v>17083126634</v>
      </c>
      <c r="S646" s="49">
        <v>17083124856</v>
      </c>
      <c r="T646" s="49" t="s">
        <v>173</v>
      </c>
      <c r="U646" s="50" t="s">
        <v>827</v>
      </c>
      <c r="V646" s="50">
        <v>17083126634</v>
      </c>
      <c r="W646" s="50">
        <v>17083124856</v>
      </c>
      <c r="X646" s="50" t="s">
        <v>173</v>
      </c>
      <c r="Y646" s="50"/>
      <c r="Z646" s="51" t="s">
        <v>827</v>
      </c>
      <c r="AA646" s="51" t="s">
        <v>223</v>
      </c>
      <c r="AB646" s="51">
        <v>1956</v>
      </c>
      <c r="AC646" s="51">
        <v>2328</v>
      </c>
    </row>
    <row r="647" spans="1:29" x14ac:dyDescent="0.25">
      <c r="A647" s="25" t="b">
        <v>1</v>
      </c>
      <c r="B647" t="b">
        <v>0</v>
      </c>
      <c r="C647" s="43" t="s">
        <v>828</v>
      </c>
      <c r="D647" s="43">
        <v>20112866658</v>
      </c>
      <c r="E647" s="43">
        <v>20112865538</v>
      </c>
      <c r="F647" s="43" t="s">
        <v>173</v>
      </c>
      <c r="G647" s="43" t="b">
        <v>0</v>
      </c>
      <c r="H647" s="43" t="b">
        <v>1</v>
      </c>
      <c r="I647" s="43"/>
      <c r="J647" s="45" t="s">
        <v>828</v>
      </c>
      <c r="K647" s="46">
        <v>20112865538</v>
      </c>
      <c r="M647" s="48" t="s">
        <v>828</v>
      </c>
      <c r="N647" s="48">
        <v>17088569474</v>
      </c>
      <c r="O647" s="48">
        <v>17088569040</v>
      </c>
      <c r="P647" s="48" t="s">
        <v>173</v>
      </c>
      <c r="Q647" s="49" t="s">
        <v>828</v>
      </c>
      <c r="R647" s="49">
        <v>17083129846</v>
      </c>
      <c r="S647" s="49">
        <v>17083124546</v>
      </c>
      <c r="T647" s="49" t="s">
        <v>173</v>
      </c>
      <c r="U647" s="50" t="s">
        <v>828</v>
      </c>
      <c r="V647" s="50">
        <v>17083129846</v>
      </c>
      <c r="W647" s="50">
        <v>17083124546</v>
      </c>
      <c r="X647" s="50" t="s">
        <v>173</v>
      </c>
      <c r="Y647" s="50"/>
      <c r="Z647" s="51" t="s">
        <v>828</v>
      </c>
      <c r="AA647" s="51" t="s">
        <v>223</v>
      </c>
      <c r="AB647" s="51">
        <v>2543</v>
      </c>
      <c r="AC647" s="51">
        <v>3026</v>
      </c>
    </row>
    <row r="648" spans="1:29" x14ac:dyDescent="0.25">
      <c r="A648" s="25" t="s">
        <v>115</v>
      </c>
      <c r="B648" t="b">
        <v>0</v>
      </c>
      <c r="C648" s="43" t="s">
        <v>829</v>
      </c>
      <c r="D648" s="43">
        <v>20112864098</v>
      </c>
      <c r="E648" s="43">
        <v>20112865058</v>
      </c>
      <c r="F648" s="43" t="s">
        <v>186</v>
      </c>
      <c r="G648" s="43" t="b">
        <v>0</v>
      </c>
      <c r="H648" s="43" t="b">
        <v>0</v>
      </c>
      <c r="I648" s="43"/>
      <c r="M648" s="48" t="s">
        <v>829</v>
      </c>
      <c r="N648" s="48">
        <v>17088572710</v>
      </c>
      <c r="O648" s="48">
        <v>17088559048</v>
      </c>
      <c r="P648" s="48" t="s">
        <v>186</v>
      </c>
      <c r="Q648" s="49" t="s">
        <v>829</v>
      </c>
      <c r="R648" s="49">
        <v>17083125897</v>
      </c>
      <c r="S648" s="49">
        <v>17083089948</v>
      </c>
      <c r="T648" s="49" t="s">
        <v>186</v>
      </c>
      <c r="U648" s="50" t="s">
        <v>829</v>
      </c>
      <c r="V648" s="50">
        <v>17083125897</v>
      </c>
      <c r="W648" s="50">
        <v>17083089948</v>
      </c>
      <c r="X648" s="50" t="s">
        <v>186</v>
      </c>
      <c r="Y648" s="50"/>
    </row>
    <row r="649" spans="1:29" x14ac:dyDescent="0.25">
      <c r="A649" s="25" t="b">
        <v>1</v>
      </c>
      <c r="B649" t="b">
        <v>0</v>
      </c>
      <c r="C649" s="43" t="s">
        <v>830</v>
      </c>
      <c r="D649" s="43">
        <v>26026640650</v>
      </c>
      <c r="E649" s="43">
        <v>26026641418</v>
      </c>
      <c r="F649" s="43" t="s">
        <v>173</v>
      </c>
      <c r="G649" s="43" t="b">
        <v>0</v>
      </c>
      <c r="H649" s="43" t="b">
        <v>0</v>
      </c>
      <c r="I649" s="43"/>
      <c r="J649" s="45" t="s">
        <v>830</v>
      </c>
      <c r="K649" s="46">
        <v>26026641418</v>
      </c>
      <c r="M649" s="48" t="s">
        <v>830</v>
      </c>
      <c r="N649" s="48">
        <v>17088570462</v>
      </c>
      <c r="O649" s="48">
        <v>17088563495</v>
      </c>
      <c r="P649" s="48" t="s">
        <v>173</v>
      </c>
      <c r="Q649" s="49" t="s">
        <v>830</v>
      </c>
      <c r="R649" s="49">
        <v>17083128978</v>
      </c>
      <c r="S649" s="49">
        <v>17083123512</v>
      </c>
      <c r="T649" s="49" t="s">
        <v>173</v>
      </c>
      <c r="U649" s="50" t="s">
        <v>830</v>
      </c>
      <c r="V649" s="50">
        <v>17083128978</v>
      </c>
      <c r="W649" s="50">
        <v>17083123512</v>
      </c>
      <c r="X649" s="50" t="s">
        <v>173</v>
      </c>
      <c r="Y649" s="50"/>
    </row>
    <row r="650" spans="1:29" x14ac:dyDescent="0.25">
      <c r="A650" s="25" t="b">
        <v>1</v>
      </c>
      <c r="B650" t="b">
        <v>0</v>
      </c>
      <c r="C650" s="43" t="s">
        <v>831</v>
      </c>
      <c r="D650" s="43">
        <v>26026642698</v>
      </c>
      <c r="E650" s="43">
        <v>26026639882</v>
      </c>
      <c r="F650" s="43" t="s">
        <v>173</v>
      </c>
      <c r="G650" s="43" t="b">
        <v>0</v>
      </c>
      <c r="H650" s="43" t="b">
        <v>0</v>
      </c>
      <c r="I650" s="43"/>
      <c r="J650" s="45" t="s">
        <v>831</v>
      </c>
      <c r="K650" s="46">
        <v>26026639882</v>
      </c>
      <c r="M650" s="48" t="s">
        <v>831</v>
      </c>
      <c r="N650" s="48">
        <v>17088571236</v>
      </c>
      <c r="O650" s="48">
        <v>17088568036</v>
      </c>
      <c r="P650" s="48" t="s">
        <v>173</v>
      </c>
      <c r="Q650" s="49" t="s">
        <v>831</v>
      </c>
      <c r="R650" s="49">
        <v>17083126106</v>
      </c>
      <c r="S650" s="49">
        <v>17083124410</v>
      </c>
      <c r="T650" s="49" t="s">
        <v>173</v>
      </c>
      <c r="U650" s="50" t="s">
        <v>831</v>
      </c>
      <c r="V650" s="50">
        <v>17083126106</v>
      </c>
      <c r="W650" s="50">
        <v>17083124410</v>
      </c>
      <c r="X650" s="50" t="s">
        <v>173</v>
      </c>
      <c r="Y650" s="50"/>
    </row>
    <row r="651" spans="1:29" x14ac:dyDescent="0.25">
      <c r="A651" s="25" t="b">
        <v>1</v>
      </c>
      <c r="B651" t="b">
        <v>0</v>
      </c>
      <c r="C651" s="43" t="s">
        <v>832</v>
      </c>
      <c r="D651" s="43">
        <v>26026640138</v>
      </c>
      <c r="E651" s="43">
        <v>26026642954</v>
      </c>
      <c r="F651" s="43" t="s">
        <v>173</v>
      </c>
      <c r="G651" s="43" t="b">
        <v>0</v>
      </c>
      <c r="H651" s="43" t="b">
        <v>0</v>
      </c>
      <c r="I651" s="43"/>
      <c r="J651" s="45" t="s">
        <v>832</v>
      </c>
      <c r="K651" s="46">
        <v>26026642954</v>
      </c>
      <c r="M651" s="48" t="s">
        <v>832</v>
      </c>
      <c r="N651" s="48">
        <v>17088572910</v>
      </c>
      <c r="O651" s="48">
        <v>17088563483</v>
      </c>
      <c r="P651" s="48" t="s">
        <v>173</v>
      </c>
      <c r="Q651" s="49" t="s">
        <v>832</v>
      </c>
      <c r="R651" s="49">
        <v>17083126498</v>
      </c>
      <c r="S651" s="49">
        <v>17083125256</v>
      </c>
      <c r="T651" s="49" t="s">
        <v>173</v>
      </c>
      <c r="U651" s="50" t="s">
        <v>832</v>
      </c>
      <c r="V651" s="50">
        <v>17083126498</v>
      </c>
      <c r="W651" s="50">
        <v>17083125256</v>
      </c>
      <c r="X651" s="50" t="s">
        <v>173</v>
      </c>
      <c r="Y651" s="50"/>
    </row>
    <row r="652" spans="1:29" x14ac:dyDescent="0.25">
      <c r="A652" s="25" t="b">
        <v>1</v>
      </c>
      <c r="B652" t="b">
        <v>0</v>
      </c>
      <c r="C652" s="43" t="s">
        <v>833</v>
      </c>
      <c r="D652" s="43">
        <v>26026642186</v>
      </c>
      <c r="E652" s="43">
        <v>26026639858</v>
      </c>
      <c r="F652" s="43" t="s">
        <v>173</v>
      </c>
      <c r="G652" s="43" t="b">
        <v>0</v>
      </c>
      <c r="H652" s="43" t="b">
        <v>0</v>
      </c>
      <c r="I652" s="43"/>
      <c r="J652" s="45" t="s">
        <v>833</v>
      </c>
      <c r="K652" s="46">
        <v>26026639858</v>
      </c>
      <c r="M652" s="48" t="s">
        <v>833</v>
      </c>
      <c r="N652" s="48">
        <v>17088572850</v>
      </c>
      <c r="O652" s="48">
        <v>17088569101</v>
      </c>
      <c r="P652" s="48" t="s">
        <v>173</v>
      </c>
      <c r="Q652" s="49" t="s">
        <v>833</v>
      </c>
      <c r="R652" s="49">
        <v>17083129118</v>
      </c>
      <c r="S652" s="49">
        <v>17083122475</v>
      </c>
      <c r="T652" s="49" t="s">
        <v>173</v>
      </c>
      <c r="U652" s="50" t="s">
        <v>833</v>
      </c>
      <c r="V652" s="50">
        <v>17083129118</v>
      </c>
      <c r="W652" s="50">
        <v>17083122475</v>
      </c>
      <c r="X652" s="50" t="s">
        <v>173</v>
      </c>
      <c r="Y652" s="50"/>
    </row>
    <row r="653" spans="1:29" x14ac:dyDescent="0.25">
      <c r="A653" s="25" t="b">
        <v>1</v>
      </c>
      <c r="B653" t="b">
        <v>0</v>
      </c>
      <c r="C653" s="43" t="s">
        <v>834</v>
      </c>
      <c r="D653" s="43">
        <v>26026641162</v>
      </c>
      <c r="E653" s="43">
        <v>26026642930</v>
      </c>
      <c r="F653" s="43" t="s">
        <v>173</v>
      </c>
      <c r="G653" s="43" t="b">
        <v>0</v>
      </c>
      <c r="H653" s="43" t="b">
        <v>0</v>
      </c>
      <c r="I653" s="43"/>
      <c r="J653" s="45" t="s">
        <v>834</v>
      </c>
      <c r="K653" s="46">
        <v>26026642930</v>
      </c>
      <c r="M653" s="48" t="s">
        <v>834</v>
      </c>
      <c r="N653" s="48">
        <v>17088572826</v>
      </c>
      <c r="O653" s="48">
        <v>17088568263</v>
      </c>
      <c r="P653" s="48" t="s">
        <v>173</v>
      </c>
      <c r="Q653" s="49" t="s">
        <v>834</v>
      </c>
      <c r="R653" s="49">
        <v>17083127489</v>
      </c>
      <c r="S653" s="49">
        <v>17083128000</v>
      </c>
      <c r="T653" s="49" t="s">
        <v>173</v>
      </c>
      <c r="U653" s="50" t="s">
        <v>834</v>
      </c>
      <c r="V653" s="50">
        <v>17083127489</v>
      </c>
      <c r="W653" s="50">
        <v>17083128000</v>
      </c>
      <c r="X653" s="50" t="s">
        <v>173</v>
      </c>
      <c r="Y653" s="50"/>
    </row>
    <row r="654" spans="1:29" x14ac:dyDescent="0.25">
      <c r="A654" s="25" t="b">
        <v>1</v>
      </c>
      <c r="B654" t="b">
        <v>0</v>
      </c>
      <c r="C654" s="43" t="s">
        <v>835</v>
      </c>
      <c r="D654" s="43">
        <v>26026643210</v>
      </c>
      <c r="E654" s="43">
        <v>26026641394</v>
      </c>
      <c r="F654" s="43" t="s">
        <v>173</v>
      </c>
      <c r="G654" s="43" t="b">
        <v>0</v>
      </c>
      <c r="H654" s="43" t="b">
        <v>0</v>
      </c>
      <c r="I654" s="43"/>
      <c r="J654" s="45" t="s">
        <v>835</v>
      </c>
      <c r="K654" s="46">
        <v>26026641394</v>
      </c>
      <c r="M654" s="48" t="s">
        <v>835</v>
      </c>
      <c r="N654" s="48">
        <v>17088573394</v>
      </c>
      <c r="O654" s="48">
        <v>17088569173</v>
      </c>
      <c r="P654" s="48" t="s">
        <v>173</v>
      </c>
      <c r="Q654" s="49" t="s">
        <v>835</v>
      </c>
      <c r="R654" s="49">
        <v>17083129326</v>
      </c>
      <c r="S654" s="49">
        <v>17083123187</v>
      </c>
      <c r="T654" s="49" t="s">
        <v>173</v>
      </c>
      <c r="U654" s="50" t="s">
        <v>835</v>
      </c>
      <c r="V654" s="50">
        <v>17083129326</v>
      </c>
      <c r="W654" s="50">
        <v>17083123187</v>
      </c>
      <c r="X654" s="50" t="s">
        <v>173</v>
      </c>
      <c r="Y654" s="50"/>
    </row>
    <row r="655" spans="1:29" x14ac:dyDescent="0.25">
      <c r="A655" s="25" t="s">
        <v>115</v>
      </c>
      <c r="B655" t="b">
        <v>0</v>
      </c>
      <c r="C655" s="43" t="s">
        <v>836</v>
      </c>
      <c r="D655" s="43">
        <v>192486083227</v>
      </c>
      <c r="E655" s="43">
        <v>192486081075</v>
      </c>
      <c r="F655" s="43" t="s">
        <v>132</v>
      </c>
      <c r="G655" s="43" t="b">
        <v>0</v>
      </c>
      <c r="H655" s="43" t="b">
        <v>0</v>
      </c>
      <c r="I655" s="43"/>
      <c r="M655" s="48" t="s">
        <v>836</v>
      </c>
      <c r="N655" s="48">
        <v>17093056428</v>
      </c>
      <c r="O655" s="48">
        <v>17093054704</v>
      </c>
      <c r="P655" s="48" t="s">
        <v>132</v>
      </c>
      <c r="Q655" s="49" t="s">
        <v>836</v>
      </c>
      <c r="R655" s="49">
        <v>17086173778</v>
      </c>
      <c r="S655" s="49">
        <v>17085070085</v>
      </c>
      <c r="T655" s="49" t="s">
        <v>132</v>
      </c>
      <c r="U655" s="50" t="s">
        <v>836</v>
      </c>
      <c r="V655" s="50">
        <v>17084589874</v>
      </c>
      <c r="W655" s="50">
        <v>17084590076</v>
      </c>
      <c r="X655" s="50" t="s">
        <v>132</v>
      </c>
      <c r="Y655" s="50"/>
    </row>
    <row r="656" spans="1:29" x14ac:dyDescent="0.25">
      <c r="A656" s="25" t="s">
        <v>115</v>
      </c>
      <c r="B656" t="b">
        <v>0</v>
      </c>
      <c r="C656" s="43" t="s">
        <v>837</v>
      </c>
      <c r="D656" s="43">
        <v>192486082203</v>
      </c>
      <c r="E656" s="43">
        <v>192486084147</v>
      </c>
      <c r="F656" s="43" t="s">
        <v>132</v>
      </c>
      <c r="G656" s="43" t="b">
        <v>0</v>
      </c>
      <c r="H656" s="43" t="b">
        <v>0</v>
      </c>
      <c r="I656" s="43"/>
      <c r="M656" s="48" t="s">
        <v>837</v>
      </c>
      <c r="N656" s="48">
        <v>17093056799</v>
      </c>
      <c r="O656" s="48">
        <v>17093057776</v>
      </c>
      <c r="P656" s="48" t="s">
        <v>132</v>
      </c>
      <c r="Q656" s="49" t="s">
        <v>837</v>
      </c>
      <c r="R656" s="49">
        <v>17086183742</v>
      </c>
      <c r="S656" s="49">
        <v>17085069445</v>
      </c>
      <c r="T656" s="49" t="s">
        <v>132</v>
      </c>
      <c r="U656" s="50" t="s">
        <v>837</v>
      </c>
      <c r="V656" s="50">
        <v>17084591922</v>
      </c>
      <c r="W656" s="50">
        <v>17084590082</v>
      </c>
      <c r="X656" s="50" t="s">
        <v>132</v>
      </c>
      <c r="Y656" s="50"/>
    </row>
    <row r="657" spans="1:25" x14ac:dyDescent="0.25">
      <c r="A657" s="25" t="s">
        <v>115</v>
      </c>
      <c r="B657" t="b">
        <v>0</v>
      </c>
      <c r="C657" s="43" t="s">
        <v>838</v>
      </c>
      <c r="D657" s="43">
        <v>192486084251</v>
      </c>
      <c r="E657" s="43">
        <v>192486083667</v>
      </c>
      <c r="F657" s="43" t="s">
        <v>132</v>
      </c>
      <c r="G657" s="43" t="b">
        <v>0</v>
      </c>
      <c r="H657" s="43" t="b">
        <v>0</v>
      </c>
      <c r="I657" s="43"/>
      <c r="M657" s="48" t="s">
        <v>838</v>
      </c>
      <c r="N657" s="48">
        <v>17093055775</v>
      </c>
      <c r="O657" s="48">
        <v>17093058352</v>
      </c>
      <c r="P657" s="48" t="s">
        <v>132</v>
      </c>
      <c r="Q657" s="49" t="s">
        <v>838</v>
      </c>
      <c r="R657" s="49">
        <v>17086182718</v>
      </c>
      <c r="S657" s="49">
        <v>17085069957</v>
      </c>
      <c r="T657" s="49" t="s">
        <v>132</v>
      </c>
      <c r="U657" s="50" t="s">
        <v>838</v>
      </c>
      <c r="V657" s="50">
        <v>17084588210</v>
      </c>
      <c r="W657" s="50">
        <v>17084591036</v>
      </c>
      <c r="X657" s="50" t="s">
        <v>132</v>
      </c>
      <c r="Y657" s="50"/>
    </row>
    <row r="658" spans="1:25" x14ac:dyDescent="0.25">
      <c r="A658" s="25" t="s">
        <v>115</v>
      </c>
      <c r="B658" t="b">
        <v>0</v>
      </c>
      <c r="C658" s="43" t="s">
        <v>839</v>
      </c>
      <c r="D658" s="43">
        <v>192486080923</v>
      </c>
      <c r="E658" s="43">
        <v>192486082131</v>
      </c>
      <c r="F658" s="43" t="s">
        <v>132</v>
      </c>
      <c r="G658" s="43" t="b">
        <v>0</v>
      </c>
      <c r="H658" s="43" t="b">
        <v>0</v>
      </c>
      <c r="I658" s="43"/>
      <c r="M658" s="48" t="s">
        <v>839</v>
      </c>
      <c r="N658" s="48">
        <v>17093057823</v>
      </c>
      <c r="O658" s="48">
        <v>17093055664</v>
      </c>
      <c r="P658" s="48" t="s">
        <v>132</v>
      </c>
      <c r="Q658" s="49" t="s">
        <v>839</v>
      </c>
      <c r="R658" s="49">
        <v>17086184766</v>
      </c>
      <c r="S658" s="49">
        <v>17085069701</v>
      </c>
      <c r="T658" s="49" t="s">
        <v>132</v>
      </c>
      <c r="U658" s="50" t="s">
        <v>839</v>
      </c>
      <c r="V658" s="50">
        <v>17084590258</v>
      </c>
      <c r="W658" s="50">
        <v>17084588156</v>
      </c>
      <c r="X658" s="50" t="s">
        <v>132</v>
      </c>
      <c r="Y658" s="50"/>
    </row>
    <row r="659" spans="1:25" x14ac:dyDescent="0.25">
      <c r="A659" s="25" t="s">
        <v>115</v>
      </c>
      <c r="B659" t="b">
        <v>0</v>
      </c>
      <c r="C659" s="43" t="s">
        <v>840</v>
      </c>
      <c r="D659" s="43">
        <v>192486082971</v>
      </c>
      <c r="E659" s="43">
        <v>192486082899</v>
      </c>
      <c r="F659" s="43" t="s">
        <v>132</v>
      </c>
      <c r="G659" s="43" t="b">
        <v>0</v>
      </c>
      <c r="H659" s="43" t="b">
        <v>0</v>
      </c>
      <c r="I659" s="43"/>
      <c r="M659" s="48" t="s">
        <v>840</v>
      </c>
      <c r="N659" s="48">
        <v>17093055263</v>
      </c>
      <c r="O659" s="48">
        <v>17093057200</v>
      </c>
      <c r="P659" s="48" t="s">
        <v>132</v>
      </c>
      <c r="Q659" s="49" t="s">
        <v>840</v>
      </c>
      <c r="R659" s="49">
        <v>17086182206</v>
      </c>
      <c r="S659" s="49">
        <v>17085070213</v>
      </c>
      <c r="T659" s="49" t="s">
        <v>132</v>
      </c>
      <c r="U659" s="50" t="s">
        <v>840</v>
      </c>
      <c r="V659" s="50">
        <v>17084589234</v>
      </c>
      <c r="W659" s="50">
        <v>17084591228</v>
      </c>
      <c r="X659" s="50" t="s">
        <v>132</v>
      </c>
      <c r="Y659" s="50"/>
    </row>
    <row r="660" spans="1:25" x14ac:dyDescent="0.25">
      <c r="A660" s="25" t="s">
        <v>115</v>
      </c>
      <c r="B660" t="b">
        <v>0</v>
      </c>
      <c r="C660" s="43" t="s">
        <v>841</v>
      </c>
      <c r="D660" s="43">
        <v>192486081947</v>
      </c>
      <c r="E660" s="43">
        <v>192486082419</v>
      </c>
      <c r="F660" s="43" t="s">
        <v>132</v>
      </c>
      <c r="G660" s="43" t="b">
        <v>0</v>
      </c>
      <c r="H660" s="43" t="b">
        <v>0</v>
      </c>
      <c r="I660" s="43"/>
      <c r="M660" s="48" t="s">
        <v>841</v>
      </c>
      <c r="N660" s="48">
        <v>17093057311</v>
      </c>
      <c r="O660" s="48">
        <v>17093056996</v>
      </c>
      <c r="P660" s="48" t="s">
        <v>132</v>
      </c>
      <c r="Q660" s="49" t="s">
        <v>841</v>
      </c>
      <c r="R660" s="49">
        <v>17086170634</v>
      </c>
      <c r="S660" s="49">
        <v>17085070917</v>
      </c>
      <c r="T660" s="49" t="s">
        <v>132</v>
      </c>
      <c r="U660" s="50" t="s">
        <v>841</v>
      </c>
      <c r="V660" s="50">
        <v>17084591282</v>
      </c>
      <c r="W660" s="50">
        <v>17084588354</v>
      </c>
      <c r="X660" s="50" t="s">
        <v>132</v>
      </c>
      <c r="Y660" s="50"/>
    </row>
    <row r="661" spans="1:25" x14ac:dyDescent="0.25">
      <c r="A661" s="25" t="s">
        <v>115</v>
      </c>
      <c r="B661" t="b">
        <v>0</v>
      </c>
      <c r="C661" s="43" t="s">
        <v>842</v>
      </c>
      <c r="D661" s="43">
        <v>192486083995</v>
      </c>
      <c r="E661" s="43">
        <v>192486083827</v>
      </c>
      <c r="F661" s="43" t="s">
        <v>132</v>
      </c>
      <c r="G661" s="43" t="b">
        <v>0</v>
      </c>
      <c r="H661" s="43" t="b">
        <v>0</v>
      </c>
      <c r="I661" s="43"/>
      <c r="M661" s="48" t="s">
        <v>842</v>
      </c>
      <c r="N661" s="48">
        <v>17093056287</v>
      </c>
      <c r="O661" s="48">
        <v>17093056484</v>
      </c>
      <c r="P661" s="48" t="s">
        <v>132</v>
      </c>
      <c r="Q661" s="49" t="s">
        <v>842</v>
      </c>
      <c r="R661" s="49">
        <v>17086170122</v>
      </c>
      <c r="S661" s="49">
        <v>17085069381</v>
      </c>
      <c r="T661" s="49" t="s">
        <v>132</v>
      </c>
      <c r="U661" s="50" t="s">
        <v>842</v>
      </c>
      <c r="V661" s="50">
        <v>17084588722</v>
      </c>
      <c r="W661" s="50">
        <v>17084590914</v>
      </c>
      <c r="X661" s="50" t="s">
        <v>132</v>
      </c>
      <c r="Y661" s="50"/>
    </row>
    <row r="662" spans="1:25" x14ac:dyDescent="0.25">
      <c r="A662" s="25" t="s">
        <v>115</v>
      </c>
      <c r="B662" t="b">
        <v>0</v>
      </c>
      <c r="C662" s="43" t="s">
        <v>843</v>
      </c>
      <c r="D662" s="43">
        <v>192486081435</v>
      </c>
      <c r="E662" s="43">
        <v>192486081011</v>
      </c>
      <c r="F662" s="43" t="s">
        <v>132</v>
      </c>
      <c r="G662" s="43" t="b">
        <v>0</v>
      </c>
      <c r="H662" s="43" t="b">
        <v>0</v>
      </c>
      <c r="I662" s="43"/>
      <c r="M662" s="48" t="s">
        <v>843</v>
      </c>
      <c r="N662" s="48">
        <v>17093058335</v>
      </c>
      <c r="O662" s="48">
        <v>17093057556</v>
      </c>
      <c r="P662" s="48" t="s">
        <v>132</v>
      </c>
      <c r="Q662" s="49" t="s">
        <v>843</v>
      </c>
      <c r="R662" s="49">
        <v>17086172170</v>
      </c>
      <c r="S662" s="49">
        <v>17085069765</v>
      </c>
      <c r="T662" s="49" t="s">
        <v>132</v>
      </c>
      <c r="U662" s="50" t="s">
        <v>843</v>
      </c>
      <c r="V662" s="50">
        <v>17084590770</v>
      </c>
      <c r="W662" s="50">
        <v>17084589250</v>
      </c>
      <c r="X662" s="50" t="s">
        <v>132</v>
      </c>
      <c r="Y662" s="50"/>
    </row>
    <row r="663" spans="1:25" x14ac:dyDescent="0.25">
      <c r="A663" s="25" t="s">
        <v>115</v>
      </c>
      <c r="B663" t="b">
        <v>0</v>
      </c>
      <c r="C663" s="43" t="s">
        <v>844</v>
      </c>
      <c r="D663" s="43">
        <v>192486083483</v>
      </c>
      <c r="E663" s="43">
        <v>192486083571</v>
      </c>
      <c r="F663" s="43" t="s">
        <v>132</v>
      </c>
      <c r="G663" s="43" t="b">
        <v>0</v>
      </c>
      <c r="H663" s="43" t="b">
        <v>0</v>
      </c>
      <c r="I663" s="43"/>
      <c r="M663" s="48" t="s">
        <v>844</v>
      </c>
      <c r="N663" s="48">
        <v>17093054623</v>
      </c>
      <c r="O663" s="48">
        <v>17093054740</v>
      </c>
      <c r="P663" s="48" t="s">
        <v>132</v>
      </c>
      <c r="Q663" s="49" t="s">
        <v>844</v>
      </c>
      <c r="R663" s="49">
        <v>17086169610</v>
      </c>
      <c r="S663" s="49">
        <v>17085070149</v>
      </c>
      <c r="T663" s="49" t="s">
        <v>132</v>
      </c>
      <c r="U663" s="50" t="s">
        <v>844</v>
      </c>
      <c r="V663" s="50">
        <v>17084589746</v>
      </c>
      <c r="W663" s="50">
        <v>17084591810</v>
      </c>
      <c r="X663" s="50" t="s">
        <v>132</v>
      </c>
      <c r="Y663" s="50"/>
    </row>
    <row r="664" spans="1:25" x14ac:dyDescent="0.25">
      <c r="A664" s="25" t="s">
        <v>115</v>
      </c>
      <c r="B664" t="b">
        <v>0</v>
      </c>
      <c r="C664" s="43" t="s">
        <v>845</v>
      </c>
      <c r="D664" s="43">
        <v>16630553190</v>
      </c>
      <c r="E664" s="43">
        <v>16630551654</v>
      </c>
      <c r="F664" s="43" t="s">
        <v>132</v>
      </c>
      <c r="G664" s="43" t="b">
        <v>0</v>
      </c>
      <c r="H664" s="43" t="b">
        <v>0</v>
      </c>
      <c r="I664" s="43"/>
      <c r="M664" s="48" t="s">
        <v>845</v>
      </c>
      <c r="N664" s="48">
        <v>17088571434</v>
      </c>
      <c r="O664" s="48">
        <v>17088566099</v>
      </c>
      <c r="P664" s="48" t="s">
        <v>132</v>
      </c>
      <c r="Q664" s="49" t="s">
        <v>845</v>
      </c>
      <c r="R664" s="49">
        <v>17083129726</v>
      </c>
      <c r="S664" s="49">
        <v>17083125719</v>
      </c>
      <c r="T664" s="49" t="s">
        <v>132</v>
      </c>
      <c r="U664" s="50" t="s">
        <v>845</v>
      </c>
      <c r="V664" s="50">
        <v>17083129726</v>
      </c>
      <c r="W664" s="50">
        <v>17083125719</v>
      </c>
      <c r="X664" s="50" t="s">
        <v>132</v>
      </c>
      <c r="Y664" s="50"/>
    </row>
    <row r="665" spans="1:25" x14ac:dyDescent="0.25">
      <c r="A665" s="25" t="b">
        <v>1</v>
      </c>
      <c r="B665" t="b">
        <v>0</v>
      </c>
      <c r="C665" s="43" t="s">
        <v>846</v>
      </c>
      <c r="D665" s="43">
        <v>317783654858</v>
      </c>
      <c r="E665" s="43">
        <v>317783660466</v>
      </c>
      <c r="F665" s="43" t="s">
        <v>219</v>
      </c>
      <c r="G665" s="43" t="b">
        <v>0</v>
      </c>
      <c r="H665" s="43" t="b">
        <v>0</v>
      </c>
      <c r="I665" s="43"/>
      <c r="J665" s="45" t="s">
        <v>846</v>
      </c>
      <c r="K665" s="46">
        <v>317783660466</v>
      </c>
      <c r="L665" s="47">
        <v>990000608</v>
      </c>
      <c r="M665" s="48" t="s">
        <v>846</v>
      </c>
      <c r="N665" s="48">
        <v>17095718391</v>
      </c>
      <c r="O665" s="48">
        <v>17095716903</v>
      </c>
      <c r="P665" s="48" t="s">
        <v>219</v>
      </c>
      <c r="Q665" s="49" t="s">
        <v>846</v>
      </c>
      <c r="R665" s="49">
        <v>17084642253</v>
      </c>
      <c r="S665" s="49">
        <v>17084643180</v>
      </c>
      <c r="T665" s="49" t="s">
        <v>219</v>
      </c>
      <c r="U665" s="50" t="s">
        <v>846</v>
      </c>
      <c r="V665" s="50">
        <v>17085308308</v>
      </c>
      <c r="W665" s="50">
        <v>17085302390</v>
      </c>
      <c r="X665" s="50" t="s">
        <v>219</v>
      </c>
      <c r="Y665" s="50"/>
    </row>
    <row r="666" spans="1:25" x14ac:dyDescent="0.25">
      <c r="A666" s="25" t="b">
        <v>1</v>
      </c>
      <c r="B666" t="b">
        <v>0</v>
      </c>
      <c r="C666" s="43" t="s">
        <v>847</v>
      </c>
      <c r="D666" s="43">
        <v>317783656906</v>
      </c>
      <c r="E666" s="43">
        <v>317783660658</v>
      </c>
      <c r="F666" s="43" t="s">
        <v>219</v>
      </c>
      <c r="G666" s="43" t="b">
        <v>0</v>
      </c>
      <c r="H666" s="43" t="b">
        <v>0</v>
      </c>
      <c r="I666" s="43"/>
      <c r="J666" s="45" t="s">
        <v>848</v>
      </c>
      <c r="K666" s="46">
        <v>317783660658</v>
      </c>
      <c r="L666" s="47">
        <v>990000588</v>
      </c>
      <c r="M666" s="48" t="s">
        <v>847</v>
      </c>
      <c r="N666" s="48">
        <v>17095720439</v>
      </c>
      <c r="O666" s="48">
        <v>17095719975</v>
      </c>
      <c r="P666" s="48" t="s">
        <v>219</v>
      </c>
      <c r="Q666" s="49" t="s">
        <v>847</v>
      </c>
      <c r="R666" s="49">
        <v>17084644301</v>
      </c>
      <c r="S666" s="49">
        <v>17084643564</v>
      </c>
      <c r="T666" s="49" t="s">
        <v>219</v>
      </c>
      <c r="U666" s="50" t="s">
        <v>847</v>
      </c>
      <c r="V666" s="50">
        <v>17085305748</v>
      </c>
      <c r="W666" s="50">
        <v>17085303158</v>
      </c>
      <c r="X666" s="50" t="s">
        <v>219</v>
      </c>
      <c r="Y666" s="50"/>
    </row>
    <row r="667" spans="1:25" x14ac:dyDescent="0.25">
      <c r="A667" s="25" t="b">
        <v>1</v>
      </c>
      <c r="B667" t="b">
        <v>0</v>
      </c>
      <c r="C667" s="43" t="s">
        <v>849</v>
      </c>
      <c r="D667" s="43">
        <v>317783655882</v>
      </c>
      <c r="E667" s="43">
        <v>317783660146</v>
      </c>
      <c r="F667" s="43" t="s">
        <v>219</v>
      </c>
      <c r="G667" s="43" t="b">
        <v>0</v>
      </c>
      <c r="H667" s="43" t="b">
        <v>0</v>
      </c>
      <c r="I667" s="43"/>
      <c r="J667" s="45" t="s">
        <v>850</v>
      </c>
      <c r="K667" s="46">
        <v>317783660146</v>
      </c>
      <c r="L667" s="47">
        <v>990000591</v>
      </c>
      <c r="M667" s="48" t="s">
        <v>849</v>
      </c>
      <c r="N667" s="48">
        <v>17095717879</v>
      </c>
      <c r="O667" s="48">
        <v>17095719719</v>
      </c>
      <c r="P667" s="48" t="s">
        <v>219</v>
      </c>
      <c r="Q667" s="49" t="s">
        <v>849</v>
      </c>
      <c r="R667" s="49">
        <v>17084643277</v>
      </c>
      <c r="S667" s="49">
        <v>17084643052</v>
      </c>
      <c r="T667" s="49" t="s">
        <v>219</v>
      </c>
      <c r="U667" s="50" t="s">
        <v>849</v>
      </c>
      <c r="V667" s="50">
        <v>17085307796</v>
      </c>
      <c r="W667" s="50">
        <v>17085302646</v>
      </c>
      <c r="X667" s="50" t="s">
        <v>219</v>
      </c>
      <c r="Y667" s="50"/>
    </row>
    <row r="668" spans="1:25" x14ac:dyDescent="0.25">
      <c r="A668" s="25" t="b">
        <v>1</v>
      </c>
      <c r="B668" t="b">
        <v>0</v>
      </c>
      <c r="C668" s="43" t="s">
        <v>851</v>
      </c>
      <c r="D668" s="43">
        <v>317783657930</v>
      </c>
      <c r="E668" s="43">
        <v>317783661938</v>
      </c>
      <c r="F668" s="43" t="s">
        <v>219</v>
      </c>
      <c r="G668" s="43" t="b">
        <v>0</v>
      </c>
      <c r="H668" s="43" t="b">
        <v>0</v>
      </c>
      <c r="I668" s="43"/>
      <c r="J668" s="45" t="s">
        <v>852</v>
      </c>
      <c r="K668" s="46">
        <v>317783661938</v>
      </c>
      <c r="L668" s="47">
        <v>990000592</v>
      </c>
      <c r="M668" s="48" t="s">
        <v>851</v>
      </c>
      <c r="N668" s="48">
        <v>17095719927</v>
      </c>
      <c r="O668" s="48">
        <v>17095718055</v>
      </c>
      <c r="P668" s="48" t="s">
        <v>219</v>
      </c>
      <c r="Q668" s="49" t="s">
        <v>851</v>
      </c>
      <c r="R668" s="49">
        <v>17084645325</v>
      </c>
      <c r="S668" s="49">
        <v>17084644844</v>
      </c>
      <c r="T668" s="49" t="s">
        <v>219</v>
      </c>
      <c r="U668" s="50" t="s">
        <v>851</v>
      </c>
      <c r="V668" s="50">
        <v>17085306772</v>
      </c>
      <c r="W668" s="50">
        <v>17085304054</v>
      </c>
      <c r="X668" s="50" t="s">
        <v>219</v>
      </c>
      <c r="Y668" s="50"/>
    </row>
    <row r="669" spans="1:25" x14ac:dyDescent="0.25">
      <c r="A669" s="25" t="b">
        <v>1</v>
      </c>
      <c r="B669" t="b">
        <v>0</v>
      </c>
      <c r="C669" s="43" t="s">
        <v>853</v>
      </c>
      <c r="D669" s="43">
        <v>317783655370</v>
      </c>
      <c r="E669" s="43">
        <v>317783658738</v>
      </c>
      <c r="F669" s="43" t="s">
        <v>219</v>
      </c>
      <c r="G669" s="43" t="b">
        <v>0</v>
      </c>
      <c r="H669" s="43" t="b">
        <v>0</v>
      </c>
      <c r="I669" s="43"/>
      <c r="J669" s="45" t="s">
        <v>854</v>
      </c>
      <c r="K669" s="46">
        <v>317783658738</v>
      </c>
      <c r="L669" s="47">
        <v>990000589</v>
      </c>
      <c r="M669" s="48" t="s">
        <v>853</v>
      </c>
      <c r="N669" s="48">
        <v>17095718903</v>
      </c>
      <c r="O669" s="48">
        <v>17095720615</v>
      </c>
      <c r="P669" s="48" t="s">
        <v>219</v>
      </c>
      <c r="Q669" s="49" t="s">
        <v>853</v>
      </c>
      <c r="R669" s="49">
        <v>17084641325</v>
      </c>
      <c r="S669" s="49">
        <v>17084641308</v>
      </c>
      <c r="T669" s="49" t="s">
        <v>219</v>
      </c>
      <c r="U669" s="50" t="s">
        <v>853</v>
      </c>
      <c r="V669" s="50">
        <v>17085308820</v>
      </c>
      <c r="W669" s="50">
        <v>17085301238</v>
      </c>
      <c r="X669" s="50" t="s">
        <v>219</v>
      </c>
      <c r="Y669" s="50"/>
    </row>
    <row r="670" spans="1:25" x14ac:dyDescent="0.25">
      <c r="A670" s="25" t="b">
        <v>1</v>
      </c>
      <c r="B670" t="b">
        <v>0</v>
      </c>
      <c r="C670" s="43" t="s">
        <v>855</v>
      </c>
      <c r="D670" s="43">
        <v>317783657418</v>
      </c>
      <c r="E670" s="43">
        <v>317783661298</v>
      </c>
      <c r="F670" s="43" t="s">
        <v>219</v>
      </c>
      <c r="G670" s="43" t="b">
        <v>0</v>
      </c>
      <c r="H670" s="43" t="b">
        <v>0</v>
      </c>
      <c r="I670" s="43"/>
      <c r="J670" s="45" t="s">
        <v>856</v>
      </c>
      <c r="K670" s="46">
        <v>317783661298</v>
      </c>
      <c r="L670" s="47">
        <v>990000593</v>
      </c>
      <c r="M670" s="48" t="s">
        <v>855</v>
      </c>
      <c r="N670" s="48">
        <v>17095720951</v>
      </c>
      <c r="O670" s="48">
        <v>17095717799</v>
      </c>
      <c r="P670" s="48" t="s">
        <v>219</v>
      </c>
      <c r="Q670" s="49" t="s">
        <v>855</v>
      </c>
      <c r="R670" s="49">
        <v>17084643373</v>
      </c>
      <c r="S670" s="49">
        <v>17084643868</v>
      </c>
      <c r="T670" s="49" t="s">
        <v>219</v>
      </c>
      <c r="U670" s="50" t="s">
        <v>855</v>
      </c>
      <c r="V670" s="50">
        <v>17085304916</v>
      </c>
      <c r="W670" s="50">
        <v>17085303798</v>
      </c>
      <c r="X670" s="50" t="s">
        <v>219</v>
      </c>
      <c r="Y670" s="50"/>
    </row>
    <row r="671" spans="1:25" x14ac:dyDescent="0.25">
      <c r="A671" s="25" t="b">
        <v>1</v>
      </c>
      <c r="B671" t="b">
        <v>0</v>
      </c>
      <c r="C671" s="43" t="s">
        <v>857</v>
      </c>
      <c r="D671" s="43">
        <v>317783656394</v>
      </c>
      <c r="E671" s="43">
        <v>317783660018</v>
      </c>
      <c r="F671" s="43" t="s">
        <v>219</v>
      </c>
      <c r="G671" s="43" t="b">
        <v>0</v>
      </c>
      <c r="H671" s="43" t="b">
        <v>0</v>
      </c>
      <c r="I671" s="43"/>
      <c r="J671" s="45" t="s">
        <v>858</v>
      </c>
      <c r="K671" s="46">
        <v>317783660018</v>
      </c>
      <c r="L671" s="47">
        <v>990000587</v>
      </c>
      <c r="M671" s="48" t="s">
        <v>857</v>
      </c>
      <c r="N671" s="48">
        <v>17095716879</v>
      </c>
      <c r="O671" s="48">
        <v>17095719015</v>
      </c>
      <c r="P671" s="48" t="s">
        <v>219</v>
      </c>
      <c r="Q671" s="49" t="s">
        <v>857</v>
      </c>
      <c r="R671" s="49">
        <v>17084642349</v>
      </c>
      <c r="S671" s="49">
        <v>17084642588</v>
      </c>
      <c r="T671" s="49" t="s">
        <v>219</v>
      </c>
      <c r="U671" s="50" t="s">
        <v>857</v>
      </c>
      <c r="V671" s="50">
        <v>17085306964</v>
      </c>
      <c r="W671" s="50">
        <v>17085301774</v>
      </c>
      <c r="X671" s="50" t="s">
        <v>219</v>
      </c>
      <c r="Y671" s="50"/>
    </row>
    <row r="672" spans="1:25" x14ac:dyDescent="0.25">
      <c r="A672" s="25" t="b">
        <v>1</v>
      </c>
      <c r="B672" t="b">
        <v>0</v>
      </c>
      <c r="C672" s="43" t="s">
        <v>859</v>
      </c>
      <c r="D672" s="43">
        <v>317783658442</v>
      </c>
      <c r="E672" s="43">
        <v>317783662578</v>
      </c>
      <c r="F672" s="43" t="s">
        <v>219</v>
      </c>
      <c r="G672" s="43" t="b">
        <v>0</v>
      </c>
      <c r="H672" s="43" t="b">
        <v>0</v>
      </c>
      <c r="I672" s="43"/>
      <c r="J672" s="45" t="s">
        <v>860</v>
      </c>
      <c r="K672" s="46">
        <v>317783662578</v>
      </c>
      <c r="L672" s="47">
        <v>990000594</v>
      </c>
      <c r="M672" s="48" t="s">
        <v>859</v>
      </c>
      <c r="N672" s="48">
        <v>17095718927</v>
      </c>
      <c r="O672" s="48">
        <v>17095718503</v>
      </c>
      <c r="P672" s="48" t="s">
        <v>219</v>
      </c>
      <c r="Q672" s="49" t="s">
        <v>859</v>
      </c>
      <c r="R672" s="49">
        <v>17084644397</v>
      </c>
      <c r="S672" s="49">
        <v>17084645148</v>
      </c>
      <c r="T672" s="49" t="s">
        <v>219</v>
      </c>
      <c r="U672" s="50" t="s">
        <v>859</v>
      </c>
      <c r="V672" s="50">
        <v>17085305940</v>
      </c>
      <c r="W672" s="50">
        <v>17085304334</v>
      </c>
      <c r="X672" s="50" t="s">
        <v>219</v>
      </c>
      <c r="Y672" s="50"/>
    </row>
    <row r="673" spans="1:25" x14ac:dyDescent="0.25">
      <c r="A673" s="25" t="b">
        <v>1</v>
      </c>
      <c r="B673" t="b">
        <v>0</v>
      </c>
      <c r="C673" s="43" t="s">
        <v>861</v>
      </c>
      <c r="D673" s="43">
        <v>317783654442</v>
      </c>
      <c r="E673" s="43">
        <v>317783659018</v>
      </c>
      <c r="F673" s="43" t="s">
        <v>219</v>
      </c>
      <c r="G673" s="43" t="b">
        <v>0</v>
      </c>
      <c r="H673" s="43" t="b">
        <v>0</v>
      </c>
      <c r="I673" s="43"/>
      <c r="J673" s="45" t="s">
        <v>862</v>
      </c>
      <c r="K673" s="46">
        <v>317783659018</v>
      </c>
      <c r="L673" s="47">
        <v>990000590</v>
      </c>
      <c r="M673" s="48" t="s">
        <v>861</v>
      </c>
      <c r="N673" s="48">
        <v>17095717903</v>
      </c>
      <c r="O673" s="48">
        <v>17095720295</v>
      </c>
      <c r="P673" s="48" t="s">
        <v>219</v>
      </c>
      <c r="Q673" s="49" t="s">
        <v>861</v>
      </c>
      <c r="R673" s="49">
        <v>17084641837</v>
      </c>
      <c r="S673" s="49">
        <v>17084641948</v>
      </c>
      <c r="T673" s="49" t="s">
        <v>219</v>
      </c>
      <c r="U673" s="50" t="s">
        <v>861</v>
      </c>
      <c r="V673" s="50">
        <v>17085307988</v>
      </c>
      <c r="W673" s="50">
        <v>17085301518</v>
      </c>
      <c r="X673" s="50" t="s">
        <v>219</v>
      </c>
      <c r="Y673" s="50"/>
    </row>
    <row r="674" spans="1:25" x14ac:dyDescent="0.25">
      <c r="A674" s="25" t="b">
        <v>1</v>
      </c>
      <c r="B674" t="b">
        <v>0</v>
      </c>
      <c r="C674" s="43" t="s">
        <v>863</v>
      </c>
      <c r="D674" s="43">
        <v>317783656490</v>
      </c>
      <c r="E674" s="43">
        <v>317783660810</v>
      </c>
      <c r="F674" s="43" t="s">
        <v>219</v>
      </c>
      <c r="G674" s="43" t="b">
        <v>0</v>
      </c>
      <c r="H674" s="43" t="b">
        <v>0</v>
      </c>
      <c r="I674" s="43"/>
      <c r="J674" s="45" t="s">
        <v>864</v>
      </c>
      <c r="K674" s="46">
        <v>317783660810</v>
      </c>
      <c r="L674" s="47">
        <v>990000596</v>
      </c>
      <c r="M674" s="48" t="s">
        <v>863</v>
      </c>
      <c r="N674" s="48">
        <v>17095719951</v>
      </c>
      <c r="O674" s="48">
        <v>17095717095</v>
      </c>
      <c r="P674" s="48" t="s">
        <v>219</v>
      </c>
      <c r="Q674" s="49" t="s">
        <v>863</v>
      </c>
      <c r="R674" s="49">
        <v>17084643885</v>
      </c>
      <c r="S674" s="49">
        <v>17084643740</v>
      </c>
      <c r="T674" s="49" t="s">
        <v>219</v>
      </c>
      <c r="U674" s="50" t="s">
        <v>863</v>
      </c>
      <c r="V674" s="50">
        <v>17085305428</v>
      </c>
      <c r="W674" s="50">
        <v>17085302926</v>
      </c>
      <c r="X674" s="50" t="s">
        <v>219</v>
      </c>
      <c r="Y674" s="50"/>
    </row>
    <row r="675" spans="1:25" x14ac:dyDescent="0.25">
      <c r="A675" s="25" t="b">
        <v>1</v>
      </c>
      <c r="B675" t="b">
        <v>0</v>
      </c>
      <c r="C675" s="43" t="s">
        <v>865</v>
      </c>
      <c r="D675" s="43">
        <v>317783655466</v>
      </c>
      <c r="E675" s="43">
        <v>317783660298</v>
      </c>
      <c r="F675" s="43" t="s">
        <v>219</v>
      </c>
      <c r="G675" s="43" t="b">
        <v>0</v>
      </c>
      <c r="H675" s="43" t="b">
        <v>0</v>
      </c>
      <c r="I675" s="43"/>
      <c r="J675" s="45" t="s">
        <v>866</v>
      </c>
      <c r="K675" s="46">
        <v>317783660298</v>
      </c>
      <c r="L675" s="47">
        <v>990000599</v>
      </c>
      <c r="M675" s="48" t="s">
        <v>865</v>
      </c>
      <c r="N675" s="48">
        <v>17095717391</v>
      </c>
      <c r="O675" s="48">
        <v>17095719655</v>
      </c>
      <c r="P675" s="48" t="s">
        <v>219</v>
      </c>
      <c r="Q675" s="49" t="s">
        <v>865</v>
      </c>
      <c r="R675" s="49">
        <v>17084642861</v>
      </c>
      <c r="S675" s="49">
        <v>17084643228</v>
      </c>
      <c r="T675" s="49" t="s">
        <v>219</v>
      </c>
      <c r="U675" s="50" t="s">
        <v>865</v>
      </c>
      <c r="V675" s="50">
        <v>17085307476</v>
      </c>
      <c r="W675" s="50">
        <v>17085302414</v>
      </c>
      <c r="X675" s="50" t="s">
        <v>219</v>
      </c>
      <c r="Y675" s="50"/>
    </row>
    <row r="676" spans="1:25" x14ac:dyDescent="0.25">
      <c r="A676" s="25" t="b">
        <v>1</v>
      </c>
      <c r="B676" t="b">
        <v>0</v>
      </c>
      <c r="C676" s="43" t="s">
        <v>867</v>
      </c>
      <c r="D676" s="43">
        <v>317783657514</v>
      </c>
      <c r="E676" s="43">
        <v>317783661706</v>
      </c>
      <c r="F676" s="43" t="s">
        <v>219</v>
      </c>
      <c r="G676" s="43" t="b">
        <v>0</v>
      </c>
      <c r="H676" s="43" t="b">
        <v>0</v>
      </c>
      <c r="I676" s="43"/>
      <c r="J676" s="45" t="s">
        <v>868</v>
      </c>
      <c r="K676" s="46">
        <v>317783661706</v>
      </c>
      <c r="L676" s="47">
        <v>990000600</v>
      </c>
      <c r="M676" s="48" t="s">
        <v>867</v>
      </c>
      <c r="N676" s="48">
        <v>17095719439</v>
      </c>
      <c r="O676" s="48">
        <v>17095718375</v>
      </c>
      <c r="P676" s="48" t="s">
        <v>219</v>
      </c>
      <c r="Q676" s="49" t="s">
        <v>867</v>
      </c>
      <c r="R676" s="49">
        <v>17084644909</v>
      </c>
      <c r="S676" s="49">
        <v>17084644444</v>
      </c>
      <c r="T676" s="49" t="s">
        <v>219</v>
      </c>
      <c r="U676" s="50" t="s">
        <v>867</v>
      </c>
      <c r="V676" s="50">
        <v>17085306452</v>
      </c>
      <c r="W676" s="50">
        <v>17085304206</v>
      </c>
      <c r="X676" s="50" t="s">
        <v>219</v>
      </c>
      <c r="Y676" s="50"/>
    </row>
    <row r="677" spans="1:25" x14ac:dyDescent="0.25">
      <c r="A677" s="25" t="b">
        <v>1</v>
      </c>
      <c r="B677" t="b">
        <v>0</v>
      </c>
      <c r="C677" s="43" t="s">
        <v>869</v>
      </c>
      <c r="D677" s="43">
        <v>317783654954</v>
      </c>
      <c r="E677" s="43">
        <v>317783658890</v>
      </c>
      <c r="F677" s="43" t="s">
        <v>219</v>
      </c>
      <c r="G677" s="43" t="b">
        <v>0</v>
      </c>
      <c r="H677" s="43" t="b">
        <v>0</v>
      </c>
      <c r="I677" s="43"/>
      <c r="J677" s="45" t="s">
        <v>870</v>
      </c>
      <c r="K677" s="46">
        <v>317783658890</v>
      </c>
      <c r="L677" s="47">
        <v>990000597</v>
      </c>
      <c r="M677" s="48" t="s">
        <v>869</v>
      </c>
      <c r="N677" s="48">
        <v>17095718415</v>
      </c>
      <c r="O677" s="48">
        <v>17095720935</v>
      </c>
      <c r="P677" s="48" t="s">
        <v>219</v>
      </c>
      <c r="Q677" s="49" t="s">
        <v>869</v>
      </c>
      <c r="R677" s="49">
        <v>17084641581</v>
      </c>
      <c r="S677" s="49">
        <v>17084641628</v>
      </c>
      <c r="T677" s="49" t="s">
        <v>219</v>
      </c>
      <c r="U677" s="50" t="s">
        <v>869</v>
      </c>
      <c r="V677" s="50">
        <v>17085308500</v>
      </c>
      <c r="W677" s="50">
        <v>17085300814</v>
      </c>
      <c r="X677" s="50" t="s">
        <v>219</v>
      </c>
      <c r="Y677" s="50"/>
    </row>
    <row r="678" spans="1:25" x14ac:dyDescent="0.25">
      <c r="A678" s="25" t="b">
        <v>1</v>
      </c>
      <c r="B678" t="b">
        <v>0</v>
      </c>
      <c r="C678" s="43" t="s">
        <v>871</v>
      </c>
      <c r="D678" s="43">
        <v>317783657002</v>
      </c>
      <c r="E678" s="43">
        <v>317783661450</v>
      </c>
      <c r="F678" s="43" t="s">
        <v>219</v>
      </c>
      <c r="G678" s="43" t="b">
        <v>0</v>
      </c>
      <c r="H678" s="43" t="b">
        <v>0</v>
      </c>
      <c r="I678" s="43"/>
      <c r="J678" s="45" t="s">
        <v>872</v>
      </c>
      <c r="K678" s="46">
        <v>317783661450</v>
      </c>
      <c r="L678" s="47">
        <v>990000601</v>
      </c>
      <c r="M678" s="48" t="s">
        <v>871</v>
      </c>
      <c r="N678" s="48">
        <v>17095720463</v>
      </c>
      <c r="O678" s="48">
        <v>17095717399</v>
      </c>
      <c r="P678" s="48" t="s">
        <v>219</v>
      </c>
      <c r="Q678" s="49" t="s">
        <v>871</v>
      </c>
      <c r="R678" s="49">
        <v>17084643629</v>
      </c>
      <c r="S678" s="49">
        <v>17084644188</v>
      </c>
      <c r="T678" s="49" t="s">
        <v>219</v>
      </c>
      <c r="U678" s="50" t="s">
        <v>871</v>
      </c>
      <c r="V678" s="50">
        <v>17085305172</v>
      </c>
      <c r="W678" s="50">
        <v>17085303374</v>
      </c>
      <c r="X678" s="50" t="s">
        <v>219</v>
      </c>
      <c r="Y678" s="50"/>
    </row>
    <row r="679" spans="1:25" x14ac:dyDescent="0.25">
      <c r="A679" s="25" t="b">
        <v>1</v>
      </c>
      <c r="B679" t="b">
        <v>0</v>
      </c>
      <c r="C679" s="43" t="s">
        <v>873</v>
      </c>
      <c r="D679" s="43">
        <v>317783655978</v>
      </c>
      <c r="E679" s="43">
        <v>317783662154</v>
      </c>
      <c r="F679" s="43" t="s">
        <v>219</v>
      </c>
      <c r="G679" s="43" t="b">
        <v>0</v>
      </c>
      <c r="H679" s="43" t="b">
        <v>0</v>
      </c>
      <c r="I679" s="43"/>
      <c r="J679" s="45" t="s">
        <v>874</v>
      </c>
      <c r="K679" s="46">
        <v>317783662154</v>
      </c>
      <c r="L679" s="47">
        <v>990000602</v>
      </c>
      <c r="M679" s="48" t="s">
        <v>873</v>
      </c>
      <c r="N679" s="48">
        <v>17095717135</v>
      </c>
      <c r="O679" s="48">
        <v>17095718679</v>
      </c>
      <c r="P679" s="48" t="s">
        <v>219</v>
      </c>
      <c r="Q679" s="49" t="s">
        <v>873</v>
      </c>
      <c r="R679" s="49">
        <v>17084642605</v>
      </c>
      <c r="S679" s="49">
        <v>17084645084</v>
      </c>
      <c r="T679" s="49" t="s">
        <v>219</v>
      </c>
      <c r="U679" s="50" t="s">
        <v>873</v>
      </c>
      <c r="V679" s="50">
        <v>17085307220</v>
      </c>
      <c r="W679" s="50">
        <v>17085304654</v>
      </c>
      <c r="X679" s="50" t="s">
        <v>219</v>
      </c>
      <c r="Y679" s="50"/>
    </row>
    <row r="680" spans="1:25" x14ac:dyDescent="0.25">
      <c r="A680" s="25" t="b">
        <v>1</v>
      </c>
      <c r="B680" t="b">
        <v>0</v>
      </c>
      <c r="C680" s="43" t="s">
        <v>875</v>
      </c>
      <c r="D680" s="43">
        <v>317783658026</v>
      </c>
      <c r="E680" s="43">
        <v>317783659594</v>
      </c>
      <c r="F680" s="43" t="s">
        <v>219</v>
      </c>
      <c r="G680" s="43" t="b">
        <v>0</v>
      </c>
      <c r="H680" s="43" t="b">
        <v>0</v>
      </c>
      <c r="I680" s="43"/>
      <c r="J680" s="45" t="s">
        <v>876</v>
      </c>
      <c r="K680" s="46">
        <v>317783659594</v>
      </c>
      <c r="L680" s="47">
        <v>990000595</v>
      </c>
      <c r="M680" s="48" t="s">
        <v>875</v>
      </c>
      <c r="N680" s="48">
        <v>17095732010</v>
      </c>
      <c r="O680" s="48">
        <v>17095719191</v>
      </c>
      <c r="P680" s="48" t="s">
        <v>219</v>
      </c>
      <c r="Q680" s="49" t="s">
        <v>875</v>
      </c>
      <c r="R680" s="49">
        <v>17084644653</v>
      </c>
      <c r="S680" s="49">
        <v>17084642524</v>
      </c>
      <c r="T680" s="49" t="s">
        <v>219</v>
      </c>
      <c r="U680" s="50" t="s">
        <v>875</v>
      </c>
      <c r="V680" s="50">
        <v>17085306196</v>
      </c>
      <c r="W680" s="50">
        <v>17085302094</v>
      </c>
      <c r="X680" s="50" t="s">
        <v>219</v>
      </c>
      <c r="Y680" s="50"/>
    </row>
    <row r="681" spans="1:25" x14ac:dyDescent="0.25">
      <c r="A681" s="25" t="b">
        <v>1</v>
      </c>
      <c r="B681" t="b">
        <v>0</v>
      </c>
      <c r="C681" s="43" t="s">
        <v>877</v>
      </c>
      <c r="D681" s="43">
        <v>317783654698</v>
      </c>
      <c r="E681" s="43">
        <v>317783659338</v>
      </c>
      <c r="F681" s="43" t="s">
        <v>219</v>
      </c>
      <c r="G681" s="43" t="b">
        <v>0</v>
      </c>
      <c r="H681" s="43" t="b">
        <v>0</v>
      </c>
      <c r="I681" s="43"/>
      <c r="J681" s="45" t="s">
        <v>878</v>
      </c>
      <c r="K681" s="46">
        <v>317783659338</v>
      </c>
      <c r="L681" s="47">
        <v>990000598</v>
      </c>
      <c r="M681" s="48" t="s">
        <v>877</v>
      </c>
      <c r="N681" s="48">
        <v>17095719183</v>
      </c>
      <c r="O681" s="48">
        <v>17095720087</v>
      </c>
      <c r="P681" s="48" t="s">
        <v>219</v>
      </c>
      <c r="Q681" s="49" t="s">
        <v>877</v>
      </c>
      <c r="R681" s="49">
        <v>17084642093</v>
      </c>
      <c r="S681" s="49">
        <v>17084642268</v>
      </c>
      <c r="T681" s="49" t="s">
        <v>219</v>
      </c>
      <c r="U681" s="50" t="s">
        <v>877</v>
      </c>
      <c r="V681" s="50">
        <v>17085308244</v>
      </c>
      <c r="W681" s="50">
        <v>17085301454</v>
      </c>
      <c r="X681" s="50" t="s">
        <v>219</v>
      </c>
      <c r="Y681" s="50"/>
    </row>
    <row r="682" spans="1:25" x14ac:dyDescent="0.25">
      <c r="A682" s="25" t="b">
        <v>1</v>
      </c>
      <c r="B682" t="b">
        <v>0</v>
      </c>
      <c r="C682" s="43" t="s">
        <v>879</v>
      </c>
      <c r="D682" s="43">
        <v>317783656746</v>
      </c>
      <c r="E682" s="43">
        <v>317783660746</v>
      </c>
      <c r="F682" s="43" t="s">
        <v>219</v>
      </c>
      <c r="G682" s="43" t="b">
        <v>0</v>
      </c>
      <c r="H682" s="43" t="b">
        <v>0</v>
      </c>
      <c r="I682" s="43"/>
      <c r="J682" s="45" t="s">
        <v>880</v>
      </c>
      <c r="K682" s="46">
        <v>317783660746</v>
      </c>
      <c r="L682" s="47">
        <v>990000584</v>
      </c>
      <c r="M682" s="48" t="s">
        <v>879</v>
      </c>
      <c r="N682" s="48">
        <v>17095718159</v>
      </c>
      <c r="O682" s="48">
        <v>17095717271</v>
      </c>
      <c r="P682" s="48" t="s">
        <v>219</v>
      </c>
      <c r="Q682" s="49" t="s">
        <v>879</v>
      </c>
      <c r="R682" s="49">
        <v>17084644141</v>
      </c>
      <c r="S682" s="49">
        <v>17084643388</v>
      </c>
      <c r="T682" s="49" t="s">
        <v>219</v>
      </c>
      <c r="U682" s="50" t="s">
        <v>879</v>
      </c>
      <c r="V682" s="50">
        <v>17085305684</v>
      </c>
      <c r="W682" s="50">
        <v>17085303246</v>
      </c>
      <c r="X682" s="50" t="s">
        <v>219</v>
      </c>
      <c r="Y682" s="50"/>
    </row>
    <row r="683" spans="1:25" x14ac:dyDescent="0.25">
      <c r="A683" s="25" t="b">
        <v>1</v>
      </c>
      <c r="B683" t="b">
        <v>0</v>
      </c>
      <c r="C683" s="43" t="s">
        <v>881</v>
      </c>
      <c r="D683" s="43">
        <v>317783655722</v>
      </c>
      <c r="E683" s="43">
        <v>317783660234</v>
      </c>
      <c r="F683" s="43" t="s">
        <v>219</v>
      </c>
      <c r="G683" s="43" t="b">
        <v>0</v>
      </c>
      <c r="H683" s="43" t="b">
        <v>0</v>
      </c>
      <c r="I683" s="43"/>
      <c r="J683" s="45" t="s">
        <v>882</v>
      </c>
      <c r="K683" s="46">
        <v>317783660234</v>
      </c>
      <c r="L683" s="47">
        <v>990000585</v>
      </c>
      <c r="M683" s="48" t="s">
        <v>881</v>
      </c>
      <c r="N683" s="48">
        <v>17095720207</v>
      </c>
      <c r="O683" s="48">
        <v>17095718839</v>
      </c>
      <c r="P683" s="48" t="s">
        <v>219</v>
      </c>
      <c r="Q683" s="49" t="s">
        <v>881</v>
      </c>
      <c r="R683" s="49">
        <v>17084643117</v>
      </c>
      <c r="S683" s="49">
        <v>17084642876</v>
      </c>
      <c r="T683" s="49" t="s">
        <v>219</v>
      </c>
      <c r="U683" s="50" t="s">
        <v>881</v>
      </c>
      <c r="V683" s="50">
        <v>17085307732</v>
      </c>
      <c r="W683" s="50">
        <v>17085302734</v>
      </c>
      <c r="X683" s="50" t="s">
        <v>219</v>
      </c>
      <c r="Y683" s="50"/>
    </row>
    <row r="684" spans="1:25" x14ac:dyDescent="0.25">
      <c r="A684" s="25" t="b">
        <v>1</v>
      </c>
      <c r="B684" t="b">
        <v>0</v>
      </c>
      <c r="C684" s="43" t="s">
        <v>883</v>
      </c>
      <c r="D684" s="43">
        <v>317783657770</v>
      </c>
      <c r="E684" s="43">
        <v>317783662026</v>
      </c>
      <c r="F684" s="43" t="s">
        <v>219</v>
      </c>
      <c r="G684" s="43" t="b">
        <v>0</v>
      </c>
      <c r="H684" s="43" t="b">
        <v>0</v>
      </c>
      <c r="I684" s="43"/>
      <c r="J684" s="45" t="s">
        <v>884</v>
      </c>
      <c r="K684" s="46">
        <v>317783662026</v>
      </c>
      <c r="L684" s="47">
        <v>990000586</v>
      </c>
      <c r="M684" s="48" t="s">
        <v>883</v>
      </c>
      <c r="N684" s="48">
        <v>17095717647</v>
      </c>
      <c r="O684" s="48">
        <v>17095719351</v>
      </c>
      <c r="P684" s="48" t="s">
        <v>219</v>
      </c>
      <c r="Q684" s="49" t="s">
        <v>883</v>
      </c>
      <c r="R684" s="49">
        <v>17084645165</v>
      </c>
      <c r="S684" s="49">
        <v>17084644668</v>
      </c>
      <c r="T684" s="49" t="s">
        <v>219</v>
      </c>
      <c r="U684" s="50" t="s">
        <v>883</v>
      </c>
      <c r="V684" s="50">
        <v>17085306708</v>
      </c>
      <c r="W684" s="50">
        <v>17085303854</v>
      </c>
      <c r="X684" s="50" t="s">
        <v>219</v>
      </c>
      <c r="Y684" s="50"/>
    </row>
    <row r="685" spans="1:25" x14ac:dyDescent="0.25">
      <c r="A685" s="25" t="b">
        <v>1</v>
      </c>
      <c r="B685" t="b">
        <v>0</v>
      </c>
      <c r="C685" s="43" t="s">
        <v>885</v>
      </c>
      <c r="D685" s="43">
        <v>317783655210</v>
      </c>
      <c r="E685" s="43">
        <v>317783658538</v>
      </c>
      <c r="F685" s="43" t="s">
        <v>219</v>
      </c>
      <c r="G685" s="43" t="b">
        <v>0</v>
      </c>
      <c r="H685" s="43" t="b">
        <v>0</v>
      </c>
      <c r="I685" s="43"/>
      <c r="J685" s="45" t="s">
        <v>886</v>
      </c>
      <c r="K685" s="46">
        <v>317783658538</v>
      </c>
      <c r="L685" s="47">
        <v>990000583</v>
      </c>
      <c r="M685" s="48" t="s">
        <v>885</v>
      </c>
      <c r="N685" s="48">
        <v>17095729322</v>
      </c>
      <c r="O685" s="48">
        <v>17095717559</v>
      </c>
      <c r="P685" s="48" t="s">
        <v>219</v>
      </c>
      <c r="Q685" s="49" t="s">
        <v>885</v>
      </c>
      <c r="R685" s="49">
        <v>17084641453</v>
      </c>
      <c r="S685" s="49">
        <v>17084641468</v>
      </c>
      <c r="T685" s="49" t="s">
        <v>219</v>
      </c>
      <c r="U685" s="50" t="s">
        <v>885</v>
      </c>
      <c r="V685" s="50">
        <v>17085308756</v>
      </c>
      <c r="W685" s="50">
        <v>17085301038</v>
      </c>
      <c r="X685" s="50" t="s">
        <v>219</v>
      </c>
      <c r="Y685" s="50"/>
    </row>
    <row r="686" spans="1:25" x14ac:dyDescent="0.25">
      <c r="A686" s="25" t="b">
        <v>1</v>
      </c>
      <c r="B686" t="b">
        <v>0</v>
      </c>
      <c r="C686" s="43" t="s">
        <v>887</v>
      </c>
      <c r="D686" s="43">
        <v>317783657258</v>
      </c>
      <c r="E686" s="43">
        <v>317783659754</v>
      </c>
      <c r="F686" s="43" t="s">
        <v>219</v>
      </c>
      <c r="G686" s="43" t="b">
        <v>0</v>
      </c>
      <c r="H686" s="43" t="b">
        <v>0</v>
      </c>
      <c r="I686" s="43"/>
      <c r="J686" s="45" t="s">
        <v>888</v>
      </c>
      <c r="K686" s="46">
        <v>317783659754</v>
      </c>
      <c r="L686" s="47">
        <v>990000572</v>
      </c>
      <c r="M686" s="48" t="s">
        <v>887</v>
      </c>
      <c r="N686" s="48">
        <v>17095719695</v>
      </c>
      <c r="O686" s="48">
        <v>17095717975</v>
      </c>
      <c r="P686" s="48" t="s">
        <v>219</v>
      </c>
      <c r="Q686" s="49" t="s">
        <v>887</v>
      </c>
      <c r="R686" s="49">
        <v>17084643501</v>
      </c>
      <c r="S686" s="49">
        <v>17084642306</v>
      </c>
      <c r="T686" s="49" t="s">
        <v>219</v>
      </c>
      <c r="U686" s="50" t="s">
        <v>887</v>
      </c>
      <c r="V686" s="50">
        <v>17085305044</v>
      </c>
      <c r="W686" s="50">
        <v>17085302254</v>
      </c>
      <c r="X686" s="50" t="s">
        <v>219</v>
      </c>
      <c r="Y686" s="50"/>
    </row>
    <row r="687" spans="1:25" x14ac:dyDescent="0.25">
      <c r="A687" s="25" t="b">
        <v>1</v>
      </c>
      <c r="B687" t="b">
        <v>0</v>
      </c>
      <c r="C687" s="43" t="s">
        <v>889</v>
      </c>
      <c r="D687" s="43">
        <v>317783656234</v>
      </c>
      <c r="E687" s="43">
        <v>317783661098</v>
      </c>
      <c r="F687" s="43" t="s">
        <v>219</v>
      </c>
      <c r="G687" s="43" t="b">
        <v>0</v>
      </c>
      <c r="H687" s="43" t="b">
        <v>0</v>
      </c>
      <c r="I687" s="43"/>
      <c r="J687" s="45" t="s">
        <v>890</v>
      </c>
      <c r="K687" s="46">
        <v>317783661098</v>
      </c>
      <c r="L687" s="47">
        <v>990000573</v>
      </c>
      <c r="M687" s="48" t="s">
        <v>889</v>
      </c>
      <c r="N687" s="48">
        <v>17095718671</v>
      </c>
      <c r="O687" s="48">
        <v>17095720759</v>
      </c>
      <c r="P687" s="48" t="s">
        <v>219</v>
      </c>
      <c r="Q687" s="49" t="s">
        <v>889</v>
      </c>
      <c r="R687" s="49">
        <v>17084642477</v>
      </c>
      <c r="S687" s="49">
        <v>17084644028</v>
      </c>
      <c r="T687" s="49" t="s">
        <v>219</v>
      </c>
      <c r="U687" s="50" t="s">
        <v>889</v>
      </c>
      <c r="V687" s="50">
        <v>17085307092</v>
      </c>
      <c r="W687" s="50">
        <v>17085303598</v>
      </c>
      <c r="X687" s="50" t="s">
        <v>219</v>
      </c>
      <c r="Y687" s="50"/>
    </row>
    <row r="688" spans="1:25" x14ac:dyDescent="0.25">
      <c r="A688" s="25" t="b">
        <v>1</v>
      </c>
      <c r="B688" t="b">
        <v>0</v>
      </c>
      <c r="C688" s="43" t="s">
        <v>891</v>
      </c>
      <c r="D688" s="43">
        <v>317783658282</v>
      </c>
      <c r="E688" s="43">
        <v>317783659818</v>
      </c>
      <c r="F688" s="43" t="s">
        <v>219</v>
      </c>
      <c r="G688" s="43" t="b">
        <v>0</v>
      </c>
      <c r="H688" s="43" t="b">
        <v>0</v>
      </c>
      <c r="I688" s="43"/>
      <c r="J688" s="45" t="s">
        <v>892</v>
      </c>
      <c r="K688" s="46">
        <v>317783659818</v>
      </c>
      <c r="L688" s="47">
        <v>990000578</v>
      </c>
      <c r="M688" s="48" t="s">
        <v>891</v>
      </c>
      <c r="N688" s="48">
        <v>17095720719</v>
      </c>
      <c r="O688" s="48">
        <v>17095718199</v>
      </c>
      <c r="P688" s="48" t="s">
        <v>219</v>
      </c>
      <c r="Q688" s="49" t="s">
        <v>891</v>
      </c>
      <c r="R688" s="49">
        <v>17084644525</v>
      </c>
      <c r="S688" s="49">
        <v>17084642748</v>
      </c>
      <c r="T688" s="49" t="s">
        <v>219</v>
      </c>
      <c r="U688" s="50" t="s">
        <v>891</v>
      </c>
      <c r="V688" s="50">
        <v>17085306068</v>
      </c>
      <c r="W688" s="50">
        <v>17085301934</v>
      </c>
      <c r="X688" s="50" t="s">
        <v>219</v>
      </c>
      <c r="Y688" s="50"/>
    </row>
    <row r="689" spans="1:25" x14ac:dyDescent="0.25">
      <c r="A689" s="25" t="b">
        <v>1</v>
      </c>
      <c r="B689" t="b">
        <v>0</v>
      </c>
      <c r="C689" s="43" t="s">
        <v>893</v>
      </c>
      <c r="D689" s="43">
        <v>317783654570</v>
      </c>
      <c r="E689" s="43">
        <v>317783662378</v>
      </c>
      <c r="F689" s="43" t="s">
        <v>219</v>
      </c>
      <c r="G689" s="43" t="b">
        <v>0</v>
      </c>
      <c r="H689" s="43" t="b">
        <v>0</v>
      </c>
      <c r="I689" s="43"/>
      <c r="J689" s="45" t="s">
        <v>894</v>
      </c>
      <c r="K689" s="46">
        <v>317783662378</v>
      </c>
      <c r="L689" s="47">
        <v>990000579</v>
      </c>
      <c r="M689" s="48" t="s">
        <v>893</v>
      </c>
      <c r="N689" s="48">
        <v>17095717007</v>
      </c>
      <c r="O689" s="48">
        <v>17095719479</v>
      </c>
      <c r="P689" s="48" t="s">
        <v>219</v>
      </c>
      <c r="Q689" s="49" t="s">
        <v>893</v>
      </c>
      <c r="R689" s="49">
        <v>17084641965</v>
      </c>
      <c r="S689" s="49">
        <v>17084645308</v>
      </c>
      <c r="T689" s="49" t="s">
        <v>219</v>
      </c>
      <c r="U689" s="50" t="s">
        <v>893</v>
      </c>
      <c r="V689" s="50">
        <v>17085308116</v>
      </c>
      <c r="W689" s="50">
        <v>17085304494</v>
      </c>
      <c r="X689" s="50" t="s">
        <v>219</v>
      </c>
      <c r="Y689" s="50"/>
    </row>
    <row r="690" spans="1:25" x14ac:dyDescent="0.25">
      <c r="A690" s="25" t="b">
        <v>1</v>
      </c>
      <c r="B690" t="b">
        <v>0</v>
      </c>
      <c r="C690" s="43" t="s">
        <v>895</v>
      </c>
      <c r="D690" s="43">
        <v>317783656618</v>
      </c>
      <c r="E690" s="43">
        <v>317783659178</v>
      </c>
      <c r="F690" s="43" t="s">
        <v>219</v>
      </c>
      <c r="G690" s="43" t="b">
        <v>0</v>
      </c>
      <c r="H690" s="43" t="b">
        <v>0</v>
      </c>
      <c r="I690" s="43"/>
      <c r="J690" s="45" t="s">
        <v>896</v>
      </c>
      <c r="K690" s="46">
        <v>317783659178</v>
      </c>
      <c r="L690" s="47">
        <v>990000574</v>
      </c>
      <c r="M690" s="48" t="s">
        <v>895</v>
      </c>
      <c r="N690" s="48">
        <v>17095733034</v>
      </c>
      <c r="O690" s="48">
        <v>17095716919</v>
      </c>
      <c r="P690" s="48" t="s">
        <v>219</v>
      </c>
      <c r="Q690" s="49" t="s">
        <v>895</v>
      </c>
      <c r="R690" s="49">
        <v>17084644013</v>
      </c>
      <c r="S690" s="49">
        <v>17084641916</v>
      </c>
      <c r="T690" s="49" t="s">
        <v>219</v>
      </c>
      <c r="U690" s="50" t="s">
        <v>895</v>
      </c>
      <c r="V690" s="50">
        <v>17085305556</v>
      </c>
      <c r="W690" s="50">
        <v>17085301678</v>
      </c>
      <c r="X690" s="50" t="s">
        <v>219</v>
      </c>
      <c r="Y690" s="50"/>
    </row>
    <row r="691" spans="1:25" x14ac:dyDescent="0.25">
      <c r="A691" s="25" t="b">
        <v>1</v>
      </c>
      <c r="B691" t="b">
        <v>0</v>
      </c>
      <c r="C691" s="43" t="s">
        <v>897</v>
      </c>
      <c r="D691" s="43">
        <v>317783655594</v>
      </c>
      <c r="E691" s="43">
        <v>317783660970</v>
      </c>
      <c r="F691" s="43" t="s">
        <v>219</v>
      </c>
      <c r="G691" s="43" t="b">
        <v>0</v>
      </c>
      <c r="H691" s="43" t="b">
        <v>0</v>
      </c>
      <c r="I691" s="43"/>
      <c r="J691" s="45" t="s">
        <v>898</v>
      </c>
      <c r="K691" s="46">
        <v>317783660970</v>
      </c>
      <c r="L691" s="47">
        <v>990000580</v>
      </c>
      <c r="M691" s="48" t="s">
        <v>897</v>
      </c>
      <c r="N691" s="48">
        <v>17095719055</v>
      </c>
      <c r="O691" s="48">
        <v>17095720407</v>
      </c>
      <c r="P691" s="48" t="s">
        <v>219</v>
      </c>
      <c r="Q691" s="49" t="s">
        <v>897</v>
      </c>
      <c r="R691" s="49">
        <v>17084642989</v>
      </c>
      <c r="S691" s="49">
        <v>17084643708</v>
      </c>
      <c r="T691" s="49" t="s">
        <v>219</v>
      </c>
      <c r="U691" s="50" t="s">
        <v>897</v>
      </c>
      <c r="V691" s="50">
        <v>17085307604</v>
      </c>
      <c r="W691" s="50">
        <v>17085302894</v>
      </c>
      <c r="X691" s="50" t="s">
        <v>219</v>
      </c>
      <c r="Y691" s="50"/>
    </row>
    <row r="692" spans="1:25" x14ac:dyDescent="0.25">
      <c r="A692" s="25" t="b">
        <v>1</v>
      </c>
      <c r="B692" t="b">
        <v>0</v>
      </c>
      <c r="C692" s="43" t="s">
        <v>899</v>
      </c>
      <c r="D692" s="43">
        <v>317783657642</v>
      </c>
      <c r="E692" s="43">
        <v>317783658858</v>
      </c>
      <c r="F692" s="43" t="s">
        <v>219</v>
      </c>
      <c r="G692" s="43" t="b">
        <v>0</v>
      </c>
      <c r="H692" s="43" t="b">
        <v>0</v>
      </c>
      <c r="I692" s="43"/>
      <c r="J692" s="45" t="s">
        <v>900</v>
      </c>
      <c r="K692" s="46">
        <v>317783658858</v>
      </c>
      <c r="L692" s="47">
        <v>990000582</v>
      </c>
      <c r="M692" s="48" t="s">
        <v>899</v>
      </c>
      <c r="N692" s="48">
        <v>17095717519</v>
      </c>
      <c r="O692" s="48">
        <v>17095717719</v>
      </c>
      <c r="P692" s="48" t="s">
        <v>219</v>
      </c>
      <c r="Q692" s="49" t="s">
        <v>899</v>
      </c>
      <c r="R692" s="49">
        <v>17084645037</v>
      </c>
      <c r="S692" s="49">
        <v>17084641788</v>
      </c>
      <c r="T692" s="49" t="s">
        <v>219</v>
      </c>
      <c r="U692" s="50" t="s">
        <v>899</v>
      </c>
      <c r="V692" s="50">
        <v>17085306580</v>
      </c>
      <c r="W692" s="50">
        <v>17085300974</v>
      </c>
      <c r="X692" s="50" t="s">
        <v>219</v>
      </c>
      <c r="Y692" s="50"/>
    </row>
    <row r="693" spans="1:25" x14ac:dyDescent="0.25">
      <c r="A693" s="25" t="b">
        <v>1</v>
      </c>
      <c r="B693" t="b">
        <v>0</v>
      </c>
      <c r="C693" s="43" t="s">
        <v>901</v>
      </c>
      <c r="D693" s="43">
        <v>317783655082</v>
      </c>
      <c r="E693" s="43">
        <v>317783661674</v>
      </c>
      <c r="F693" s="43" t="s">
        <v>219</v>
      </c>
      <c r="G693" s="43" t="b">
        <v>0</v>
      </c>
      <c r="H693" s="43" t="b">
        <v>0</v>
      </c>
      <c r="I693" s="43"/>
      <c r="J693" s="45" t="s">
        <v>902</v>
      </c>
      <c r="K693" s="46">
        <v>317783661674</v>
      </c>
      <c r="L693" s="47">
        <v>990000581</v>
      </c>
      <c r="M693" s="48" t="s">
        <v>901</v>
      </c>
      <c r="N693" s="48">
        <v>17095720079</v>
      </c>
      <c r="O693" s="48">
        <v>17095719127</v>
      </c>
      <c r="P693" s="48" t="s">
        <v>219</v>
      </c>
      <c r="Q693" s="49" t="s">
        <v>901</v>
      </c>
      <c r="R693" s="49">
        <v>17084641709</v>
      </c>
      <c r="S693" s="49">
        <v>17084644604</v>
      </c>
      <c r="T693" s="49" t="s">
        <v>219</v>
      </c>
      <c r="U693" s="50" t="s">
        <v>901</v>
      </c>
      <c r="V693" s="50">
        <v>17085308628</v>
      </c>
      <c r="W693" s="50">
        <v>17085304174</v>
      </c>
      <c r="X693" s="50" t="s">
        <v>219</v>
      </c>
      <c r="Y693" s="50"/>
    </row>
    <row r="694" spans="1:25" x14ac:dyDescent="0.25">
      <c r="A694" s="25" t="b">
        <v>1</v>
      </c>
      <c r="B694" t="b">
        <v>0</v>
      </c>
      <c r="C694" s="43" t="s">
        <v>903</v>
      </c>
      <c r="D694" s="43">
        <v>317783657130</v>
      </c>
      <c r="E694" s="43">
        <v>317783660458</v>
      </c>
      <c r="F694" s="43" t="s">
        <v>219</v>
      </c>
      <c r="G694" s="43" t="b">
        <v>0</v>
      </c>
      <c r="H694" s="43" t="b">
        <v>0</v>
      </c>
      <c r="I694" s="43"/>
      <c r="J694" s="45" t="s">
        <v>904</v>
      </c>
      <c r="K694" s="46">
        <v>317783660458</v>
      </c>
      <c r="L694" s="47">
        <v>990000575</v>
      </c>
      <c r="M694" s="48" t="s">
        <v>903</v>
      </c>
      <c r="N694" s="48">
        <v>17095718031</v>
      </c>
      <c r="O694" s="48">
        <v>17095718615</v>
      </c>
      <c r="P694" s="48" t="s">
        <v>219</v>
      </c>
      <c r="Q694" s="49" t="s">
        <v>903</v>
      </c>
      <c r="R694" s="49">
        <v>17084643757</v>
      </c>
      <c r="S694" s="49">
        <v>17084643196</v>
      </c>
      <c r="T694" s="49" t="s">
        <v>219</v>
      </c>
      <c r="U694" s="50" t="s">
        <v>903</v>
      </c>
      <c r="V694" s="50">
        <v>17085305300</v>
      </c>
      <c r="W694" s="50">
        <v>17085302382</v>
      </c>
      <c r="X694" s="50" t="s">
        <v>219</v>
      </c>
      <c r="Y694" s="50"/>
    </row>
    <row r="695" spans="1:25" x14ac:dyDescent="0.25">
      <c r="A695" s="25" t="b">
        <v>1</v>
      </c>
      <c r="B695" t="b">
        <v>0</v>
      </c>
      <c r="C695" s="43" t="s">
        <v>905</v>
      </c>
      <c r="D695" s="43">
        <v>317783656106</v>
      </c>
      <c r="E695" s="43">
        <v>317783661418</v>
      </c>
      <c r="F695" s="43" t="s">
        <v>219</v>
      </c>
      <c r="G695" s="43" t="b">
        <v>0</v>
      </c>
      <c r="H695" s="43" t="b">
        <v>0</v>
      </c>
      <c r="I695" s="43"/>
      <c r="J695" s="45" t="s">
        <v>906</v>
      </c>
      <c r="K695" s="46">
        <v>317783661418</v>
      </c>
      <c r="L695" s="47">
        <v>990000576</v>
      </c>
      <c r="M695" s="48" t="s">
        <v>905</v>
      </c>
      <c r="N695" s="48">
        <v>17095719567</v>
      </c>
      <c r="O695" s="48">
        <v>17095720535</v>
      </c>
      <c r="P695" s="48" t="s">
        <v>219</v>
      </c>
      <c r="Q695" s="49" t="s">
        <v>905</v>
      </c>
      <c r="R695" s="49">
        <v>17084642733</v>
      </c>
      <c r="S695" s="49">
        <v>17084644348</v>
      </c>
      <c r="T695" s="49" t="s">
        <v>219</v>
      </c>
      <c r="U695" s="50" t="s">
        <v>905</v>
      </c>
      <c r="V695" s="50">
        <v>17085307348</v>
      </c>
      <c r="W695" s="50">
        <v>17085303534</v>
      </c>
      <c r="X695" s="50" t="s">
        <v>219</v>
      </c>
      <c r="Y695" s="50"/>
    </row>
    <row r="696" spans="1:25" x14ac:dyDescent="0.25">
      <c r="A696" s="25" t="b">
        <v>1</v>
      </c>
      <c r="B696" t="b">
        <v>0</v>
      </c>
      <c r="C696" s="43" t="s">
        <v>907</v>
      </c>
      <c r="D696" s="43">
        <v>317783658154</v>
      </c>
      <c r="E696" s="43">
        <v>317783662314</v>
      </c>
      <c r="F696" s="43" t="s">
        <v>219</v>
      </c>
      <c r="G696" s="43" t="b">
        <v>0</v>
      </c>
      <c r="H696" s="43" t="b">
        <v>0</v>
      </c>
      <c r="I696" s="43"/>
      <c r="J696" s="45" t="s">
        <v>908</v>
      </c>
      <c r="K696" s="46">
        <v>317783662314</v>
      </c>
      <c r="L696" s="47">
        <v>990000577</v>
      </c>
      <c r="M696" s="48" t="s">
        <v>907</v>
      </c>
      <c r="N696" s="48">
        <v>17095717775</v>
      </c>
      <c r="O696" s="48">
        <v>17095719831</v>
      </c>
      <c r="P696" s="48" t="s">
        <v>219</v>
      </c>
      <c r="Q696" s="49" t="s">
        <v>907</v>
      </c>
      <c r="R696" s="49">
        <v>17084644781</v>
      </c>
      <c r="S696" s="49">
        <v>17084644866</v>
      </c>
      <c r="T696" s="49" t="s">
        <v>219</v>
      </c>
      <c r="U696" s="50" t="s">
        <v>907</v>
      </c>
      <c r="V696" s="50">
        <v>17085306324</v>
      </c>
      <c r="W696" s="50">
        <v>17085304814</v>
      </c>
      <c r="X696" s="50" t="s">
        <v>219</v>
      </c>
      <c r="Y696" s="50"/>
    </row>
    <row r="697" spans="1:25" x14ac:dyDescent="0.25">
      <c r="A697" s="25" t="b">
        <v>1</v>
      </c>
      <c r="B697" t="b">
        <v>0</v>
      </c>
      <c r="C697" s="43" t="s">
        <v>909</v>
      </c>
      <c r="D697" s="43">
        <v>317783654826</v>
      </c>
      <c r="E697" s="43">
        <v>317783659498</v>
      </c>
      <c r="F697" s="43" t="s">
        <v>219</v>
      </c>
      <c r="G697" s="43" t="b">
        <v>0</v>
      </c>
      <c r="H697" s="43" t="b">
        <v>0</v>
      </c>
      <c r="I697" s="43"/>
      <c r="J697" s="45" t="s">
        <v>910</v>
      </c>
      <c r="K697" s="46">
        <v>317783659498</v>
      </c>
      <c r="L697" s="47">
        <v>990000603</v>
      </c>
      <c r="M697" s="48" t="s">
        <v>909</v>
      </c>
      <c r="N697" s="48">
        <v>17095718543</v>
      </c>
      <c r="O697" s="48">
        <v>17095720055</v>
      </c>
      <c r="P697" s="48" t="s">
        <v>219</v>
      </c>
      <c r="Q697" s="49" t="s">
        <v>909</v>
      </c>
      <c r="R697" s="49">
        <v>17084642221</v>
      </c>
      <c r="S697" s="49">
        <v>17084642050</v>
      </c>
      <c r="T697" s="49" t="s">
        <v>219</v>
      </c>
      <c r="U697" s="50" t="s">
        <v>909</v>
      </c>
      <c r="V697" s="50">
        <v>17085308372</v>
      </c>
      <c r="W697" s="50">
        <v>17085301278</v>
      </c>
      <c r="X697" s="50" t="s">
        <v>219</v>
      </c>
      <c r="Y697" s="50"/>
    </row>
    <row r="698" spans="1:25" x14ac:dyDescent="0.25">
      <c r="A698" s="25" t="b">
        <v>1</v>
      </c>
      <c r="B698" t="b">
        <v>0</v>
      </c>
      <c r="C698" s="43" t="s">
        <v>911</v>
      </c>
      <c r="D698" s="43">
        <v>317783656874</v>
      </c>
      <c r="E698" s="43">
        <v>317783660570</v>
      </c>
      <c r="F698" s="43" t="s">
        <v>219</v>
      </c>
      <c r="G698" s="43" t="b">
        <v>0</v>
      </c>
      <c r="H698" s="43" t="b">
        <v>0</v>
      </c>
      <c r="I698" s="43"/>
      <c r="J698" s="45" t="s">
        <v>912</v>
      </c>
      <c r="K698" s="46">
        <v>317783660570</v>
      </c>
      <c r="L698" s="47">
        <v>990000605</v>
      </c>
      <c r="M698" s="48" t="s">
        <v>911</v>
      </c>
      <c r="N698" s="48">
        <v>17095720591</v>
      </c>
      <c r="O698" s="48">
        <v>17095717239</v>
      </c>
      <c r="P698" s="48" t="s">
        <v>219</v>
      </c>
      <c r="Q698" s="49" t="s">
        <v>911</v>
      </c>
      <c r="R698" s="49">
        <v>17084644269</v>
      </c>
      <c r="S698" s="49">
        <v>17084643458</v>
      </c>
      <c r="T698" s="49" t="s">
        <v>219</v>
      </c>
      <c r="U698" s="50" t="s">
        <v>911</v>
      </c>
      <c r="V698" s="50">
        <v>17085305812</v>
      </c>
      <c r="W698" s="50">
        <v>17085303070</v>
      </c>
      <c r="X698" s="50" t="s">
        <v>219</v>
      </c>
      <c r="Y698" s="50"/>
    </row>
    <row r="699" spans="1:25" x14ac:dyDescent="0.25">
      <c r="A699" s="25" t="b">
        <v>1</v>
      </c>
      <c r="B699" t="b">
        <v>0</v>
      </c>
      <c r="C699" s="43" t="s">
        <v>913</v>
      </c>
      <c r="D699" s="43">
        <v>317783655850</v>
      </c>
      <c r="E699" s="43">
        <v>317783660058</v>
      </c>
      <c r="F699" s="43" t="s">
        <v>219</v>
      </c>
      <c r="G699" s="43" t="b">
        <v>0</v>
      </c>
      <c r="H699" s="43" t="b">
        <v>0</v>
      </c>
      <c r="I699" s="43"/>
      <c r="J699" s="45" t="s">
        <v>914</v>
      </c>
      <c r="K699" s="46">
        <v>317783660058</v>
      </c>
      <c r="M699" s="48" t="s">
        <v>913</v>
      </c>
      <c r="N699" s="48">
        <v>17095717263</v>
      </c>
      <c r="O699" s="48">
        <v>17095719799</v>
      </c>
      <c r="P699" s="48" t="s">
        <v>219</v>
      </c>
      <c r="Q699" s="49" t="s">
        <v>913</v>
      </c>
      <c r="R699" s="49">
        <v>17084643245</v>
      </c>
      <c r="S699" s="49">
        <v>17084642946</v>
      </c>
      <c r="T699" s="49" t="s">
        <v>219</v>
      </c>
      <c r="U699" s="50" t="s">
        <v>913</v>
      </c>
      <c r="V699" s="50">
        <v>17085307860</v>
      </c>
      <c r="W699" s="50">
        <v>17085302558</v>
      </c>
      <c r="X699" s="50" t="s">
        <v>219</v>
      </c>
      <c r="Y699" s="50"/>
    </row>
    <row r="700" spans="1:25" x14ac:dyDescent="0.25">
      <c r="A700" s="25" t="b">
        <v>1</v>
      </c>
      <c r="B700" t="b">
        <v>0</v>
      </c>
      <c r="C700" s="43" t="s">
        <v>915</v>
      </c>
      <c r="D700" s="43">
        <v>317783657898</v>
      </c>
      <c r="E700" s="43">
        <v>317783659162</v>
      </c>
      <c r="F700" s="43" t="s">
        <v>219</v>
      </c>
      <c r="G700" s="43" t="b">
        <v>0</v>
      </c>
      <c r="H700" s="43" t="b">
        <v>0</v>
      </c>
      <c r="I700" s="43"/>
      <c r="J700" s="45" t="s">
        <v>915</v>
      </c>
      <c r="K700" s="46">
        <v>317783659162</v>
      </c>
      <c r="L700" s="47">
        <v>990000607</v>
      </c>
      <c r="M700" s="48"/>
      <c r="N700" s="48"/>
      <c r="O700" s="48"/>
      <c r="P700" s="48"/>
      <c r="Q700" s="49" t="s">
        <v>915</v>
      </c>
      <c r="R700" s="49">
        <v>17084645293</v>
      </c>
      <c r="S700" s="49">
        <v>17084641858</v>
      </c>
      <c r="T700" s="49" t="s">
        <v>219</v>
      </c>
      <c r="U700" s="50" t="s">
        <v>915</v>
      </c>
      <c r="V700" s="50">
        <v>17085384077</v>
      </c>
      <c r="W700" s="50">
        <v>17085383980</v>
      </c>
      <c r="X700" s="50" t="s">
        <v>219</v>
      </c>
      <c r="Y700" s="50"/>
    </row>
    <row r="701" spans="1:25" x14ac:dyDescent="0.25">
      <c r="A701" s="25" t="b">
        <v>1</v>
      </c>
      <c r="B701" t="b">
        <v>0</v>
      </c>
      <c r="C701" s="43" t="s">
        <v>916</v>
      </c>
      <c r="D701" s="43">
        <v>317783655338</v>
      </c>
      <c r="E701" s="43">
        <v>317783662234</v>
      </c>
      <c r="F701" s="43" t="s">
        <v>219</v>
      </c>
      <c r="G701" s="43" t="b">
        <v>0</v>
      </c>
      <c r="H701" s="43" t="b">
        <v>0</v>
      </c>
      <c r="I701" s="43"/>
      <c r="J701" s="45" t="s">
        <v>916</v>
      </c>
      <c r="K701" s="46">
        <v>317783662234</v>
      </c>
      <c r="L701" s="47">
        <v>990000606</v>
      </c>
      <c r="M701" s="48" t="s">
        <v>916</v>
      </c>
      <c r="N701" s="48">
        <v>17095718287</v>
      </c>
      <c r="O701" s="48">
        <v>17095718647</v>
      </c>
      <c r="P701" s="48" t="s">
        <v>219</v>
      </c>
      <c r="Q701" s="49" t="s">
        <v>916</v>
      </c>
      <c r="R701" s="49">
        <v>17084641389</v>
      </c>
      <c r="S701" s="49">
        <v>17084644930</v>
      </c>
      <c r="T701" s="49" t="s">
        <v>219</v>
      </c>
      <c r="U701" s="50" t="s">
        <v>916</v>
      </c>
      <c r="V701" s="50">
        <v>17085308884</v>
      </c>
      <c r="W701" s="50">
        <v>17085304734</v>
      </c>
      <c r="X701" s="50" t="s">
        <v>219</v>
      </c>
      <c r="Y701" s="50"/>
    </row>
    <row r="702" spans="1:25" x14ac:dyDescent="0.25">
      <c r="A702" s="25" t="b">
        <v>1</v>
      </c>
      <c r="B702" t="b">
        <v>0</v>
      </c>
      <c r="C702" s="43" t="s">
        <v>917</v>
      </c>
      <c r="D702" s="43">
        <v>317783657386</v>
      </c>
      <c r="E702" s="43">
        <v>317783659930</v>
      </c>
      <c r="F702" s="43" t="s">
        <v>219</v>
      </c>
      <c r="G702" s="43" t="b">
        <v>0</v>
      </c>
      <c r="H702" s="43" t="b">
        <v>0</v>
      </c>
      <c r="I702" s="43"/>
      <c r="J702" s="45" t="s">
        <v>917</v>
      </c>
      <c r="K702" s="46">
        <v>317783659930</v>
      </c>
      <c r="L702" s="47">
        <v>990000609</v>
      </c>
      <c r="M702" s="48" t="s">
        <v>917</v>
      </c>
      <c r="N702" s="48">
        <v>17095875644</v>
      </c>
      <c r="O702" s="48">
        <v>17095854938</v>
      </c>
      <c r="P702" s="48" t="s">
        <v>219</v>
      </c>
      <c r="Q702" s="49" t="s">
        <v>917</v>
      </c>
      <c r="R702" s="49">
        <v>17084643437</v>
      </c>
      <c r="S702" s="49">
        <v>17084642626</v>
      </c>
      <c r="T702" s="49" t="s">
        <v>219</v>
      </c>
      <c r="U702" s="50" t="s">
        <v>917</v>
      </c>
      <c r="V702" s="50">
        <v>17085304884</v>
      </c>
      <c r="W702" s="50">
        <v>17085301854</v>
      </c>
      <c r="X702" s="50" t="s">
        <v>219</v>
      </c>
      <c r="Y702" s="50"/>
    </row>
    <row r="703" spans="1:25" x14ac:dyDescent="0.25">
      <c r="A703" s="25" t="s">
        <v>115</v>
      </c>
      <c r="B703" t="b">
        <v>0</v>
      </c>
      <c r="C703" s="43" t="s">
        <v>918</v>
      </c>
      <c r="D703" s="43">
        <v>317783656362</v>
      </c>
      <c r="E703" s="43">
        <v>317783661466</v>
      </c>
      <c r="F703" s="43" t="s">
        <v>219</v>
      </c>
      <c r="G703" s="43" t="b">
        <v>1</v>
      </c>
      <c r="H703" s="43" t="b">
        <v>0</v>
      </c>
      <c r="I703" s="43" t="s">
        <v>126</v>
      </c>
      <c r="M703" s="48" t="s">
        <v>918</v>
      </c>
      <c r="N703" s="48">
        <v>17095720335</v>
      </c>
      <c r="O703" s="48">
        <v>17095718135</v>
      </c>
      <c r="P703" s="48" t="s">
        <v>219</v>
      </c>
      <c r="Q703" s="49" t="s">
        <v>918</v>
      </c>
      <c r="R703" s="49">
        <v>17084642413</v>
      </c>
      <c r="S703" s="49">
        <v>17084644162</v>
      </c>
      <c r="T703" s="49" t="s">
        <v>219</v>
      </c>
      <c r="U703" s="50" t="s">
        <v>918</v>
      </c>
      <c r="V703" s="50">
        <v>17085306932</v>
      </c>
      <c r="W703" s="50">
        <v>17085303390</v>
      </c>
      <c r="X703" s="50" t="s">
        <v>219</v>
      </c>
      <c r="Y703" s="50">
        <v>140008</v>
      </c>
    </row>
    <row r="704" spans="1:25" x14ac:dyDescent="0.25">
      <c r="A704" s="25" t="s">
        <v>115</v>
      </c>
      <c r="B704" t="b">
        <v>0</v>
      </c>
      <c r="C704" s="43" t="s">
        <v>919</v>
      </c>
      <c r="D704" s="43">
        <v>321648</v>
      </c>
      <c r="E704" s="43">
        <v>299190</v>
      </c>
      <c r="F704" s="43" t="s">
        <v>123</v>
      </c>
      <c r="G704" s="43" t="b">
        <v>0</v>
      </c>
      <c r="H704" s="43" t="b">
        <v>0</v>
      </c>
      <c r="I704" s="43"/>
      <c r="M704" s="48" t="s">
        <v>919</v>
      </c>
      <c r="N704" s="48">
        <v>17088570038</v>
      </c>
      <c r="O704" s="48">
        <v>17088567679</v>
      </c>
      <c r="P704" s="48" t="s">
        <v>123</v>
      </c>
      <c r="Q704" s="49" t="s">
        <v>919</v>
      </c>
      <c r="R704" s="49">
        <v>17083125801</v>
      </c>
      <c r="S704" s="49">
        <v>17083126660</v>
      </c>
      <c r="T704" s="49" t="s">
        <v>123</v>
      </c>
      <c r="U704" s="50" t="s">
        <v>919</v>
      </c>
      <c r="V704" s="50">
        <v>17083125801</v>
      </c>
      <c r="W704" s="50">
        <v>17083126660</v>
      </c>
      <c r="X704" s="50" t="s">
        <v>123</v>
      </c>
      <c r="Y704" s="50"/>
    </row>
    <row r="705" spans="1:25" x14ac:dyDescent="0.25">
      <c r="A705" s="25" t="s">
        <v>115</v>
      </c>
      <c r="B705" t="b">
        <v>0</v>
      </c>
      <c r="C705" s="43" t="s">
        <v>920</v>
      </c>
      <c r="D705" s="43">
        <v>320624</v>
      </c>
      <c r="E705" s="43">
        <v>301025</v>
      </c>
      <c r="F705" s="43" t="s">
        <v>132</v>
      </c>
      <c r="G705" s="43" t="b">
        <v>0</v>
      </c>
      <c r="H705" s="43" t="b">
        <v>0</v>
      </c>
      <c r="I705" s="43"/>
      <c r="M705" s="48" t="s">
        <v>920</v>
      </c>
      <c r="N705" s="48">
        <v>17088569482</v>
      </c>
      <c r="O705" s="48">
        <v>17088568451</v>
      </c>
      <c r="P705" s="48" t="s">
        <v>132</v>
      </c>
      <c r="Q705" s="49" t="s">
        <v>920</v>
      </c>
      <c r="R705" s="49">
        <v>17083125822</v>
      </c>
      <c r="S705" s="49">
        <v>17083122727</v>
      </c>
      <c r="T705" s="49" t="s">
        <v>132</v>
      </c>
      <c r="U705" s="50" t="s">
        <v>920</v>
      </c>
      <c r="V705" s="50">
        <v>17083125822</v>
      </c>
      <c r="W705" s="50">
        <v>17083122727</v>
      </c>
      <c r="X705" s="50" t="s">
        <v>132</v>
      </c>
      <c r="Y705" s="50"/>
    </row>
    <row r="706" spans="1:25" x14ac:dyDescent="0.25">
      <c r="A706" s="25" t="s">
        <v>115</v>
      </c>
      <c r="B706" t="b">
        <v>0</v>
      </c>
      <c r="C706" s="43" t="s">
        <v>921</v>
      </c>
      <c r="D706" s="43">
        <v>322672</v>
      </c>
      <c r="E706" s="43">
        <v>299774</v>
      </c>
      <c r="F706" s="43" t="s">
        <v>119</v>
      </c>
      <c r="G706" s="43" t="b">
        <v>0</v>
      </c>
      <c r="H706" s="43" t="b">
        <v>0</v>
      </c>
      <c r="I706" s="43"/>
      <c r="M706" s="48" t="s">
        <v>921</v>
      </c>
      <c r="N706" s="48">
        <v>17088570842</v>
      </c>
      <c r="O706" s="48">
        <v>17088568007</v>
      </c>
      <c r="P706" s="48" t="s">
        <v>119</v>
      </c>
      <c r="Q706" s="49" t="s">
        <v>921</v>
      </c>
      <c r="R706" s="49">
        <v>17083125793</v>
      </c>
      <c r="S706" s="49">
        <v>17083128128</v>
      </c>
      <c r="T706" s="49" t="s">
        <v>119</v>
      </c>
      <c r="U706" s="50" t="s">
        <v>921</v>
      </c>
      <c r="V706" s="50">
        <v>17083125793</v>
      </c>
      <c r="W706" s="50">
        <v>17083128128</v>
      </c>
      <c r="X706" s="50" t="s">
        <v>119</v>
      </c>
      <c r="Y706" s="50"/>
    </row>
    <row r="707" spans="1:25" x14ac:dyDescent="0.25">
      <c r="A707" s="25" t="s">
        <v>115</v>
      </c>
      <c r="B707" t="b">
        <v>0</v>
      </c>
      <c r="C707" s="43" t="s">
        <v>922</v>
      </c>
      <c r="D707" s="43">
        <v>320112</v>
      </c>
      <c r="E707" s="43">
        <v>299070</v>
      </c>
      <c r="F707" s="43" t="s">
        <v>123</v>
      </c>
      <c r="G707" s="43" t="b">
        <v>1</v>
      </c>
      <c r="H707" s="43" t="b">
        <v>0</v>
      </c>
      <c r="I707" s="43"/>
      <c r="M707" s="48" t="s">
        <v>922</v>
      </c>
      <c r="N707" s="48">
        <v>17088569846</v>
      </c>
      <c r="O707" s="48">
        <v>17088573128</v>
      </c>
      <c r="P707" s="48" t="s">
        <v>123</v>
      </c>
      <c r="Q707" s="49" t="s">
        <v>922</v>
      </c>
      <c r="R707" s="49">
        <v>17083128681</v>
      </c>
      <c r="S707" s="49">
        <v>17083126892</v>
      </c>
      <c r="T707" s="49" t="s">
        <v>123</v>
      </c>
      <c r="U707" s="50" t="s">
        <v>922</v>
      </c>
      <c r="V707" s="50">
        <v>17083128681</v>
      </c>
      <c r="W707" s="50">
        <v>17083126892</v>
      </c>
      <c r="X707" s="50" t="s">
        <v>123</v>
      </c>
      <c r="Y707" s="50">
        <v>150180</v>
      </c>
    </row>
    <row r="708" spans="1:25" x14ac:dyDescent="0.25">
      <c r="A708" s="25" t="s">
        <v>115</v>
      </c>
      <c r="B708" t="b">
        <v>0</v>
      </c>
      <c r="C708" s="43" t="s">
        <v>923</v>
      </c>
      <c r="D708" s="43">
        <v>322160</v>
      </c>
      <c r="E708" s="43">
        <v>301630</v>
      </c>
      <c r="F708" s="43" t="s">
        <v>125</v>
      </c>
      <c r="G708" s="43" t="b">
        <v>0</v>
      </c>
      <c r="H708" s="43" t="b">
        <v>0</v>
      </c>
      <c r="I708" s="43"/>
      <c r="M708" s="48" t="s">
        <v>923</v>
      </c>
      <c r="N708" s="48">
        <v>17088572150</v>
      </c>
      <c r="O708" s="48">
        <v>17088570056</v>
      </c>
      <c r="P708" s="48" t="s">
        <v>125</v>
      </c>
      <c r="Q708" s="49" t="s">
        <v>923</v>
      </c>
      <c r="R708" s="49">
        <v>17083127145</v>
      </c>
      <c r="S708" s="49">
        <v>17083129772</v>
      </c>
      <c r="T708" s="49" t="s">
        <v>125</v>
      </c>
      <c r="U708" s="50" t="s">
        <v>923</v>
      </c>
      <c r="V708" s="50">
        <v>17083127145</v>
      </c>
      <c r="W708" s="50">
        <v>17083129772</v>
      </c>
      <c r="X708" s="50" t="s">
        <v>125</v>
      </c>
      <c r="Y708" s="50"/>
    </row>
    <row r="709" spans="1:25" x14ac:dyDescent="0.25">
      <c r="A709" s="25" t="s">
        <v>115</v>
      </c>
      <c r="B709" t="b">
        <v>0</v>
      </c>
      <c r="C709" s="43" t="s">
        <v>924</v>
      </c>
      <c r="D709" s="43">
        <v>321136</v>
      </c>
      <c r="E709" s="43">
        <v>302622</v>
      </c>
      <c r="F709" s="43" t="s">
        <v>125</v>
      </c>
      <c r="G709" s="43" t="b">
        <v>0</v>
      </c>
      <c r="H709" s="43" t="b">
        <v>0</v>
      </c>
      <c r="I709" s="43"/>
      <c r="M709" s="48" t="s">
        <v>924</v>
      </c>
      <c r="N709" s="48">
        <v>17088572558</v>
      </c>
      <c r="O709" s="48">
        <v>17088570896</v>
      </c>
      <c r="P709" s="48" t="s">
        <v>125</v>
      </c>
      <c r="Q709" s="49" t="s">
        <v>924</v>
      </c>
      <c r="R709" s="49">
        <v>17083126553</v>
      </c>
      <c r="S709" s="49">
        <v>17083129684</v>
      </c>
      <c r="T709" s="49" t="s">
        <v>125</v>
      </c>
      <c r="U709" s="50" t="s">
        <v>924</v>
      </c>
      <c r="V709" s="50">
        <v>17083126553</v>
      </c>
      <c r="W709" s="50">
        <v>17083129684</v>
      </c>
      <c r="X709" s="50" t="s">
        <v>125</v>
      </c>
      <c r="Y709" s="50"/>
    </row>
    <row r="710" spans="1:25" x14ac:dyDescent="0.25">
      <c r="A710" s="25" t="s">
        <v>115</v>
      </c>
      <c r="B710" t="b">
        <v>0</v>
      </c>
      <c r="C710" s="43" t="s">
        <v>925</v>
      </c>
      <c r="D710" s="43">
        <v>323184</v>
      </c>
      <c r="E710" s="43">
        <v>299038</v>
      </c>
      <c r="F710" s="43" t="s">
        <v>117</v>
      </c>
      <c r="G710" s="43" t="b">
        <v>0</v>
      </c>
      <c r="H710" s="43" t="b">
        <v>0</v>
      </c>
      <c r="I710" s="43"/>
      <c r="M710" s="48" t="s">
        <v>925</v>
      </c>
      <c r="N710" s="48">
        <v>17088573198</v>
      </c>
      <c r="O710" s="48">
        <v>17088571664</v>
      </c>
      <c r="P710" s="48" t="s">
        <v>117</v>
      </c>
      <c r="Q710" s="49" t="s">
        <v>925</v>
      </c>
      <c r="R710" s="49">
        <v>17083127065</v>
      </c>
      <c r="S710" s="49">
        <v>17083126996</v>
      </c>
      <c r="T710" s="49" t="s">
        <v>117</v>
      </c>
      <c r="U710" s="50" t="s">
        <v>925</v>
      </c>
      <c r="V710" s="50">
        <v>17083127065</v>
      </c>
      <c r="W710" s="50">
        <v>17083126996</v>
      </c>
      <c r="X710" s="50" t="s">
        <v>117</v>
      </c>
      <c r="Y710" s="50"/>
    </row>
    <row r="711" spans="1:25" x14ac:dyDescent="0.25">
      <c r="A711" s="25" t="s">
        <v>115</v>
      </c>
      <c r="B711" t="b">
        <v>0</v>
      </c>
      <c r="C711" s="43" t="s">
        <v>926</v>
      </c>
      <c r="D711" s="43">
        <v>319856</v>
      </c>
      <c r="E711" s="43">
        <v>302409</v>
      </c>
      <c r="F711" s="43" t="s">
        <v>132</v>
      </c>
      <c r="G711" s="43" t="b">
        <v>0</v>
      </c>
      <c r="H711" s="43" t="b">
        <v>0</v>
      </c>
      <c r="I711" s="43"/>
      <c r="M711" s="48" t="s">
        <v>926</v>
      </c>
      <c r="N711" s="48">
        <v>17088573282</v>
      </c>
      <c r="O711" s="48">
        <v>17088569029</v>
      </c>
      <c r="P711" s="48" t="s">
        <v>132</v>
      </c>
      <c r="Q711" s="49" t="s">
        <v>926</v>
      </c>
      <c r="R711" s="49">
        <v>17083129550</v>
      </c>
      <c r="S711" s="49">
        <v>17083125395</v>
      </c>
      <c r="T711" s="49" t="s">
        <v>132</v>
      </c>
      <c r="U711" s="50" t="s">
        <v>926</v>
      </c>
      <c r="V711" s="50">
        <v>17083129550</v>
      </c>
      <c r="W711" s="50">
        <v>17083125395</v>
      </c>
      <c r="X711" s="50" t="s">
        <v>132</v>
      </c>
      <c r="Y711" s="50"/>
    </row>
    <row r="712" spans="1:25" x14ac:dyDescent="0.25">
      <c r="A712" s="25" t="s">
        <v>115</v>
      </c>
      <c r="B712" t="b">
        <v>0</v>
      </c>
      <c r="C712" s="43" t="s">
        <v>927</v>
      </c>
      <c r="D712" s="43">
        <v>321904</v>
      </c>
      <c r="E712" s="43">
        <v>300873</v>
      </c>
      <c r="F712" s="43" t="s">
        <v>132</v>
      </c>
      <c r="G712" s="43" t="b">
        <v>0</v>
      </c>
      <c r="H712" s="43" t="b">
        <v>0</v>
      </c>
      <c r="I712" s="43"/>
      <c r="M712" s="48" t="s">
        <v>927</v>
      </c>
      <c r="N712" s="48">
        <v>17088572514</v>
      </c>
      <c r="O712" s="48">
        <v>17088565957</v>
      </c>
      <c r="P712" s="48" t="s">
        <v>132</v>
      </c>
      <c r="Q712" s="49" t="s">
        <v>927</v>
      </c>
      <c r="R712" s="49">
        <v>17083128014</v>
      </c>
      <c r="S712" s="49">
        <v>17083122323</v>
      </c>
      <c r="T712" s="49" t="s">
        <v>132</v>
      </c>
      <c r="U712" s="50" t="s">
        <v>927</v>
      </c>
      <c r="V712" s="50">
        <v>17083128014</v>
      </c>
      <c r="W712" s="50">
        <v>17083122323</v>
      </c>
      <c r="X712" s="50" t="s">
        <v>132</v>
      </c>
      <c r="Y712" s="50"/>
    </row>
    <row r="713" spans="1:25" x14ac:dyDescent="0.25">
      <c r="A713" s="25" t="s">
        <v>115</v>
      </c>
      <c r="B713" t="b">
        <v>0</v>
      </c>
      <c r="C713" s="43" t="s">
        <v>928</v>
      </c>
      <c r="D713" s="43">
        <v>320880</v>
      </c>
      <c r="E713" s="43">
        <v>300817</v>
      </c>
      <c r="F713" s="43" t="s">
        <v>119</v>
      </c>
      <c r="G713" s="43" t="b">
        <v>0</v>
      </c>
      <c r="H713" s="43" t="b">
        <v>0</v>
      </c>
      <c r="I713" s="43"/>
      <c r="M713" s="48" t="s">
        <v>928</v>
      </c>
      <c r="N713" s="48">
        <v>17088572170</v>
      </c>
      <c r="O713" s="48">
        <v>17088565507</v>
      </c>
      <c r="P713" s="48" t="s">
        <v>119</v>
      </c>
      <c r="Q713" s="49" t="s">
        <v>928</v>
      </c>
      <c r="R713" s="49">
        <v>17083128286</v>
      </c>
      <c r="S713" s="49">
        <v>17083125447</v>
      </c>
      <c r="T713" s="49" t="s">
        <v>119</v>
      </c>
      <c r="U713" s="50" t="s">
        <v>928</v>
      </c>
      <c r="V713" s="50">
        <v>17083128286</v>
      </c>
      <c r="W713" s="50">
        <v>17083125447</v>
      </c>
      <c r="X713" s="50" t="s">
        <v>119</v>
      </c>
      <c r="Y713" s="50"/>
    </row>
    <row r="714" spans="1:25" x14ac:dyDescent="0.25">
      <c r="A714" s="25" t="s">
        <v>115</v>
      </c>
      <c r="B714" t="b">
        <v>0</v>
      </c>
      <c r="C714" s="43" t="s">
        <v>929</v>
      </c>
      <c r="D714" s="43">
        <v>320368</v>
      </c>
      <c r="E714" s="43">
        <v>302353</v>
      </c>
      <c r="F714" s="43" t="s">
        <v>125</v>
      </c>
      <c r="G714" s="43" t="b">
        <v>0</v>
      </c>
      <c r="H714" s="43" t="b">
        <v>0</v>
      </c>
      <c r="I714" s="43"/>
      <c r="M714" s="48" t="s">
        <v>929</v>
      </c>
      <c r="N714" s="48">
        <v>17088570122</v>
      </c>
      <c r="O714" s="48">
        <v>17088568067</v>
      </c>
      <c r="P714" s="48" t="s">
        <v>125</v>
      </c>
      <c r="Q714" s="49" t="s">
        <v>929</v>
      </c>
      <c r="R714" s="49">
        <v>17083126238</v>
      </c>
      <c r="S714" s="49">
        <v>17083122631</v>
      </c>
      <c r="T714" s="49" t="s">
        <v>125</v>
      </c>
      <c r="U714" s="50" t="s">
        <v>929</v>
      </c>
      <c r="V714" s="50">
        <v>17083126238</v>
      </c>
      <c r="W714" s="50">
        <v>17083122631</v>
      </c>
      <c r="X714" s="50" t="s">
        <v>125</v>
      </c>
      <c r="Y714" s="50"/>
    </row>
    <row r="715" spans="1:25" x14ac:dyDescent="0.25">
      <c r="A715" s="25" t="s">
        <v>115</v>
      </c>
      <c r="B715" t="b">
        <v>0</v>
      </c>
      <c r="C715" s="43" t="s">
        <v>930</v>
      </c>
      <c r="D715" s="43">
        <v>322416</v>
      </c>
      <c r="E715" s="43">
        <v>302462</v>
      </c>
      <c r="F715" s="43" t="s">
        <v>132</v>
      </c>
      <c r="G715" s="43" t="b">
        <v>0</v>
      </c>
      <c r="H715" s="43" t="b">
        <v>0</v>
      </c>
      <c r="I715" s="43"/>
      <c r="M715" s="48" t="s">
        <v>930</v>
      </c>
      <c r="N715" s="48">
        <v>17088571866</v>
      </c>
      <c r="O715" s="48">
        <v>17088566727</v>
      </c>
      <c r="P715" s="48" t="s">
        <v>132</v>
      </c>
      <c r="Q715" s="49" t="s">
        <v>930</v>
      </c>
      <c r="R715" s="49">
        <v>17083127233</v>
      </c>
      <c r="S715" s="49">
        <v>17083127616</v>
      </c>
      <c r="T715" s="49" t="s">
        <v>132</v>
      </c>
      <c r="U715" s="50" t="s">
        <v>930</v>
      </c>
      <c r="V715" s="50">
        <v>17083127233</v>
      </c>
      <c r="W715" s="50">
        <v>17083127616</v>
      </c>
      <c r="X715" s="50" t="s">
        <v>132</v>
      </c>
      <c r="Y715" s="50"/>
    </row>
    <row r="716" spans="1:25" x14ac:dyDescent="0.25">
      <c r="A716" s="25" t="s">
        <v>115</v>
      </c>
      <c r="B716" t="b">
        <v>0</v>
      </c>
      <c r="C716" s="43" t="s">
        <v>931</v>
      </c>
      <c r="D716" s="43">
        <v>321392</v>
      </c>
      <c r="E716" s="43">
        <v>302254</v>
      </c>
      <c r="F716" s="43" t="s">
        <v>119</v>
      </c>
      <c r="G716" s="43" t="b">
        <v>0</v>
      </c>
      <c r="H716" s="43" t="b">
        <v>0</v>
      </c>
      <c r="I716" s="43"/>
      <c r="M716" s="48" t="s">
        <v>931</v>
      </c>
      <c r="N716" s="48">
        <v>17088571150</v>
      </c>
      <c r="O716" s="48">
        <v>17088572304</v>
      </c>
      <c r="P716" s="48" t="s">
        <v>119</v>
      </c>
      <c r="Q716" s="49" t="s">
        <v>931</v>
      </c>
      <c r="R716" s="49">
        <v>17083128089</v>
      </c>
      <c r="S716" s="49">
        <v>17083127348</v>
      </c>
      <c r="T716" s="49" t="s">
        <v>119</v>
      </c>
      <c r="U716" s="50" t="s">
        <v>931</v>
      </c>
      <c r="V716" s="50">
        <v>17083128089</v>
      </c>
      <c r="W716" s="50">
        <v>17083127348</v>
      </c>
      <c r="X716" s="50" t="s">
        <v>119</v>
      </c>
      <c r="Y716" s="50"/>
    </row>
    <row r="717" spans="1:25" x14ac:dyDescent="0.25">
      <c r="A717" s="25" t="s">
        <v>115</v>
      </c>
      <c r="B717" t="b">
        <v>0</v>
      </c>
      <c r="C717" s="43" t="s">
        <v>932</v>
      </c>
      <c r="D717" s="43">
        <v>323440</v>
      </c>
      <c r="E717" s="43">
        <v>302497</v>
      </c>
      <c r="F717" s="43" t="s">
        <v>125</v>
      </c>
      <c r="G717" s="43" t="b">
        <v>1</v>
      </c>
      <c r="H717" s="43" t="b">
        <v>0</v>
      </c>
      <c r="I717" s="43" t="s">
        <v>126</v>
      </c>
      <c r="M717" s="48" t="s">
        <v>932</v>
      </c>
      <c r="N717" s="48">
        <v>17088572682</v>
      </c>
      <c r="O717" s="48">
        <v>17088566915</v>
      </c>
      <c r="P717" s="48" t="s">
        <v>125</v>
      </c>
      <c r="Q717" s="49" t="s">
        <v>932</v>
      </c>
      <c r="R717" s="49">
        <v>17083129566</v>
      </c>
      <c r="S717" s="49">
        <v>17083124263</v>
      </c>
      <c r="T717" s="49" t="s">
        <v>125</v>
      </c>
      <c r="U717" s="50" t="s">
        <v>932</v>
      </c>
      <c r="V717" s="50">
        <v>17083129566</v>
      </c>
      <c r="W717" s="50">
        <v>17083124263</v>
      </c>
      <c r="X717" s="50" t="s">
        <v>125</v>
      </c>
      <c r="Y717" s="50">
        <v>110047</v>
      </c>
    </row>
    <row r="718" spans="1:25" x14ac:dyDescent="0.25">
      <c r="A718" s="25" t="s">
        <v>115</v>
      </c>
      <c r="B718" t="b">
        <v>0</v>
      </c>
      <c r="C718" s="43" t="s">
        <v>933</v>
      </c>
      <c r="D718" s="43">
        <v>319728</v>
      </c>
      <c r="E718" s="43">
        <v>302369</v>
      </c>
      <c r="F718" s="43" t="s">
        <v>123</v>
      </c>
      <c r="G718" s="43" t="b">
        <v>0</v>
      </c>
      <c r="H718" s="43" t="b">
        <v>0</v>
      </c>
      <c r="I718" s="43"/>
      <c r="M718" s="48" t="s">
        <v>933</v>
      </c>
      <c r="N718" s="48">
        <v>17088573274</v>
      </c>
      <c r="O718" s="48">
        <v>17088565319</v>
      </c>
      <c r="P718" s="48" t="s">
        <v>123</v>
      </c>
      <c r="Q718" s="49" t="s">
        <v>933</v>
      </c>
      <c r="R718" s="49">
        <v>17083127105</v>
      </c>
      <c r="S718" s="49">
        <v>17083126400</v>
      </c>
      <c r="T718" s="49" t="s">
        <v>123</v>
      </c>
      <c r="U718" s="50" t="s">
        <v>933</v>
      </c>
      <c r="V718" s="50">
        <v>17083127105</v>
      </c>
      <c r="W718" s="50">
        <v>17083126400</v>
      </c>
      <c r="X718" s="50" t="s">
        <v>123</v>
      </c>
      <c r="Y718" s="50"/>
    </row>
    <row r="719" spans="1:25" x14ac:dyDescent="0.25">
      <c r="A719" s="25" t="s">
        <v>115</v>
      </c>
      <c r="B719" t="b">
        <v>0</v>
      </c>
      <c r="C719" s="43" t="s">
        <v>934</v>
      </c>
      <c r="D719" s="43">
        <v>321776</v>
      </c>
      <c r="E719" s="43">
        <v>300673</v>
      </c>
      <c r="F719" s="43" t="s">
        <v>125</v>
      </c>
      <c r="G719" s="43" t="b">
        <v>0</v>
      </c>
      <c r="H719" s="43" t="b">
        <v>0</v>
      </c>
      <c r="I719" s="43" t="s">
        <v>126</v>
      </c>
      <c r="M719" s="48" t="s">
        <v>934</v>
      </c>
      <c r="N719" s="48">
        <v>17088570074</v>
      </c>
      <c r="O719" s="48">
        <v>17088568391</v>
      </c>
      <c r="P719" s="48" t="s">
        <v>125</v>
      </c>
      <c r="Q719" s="49" t="s">
        <v>934</v>
      </c>
      <c r="R719" s="49">
        <v>17083128001</v>
      </c>
      <c r="S719" s="49">
        <v>17083129472</v>
      </c>
      <c r="T719" s="49" t="s">
        <v>125</v>
      </c>
      <c r="U719" s="50" t="s">
        <v>934</v>
      </c>
      <c r="V719" s="50">
        <v>17083128001</v>
      </c>
      <c r="W719" s="50">
        <v>17083129472</v>
      </c>
      <c r="X719" s="50" t="s">
        <v>125</v>
      </c>
      <c r="Y719" s="50"/>
    </row>
    <row r="720" spans="1:25" x14ac:dyDescent="0.25">
      <c r="A720" s="25" t="s">
        <v>115</v>
      </c>
      <c r="B720" t="b">
        <v>0</v>
      </c>
      <c r="C720" s="43" t="s">
        <v>935</v>
      </c>
      <c r="D720" s="43">
        <v>320752</v>
      </c>
      <c r="E720" s="43">
        <v>301534</v>
      </c>
      <c r="F720" s="43" t="s">
        <v>123</v>
      </c>
      <c r="G720" s="43" t="b">
        <v>0</v>
      </c>
      <c r="H720" s="43" t="b">
        <v>0</v>
      </c>
      <c r="I720" s="43" t="s">
        <v>134</v>
      </c>
      <c r="M720" s="48" t="s">
        <v>935</v>
      </c>
      <c r="N720" s="48">
        <v>17088570382</v>
      </c>
      <c r="O720" s="48">
        <v>17088570312</v>
      </c>
      <c r="P720" s="48" t="s">
        <v>123</v>
      </c>
      <c r="Q720" s="49" t="s">
        <v>935</v>
      </c>
      <c r="R720" s="49">
        <v>17083126761</v>
      </c>
      <c r="S720" s="49">
        <v>17083129452</v>
      </c>
      <c r="T720" s="49" t="s">
        <v>123</v>
      </c>
      <c r="U720" s="50" t="s">
        <v>935</v>
      </c>
      <c r="V720" s="50">
        <v>17083126761</v>
      </c>
      <c r="W720" s="50">
        <v>17083129452</v>
      </c>
      <c r="X720" s="50" t="s">
        <v>123</v>
      </c>
      <c r="Y720" s="50"/>
    </row>
    <row r="721" spans="1:25" x14ac:dyDescent="0.25">
      <c r="A721" s="25" t="s">
        <v>115</v>
      </c>
      <c r="B721" t="b">
        <v>0</v>
      </c>
      <c r="C721" s="43" t="s">
        <v>936</v>
      </c>
      <c r="D721" s="43">
        <v>322800</v>
      </c>
      <c r="E721" s="43">
        <v>300318</v>
      </c>
      <c r="F721" s="43" t="s">
        <v>117</v>
      </c>
      <c r="G721" s="43" t="b">
        <v>0</v>
      </c>
      <c r="H721" s="43" t="b">
        <v>0</v>
      </c>
      <c r="I721" s="43"/>
      <c r="M721" s="48" t="s">
        <v>936</v>
      </c>
      <c r="N721" s="48">
        <v>17088570102</v>
      </c>
      <c r="O721" s="48">
        <v>17088573408</v>
      </c>
      <c r="P721" s="48" t="s">
        <v>117</v>
      </c>
      <c r="Q721" s="49" t="s">
        <v>936</v>
      </c>
      <c r="R721" s="49">
        <v>17083128169</v>
      </c>
      <c r="S721" s="49">
        <v>17083126100</v>
      </c>
      <c r="T721" s="49" t="s">
        <v>117</v>
      </c>
      <c r="U721" s="50" t="s">
        <v>936</v>
      </c>
      <c r="V721" s="50">
        <v>17083128169</v>
      </c>
      <c r="W721" s="50">
        <v>17083126100</v>
      </c>
      <c r="X721" s="50" t="s">
        <v>117</v>
      </c>
      <c r="Y721" s="50"/>
    </row>
    <row r="722" spans="1:25" x14ac:dyDescent="0.25">
      <c r="A722" s="25" t="s">
        <v>115</v>
      </c>
      <c r="B722" t="b">
        <v>0</v>
      </c>
      <c r="C722" s="43" t="s">
        <v>937</v>
      </c>
      <c r="D722" s="43">
        <v>320240</v>
      </c>
      <c r="E722" s="43">
        <v>300030</v>
      </c>
      <c r="F722" s="43" t="s">
        <v>132</v>
      </c>
      <c r="G722" s="43" t="b">
        <v>0</v>
      </c>
      <c r="H722" s="43" t="b">
        <v>0</v>
      </c>
      <c r="I722" s="43"/>
      <c r="J722" s="45" t="s">
        <v>937</v>
      </c>
      <c r="K722" s="46">
        <v>300030</v>
      </c>
      <c r="L722" s="47">
        <v>990000617</v>
      </c>
      <c r="M722" s="48" t="s">
        <v>937</v>
      </c>
      <c r="N722" s="48">
        <v>17088571098</v>
      </c>
      <c r="O722" s="48">
        <v>17088569159</v>
      </c>
      <c r="P722" s="48" t="s">
        <v>132</v>
      </c>
      <c r="Q722" s="49" t="s">
        <v>937</v>
      </c>
      <c r="R722" s="49">
        <v>17083128513</v>
      </c>
      <c r="S722" s="49">
        <v>17083128896</v>
      </c>
      <c r="T722" s="49" t="s">
        <v>132</v>
      </c>
      <c r="U722" s="50" t="s">
        <v>937</v>
      </c>
      <c r="V722" s="50">
        <v>17083128513</v>
      </c>
      <c r="W722" s="50">
        <v>17083128896</v>
      </c>
      <c r="X722" s="50" t="s">
        <v>132</v>
      </c>
      <c r="Y722" s="50"/>
    </row>
    <row r="723" spans="1:25" x14ac:dyDescent="0.25">
      <c r="A723" s="25" t="s">
        <v>115</v>
      </c>
      <c r="B723" t="b">
        <v>0</v>
      </c>
      <c r="C723" s="43" t="s">
        <v>938</v>
      </c>
      <c r="D723" s="43">
        <v>322288</v>
      </c>
      <c r="E723" s="43">
        <v>300033</v>
      </c>
      <c r="F723" s="43" t="s">
        <v>132</v>
      </c>
      <c r="G723" s="43" t="b">
        <v>0</v>
      </c>
      <c r="H723" s="43" t="b">
        <v>0</v>
      </c>
      <c r="I723" s="43"/>
      <c r="M723" s="48" t="s">
        <v>938</v>
      </c>
      <c r="N723" s="48">
        <v>17088572634</v>
      </c>
      <c r="O723" s="48">
        <v>17088567623</v>
      </c>
      <c r="P723" s="48" t="s">
        <v>132</v>
      </c>
      <c r="Q723" s="49" t="s">
        <v>938</v>
      </c>
      <c r="R723" s="49">
        <v>17083125953</v>
      </c>
      <c r="S723" s="49">
        <v>17083128704</v>
      </c>
      <c r="T723" s="49" t="s">
        <v>132</v>
      </c>
      <c r="U723" s="50" t="s">
        <v>938</v>
      </c>
      <c r="V723" s="50">
        <v>17083125953</v>
      </c>
      <c r="W723" s="50">
        <v>17083128704</v>
      </c>
      <c r="X723" s="50" t="s">
        <v>132</v>
      </c>
      <c r="Y723" s="50"/>
    </row>
    <row r="724" spans="1:25" x14ac:dyDescent="0.25">
      <c r="A724" s="25" t="b">
        <v>1</v>
      </c>
      <c r="B724" t="b">
        <v>0</v>
      </c>
      <c r="C724" s="43" t="s">
        <v>939</v>
      </c>
      <c r="D724" s="43">
        <v>321264</v>
      </c>
      <c r="E724" s="43">
        <v>301918</v>
      </c>
      <c r="F724" s="43" t="s">
        <v>173</v>
      </c>
      <c r="G724" s="43" t="b">
        <v>0</v>
      </c>
      <c r="H724" s="43" t="b">
        <v>0</v>
      </c>
      <c r="I724" s="43"/>
      <c r="J724" s="45" t="s">
        <v>939</v>
      </c>
      <c r="K724" s="46">
        <v>301918</v>
      </c>
      <c r="L724" s="47">
        <v>990000414</v>
      </c>
      <c r="M724" s="48" t="s">
        <v>939</v>
      </c>
      <c r="N724" s="48">
        <v>17088571254</v>
      </c>
      <c r="O724" s="48">
        <v>17088570336</v>
      </c>
      <c r="P724" s="48" t="s">
        <v>173</v>
      </c>
      <c r="Q724" s="49" t="s">
        <v>939</v>
      </c>
      <c r="R724" s="49">
        <v>17083127913</v>
      </c>
      <c r="S724" s="49">
        <v>17083128404</v>
      </c>
      <c r="T724" s="49" t="s">
        <v>173</v>
      </c>
      <c r="U724" s="50" t="s">
        <v>939</v>
      </c>
      <c r="V724" s="50">
        <v>17083127913</v>
      </c>
      <c r="W724" s="50">
        <v>17083128404</v>
      </c>
      <c r="X724" s="50" t="s">
        <v>173</v>
      </c>
      <c r="Y724" s="50"/>
    </row>
    <row r="725" spans="1:25" x14ac:dyDescent="0.25">
      <c r="A725" s="25" t="s">
        <v>115</v>
      </c>
      <c r="B725" t="b">
        <v>0</v>
      </c>
      <c r="C725" s="43" t="s">
        <v>940</v>
      </c>
      <c r="D725" s="43">
        <v>323312</v>
      </c>
      <c r="E725" s="43">
        <v>302446</v>
      </c>
      <c r="F725" s="43" t="s">
        <v>123</v>
      </c>
      <c r="G725" s="43" t="b">
        <v>0</v>
      </c>
      <c r="H725" s="43" t="b">
        <v>0</v>
      </c>
      <c r="I725" s="43"/>
      <c r="M725" s="48" t="s">
        <v>940</v>
      </c>
      <c r="N725" s="48">
        <v>17088572662</v>
      </c>
      <c r="O725" s="48">
        <v>17088569488</v>
      </c>
      <c r="P725" s="48" t="s">
        <v>123</v>
      </c>
      <c r="Q725" s="49" t="s">
        <v>940</v>
      </c>
      <c r="R725" s="49">
        <v>17083126121</v>
      </c>
      <c r="S725" s="49">
        <v>17083128276</v>
      </c>
      <c r="T725" s="49" t="s">
        <v>123</v>
      </c>
      <c r="U725" s="50" t="s">
        <v>940</v>
      </c>
      <c r="V725" s="50">
        <v>17083126121</v>
      </c>
      <c r="W725" s="50">
        <v>17083128276</v>
      </c>
      <c r="X725" s="50" t="s">
        <v>123</v>
      </c>
      <c r="Y725" s="50"/>
    </row>
    <row r="726" spans="1:25" x14ac:dyDescent="0.25">
      <c r="A726" s="25" t="s">
        <v>115</v>
      </c>
      <c r="B726" t="b">
        <v>0</v>
      </c>
      <c r="C726" s="43" t="s">
        <v>941</v>
      </c>
      <c r="D726" s="43">
        <v>319984</v>
      </c>
      <c r="E726" s="43">
        <v>301566</v>
      </c>
      <c r="F726" s="43" t="s">
        <v>132</v>
      </c>
      <c r="G726" s="43" t="b">
        <v>0</v>
      </c>
      <c r="H726" s="43" t="b">
        <v>0</v>
      </c>
      <c r="I726" s="43"/>
      <c r="M726" s="48" t="s">
        <v>941</v>
      </c>
      <c r="N726" s="48">
        <v>17088572378</v>
      </c>
      <c r="O726" s="48">
        <v>17088566471</v>
      </c>
      <c r="P726" s="48" t="s">
        <v>132</v>
      </c>
      <c r="Q726" s="49" t="s">
        <v>941</v>
      </c>
      <c r="R726" s="49">
        <v>17083128353</v>
      </c>
      <c r="S726" s="49">
        <v>17083127360</v>
      </c>
      <c r="T726" s="49" t="s">
        <v>132</v>
      </c>
      <c r="U726" s="50" t="s">
        <v>941</v>
      </c>
      <c r="V726" s="50">
        <v>17083128353</v>
      </c>
      <c r="W726" s="50">
        <v>17083127360</v>
      </c>
      <c r="X726" s="50" t="s">
        <v>132</v>
      </c>
      <c r="Y726" s="50"/>
    </row>
    <row r="727" spans="1:25" x14ac:dyDescent="0.25">
      <c r="A727" s="25" t="s">
        <v>115</v>
      </c>
      <c r="B727" t="b">
        <v>0</v>
      </c>
      <c r="C727" s="43" t="s">
        <v>942</v>
      </c>
      <c r="D727" s="43">
        <v>321008</v>
      </c>
      <c r="E727" s="43">
        <v>302510</v>
      </c>
      <c r="F727" s="43" t="s">
        <v>125</v>
      </c>
      <c r="G727" s="43" t="b">
        <v>0</v>
      </c>
      <c r="H727" s="43" t="b">
        <v>0</v>
      </c>
      <c r="I727" s="43"/>
      <c r="M727" s="48" t="s">
        <v>942</v>
      </c>
      <c r="N727" s="48">
        <v>17088570358</v>
      </c>
      <c r="O727" s="48">
        <v>17088573072</v>
      </c>
      <c r="P727" s="48" t="s">
        <v>125</v>
      </c>
      <c r="Q727" s="49" t="s">
        <v>942</v>
      </c>
      <c r="R727" s="49">
        <v>17083126505</v>
      </c>
      <c r="S727" s="49">
        <v>17083125812</v>
      </c>
      <c r="T727" s="49" t="s">
        <v>125</v>
      </c>
      <c r="U727" s="50" t="s">
        <v>942</v>
      </c>
      <c r="V727" s="50">
        <v>17083126505</v>
      </c>
      <c r="W727" s="50">
        <v>17083125812</v>
      </c>
      <c r="X727" s="50" t="s">
        <v>125</v>
      </c>
      <c r="Y727" s="50"/>
    </row>
    <row r="728" spans="1:25" x14ac:dyDescent="0.25">
      <c r="A728" s="25" t="s">
        <v>115</v>
      </c>
      <c r="B728" t="b">
        <v>0</v>
      </c>
      <c r="C728" s="43" t="s">
        <v>943</v>
      </c>
      <c r="D728" s="43">
        <v>323056</v>
      </c>
      <c r="E728" s="43">
        <v>303102</v>
      </c>
      <c r="F728" s="43" t="s">
        <v>132</v>
      </c>
      <c r="G728" s="43" t="b">
        <v>0</v>
      </c>
      <c r="H728" s="43" t="b">
        <v>0</v>
      </c>
      <c r="I728" s="43"/>
      <c r="M728" s="48" t="s">
        <v>943</v>
      </c>
      <c r="N728" s="48">
        <v>17088571450</v>
      </c>
      <c r="O728" s="48">
        <v>17088566087</v>
      </c>
      <c r="P728" s="48" t="s">
        <v>132</v>
      </c>
      <c r="Q728" s="49" t="s">
        <v>943</v>
      </c>
      <c r="R728" s="49">
        <v>17083127073</v>
      </c>
      <c r="S728" s="49">
        <v>17083125824</v>
      </c>
      <c r="T728" s="49" t="s">
        <v>132</v>
      </c>
      <c r="U728" s="50" t="s">
        <v>943</v>
      </c>
      <c r="V728" s="50">
        <v>17083127073</v>
      </c>
      <c r="W728" s="50">
        <v>17083125824</v>
      </c>
      <c r="X728" s="50" t="s">
        <v>132</v>
      </c>
      <c r="Y728" s="50"/>
    </row>
    <row r="729" spans="1:25" x14ac:dyDescent="0.25">
      <c r="A729" s="25" t="s">
        <v>115</v>
      </c>
      <c r="B729" t="b">
        <v>0</v>
      </c>
      <c r="C729" s="43" t="s">
        <v>944</v>
      </c>
      <c r="D729" s="43">
        <v>320496</v>
      </c>
      <c r="E729" s="43">
        <v>300846</v>
      </c>
      <c r="F729" s="43" t="s">
        <v>119</v>
      </c>
      <c r="G729" s="43" t="b">
        <v>0</v>
      </c>
      <c r="H729" s="43" t="b">
        <v>0</v>
      </c>
      <c r="I729" s="43"/>
      <c r="M729" s="48" t="s">
        <v>944</v>
      </c>
      <c r="N729" s="48">
        <v>17088572174</v>
      </c>
      <c r="O729" s="48">
        <v>17088570448</v>
      </c>
      <c r="P729" s="48" t="s">
        <v>119</v>
      </c>
      <c r="Q729" s="49" t="s">
        <v>944</v>
      </c>
      <c r="R729" s="49">
        <v>17083126041</v>
      </c>
      <c r="S729" s="49">
        <v>17083129140</v>
      </c>
      <c r="T729" s="49" t="s">
        <v>119</v>
      </c>
      <c r="U729" s="50" t="s">
        <v>944</v>
      </c>
      <c r="V729" s="50">
        <v>17083126041</v>
      </c>
      <c r="W729" s="50">
        <v>17083129140</v>
      </c>
      <c r="X729" s="50" t="s">
        <v>119</v>
      </c>
      <c r="Y729" s="50"/>
    </row>
    <row r="730" spans="1:25" x14ac:dyDescent="0.25">
      <c r="A730" s="25" t="s">
        <v>115</v>
      </c>
      <c r="B730" t="b">
        <v>0</v>
      </c>
      <c r="C730" s="43" t="s">
        <v>945</v>
      </c>
      <c r="D730" s="43">
        <v>322544</v>
      </c>
      <c r="E730" s="43">
        <v>299438</v>
      </c>
      <c r="F730" s="43" t="s">
        <v>125</v>
      </c>
      <c r="G730" s="43" t="b">
        <v>0</v>
      </c>
      <c r="H730" s="43" t="b">
        <v>0</v>
      </c>
      <c r="I730" s="43"/>
      <c r="M730" s="48" t="s">
        <v>945</v>
      </c>
      <c r="N730" s="48">
        <v>17088570614</v>
      </c>
      <c r="O730" s="48">
        <v>17088570768</v>
      </c>
      <c r="P730" s="48" t="s">
        <v>125</v>
      </c>
      <c r="Q730" s="49" t="s">
        <v>945</v>
      </c>
      <c r="R730" s="49">
        <v>17083129449</v>
      </c>
      <c r="S730" s="49">
        <v>17083128884</v>
      </c>
      <c r="T730" s="49" t="s">
        <v>125</v>
      </c>
      <c r="U730" s="50" t="s">
        <v>945</v>
      </c>
      <c r="V730" s="50">
        <v>17083129449</v>
      </c>
      <c r="W730" s="50">
        <v>17083128884</v>
      </c>
      <c r="X730" s="50" t="s">
        <v>125</v>
      </c>
      <c r="Y730" s="50"/>
    </row>
    <row r="731" spans="1:25" x14ac:dyDescent="0.25">
      <c r="A731" s="25" t="s">
        <v>115</v>
      </c>
      <c r="B731" t="b">
        <v>0</v>
      </c>
      <c r="C731" s="43" t="s">
        <v>946</v>
      </c>
      <c r="D731" s="43">
        <v>323568</v>
      </c>
      <c r="E731" s="43">
        <v>302657</v>
      </c>
      <c r="F731" s="43" t="s">
        <v>123</v>
      </c>
      <c r="G731" s="43" t="b">
        <v>1</v>
      </c>
      <c r="H731" s="43" t="b">
        <v>0</v>
      </c>
      <c r="I731" s="43" t="s">
        <v>134</v>
      </c>
      <c r="M731" s="48" t="s">
        <v>946</v>
      </c>
      <c r="N731" s="48">
        <v>17088571278</v>
      </c>
      <c r="O731" s="48">
        <v>17088557060</v>
      </c>
      <c r="P731" s="48" t="s">
        <v>123</v>
      </c>
      <c r="Q731" s="49" t="s">
        <v>946</v>
      </c>
      <c r="R731" s="49">
        <v>17083129497</v>
      </c>
      <c r="S731" s="49">
        <v>17083092258</v>
      </c>
      <c r="T731" s="49" t="s">
        <v>123</v>
      </c>
      <c r="U731" s="50" t="s">
        <v>946</v>
      </c>
      <c r="V731" s="50">
        <v>17083129497</v>
      </c>
      <c r="W731" s="50">
        <v>17083092258</v>
      </c>
      <c r="X731" s="50" t="s">
        <v>123</v>
      </c>
      <c r="Y731" s="50">
        <v>150160</v>
      </c>
    </row>
    <row r="732" spans="1:25" x14ac:dyDescent="0.25">
      <c r="A732" s="25" t="s">
        <v>115</v>
      </c>
      <c r="B732" t="b">
        <v>0</v>
      </c>
      <c r="C732" s="43" t="s">
        <v>947</v>
      </c>
      <c r="D732" s="43">
        <v>319496</v>
      </c>
      <c r="E732" s="43">
        <v>302273</v>
      </c>
      <c r="F732" s="43" t="s">
        <v>123</v>
      </c>
      <c r="G732" s="43" t="b">
        <v>0</v>
      </c>
      <c r="H732" s="43" t="b">
        <v>0</v>
      </c>
      <c r="I732" s="43"/>
      <c r="M732" s="48" t="s">
        <v>947</v>
      </c>
      <c r="N732" s="48">
        <v>17088570574</v>
      </c>
      <c r="O732" s="48">
        <v>17088558328</v>
      </c>
      <c r="P732" s="48" t="s">
        <v>123</v>
      </c>
      <c r="Q732" s="49" t="s">
        <v>947</v>
      </c>
      <c r="R732" s="49">
        <v>17083128921</v>
      </c>
      <c r="S732" s="49">
        <v>17083091906</v>
      </c>
      <c r="T732" s="49" t="s">
        <v>123</v>
      </c>
      <c r="U732" s="50" t="s">
        <v>947</v>
      </c>
      <c r="V732" s="50">
        <v>17083128921</v>
      </c>
      <c r="W732" s="50">
        <v>17083091906</v>
      </c>
      <c r="X732" s="50" t="s">
        <v>123</v>
      </c>
      <c r="Y732" s="50"/>
    </row>
    <row r="733" spans="1:25" x14ac:dyDescent="0.25">
      <c r="A733" s="25" t="s">
        <v>115</v>
      </c>
      <c r="B733" t="b">
        <v>0</v>
      </c>
      <c r="C733" s="43" t="s">
        <v>948</v>
      </c>
      <c r="D733" s="43">
        <v>321544</v>
      </c>
      <c r="E733" s="43">
        <v>302025</v>
      </c>
      <c r="F733" s="43" t="s">
        <v>125</v>
      </c>
      <c r="G733" s="43" t="b">
        <v>0</v>
      </c>
      <c r="H733" s="43" t="b">
        <v>0</v>
      </c>
      <c r="I733" s="43" t="s">
        <v>126</v>
      </c>
      <c r="M733" s="48" t="s">
        <v>948</v>
      </c>
      <c r="N733" s="48">
        <v>17088572042</v>
      </c>
      <c r="O733" s="48">
        <v>17088565603</v>
      </c>
      <c r="P733" s="48" t="s">
        <v>125</v>
      </c>
      <c r="Q733" s="49" t="s">
        <v>948</v>
      </c>
      <c r="R733" s="49">
        <v>17083126334</v>
      </c>
      <c r="S733" s="49">
        <v>17083123991</v>
      </c>
      <c r="T733" s="49" t="s">
        <v>125</v>
      </c>
      <c r="U733" s="50" t="s">
        <v>948</v>
      </c>
      <c r="V733" s="50">
        <v>17083126334</v>
      </c>
      <c r="W733" s="50">
        <v>17083123991</v>
      </c>
      <c r="X733" s="50" t="s">
        <v>125</v>
      </c>
      <c r="Y733" s="50"/>
    </row>
    <row r="734" spans="1:25" x14ac:dyDescent="0.25">
      <c r="A734" s="25" t="s">
        <v>115</v>
      </c>
      <c r="B734" t="b">
        <v>0</v>
      </c>
      <c r="C734" s="43" t="s">
        <v>949</v>
      </c>
      <c r="D734" s="43">
        <v>322568</v>
      </c>
      <c r="E734" s="43">
        <v>299617</v>
      </c>
      <c r="F734" s="43" t="s">
        <v>125</v>
      </c>
      <c r="G734" s="43" t="b">
        <v>0</v>
      </c>
      <c r="H734" s="43" t="b">
        <v>0</v>
      </c>
      <c r="I734" s="43" t="s">
        <v>126</v>
      </c>
      <c r="M734" s="48" t="s">
        <v>949</v>
      </c>
      <c r="N734" s="48">
        <v>17088571194</v>
      </c>
      <c r="O734" s="48">
        <v>17088568119</v>
      </c>
      <c r="P734" s="48" t="s">
        <v>125</v>
      </c>
      <c r="Q734" s="49" t="s">
        <v>949</v>
      </c>
      <c r="R734" s="49">
        <v>17083128481</v>
      </c>
      <c r="S734" s="49">
        <v>17083126832</v>
      </c>
      <c r="T734" s="49" t="s">
        <v>125</v>
      </c>
      <c r="U734" s="50" t="s">
        <v>949</v>
      </c>
      <c r="V734" s="50">
        <v>17083128481</v>
      </c>
      <c r="W734" s="50">
        <v>17083126832</v>
      </c>
      <c r="X734" s="50" t="s">
        <v>125</v>
      </c>
      <c r="Y734" s="50"/>
    </row>
    <row r="735" spans="1:25" x14ac:dyDescent="0.25">
      <c r="A735" s="25" t="s">
        <v>115</v>
      </c>
      <c r="B735" t="b">
        <v>1</v>
      </c>
      <c r="C735" s="43" t="s">
        <v>950</v>
      </c>
      <c r="D735" s="43">
        <v>322056</v>
      </c>
      <c r="E735" s="43">
        <v>300222</v>
      </c>
      <c r="F735" s="43" t="s">
        <v>123</v>
      </c>
      <c r="G735" s="43" t="b">
        <v>1</v>
      </c>
      <c r="H735" s="43" t="b">
        <v>0</v>
      </c>
      <c r="I735" s="43" t="s">
        <v>134</v>
      </c>
      <c r="M735" s="48" t="s">
        <v>950</v>
      </c>
      <c r="N735" s="48">
        <v>17088571726</v>
      </c>
      <c r="O735" s="48">
        <v>17088558660</v>
      </c>
      <c r="P735" s="48" t="s">
        <v>123</v>
      </c>
      <c r="Q735" s="49" t="s">
        <v>950</v>
      </c>
      <c r="R735" s="49">
        <v>17083127705</v>
      </c>
      <c r="S735" s="49">
        <v>17083089122</v>
      </c>
      <c r="T735" s="49" t="s">
        <v>123</v>
      </c>
      <c r="U735" s="50" t="s">
        <v>950</v>
      </c>
      <c r="V735" s="50">
        <v>17083127705</v>
      </c>
      <c r="W735" s="50">
        <v>17083089122</v>
      </c>
      <c r="X735" s="50" t="s">
        <v>123</v>
      </c>
      <c r="Y735" s="50">
        <v>150051</v>
      </c>
    </row>
    <row r="736" spans="1:25" x14ac:dyDescent="0.25">
      <c r="A736" s="25" t="s">
        <v>115</v>
      </c>
      <c r="B736" t="b">
        <v>0</v>
      </c>
      <c r="C736" s="43" t="s">
        <v>951</v>
      </c>
      <c r="D736" s="43">
        <v>321032</v>
      </c>
      <c r="E736" s="43">
        <v>302209</v>
      </c>
      <c r="F736" s="43" t="s">
        <v>125</v>
      </c>
      <c r="G736" s="43" t="b">
        <v>0</v>
      </c>
      <c r="H736" s="43" t="b">
        <v>0</v>
      </c>
      <c r="I736" s="43"/>
      <c r="M736" s="48" t="s">
        <v>951</v>
      </c>
      <c r="N736" s="48">
        <v>17088569742</v>
      </c>
      <c r="O736" s="48">
        <v>17088557188</v>
      </c>
      <c r="P736" s="48" t="s">
        <v>125</v>
      </c>
      <c r="Q736" s="49" t="s">
        <v>951</v>
      </c>
      <c r="R736" s="49">
        <v>17083126937</v>
      </c>
      <c r="S736" s="49">
        <v>17083090338</v>
      </c>
      <c r="T736" s="49" t="s">
        <v>125</v>
      </c>
      <c r="U736" s="50" t="s">
        <v>951</v>
      </c>
      <c r="V736" s="50">
        <v>17083126937</v>
      </c>
      <c r="W736" s="50">
        <v>17083090338</v>
      </c>
      <c r="X736" s="50" t="s">
        <v>125</v>
      </c>
      <c r="Y736" s="50"/>
    </row>
    <row r="737" spans="1:25" x14ac:dyDescent="0.25">
      <c r="A737" s="25" t="s">
        <v>115</v>
      </c>
      <c r="B737" t="b">
        <v>0</v>
      </c>
      <c r="C737" s="43" t="s">
        <v>952</v>
      </c>
      <c r="D737" s="43">
        <v>323080</v>
      </c>
      <c r="E737" s="43">
        <v>299297</v>
      </c>
      <c r="F737" s="43" t="s">
        <v>383</v>
      </c>
      <c r="G737" s="43" t="b">
        <v>0</v>
      </c>
      <c r="H737" s="43" t="b">
        <v>0</v>
      </c>
      <c r="I737" s="43"/>
      <c r="M737" s="48" t="s">
        <v>952</v>
      </c>
      <c r="N737" s="48">
        <v>17088569390</v>
      </c>
      <c r="O737" s="48">
        <v>17088561016</v>
      </c>
      <c r="P737" s="48" t="s">
        <v>383</v>
      </c>
      <c r="Q737" s="49" t="s">
        <v>952</v>
      </c>
      <c r="R737" s="49">
        <v>17083128025</v>
      </c>
      <c r="S737" s="49">
        <v>17083090370</v>
      </c>
      <c r="T737" s="49" t="s">
        <v>383</v>
      </c>
      <c r="U737" s="50" t="s">
        <v>952</v>
      </c>
      <c r="V737" s="50">
        <v>17083128025</v>
      </c>
      <c r="W737" s="50">
        <v>17083090370</v>
      </c>
      <c r="X737" s="50" t="s">
        <v>383</v>
      </c>
      <c r="Y737" s="50"/>
    </row>
    <row r="738" spans="1:25" x14ac:dyDescent="0.25">
      <c r="A738" s="25" t="b">
        <v>1</v>
      </c>
      <c r="B738" t="b">
        <v>0</v>
      </c>
      <c r="C738" s="43" t="s">
        <v>953</v>
      </c>
      <c r="D738" s="43">
        <v>319752</v>
      </c>
      <c r="E738" s="43">
        <v>299137</v>
      </c>
      <c r="F738" s="43" t="s">
        <v>173</v>
      </c>
      <c r="G738" s="43" t="b">
        <v>0</v>
      </c>
      <c r="H738" s="43" t="b">
        <v>0</v>
      </c>
      <c r="I738" s="43"/>
      <c r="J738" s="45" t="s">
        <v>953</v>
      </c>
      <c r="K738" s="46">
        <v>299137</v>
      </c>
      <c r="L738" s="47">
        <v>990000415</v>
      </c>
      <c r="M738" s="48" t="s">
        <v>953</v>
      </c>
      <c r="N738" s="48">
        <v>17088569934</v>
      </c>
      <c r="O738" s="48">
        <v>17088560260</v>
      </c>
      <c r="P738" s="48" t="s">
        <v>173</v>
      </c>
      <c r="Q738" s="49" t="s">
        <v>953</v>
      </c>
      <c r="R738" s="49">
        <v>17083129241</v>
      </c>
      <c r="S738" s="49">
        <v>17083091874</v>
      </c>
      <c r="T738" s="49" t="s">
        <v>173</v>
      </c>
      <c r="U738" s="50" t="s">
        <v>953</v>
      </c>
      <c r="V738" s="50">
        <v>17083129241</v>
      </c>
      <c r="W738" s="50">
        <v>17083091874</v>
      </c>
      <c r="X738" s="50" t="s">
        <v>173</v>
      </c>
      <c r="Y738" s="50"/>
    </row>
    <row r="739" spans="1:25" x14ac:dyDescent="0.25">
      <c r="A739" s="25" t="s">
        <v>115</v>
      </c>
      <c r="B739" t="b">
        <v>0</v>
      </c>
      <c r="C739" s="43" t="s">
        <v>954</v>
      </c>
      <c r="D739" s="43">
        <v>321800</v>
      </c>
      <c r="E739" s="43">
        <v>301825</v>
      </c>
      <c r="F739" s="43" t="s">
        <v>125</v>
      </c>
      <c r="G739" s="43" t="b">
        <v>0</v>
      </c>
      <c r="H739" s="43" t="b">
        <v>0</v>
      </c>
      <c r="I739" s="43" t="s">
        <v>126</v>
      </c>
      <c r="M739" s="48" t="s">
        <v>954</v>
      </c>
      <c r="N739" s="48">
        <v>17088573070</v>
      </c>
      <c r="O739" s="48">
        <v>17088558724</v>
      </c>
      <c r="P739" s="48" t="s">
        <v>125</v>
      </c>
      <c r="Q739" s="49" t="s">
        <v>954</v>
      </c>
      <c r="R739" s="49">
        <v>17083127961</v>
      </c>
      <c r="S739" s="49">
        <v>17083088994</v>
      </c>
      <c r="T739" s="49" t="s">
        <v>125</v>
      </c>
      <c r="U739" s="50" t="s">
        <v>954</v>
      </c>
      <c r="V739" s="50">
        <v>17083127961</v>
      </c>
      <c r="W739" s="50">
        <v>17083088994</v>
      </c>
      <c r="X739" s="50" t="s">
        <v>125</v>
      </c>
      <c r="Y739" s="50"/>
    </row>
    <row r="740" spans="1:25" x14ac:dyDescent="0.25">
      <c r="A740" s="25" t="s">
        <v>115</v>
      </c>
      <c r="B740" t="b">
        <v>0</v>
      </c>
      <c r="C740" s="43" t="s">
        <v>955</v>
      </c>
      <c r="D740" s="43">
        <v>320776</v>
      </c>
      <c r="E740" s="43">
        <v>301209</v>
      </c>
      <c r="F740" s="43" t="s">
        <v>132</v>
      </c>
      <c r="G740" s="43" t="b">
        <v>0</v>
      </c>
      <c r="H740" s="43" t="b">
        <v>0</v>
      </c>
      <c r="I740" s="43"/>
      <c r="M740" s="48" t="s">
        <v>955</v>
      </c>
      <c r="N740" s="48">
        <v>17088570338</v>
      </c>
      <c r="O740" s="48">
        <v>17088569109</v>
      </c>
      <c r="P740" s="48" t="s">
        <v>132</v>
      </c>
      <c r="Q740" s="49" t="s">
        <v>955</v>
      </c>
      <c r="R740" s="49">
        <v>17083129390</v>
      </c>
      <c r="S740" s="49">
        <v>17083123123</v>
      </c>
      <c r="T740" s="49" t="s">
        <v>132</v>
      </c>
      <c r="U740" s="50" t="s">
        <v>955</v>
      </c>
      <c r="V740" s="50">
        <v>17083129390</v>
      </c>
      <c r="W740" s="50">
        <v>17083123123</v>
      </c>
      <c r="X740" s="50" t="s">
        <v>132</v>
      </c>
      <c r="Y740" s="50"/>
    </row>
    <row r="741" spans="1:25" x14ac:dyDescent="0.25">
      <c r="A741" s="25" t="b">
        <v>1</v>
      </c>
      <c r="B741" t="b">
        <v>0</v>
      </c>
      <c r="C741" s="43" t="s">
        <v>956</v>
      </c>
      <c r="D741" s="43">
        <v>321288</v>
      </c>
      <c r="E741" s="43">
        <v>299337</v>
      </c>
      <c r="F741" s="43" t="s">
        <v>173</v>
      </c>
      <c r="G741" s="43" t="b">
        <v>0</v>
      </c>
      <c r="H741" s="43" t="b">
        <v>0</v>
      </c>
      <c r="I741" s="43"/>
      <c r="J741" s="45" t="s">
        <v>956</v>
      </c>
      <c r="K741" s="46">
        <v>299337</v>
      </c>
      <c r="M741" s="48" t="s">
        <v>956</v>
      </c>
      <c r="N741" s="48">
        <v>17088570698</v>
      </c>
      <c r="O741" s="48">
        <v>17088566115</v>
      </c>
      <c r="P741" s="48" t="s">
        <v>173</v>
      </c>
      <c r="Q741" s="49" t="s">
        <v>956</v>
      </c>
      <c r="R741" s="49">
        <v>17083127614</v>
      </c>
      <c r="S741" s="49">
        <v>17083124503</v>
      </c>
      <c r="T741" s="49" t="s">
        <v>173</v>
      </c>
      <c r="U741" s="50" t="s">
        <v>956</v>
      </c>
      <c r="V741" s="50">
        <v>17083127614</v>
      </c>
      <c r="W741" s="50">
        <v>17083124503</v>
      </c>
      <c r="X741" s="50" t="s">
        <v>173</v>
      </c>
      <c r="Y741" s="50"/>
    </row>
    <row r="742" spans="1:25" x14ac:dyDescent="0.25">
      <c r="A742" s="25" t="s">
        <v>115</v>
      </c>
      <c r="B742" t="b">
        <v>0</v>
      </c>
      <c r="C742" s="43" t="s">
        <v>957</v>
      </c>
      <c r="D742" s="43">
        <v>323336</v>
      </c>
      <c r="E742" s="43">
        <v>301073</v>
      </c>
      <c r="F742" s="43" t="s">
        <v>123</v>
      </c>
      <c r="G742" s="43" t="b">
        <v>0</v>
      </c>
      <c r="H742" s="43" t="b">
        <v>0</v>
      </c>
      <c r="I742" s="43"/>
      <c r="M742" s="48" t="s">
        <v>957</v>
      </c>
      <c r="N742" s="48">
        <v>17088569466</v>
      </c>
      <c r="O742" s="48">
        <v>17088566583</v>
      </c>
      <c r="P742" s="48" t="s">
        <v>123</v>
      </c>
      <c r="Q742" s="49" t="s">
        <v>957</v>
      </c>
      <c r="R742" s="49">
        <v>17083129761</v>
      </c>
      <c r="S742" s="49">
        <v>17083129808</v>
      </c>
      <c r="T742" s="49" t="s">
        <v>123</v>
      </c>
      <c r="U742" s="50" t="s">
        <v>957</v>
      </c>
      <c r="V742" s="50">
        <v>17083129761</v>
      </c>
      <c r="W742" s="50">
        <v>17083129808</v>
      </c>
      <c r="X742" s="50" t="s">
        <v>123</v>
      </c>
      <c r="Y742" s="50"/>
    </row>
    <row r="743" spans="1:25" x14ac:dyDescent="0.25">
      <c r="A743" s="25" t="s">
        <v>115</v>
      </c>
      <c r="B743" t="b">
        <v>0</v>
      </c>
      <c r="C743" s="43" t="s">
        <v>958</v>
      </c>
      <c r="D743" s="43">
        <v>19263433841</v>
      </c>
      <c r="E743" s="43">
        <v>19263434033</v>
      </c>
      <c r="F743" s="43" t="s">
        <v>132</v>
      </c>
      <c r="G743" s="43" t="b">
        <v>0</v>
      </c>
      <c r="H743" s="43" t="b">
        <v>0</v>
      </c>
      <c r="I743" s="43"/>
      <c r="M743" s="48" t="s">
        <v>958</v>
      </c>
      <c r="N743" s="48">
        <v>17088572506</v>
      </c>
      <c r="O743" s="48">
        <v>17088568615</v>
      </c>
      <c r="P743" s="48" t="s">
        <v>132</v>
      </c>
      <c r="Q743" s="49" t="s">
        <v>958</v>
      </c>
      <c r="R743" s="49">
        <v>17083126817</v>
      </c>
      <c r="S743" s="49">
        <v>17083126720</v>
      </c>
      <c r="T743" s="49" t="s">
        <v>132</v>
      </c>
      <c r="U743" s="50" t="s">
        <v>958</v>
      </c>
      <c r="V743" s="50">
        <v>17083126817</v>
      </c>
      <c r="W743" s="50">
        <v>17083126720</v>
      </c>
      <c r="X743" s="50" t="s">
        <v>132</v>
      </c>
      <c r="Y743" s="50"/>
    </row>
    <row r="744" spans="1:25" x14ac:dyDescent="0.25">
      <c r="A744" s="25" t="s">
        <v>115</v>
      </c>
      <c r="B744" t="b">
        <v>0</v>
      </c>
      <c r="C744" s="43" t="s">
        <v>959</v>
      </c>
      <c r="D744" s="43">
        <v>19263431281</v>
      </c>
      <c r="E744" s="43">
        <v>19263432497</v>
      </c>
      <c r="F744" s="43" t="s">
        <v>125</v>
      </c>
      <c r="G744" s="43" t="b">
        <v>0</v>
      </c>
      <c r="H744" s="43" t="b">
        <v>0</v>
      </c>
      <c r="I744" s="43"/>
      <c r="M744" s="48" t="s">
        <v>959</v>
      </c>
      <c r="N744" s="48">
        <v>17088573002</v>
      </c>
      <c r="O744" s="48">
        <v>17088566723</v>
      </c>
      <c r="P744" s="48" t="s">
        <v>125</v>
      </c>
      <c r="Q744" s="49" t="s">
        <v>959</v>
      </c>
      <c r="R744" s="49">
        <v>17083129150</v>
      </c>
      <c r="S744" s="49">
        <v>17083125159</v>
      </c>
      <c r="T744" s="49" t="s">
        <v>125</v>
      </c>
      <c r="U744" s="50" t="s">
        <v>959</v>
      </c>
      <c r="V744" s="50">
        <v>17083129150</v>
      </c>
      <c r="W744" s="50">
        <v>17083125159</v>
      </c>
      <c r="X744" s="50" t="s">
        <v>125</v>
      </c>
      <c r="Y744" s="50"/>
    </row>
    <row r="745" spans="1:25" x14ac:dyDescent="0.25">
      <c r="A745" s="25" t="s">
        <v>115</v>
      </c>
      <c r="B745" t="b">
        <v>0</v>
      </c>
      <c r="C745" s="43" t="s">
        <v>960</v>
      </c>
      <c r="D745" s="43">
        <v>19263433329</v>
      </c>
      <c r="E745" s="43">
        <v>19263431345</v>
      </c>
      <c r="F745" s="43" t="s">
        <v>125</v>
      </c>
      <c r="G745" s="43" t="b">
        <v>0</v>
      </c>
      <c r="H745" s="43" t="b">
        <v>0</v>
      </c>
      <c r="I745" s="43"/>
      <c r="M745" s="48" t="s">
        <v>960</v>
      </c>
      <c r="N745" s="48">
        <v>17088572554</v>
      </c>
      <c r="O745" s="48">
        <v>17088569027</v>
      </c>
      <c r="P745" s="48" t="s">
        <v>125</v>
      </c>
      <c r="Q745" s="49" t="s">
        <v>960</v>
      </c>
      <c r="R745" s="49">
        <v>17083128894</v>
      </c>
      <c r="S745" s="49">
        <v>17083122087</v>
      </c>
      <c r="T745" s="49" t="s">
        <v>125</v>
      </c>
      <c r="U745" s="50" t="s">
        <v>960</v>
      </c>
      <c r="V745" s="50">
        <v>17083128894</v>
      </c>
      <c r="W745" s="50">
        <v>17083122087</v>
      </c>
      <c r="X745" s="50" t="s">
        <v>125</v>
      </c>
      <c r="Y745" s="50"/>
    </row>
    <row r="746" spans="1:25" x14ac:dyDescent="0.25">
      <c r="A746" s="25" t="s">
        <v>115</v>
      </c>
      <c r="B746" t="b">
        <v>0</v>
      </c>
      <c r="C746" s="43" t="s">
        <v>961</v>
      </c>
      <c r="D746" s="43">
        <v>19263432305</v>
      </c>
      <c r="E746" s="43">
        <v>19263432881</v>
      </c>
      <c r="F746" s="43" t="s">
        <v>132</v>
      </c>
      <c r="G746" s="43" t="b">
        <v>0</v>
      </c>
      <c r="H746" s="43" t="b">
        <v>0</v>
      </c>
      <c r="I746" s="43"/>
      <c r="M746" s="48" t="s">
        <v>961</v>
      </c>
      <c r="N746" s="48">
        <v>17088571626</v>
      </c>
      <c r="O746" s="48">
        <v>17088567195</v>
      </c>
      <c r="P746" s="48" t="s">
        <v>132</v>
      </c>
      <c r="Q746" s="49" t="s">
        <v>961</v>
      </c>
      <c r="R746" s="49">
        <v>17083129601</v>
      </c>
      <c r="S746" s="49">
        <v>17083122335</v>
      </c>
      <c r="T746" s="49" t="s">
        <v>132</v>
      </c>
      <c r="U746" s="50" t="s">
        <v>961</v>
      </c>
      <c r="V746" s="50">
        <v>17083129601</v>
      </c>
      <c r="W746" s="50">
        <v>17083122335</v>
      </c>
      <c r="X746" s="50" t="s">
        <v>132</v>
      </c>
      <c r="Y746" s="50"/>
    </row>
    <row r="747" spans="1:25" x14ac:dyDescent="0.25">
      <c r="A747" s="25" t="s">
        <v>115</v>
      </c>
      <c r="B747" t="b">
        <v>0</v>
      </c>
      <c r="C747" s="43" t="s">
        <v>962</v>
      </c>
      <c r="D747" s="43">
        <v>19263434353</v>
      </c>
      <c r="E747" s="43">
        <v>19263432113</v>
      </c>
      <c r="F747" s="43" t="s">
        <v>132</v>
      </c>
      <c r="G747" s="43" t="b">
        <v>0</v>
      </c>
      <c r="H747" s="43" t="b">
        <v>0</v>
      </c>
      <c r="I747" s="43"/>
      <c r="M747" s="48" t="s">
        <v>962</v>
      </c>
      <c r="N747" s="48">
        <v>17088572314</v>
      </c>
      <c r="O747" s="48">
        <v>17088565543</v>
      </c>
      <c r="P747" s="48" t="s">
        <v>132</v>
      </c>
      <c r="Q747" s="49" t="s">
        <v>962</v>
      </c>
      <c r="R747" s="49">
        <v>17083126721</v>
      </c>
      <c r="S747" s="49">
        <v>17083128256</v>
      </c>
      <c r="T747" s="49" t="s">
        <v>132</v>
      </c>
      <c r="U747" s="50" t="s">
        <v>962</v>
      </c>
      <c r="V747" s="50">
        <v>17083126721</v>
      </c>
      <c r="W747" s="50">
        <v>17083128256</v>
      </c>
      <c r="X747" s="50" t="s">
        <v>132</v>
      </c>
      <c r="Y747" s="50"/>
    </row>
    <row r="748" spans="1:25" x14ac:dyDescent="0.25">
      <c r="A748" s="25" t="s">
        <v>115</v>
      </c>
      <c r="B748" t="b">
        <v>0</v>
      </c>
      <c r="C748" s="43" t="s">
        <v>963</v>
      </c>
      <c r="D748" s="43">
        <v>19263431025</v>
      </c>
      <c r="E748" s="43">
        <v>19263434417</v>
      </c>
      <c r="F748" s="43" t="s">
        <v>125</v>
      </c>
      <c r="G748" s="43" t="b">
        <v>0</v>
      </c>
      <c r="H748" s="43" t="b">
        <v>0</v>
      </c>
      <c r="I748" s="43"/>
      <c r="M748" s="48" t="s">
        <v>963</v>
      </c>
      <c r="N748" s="48">
        <v>17088570506</v>
      </c>
      <c r="O748" s="48">
        <v>17088565955</v>
      </c>
      <c r="P748" s="48" t="s">
        <v>125</v>
      </c>
      <c r="Q748" s="49" t="s">
        <v>963</v>
      </c>
      <c r="R748" s="49">
        <v>17083126846</v>
      </c>
      <c r="S748" s="49">
        <v>17083124391</v>
      </c>
      <c r="T748" s="49" t="s">
        <v>125</v>
      </c>
      <c r="U748" s="50" t="s">
        <v>963</v>
      </c>
      <c r="V748" s="50">
        <v>17083126846</v>
      </c>
      <c r="W748" s="50">
        <v>17083124391</v>
      </c>
      <c r="X748" s="50" t="s">
        <v>125</v>
      </c>
      <c r="Y748" s="50"/>
    </row>
    <row r="749" spans="1:25" x14ac:dyDescent="0.25">
      <c r="A749" s="25" t="s">
        <v>115</v>
      </c>
      <c r="B749" t="b">
        <v>0</v>
      </c>
      <c r="C749" s="43" t="s">
        <v>964</v>
      </c>
      <c r="D749" s="43">
        <v>19263433073</v>
      </c>
      <c r="E749" s="43">
        <v>19263430769</v>
      </c>
      <c r="F749" s="43" t="s">
        <v>125</v>
      </c>
      <c r="G749" s="43" t="b">
        <v>0</v>
      </c>
      <c r="H749" s="43" t="b">
        <v>0</v>
      </c>
      <c r="I749" s="43"/>
      <c r="M749" s="48" t="s">
        <v>964</v>
      </c>
      <c r="N749" s="48">
        <v>17088571466</v>
      </c>
      <c r="O749" s="48">
        <v>17088567491</v>
      </c>
      <c r="P749" s="48" t="s">
        <v>125</v>
      </c>
      <c r="Q749" s="49" t="s">
        <v>964</v>
      </c>
      <c r="R749" s="49">
        <v>17083129406</v>
      </c>
      <c r="S749" s="49">
        <v>17083122855</v>
      </c>
      <c r="T749" s="49" t="s">
        <v>125</v>
      </c>
      <c r="U749" s="50" t="s">
        <v>964</v>
      </c>
      <c r="V749" s="50">
        <v>17083129406</v>
      </c>
      <c r="W749" s="50">
        <v>17083122855</v>
      </c>
      <c r="X749" s="50" t="s">
        <v>125</v>
      </c>
      <c r="Y749" s="50"/>
    </row>
    <row r="750" spans="1:25" x14ac:dyDescent="0.25">
      <c r="A750" s="25" t="s">
        <v>115</v>
      </c>
      <c r="B750" t="b">
        <v>0</v>
      </c>
      <c r="C750" s="43" t="s">
        <v>965</v>
      </c>
      <c r="D750" s="43">
        <v>19263432049</v>
      </c>
      <c r="E750" s="43">
        <v>19263433649</v>
      </c>
      <c r="F750" s="43" t="s">
        <v>132</v>
      </c>
      <c r="G750" s="43" t="b">
        <v>0</v>
      </c>
      <c r="H750" s="43" t="b">
        <v>0</v>
      </c>
      <c r="I750" s="43"/>
      <c r="M750" s="48" t="s">
        <v>965</v>
      </c>
      <c r="N750" s="48">
        <v>17088569578</v>
      </c>
      <c r="O750" s="48">
        <v>17088568731</v>
      </c>
      <c r="P750" s="48" t="s">
        <v>132</v>
      </c>
      <c r="Q750" s="49" t="s">
        <v>965</v>
      </c>
      <c r="R750" s="49">
        <v>17083127553</v>
      </c>
      <c r="S750" s="49">
        <v>17083123871</v>
      </c>
      <c r="T750" s="49" t="s">
        <v>132</v>
      </c>
      <c r="U750" s="50" t="s">
        <v>965</v>
      </c>
      <c r="V750" s="50">
        <v>17083127553</v>
      </c>
      <c r="W750" s="50">
        <v>17083123871</v>
      </c>
      <c r="X750" s="50" t="s">
        <v>132</v>
      </c>
      <c r="Y750" s="50"/>
    </row>
    <row r="751" spans="1:25" x14ac:dyDescent="0.25">
      <c r="A751" s="25" t="s">
        <v>115</v>
      </c>
      <c r="B751" t="b">
        <v>1</v>
      </c>
      <c r="C751" s="43" t="s">
        <v>966</v>
      </c>
      <c r="D751" s="43">
        <v>23210980650</v>
      </c>
      <c r="E751" s="43">
        <v>23210979362</v>
      </c>
      <c r="F751" s="43" t="s">
        <v>117</v>
      </c>
      <c r="G751" s="43" t="b">
        <v>1</v>
      </c>
      <c r="H751" s="43" t="b">
        <v>0</v>
      </c>
      <c r="I751" s="43" t="s">
        <v>134</v>
      </c>
      <c r="M751" s="48" t="s">
        <v>966</v>
      </c>
      <c r="N751" s="48">
        <v>17088570850</v>
      </c>
      <c r="O751" s="48">
        <v>17088567233</v>
      </c>
      <c r="P751" s="48" t="s">
        <v>117</v>
      </c>
      <c r="Q751" s="49"/>
      <c r="R751" s="49"/>
      <c r="S751" s="49"/>
      <c r="T751" s="49"/>
      <c r="U751" s="50" t="s">
        <v>966</v>
      </c>
      <c r="V751" s="50">
        <v>17102545261</v>
      </c>
      <c r="W751" s="50">
        <v>17101204455</v>
      </c>
      <c r="X751" s="50" t="s">
        <v>117</v>
      </c>
      <c r="Y751" s="50">
        <v>150003</v>
      </c>
    </row>
    <row r="752" spans="1:25" x14ac:dyDescent="0.25">
      <c r="A752" s="25" t="s">
        <v>115</v>
      </c>
      <c r="B752" t="b">
        <v>0</v>
      </c>
      <c r="C752" s="43" t="s">
        <v>967</v>
      </c>
      <c r="D752" s="43">
        <v>23210982698</v>
      </c>
      <c r="E752" s="43">
        <v>23210982946</v>
      </c>
      <c r="F752" s="43" t="s">
        <v>117</v>
      </c>
      <c r="G752" s="43" t="b">
        <v>1</v>
      </c>
      <c r="H752" s="43" t="b">
        <v>0</v>
      </c>
      <c r="I752" s="43" t="s">
        <v>134</v>
      </c>
      <c r="M752" s="48" t="s">
        <v>967</v>
      </c>
      <c r="N752" s="48">
        <v>17088569746</v>
      </c>
      <c r="O752" s="48">
        <v>17088567249</v>
      </c>
      <c r="P752" s="48" t="s">
        <v>117</v>
      </c>
      <c r="Q752" s="49"/>
      <c r="R752" s="49"/>
      <c r="S752" s="49"/>
      <c r="T752" s="49"/>
      <c r="U752" s="50" t="s">
        <v>967</v>
      </c>
      <c r="V752" s="50">
        <v>17102547309</v>
      </c>
      <c r="W752" s="50">
        <v>17101203991</v>
      </c>
      <c r="X752" s="50" t="s">
        <v>117</v>
      </c>
      <c r="Y752" s="50">
        <v>150004</v>
      </c>
    </row>
    <row r="753" spans="1:25" x14ac:dyDescent="0.25">
      <c r="A753" s="25" t="s">
        <v>115</v>
      </c>
      <c r="B753" t="b">
        <v>1</v>
      </c>
      <c r="C753" s="43" t="s">
        <v>968</v>
      </c>
      <c r="D753" s="43">
        <v>23210980138</v>
      </c>
      <c r="E753" s="43">
        <v>23210981154</v>
      </c>
      <c r="F753" s="43" t="s">
        <v>117</v>
      </c>
      <c r="G753" s="43" t="b">
        <v>1</v>
      </c>
      <c r="H753" s="43" t="b">
        <v>0</v>
      </c>
      <c r="I753" s="43" t="s">
        <v>134</v>
      </c>
      <c r="M753" s="48" t="s">
        <v>968</v>
      </c>
      <c r="N753" s="48">
        <v>17088571730</v>
      </c>
      <c r="O753" s="48">
        <v>17088566921</v>
      </c>
      <c r="P753" s="48" t="s">
        <v>117</v>
      </c>
      <c r="Q753" s="49"/>
      <c r="R753" s="49"/>
      <c r="S753" s="49"/>
      <c r="T753" s="49"/>
      <c r="U753" s="50" t="s">
        <v>968</v>
      </c>
      <c r="V753" s="50">
        <v>17102546285</v>
      </c>
      <c r="W753" s="50">
        <v>17101204247</v>
      </c>
      <c r="X753" s="50" t="s">
        <v>117</v>
      </c>
      <c r="Y753" s="50">
        <v>150005</v>
      </c>
    </row>
    <row r="754" spans="1:25" x14ac:dyDescent="0.25">
      <c r="A754" s="25" t="s">
        <v>115</v>
      </c>
      <c r="B754" t="b">
        <v>0</v>
      </c>
      <c r="C754" s="43" t="s">
        <v>969</v>
      </c>
      <c r="D754" s="43">
        <v>23210982186</v>
      </c>
      <c r="E754" s="43">
        <v>23210982050</v>
      </c>
      <c r="F754" s="43" t="s">
        <v>117</v>
      </c>
      <c r="G754" s="43" t="b">
        <v>1</v>
      </c>
      <c r="H754" s="43" t="b">
        <v>0</v>
      </c>
      <c r="I754" s="43" t="s">
        <v>134</v>
      </c>
      <c r="M754" s="48" t="s">
        <v>969</v>
      </c>
      <c r="N754" s="48">
        <v>17088571186</v>
      </c>
      <c r="O754" s="48">
        <v>17088569241</v>
      </c>
      <c r="P754" s="48" t="s">
        <v>117</v>
      </c>
      <c r="Q754" s="49"/>
      <c r="R754" s="49"/>
      <c r="S754" s="49"/>
      <c r="T754" s="49"/>
      <c r="U754" s="50" t="s">
        <v>969</v>
      </c>
      <c r="V754" s="50">
        <v>17102548333</v>
      </c>
      <c r="W754" s="50">
        <v>17101204119</v>
      </c>
      <c r="X754" s="50" t="s">
        <v>117</v>
      </c>
      <c r="Y754" s="50">
        <v>150006</v>
      </c>
    </row>
    <row r="755" spans="1:25" x14ac:dyDescent="0.25">
      <c r="A755" s="25" t="s">
        <v>115</v>
      </c>
      <c r="B755" t="b">
        <v>1</v>
      </c>
      <c r="C755" s="43" t="s">
        <v>970</v>
      </c>
      <c r="D755" s="43">
        <v>23210981162</v>
      </c>
      <c r="E755" s="43">
        <v>23210980258</v>
      </c>
      <c r="F755" s="43" t="s">
        <v>117</v>
      </c>
      <c r="G755" s="43" t="b">
        <v>1</v>
      </c>
      <c r="H755" s="43" t="b">
        <v>0</v>
      </c>
      <c r="I755" s="43" t="s">
        <v>134</v>
      </c>
      <c r="M755" s="48" t="s">
        <v>970</v>
      </c>
      <c r="N755" s="48">
        <v>17088570610</v>
      </c>
      <c r="O755" s="48">
        <v>17088568485</v>
      </c>
      <c r="P755" s="48" t="s">
        <v>117</v>
      </c>
      <c r="Q755" s="49"/>
      <c r="R755" s="49"/>
      <c r="S755" s="49"/>
      <c r="T755" s="49"/>
      <c r="U755" s="50" t="s">
        <v>970</v>
      </c>
      <c r="V755" s="50">
        <v>17102545773</v>
      </c>
      <c r="W755" s="50">
        <v>17101204375</v>
      </c>
      <c r="X755" s="50" t="s">
        <v>117</v>
      </c>
      <c r="Y755" s="50">
        <v>150007</v>
      </c>
    </row>
    <row r="756" spans="1:25" x14ac:dyDescent="0.25">
      <c r="A756" s="25" t="s">
        <v>115</v>
      </c>
      <c r="B756" t="b">
        <v>0</v>
      </c>
      <c r="C756" s="43" t="s">
        <v>971</v>
      </c>
      <c r="D756" s="43">
        <v>23210983210</v>
      </c>
      <c r="E756" s="43">
        <v>23210982498</v>
      </c>
      <c r="F756" s="43" t="s">
        <v>117</v>
      </c>
      <c r="G756" s="43" t="b">
        <v>1</v>
      </c>
      <c r="H756" s="43" t="b">
        <v>0</v>
      </c>
      <c r="I756" s="43" t="s">
        <v>134</v>
      </c>
      <c r="M756" s="48" t="s">
        <v>971</v>
      </c>
      <c r="N756" s="48">
        <v>17088570354</v>
      </c>
      <c r="O756" s="48">
        <v>17088567765</v>
      </c>
      <c r="P756" s="48" t="s">
        <v>117</v>
      </c>
      <c r="Q756" s="49"/>
      <c r="R756" s="49"/>
      <c r="S756" s="49"/>
      <c r="T756" s="49"/>
      <c r="U756" s="50" t="s">
        <v>971</v>
      </c>
      <c r="V756" s="50">
        <v>17102547821</v>
      </c>
      <c r="W756" s="50">
        <v>17101204055</v>
      </c>
      <c r="X756" s="50" t="s">
        <v>117</v>
      </c>
      <c r="Y756" s="50">
        <v>150008</v>
      </c>
    </row>
    <row r="757" spans="1:25" x14ac:dyDescent="0.25">
      <c r="A757" s="25" t="s">
        <v>115</v>
      </c>
      <c r="B757" t="b">
        <v>0</v>
      </c>
      <c r="C757" s="43" t="s">
        <v>972</v>
      </c>
      <c r="D757" s="43">
        <v>23210979498</v>
      </c>
      <c r="E757" s="43">
        <v>23210980706</v>
      </c>
      <c r="F757" s="43" t="s">
        <v>117</v>
      </c>
      <c r="G757" s="43" t="b">
        <v>1</v>
      </c>
      <c r="H757" s="43" t="b">
        <v>0</v>
      </c>
      <c r="I757" s="43" t="s">
        <v>134</v>
      </c>
      <c r="M757" s="48" t="s">
        <v>972</v>
      </c>
      <c r="N757" s="48">
        <v>17088570882</v>
      </c>
      <c r="O757" s="48">
        <v>17088569286</v>
      </c>
      <c r="P757" s="48" t="s">
        <v>117</v>
      </c>
      <c r="Q757" s="49"/>
      <c r="R757" s="49"/>
      <c r="S757" s="49"/>
      <c r="T757" s="49"/>
      <c r="U757" s="50" t="s">
        <v>972</v>
      </c>
      <c r="V757" s="50">
        <v>17102547373</v>
      </c>
      <c r="W757" s="50">
        <v>17101201671</v>
      </c>
      <c r="X757" s="50" t="s">
        <v>117</v>
      </c>
      <c r="Y757" s="50">
        <v>150009</v>
      </c>
    </row>
    <row r="758" spans="1:25" x14ac:dyDescent="0.25">
      <c r="A758" s="25" t="s">
        <v>115</v>
      </c>
      <c r="B758" t="b">
        <v>0</v>
      </c>
      <c r="C758" s="43" t="s">
        <v>973</v>
      </c>
      <c r="D758" s="43">
        <v>23210981546</v>
      </c>
      <c r="E758" s="43">
        <v>23210981602</v>
      </c>
      <c r="F758" s="43" t="s">
        <v>117</v>
      </c>
      <c r="G758" s="43" t="b">
        <v>1</v>
      </c>
      <c r="H758" s="43" t="b">
        <v>0</v>
      </c>
      <c r="I758" s="43" t="s">
        <v>134</v>
      </c>
      <c r="M758" s="48" t="s">
        <v>973</v>
      </c>
      <c r="N758" s="48">
        <v>17088573378</v>
      </c>
      <c r="O758" s="48">
        <v>17088566774</v>
      </c>
      <c r="P758" s="48" t="s">
        <v>117</v>
      </c>
      <c r="Q758" s="49"/>
      <c r="R758" s="49"/>
      <c r="S758" s="49"/>
      <c r="T758" s="49"/>
      <c r="U758" s="50" t="s">
        <v>973</v>
      </c>
      <c r="V758" s="50">
        <v>17102546349</v>
      </c>
      <c r="W758" s="50">
        <v>17101201543</v>
      </c>
      <c r="X758" s="50" t="s">
        <v>117</v>
      </c>
      <c r="Y758" s="50">
        <v>150011</v>
      </c>
    </row>
    <row r="759" spans="1:25" x14ac:dyDescent="0.25">
      <c r="A759" s="25" t="s">
        <v>115</v>
      </c>
      <c r="B759" t="b">
        <v>0</v>
      </c>
      <c r="C759" s="43" t="s">
        <v>974</v>
      </c>
      <c r="D759" s="43">
        <v>23210980522</v>
      </c>
      <c r="E759" s="43">
        <v>23210979810</v>
      </c>
      <c r="F759" s="43" t="s">
        <v>117</v>
      </c>
      <c r="G759" s="43" t="b">
        <v>1</v>
      </c>
      <c r="H759" s="43" t="b">
        <v>0</v>
      </c>
      <c r="I759" s="43" t="s">
        <v>134</v>
      </c>
      <c r="M759" s="48" t="s">
        <v>974</v>
      </c>
      <c r="N759" s="48">
        <v>17088571810</v>
      </c>
      <c r="O759" s="48">
        <v>17088568542</v>
      </c>
      <c r="P759" s="48" t="s">
        <v>117</v>
      </c>
      <c r="Q759" s="49"/>
      <c r="R759" s="49"/>
      <c r="S759" s="49"/>
      <c r="T759" s="49"/>
      <c r="U759" s="50" t="s">
        <v>974</v>
      </c>
      <c r="V759" s="50">
        <v>17102548397</v>
      </c>
      <c r="W759" s="50">
        <v>17101201799</v>
      </c>
      <c r="X759" s="50" t="s">
        <v>117</v>
      </c>
      <c r="Y759" s="50">
        <v>150012</v>
      </c>
    </row>
    <row r="760" spans="1:25" x14ac:dyDescent="0.25">
      <c r="A760" s="25" t="s">
        <v>115</v>
      </c>
      <c r="B760" t="b">
        <v>1</v>
      </c>
      <c r="C760" s="43" t="s">
        <v>975</v>
      </c>
      <c r="D760" s="43">
        <v>23210982570</v>
      </c>
      <c r="E760" s="43">
        <v>23210983394</v>
      </c>
      <c r="F760" s="43" t="s">
        <v>117</v>
      </c>
      <c r="G760" s="43" t="b">
        <v>1</v>
      </c>
      <c r="H760" s="43" t="b">
        <v>0</v>
      </c>
      <c r="I760" s="43" t="s">
        <v>134</v>
      </c>
      <c r="M760" s="48" t="s">
        <v>975</v>
      </c>
      <c r="N760" s="48">
        <v>17088571362</v>
      </c>
      <c r="O760" s="48">
        <v>17088569025</v>
      </c>
      <c r="P760" s="48" t="s">
        <v>117</v>
      </c>
      <c r="Q760" s="49"/>
      <c r="R760" s="49"/>
      <c r="S760" s="49"/>
      <c r="T760" s="49"/>
      <c r="U760" s="50" t="s">
        <v>975</v>
      </c>
      <c r="V760" s="50">
        <v>17102545837</v>
      </c>
      <c r="W760" s="50">
        <v>17101201479</v>
      </c>
      <c r="X760" s="50" t="s">
        <v>117</v>
      </c>
      <c r="Y760" s="50">
        <v>150013</v>
      </c>
    </row>
    <row r="761" spans="1:25" x14ac:dyDescent="0.25">
      <c r="A761" s="25" t="s">
        <v>115</v>
      </c>
      <c r="B761" t="b">
        <v>0</v>
      </c>
      <c r="C761" s="43" t="s">
        <v>976</v>
      </c>
      <c r="D761" s="43">
        <v>23210980010</v>
      </c>
      <c r="E761" s="43">
        <v>23210980882</v>
      </c>
      <c r="F761" s="43" t="s">
        <v>117</v>
      </c>
      <c r="G761" s="43" t="b">
        <v>1</v>
      </c>
      <c r="H761" s="43" t="b">
        <v>0</v>
      </c>
      <c r="I761" s="43" t="s">
        <v>134</v>
      </c>
      <c r="M761" s="48" t="s">
        <v>976</v>
      </c>
      <c r="N761" s="48">
        <v>17088569938</v>
      </c>
      <c r="O761" s="48">
        <v>17088569041</v>
      </c>
      <c r="P761" s="48" t="s">
        <v>117</v>
      </c>
      <c r="Q761" s="49"/>
      <c r="R761" s="49"/>
      <c r="S761" s="49"/>
      <c r="T761" s="49"/>
      <c r="U761" s="50" t="s">
        <v>976</v>
      </c>
      <c r="V761" s="50">
        <v>17102547885</v>
      </c>
      <c r="W761" s="50">
        <v>17101201735</v>
      </c>
      <c r="X761" s="50" t="s">
        <v>117</v>
      </c>
      <c r="Y761" s="50">
        <v>150014</v>
      </c>
    </row>
    <row r="762" spans="1:25" x14ac:dyDescent="0.25">
      <c r="A762" s="25" t="s">
        <v>115</v>
      </c>
      <c r="B762" t="b">
        <v>0</v>
      </c>
      <c r="C762" s="43" t="s">
        <v>977</v>
      </c>
      <c r="D762" s="43">
        <v>23210982058</v>
      </c>
      <c r="E762" s="43">
        <v>23210982162</v>
      </c>
      <c r="F762" s="43" t="s">
        <v>117</v>
      </c>
      <c r="G762" s="43" t="b">
        <v>1</v>
      </c>
      <c r="H762" s="43" t="b">
        <v>0</v>
      </c>
      <c r="I762" s="43" t="s">
        <v>134</v>
      </c>
      <c r="M762" s="48" t="s">
        <v>977</v>
      </c>
      <c r="N762" s="48">
        <v>17088571090</v>
      </c>
      <c r="O762" s="48">
        <v>17088569097</v>
      </c>
      <c r="P762" s="48" t="s">
        <v>117</v>
      </c>
      <c r="Q762" s="49"/>
      <c r="R762" s="49"/>
      <c r="S762" s="49"/>
      <c r="T762" s="49"/>
      <c r="U762" s="50" t="s">
        <v>977</v>
      </c>
      <c r="V762" s="50">
        <v>17102546861</v>
      </c>
      <c r="W762" s="50">
        <v>17101201607</v>
      </c>
      <c r="X762" s="50" t="s">
        <v>117</v>
      </c>
      <c r="Y762" s="50">
        <v>150015</v>
      </c>
    </row>
    <row r="763" spans="1:25" x14ac:dyDescent="0.25">
      <c r="A763" s="25" t="s">
        <v>115</v>
      </c>
      <c r="B763" t="b">
        <v>1</v>
      </c>
      <c r="C763" s="43" t="s">
        <v>978</v>
      </c>
      <c r="D763" s="43">
        <v>23210981034</v>
      </c>
      <c r="E763" s="43">
        <v>23210979986</v>
      </c>
      <c r="F763" s="43" t="s">
        <v>117</v>
      </c>
      <c r="G763" s="43" t="b">
        <v>1</v>
      </c>
      <c r="H763" s="43" t="b">
        <v>0</v>
      </c>
      <c r="I763" s="43" t="s">
        <v>134</v>
      </c>
      <c r="M763" s="48" t="s">
        <v>978</v>
      </c>
      <c r="N763" s="48">
        <v>17088571634</v>
      </c>
      <c r="O763" s="48">
        <v>17088566053</v>
      </c>
      <c r="P763" s="48" t="s">
        <v>117</v>
      </c>
      <c r="Q763" s="49"/>
      <c r="R763" s="49"/>
      <c r="S763" s="49"/>
      <c r="T763" s="49"/>
      <c r="U763" s="50" t="s">
        <v>978</v>
      </c>
      <c r="V763" s="50">
        <v>17102545005</v>
      </c>
      <c r="W763" s="50">
        <v>17101201447</v>
      </c>
      <c r="X763" s="50" t="s">
        <v>117</v>
      </c>
      <c r="Y763" s="50">
        <v>150017</v>
      </c>
    </row>
    <row r="764" spans="1:25" x14ac:dyDescent="0.25">
      <c r="A764" s="25" t="s">
        <v>115</v>
      </c>
      <c r="B764" t="b">
        <v>0</v>
      </c>
      <c r="C764" s="43" t="s">
        <v>979</v>
      </c>
      <c r="D764" s="43">
        <v>23210983082</v>
      </c>
      <c r="E764" s="43">
        <v>23210982802</v>
      </c>
      <c r="F764" s="43" t="s">
        <v>117</v>
      </c>
      <c r="G764" s="43" t="b">
        <v>1</v>
      </c>
      <c r="H764" s="43" t="b">
        <v>0</v>
      </c>
      <c r="I764" s="43" t="s">
        <v>134</v>
      </c>
      <c r="M764" s="48" t="s">
        <v>979</v>
      </c>
      <c r="N764" s="48">
        <v>17088571954</v>
      </c>
      <c r="O764" s="48">
        <v>17088565657</v>
      </c>
      <c r="P764" s="48" t="s">
        <v>117</v>
      </c>
      <c r="Q764" s="49"/>
      <c r="R764" s="49"/>
      <c r="S764" s="49"/>
      <c r="T764" s="49"/>
      <c r="U764" s="50" t="s">
        <v>979</v>
      </c>
      <c r="V764" s="50">
        <v>17102548909</v>
      </c>
      <c r="W764" s="50">
        <v>17101201863</v>
      </c>
      <c r="X764" s="50" t="s">
        <v>117</v>
      </c>
      <c r="Y764" s="50">
        <v>150016</v>
      </c>
    </row>
    <row r="765" spans="1:25" x14ac:dyDescent="0.25">
      <c r="A765" s="25" t="s">
        <v>115</v>
      </c>
      <c r="B765" t="b">
        <v>0</v>
      </c>
      <c r="C765" s="43" t="s">
        <v>980</v>
      </c>
      <c r="D765" s="43">
        <v>23210979754</v>
      </c>
      <c r="E765" s="43">
        <v>23210980434</v>
      </c>
      <c r="F765" s="43" t="s">
        <v>117</v>
      </c>
      <c r="G765" s="43" t="b">
        <v>1</v>
      </c>
      <c r="H765" s="43" t="b">
        <v>0</v>
      </c>
      <c r="I765" s="43" t="s">
        <v>134</v>
      </c>
      <c r="M765" s="48" t="s">
        <v>980</v>
      </c>
      <c r="N765" s="48">
        <v>17088573170</v>
      </c>
      <c r="O765" s="48">
        <v>17088566485</v>
      </c>
      <c r="P765" s="48" t="s">
        <v>117</v>
      </c>
      <c r="Q765" s="49"/>
      <c r="R765" s="49"/>
      <c r="S765" s="49"/>
      <c r="T765" s="49"/>
      <c r="U765" s="50" t="s">
        <v>980</v>
      </c>
      <c r="V765" s="50">
        <v>17102547053</v>
      </c>
      <c r="W765" s="50">
        <v>17101201703</v>
      </c>
      <c r="X765" s="50" t="s">
        <v>117</v>
      </c>
      <c r="Y765" s="50">
        <v>150018</v>
      </c>
    </row>
    <row r="766" spans="1:25" x14ac:dyDescent="0.25">
      <c r="A766" s="25" t="s">
        <v>115</v>
      </c>
      <c r="B766" t="b">
        <v>0</v>
      </c>
      <c r="C766" s="43" t="s">
        <v>981</v>
      </c>
      <c r="D766" s="43">
        <v>23210981802</v>
      </c>
      <c r="E766" s="43">
        <v>23210981714</v>
      </c>
      <c r="F766" s="43" t="s">
        <v>117</v>
      </c>
      <c r="G766" s="43" t="b">
        <v>1</v>
      </c>
      <c r="H766" s="43" t="b">
        <v>0</v>
      </c>
      <c r="I766" s="43" t="s">
        <v>134</v>
      </c>
      <c r="M766" s="48" t="s">
        <v>981</v>
      </c>
      <c r="N766" s="48">
        <v>17088569418</v>
      </c>
      <c r="O766" s="48">
        <v>17088567949</v>
      </c>
      <c r="P766" s="48" t="s">
        <v>117</v>
      </c>
      <c r="Q766" s="49"/>
      <c r="R766" s="49"/>
      <c r="S766" s="49"/>
      <c r="T766" s="49"/>
      <c r="U766" s="50" t="s">
        <v>981</v>
      </c>
      <c r="V766" s="50">
        <v>17102546029</v>
      </c>
      <c r="W766" s="50">
        <v>17101201575</v>
      </c>
      <c r="X766" s="50" t="s">
        <v>117</v>
      </c>
      <c r="Y766" s="50">
        <v>150019</v>
      </c>
    </row>
    <row r="767" spans="1:25" x14ac:dyDescent="0.25">
      <c r="A767" s="25" t="s">
        <v>115</v>
      </c>
      <c r="B767" t="b">
        <v>0</v>
      </c>
      <c r="C767" s="43" t="s">
        <v>982</v>
      </c>
      <c r="D767" s="43">
        <v>23210980778</v>
      </c>
      <c r="E767" s="43">
        <v>23210979538</v>
      </c>
      <c r="F767" s="43" t="s">
        <v>117</v>
      </c>
      <c r="G767" s="43" t="b">
        <v>1</v>
      </c>
      <c r="H767" s="43" t="b">
        <v>0</v>
      </c>
      <c r="I767" s="43" t="s">
        <v>134</v>
      </c>
      <c r="M767" s="48" t="s">
        <v>982</v>
      </c>
      <c r="N767" s="48">
        <v>17088569730</v>
      </c>
      <c r="O767" s="48">
        <v>17088566470</v>
      </c>
      <c r="P767" s="48" t="s">
        <v>117</v>
      </c>
      <c r="Q767" s="49"/>
      <c r="R767" s="49"/>
      <c r="S767" s="49"/>
      <c r="T767" s="49"/>
      <c r="U767" s="50" t="s">
        <v>982</v>
      </c>
      <c r="V767" s="50">
        <v>17102545517</v>
      </c>
      <c r="W767" s="50">
        <v>17101203367</v>
      </c>
      <c r="X767" s="50" t="s">
        <v>117</v>
      </c>
      <c r="Y767" s="50">
        <v>150020</v>
      </c>
    </row>
    <row r="768" spans="1:25" x14ac:dyDescent="0.25">
      <c r="A768" s="25" t="s">
        <v>115</v>
      </c>
      <c r="B768" t="b">
        <v>0</v>
      </c>
      <c r="C768" s="43" t="s">
        <v>983</v>
      </c>
      <c r="D768" s="43">
        <v>23210982826</v>
      </c>
      <c r="E768" s="43">
        <v>23210983122</v>
      </c>
      <c r="F768" s="43" t="s">
        <v>117</v>
      </c>
      <c r="G768" s="43" t="b">
        <v>1</v>
      </c>
      <c r="H768" s="43" t="b">
        <v>0</v>
      </c>
      <c r="I768" s="43" t="s">
        <v>134</v>
      </c>
      <c r="M768" s="48" t="s">
        <v>983</v>
      </c>
      <c r="N768" s="48">
        <v>17088569506</v>
      </c>
      <c r="O768" s="48">
        <v>17088565494</v>
      </c>
      <c r="P768" s="48" t="s">
        <v>117</v>
      </c>
      <c r="Q768" s="49"/>
      <c r="R768" s="49"/>
      <c r="S768" s="49"/>
      <c r="T768" s="49"/>
      <c r="U768" s="50" t="s">
        <v>983</v>
      </c>
      <c r="V768" s="50">
        <v>17102547565</v>
      </c>
      <c r="W768" s="50">
        <v>17101203047</v>
      </c>
      <c r="X768" s="50" t="s">
        <v>117</v>
      </c>
      <c r="Y768" s="50">
        <v>150021</v>
      </c>
    </row>
    <row r="769" spans="1:29" x14ac:dyDescent="0.25">
      <c r="A769" s="25" t="s">
        <v>115</v>
      </c>
      <c r="B769" t="b">
        <v>1</v>
      </c>
      <c r="C769" s="43" t="s">
        <v>984</v>
      </c>
      <c r="D769" s="43">
        <v>23210980266</v>
      </c>
      <c r="E769" s="43">
        <v>23210981330</v>
      </c>
      <c r="F769" s="43" t="s">
        <v>117</v>
      </c>
      <c r="G769" s="43" t="b">
        <v>1</v>
      </c>
      <c r="H769" s="43" t="b">
        <v>0</v>
      </c>
      <c r="I769" s="43" t="s">
        <v>134</v>
      </c>
      <c r="M769" s="48" t="s">
        <v>984</v>
      </c>
      <c r="N769" s="48">
        <v>17088572770</v>
      </c>
      <c r="O769" s="48">
        <v>17088566110</v>
      </c>
      <c r="P769" s="48" t="s">
        <v>117</v>
      </c>
      <c r="Q769" s="49"/>
      <c r="R769" s="49"/>
      <c r="S769" s="49"/>
      <c r="T769" s="49"/>
      <c r="U769" s="50" t="s">
        <v>984</v>
      </c>
      <c r="V769" s="50">
        <v>17102546541</v>
      </c>
      <c r="W769" s="50">
        <v>17101203303</v>
      </c>
      <c r="X769" s="50" t="s">
        <v>117</v>
      </c>
      <c r="Y769" s="50">
        <v>150022</v>
      </c>
    </row>
    <row r="770" spans="1:29" x14ac:dyDescent="0.25">
      <c r="A770" s="25" t="s">
        <v>115</v>
      </c>
      <c r="B770" t="b">
        <v>1</v>
      </c>
      <c r="C770" s="43" t="s">
        <v>985</v>
      </c>
      <c r="D770" s="43">
        <v>23210982314</v>
      </c>
      <c r="E770" s="43">
        <v>23210981938</v>
      </c>
      <c r="F770" s="43" t="s">
        <v>117</v>
      </c>
      <c r="G770" s="43" t="b">
        <v>1</v>
      </c>
      <c r="H770" s="43" t="b">
        <v>0</v>
      </c>
      <c r="I770" s="43" t="s">
        <v>134</v>
      </c>
      <c r="M770" s="48" t="s">
        <v>985</v>
      </c>
      <c r="N770" s="48">
        <v>17088572028</v>
      </c>
      <c r="O770" s="48">
        <v>17088568298</v>
      </c>
      <c r="P770" s="48" t="s">
        <v>117</v>
      </c>
      <c r="Q770" s="49"/>
      <c r="R770" s="49"/>
      <c r="S770" s="49"/>
      <c r="T770" s="49"/>
      <c r="U770" s="50" t="s">
        <v>985</v>
      </c>
      <c r="V770" s="50">
        <v>17102546093</v>
      </c>
      <c r="W770" s="50">
        <v>17101191628</v>
      </c>
      <c r="X770" s="50" t="s">
        <v>117</v>
      </c>
      <c r="Y770" s="50">
        <v>150023</v>
      </c>
    </row>
    <row r="771" spans="1:29" x14ac:dyDescent="0.25">
      <c r="A771" s="25" t="s">
        <v>115</v>
      </c>
      <c r="B771" t="b">
        <v>0</v>
      </c>
      <c r="C771" s="43" t="s">
        <v>986</v>
      </c>
      <c r="D771" s="43">
        <v>23210981290</v>
      </c>
      <c r="E771" s="43">
        <v>23210980146</v>
      </c>
      <c r="F771" s="43" t="s">
        <v>117</v>
      </c>
      <c r="G771" s="43" t="b">
        <v>1</v>
      </c>
      <c r="H771" s="43" t="b">
        <v>0</v>
      </c>
      <c r="I771" s="43" t="s">
        <v>134</v>
      </c>
      <c r="M771" s="48" t="s">
        <v>986</v>
      </c>
      <c r="N771" s="48">
        <v>17088571906</v>
      </c>
      <c r="O771" s="48">
        <v>17088568646</v>
      </c>
      <c r="P771" s="48" t="s">
        <v>117</v>
      </c>
      <c r="Q771" s="49"/>
      <c r="R771" s="49"/>
      <c r="S771" s="49"/>
      <c r="T771" s="49"/>
      <c r="U771" s="50" t="s">
        <v>986</v>
      </c>
      <c r="V771" s="50">
        <v>17102548141</v>
      </c>
      <c r="W771" s="50">
        <v>17101191212</v>
      </c>
      <c r="X771" s="50" t="s">
        <v>117</v>
      </c>
      <c r="Y771" s="50">
        <v>150024</v>
      </c>
    </row>
    <row r="772" spans="1:29" x14ac:dyDescent="0.25">
      <c r="A772" s="25" t="s">
        <v>115</v>
      </c>
      <c r="B772" t="b">
        <v>1</v>
      </c>
      <c r="C772" s="43" t="s">
        <v>987</v>
      </c>
      <c r="D772" s="43">
        <v>23210983338</v>
      </c>
      <c r="E772" s="43">
        <v>23210982578</v>
      </c>
      <c r="F772" s="43" t="s">
        <v>117</v>
      </c>
      <c r="G772" s="43" t="b">
        <v>1</v>
      </c>
      <c r="H772" s="43" t="b">
        <v>0</v>
      </c>
      <c r="I772" s="43" t="s">
        <v>134</v>
      </c>
      <c r="M772" s="48" t="s">
        <v>987</v>
      </c>
      <c r="N772" s="48">
        <v>17088569538</v>
      </c>
      <c r="O772" s="48">
        <v>17088567670</v>
      </c>
      <c r="P772" s="48" t="s">
        <v>117</v>
      </c>
      <c r="Q772" s="49"/>
      <c r="R772" s="49"/>
      <c r="S772" s="49"/>
      <c r="T772" s="49"/>
      <c r="U772" s="50" t="s">
        <v>987</v>
      </c>
      <c r="V772" s="50">
        <v>17102545581</v>
      </c>
      <c r="W772" s="50">
        <v>17101191468</v>
      </c>
      <c r="X772" s="50" t="s">
        <v>117</v>
      </c>
      <c r="Y772" s="50">
        <v>150025</v>
      </c>
    </row>
    <row r="773" spans="1:29" x14ac:dyDescent="0.25">
      <c r="A773" s="25" t="s">
        <v>115</v>
      </c>
      <c r="B773" t="b">
        <v>0</v>
      </c>
      <c r="C773" s="43" t="s">
        <v>988</v>
      </c>
      <c r="D773" s="43">
        <v>23210979434</v>
      </c>
      <c r="E773" s="43">
        <v>23210980786</v>
      </c>
      <c r="F773" s="43" t="s">
        <v>117</v>
      </c>
      <c r="G773" s="43" t="b">
        <v>1</v>
      </c>
      <c r="H773" s="43" t="b">
        <v>0</v>
      </c>
      <c r="I773" s="43" t="s">
        <v>134</v>
      </c>
      <c r="M773" s="48" t="s">
        <v>988</v>
      </c>
      <c r="N773" s="48">
        <v>17088569762</v>
      </c>
      <c r="O773" s="48">
        <v>17088567902</v>
      </c>
      <c r="P773" s="48" t="s">
        <v>117</v>
      </c>
      <c r="Q773" s="49"/>
      <c r="R773" s="49"/>
      <c r="S773" s="49"/>
      <c r="T773" s="49"/>
      <c r="U773" s="50" t="s">
        <v>988</v>
      </c>
      <c r="V773" s="50">
        <v>17102547629</v>
      </c>
      <c r="W773" s="50">
        <v>17101191340</v>
      </c>
      <c r="X773" s="50" t="s">
        <v>117</v>
      </c>
      <c r="Y773" s="50">
        <v>150026</v>
      </c>
    </row>
    <row r="774" spans="1:29" x14ac:dyDescent="0.25">
      <c r="A774" s="25" t="s">
        <v>115</v>
      </c>
      <c r="B774" t="b">
        <v>1</v>
      </c>
      <c r="C774" s="43" t="s">
        <v>989</v>
      </c>
      <c r="D774" s="43">
        <v>23210981482</v>
      </c>
      <c r="E774" s="43">
        <v>23210981490</v>
      </c>
      <c r="F774" s="43" t="s">
        <v>117</v>
      </c>
      <c r="G774" s="43" t="b">
        <v>1</v>
      </c>
      <c r="H774" s="43" t="b">
        <v>0</v>
      </c>
      <c r="I774" s="43" t="s">
        <v>134</v>
      </c>
      <c r="M774" s="48" t="s">
        <v>989</v>
      </c>
      <c r="N774" s="48">
        <v>17088573154</v>
      </c>
      <c r="O774" s="48">
        <v>17088565441</v>
      </c>
      <c r="P774" s="48" t="s">
        <v>117</v>
      </c>
      <c r="Q774" s="49"/>
      <c r="R774" s="49"/>
      <c r="S774" s="49"/>
      <c r="T774" s="49"/>
      <c r="U774" s="50" t="s">
        <v>989</v>
      </c>
      <c r="V774" s="50">
        <v>17102546605</v>
      </c>
      <c r="W774" s="50">
        <v>17101191596</v>
      </c>
      <c r="X774" s="50" t="s">
        <v>117</v>
      </c>
      <c r="Y774" s="50">
        <v>150027</v>
      </c>
    </row>
    <row r="775" spans="1:29" x14ac:dyDescent="0.25">
      <c r="A775" s="25" t="s">
        <v>115</v>
      </c>
      <c r="B775" t="b">
        <v>1</v>
      </c>
      <c r="C775" s="43" t="s">
        <v>990</v>
      </c>
      <c r="D775" s="43">
        <v>23210980458</v>
      </c>
      <c r="E775" s="43">
        <v>23210979698</v>
      </c>
      <c r="F775" s="43" t="s">
        <v>117</v>
      </c>
      <c r="G775" s="43" t="b">
        <v>1</v>
      </c>
      <c r="H775" s="43" t="b">
        <v>0</v>
      </c>
      <c r="I775" s="43" t="s">
        <v>134</v>
      </c>
      <c r="M775" s="48" t="s">
        <v>990</v>
      </c>
      <c r="N775" s="48">
        <v>17088570770</v>
      </c>
      <c r="O775" s="48">
        <v>17088565457</v>
      </c>
      <c r="P775" s="48" t="s">
        <v>117</v>
      </c>
      <c r="Q775" s="49"/>
      <c r="R775" s="49"/>
      <c r="S775" s="49"/>
      <c r="T775" s="49"/>
      <c r="U775" s="50" t="s">
        <v>990</v>
      </c>
      <c r="V775" s="50">
        <v>17102548653</v>
      </c>
      <c r="W775" s="50">
        <v>17101203963</v>
      </c>
      <c r="X775" s="50" t="s">
        <v>117</v>
      </c>
      <c r="Y775" s="50">
        <v>150028</v>
      </c>
    </row>
    <row r="776" spans="1:29" x14ac:dyDescent="0.25">
      <c r="A776" s="25" t="s">
        <v>115</v>
      </c>
      <c r="B776" t="b">
        <v>0</v>
      </c>
      <c r="C776" s="43" t="s">
        <v>991</v>
      </c>
      <c r="D776" s="43">
        <v>67111489817</v>
      </c>
      <c r="E776" s="43">
        <v>20112578795</v>
      </c>
      <c r="F776" s="43" t="s">
        <v>186</v>
      </c>
      <c r="G776" s="43" t="b">
        <v>0</v>
      </c>
      <c r="H776" s="43" t="b">
        <v>1</v>
      </c>
      <c r="I776" s="43"/>
      <c r="J776" s="45" t="s">
        <v>991</v>
      </c>
      <c r="K776" s="46">
        <v>20112578795</v>
      </c>
      <c r="L776" s="47">
        <v>990000540</v>
      </c>
      <c r="M776" s="48" t="s">
        <v>991</v>
      </c>
      <c r="N776" s="48">
        <v>17090420559</v>
      </c>
      <c r="O776" s="48">
        <v>17088563703</v>
      </c>
      <c r="P776" s="48" t="s">
        <v>186</v>
      </c>
      <c r="Q776" s="49" t="s">
        <v>991</v>
      </c>
      <c r="R776" s="49">
        <v>17083661575</v>
      </c>
      <c r="S776" s="49">
        <v>17083125140</v>
      </c>
      <c r="T776" s="49" t="s">
        <v>186</v>
      </c>
      <c r="U776" s="50" t="s">
        <v>991</v>
      </c>
      <c r="V776" s="50">
        <v>17083661575</v>
      </c>
      <c r="W776" s="50">
        <v>17083125140</v>
      </c>
      <c r="X776" s="50" t="s">
        <v>186</v>
      </c>
      <c r="Y776" s="50"/>
      <c r="Z776" s="51" t="s">
        <v>992</v>
      </c>
      <c r="AA776" s="51" t="s">
        <v>187</v>
      </c>
      <c r="AB776" s="51">
        <v>1445</v>
      </c>
      <c r="AC776" s="51" t="s">
        <v>644</v>
      </c>
    </row>
    <row r="777" spans="1:29" x14ac:dyDescent="0.25">
      <c r="A777" s="25" t="s">
        <v>115</v>
      </c>
      <c r="B777" t="b">
        <v>0</v>
      </c>
      <c r="C777" s="43" t="s">
        <v>993</v>
      </c>
      <c r="D777" s="43">
        <v>67111491865</v>
      </c>
      <c r="E777" s="43">
        <v>20112578075</v>
      </c>
      <c r="F777" s="43" t="s">
        <v>125</v>
      </c>
      <c r="G777" s="43" t="b">
        <v>0</v>
      </c>
      <c r="H777" s="43" t="b">
        <v>1</v>
      </c>
      <c r="I777" s="43"/>
      <c r="J777" s="45" t="s">
        <v>993</v>
      </c>
      <c r="K777" s="46">
        <v>20112578075</v>
      </c>
      <c r="L777" s="47">
        <v>990000543</v>
      </c>
      <c r="M777" s="48" t="s">
        <v>993</v>
      </c>
      <c r="N777" s="48">
        <v>17090416847</v>
      </c>
      <c r="O777" s="48">
        <v>17088564203</v>
      </c>
      <c r="P777" s="48" t="s">
        <v>125</v>
      </c>
      <c r="Q777" s="49" t="s">
        <v>993</v>
      </c>
      <c r="R777" s="49">
        <v>17083659015</v>
      </c>
      <c r="S777" s="49">
        <v>17083122376</v>
      </c>
      <c r="T777" s="49" t="s">
        <v>125</v>
      </c>
      <c r="U777" s="50" t="s">
        <v>993</v>
      </c>
      <c r="V777" s="50">
        <v>17083659015</v>
      </c>
      <c r="W777" s="50">
        <v>17083122376</v>
      </c>
      <c r="X777" s="50" t="s">
        <v>125</v>
      </c>
      <c r="Y777" s="50"/>
      <c r="Z777" s="51" t="s">
        <v>994</v>
      </c>
      <c r="AA777" s="51" t="s">
        <v>189</v>
      </c>
      <c r="AB777" s="51">
        <v>14153</v>
      </c>
      <c r="AC777" s="51">
        <v>16842</v>
      </c>
    </row>
    <row r="778" spans="1:29" x14ac:dyDescent="0.25">
      <c r="A778" s="25" t="s">
        <v>115</v>
      </c>
      <c r="B778" t="b">
        <v>0</v>
      </c>
      <c r="C778" s="43" t="s">
        <v>995</v>
      </c>
      <c r="D778" s="43">
        <v>67111490841</v>
      </c>
      <c r="E778" s="43">
        <v>67111489609</v>
      </c>
      <c r="F778" s="43" t="s">
        <v>125</v>
      </c>
      <c r="G778" s="43" t="b">
        <v>0</v>
      </c>
      <c r="H778" s="43" t="b">
        <v>1</v>
      </c>
      <c r="I778" s="43"/>
      <c r="M778" s="48" t="s">
        <v>995</v>
      </c>
      <c r="N778" s="48">
        <v>17090418895</v>
      </c>
      <c r="O778" s="48">
        <v>17090417207</v>
      </c>
      <c r="P778" s="48" t="s">
        <v>125</v>
      </c>
      <c r="Q778" s="49" t="s">
        <v>995</v>
      </c>
      <c r="R778" s="49">
        <v>17083661063</v>
      </c>
      <c r="S778" s="49">
        <v>17083658331</v>
      </c>
      <c r="T778" s="49" t="s">
        <v>125</v>
      </c>
      <c r="U778" s="50" t="s">
        <v>995</v>
      </c>
      <c r="V778" s="50">
        <v>17083661063</v>
      </c>
      <c r="W778" s="50">
        <v>17083658331</v>
      </c>
      <c r="X778" s="50" t="s">
        <v>125</v>
      </c>
      <c r="Y778" s="50"/>
      <c r="Z778" s="51" t="s">
        <v>996</v>
      </c>
      <c r="AA778" s="51" t="s">
        <v>189</v>
      </c>
      <c r="AB778" s="51">
        <v>21000</v>
      </c>
      <c r="AC778" s="51">
        <v>25830</v>
      </c>
    </row>
    <row r="779" spans="1:29" x14ac:dyDescent="0.25">
      <c r="A779" s="25" t="s">
        <v>115</v>
      </c>
      <c r="B779" t="b">
        <v>0</v>
      </c>
      <c r="C779" s="43" t="s">
        <v>997</v>
      </c>
      <c r="D779" s="43">
        <v>67111492889</v>
      </c>
      <c r="E779" s="43">
        <v>67111492681</v>
      </c>
      <c r="F779" s="43" t="s">
        <v>125</v>
      </c>
      <c r="G779" s="43" t="b">
        <v>0</v>
      </c>
      <c r="H779" s="43" t="b">
        <v>1</v>
      </c>
      <c r="I779" s="43"/>
      <c r="M779" s="48" t="s">
        <v>997</v>
      </c>
      <c r="N779" s="48">
        <v>17090417871</v>
      </c>
      <c r="O779" s="48">
        <v>17090420279</v>
      </c>
      <c r="P779" s="48" t="s">
        <v>125</v>
      </c>
      <c r="Q779" s="49" t="s">
        <v>997</v>
      </c>
      <c r="R779" s="49">
        <v>17083660039</v>
      </c>
      <c r="S779" s="49">
        <v>17083661403</v>
      </c>
      <c r="T779" s="49" t="s">
        <v>125</v>
      </c>
      <c r="U779" s="50" t="s">
        <v>997</v>
      </c>
      <c r="V779" s="50">
        <v>17083660039</v>
      </c>
      <c r="W779" s="50">
        <v>17083661403</v>
      </c>
      <c r="X779" s="50" t="s">
        <v>125</v>
      </c>
      <c r="Y779" s="50"/>
      <c r="Z779" s="51" t="s">
        <v>998</v>
      </c>
      <c r="AA779" s="51" t="s">
        <v>189</v>
      </c>
      <c r="AB779" s="51">
        <v>25167</v>
      </c>
      <c r="AC779" s="51">
        <v>30955</v>
      </c>
    </row>
    <row r="780" spans="1:29" x14ac:dyDescent="0.25">
      <c r="A780" s="25" t="s">
        <v>115</v>
      </c>
      <c r="B780" t="b">
        <v>0</v>
      </c>
      <c r="C780" s="43" t="s">
        <v>999</v>
      </c>
      <c r="D780" s="43">
        <v>67111490329</v>
      </c>
      <c r="E780" s="43">
        <v>67111491145</v>
      </c>
      <c r="F780" s="43" t="s">
        <v>125</v>
      </c>
      <c r="G780" s="43" t="b">
        <v>0</v>
      </c>
      <c r="H780" s="43" t="b">
        <v>1</v>
      </c>
      <c r="I780" s="43"/>
      <c r="M780" s="48" t="s">
        <v>999</v>
      </c>
      <c r="N780" s="48">
        <v>17090419919</v>
      </c>
      <c r="O780" s="48">
        <v>17090417975</v>
      </c>
      <c r="P780" s="48" t="s">
        <v>125</v>
      </c>
      <c r="Q780" s="49" t="s">
        <v>999</v>
      </c>
      <c r="R780" s="49">
        <v>17083662087</v>
      </c>
      <c r="S780" s="49">
        <v>17083659867</v>
      </c>
      <c r="T780" s="49" t="s">
        <v>125</v>
      </c>
      <c r="U780" s="50" t="s">
        <v>999</v>
      </c>
      <c r="V780" s="50">
        <v>17083662087</v>
      </c>
      <c r="W780" s="50">
        <v>17083659867</v>
      </c>
      <c r="X780" s="50" t="s">
        <v>125</v>
      </c>
      <c r="Y780" s="50"/>
      <c r="Z780" s="51" t="s">
        <v>1000</v>
      </c>
      <c r="AA780" s="51" t="s">
        <v>189</v>
      </c>
      <c r="AB780" s="51">
        <v>29333</v>
      </c>
      <c r="AC780" s="51">
        <v>36080</v>
      </c>
    </row>
    <row r="781" spans="1:29" x14ac:dyDescent="0.25">
      <c r="A781" s="25" t="s">
        <v>115</v>
      </c>
      <c r="B781" t="b">
        <v>0</v>
      </c>
      <c r="C781" s="43" t="s">
        <v>1001</v>
      </c>
      <c r="D781" s="43">
        <v>67111492377</v>
      </c>
      <c r="E781" s="43">
        <v>67111491913</v>
      </c>
      <c r="F781" s="43" t="s">
        <v>125</v>
      </c>
      <c r="G781" s="43" t="b">
        <v>0</v>
      </c>
      <c r="H781" s="43" t="b">
        <v>1</v>
      </c>
      <c r="I781" s="43"/>
      <c r="M781" s="48" t="s">
        <v>1001</v>
      </c>
      <c r="N781" s="48">
        <v>17090417359</v>
      </c>
      <c r="O781" s="48">
        <v>17090419511</v>
      </c>
      <c r="P781" s="48" t="s">
        <v>125</v>
      </c>
      <c r="Q781" s="49" t="s">
        <v>1001</v>
      </c>
      <c r="R781" s="49">
        <v>17083658375</v>
      </c>
      <c r="S781" s="49">
        <v>17083660635</v>
      </c>
      <c r="T781" s="49" t="s">
        <v>125</v>
      </c>
      <c r="U781" s="50" t="s">
        <v>1001</v>
      </c>
      <c r="V781" s="50">
        <v>17083658375</v>
      </c>
      <c r="W781" s="50">
        <v>17083660635</v>
      </c>
      <c r="X781" s="50" t="s">
        <v>125</v>
      </c>
      <c r="Y781" s="50"/>
      <c r="Z781" s="51" t="s">
        <v>1002</v>
      </c>
      <c r="AA781" s="51" t="s">
        <v>189</v>
      </c>
      <c r="AB781" s="51">
        <v>33500</v>
      </c>
      <c r="AC781" s="51">
        <v>41205</v>
      </c>
    </row>
    <row r="782" spans="1:29" x14ac:dyDescent="0.25">
      <c r="A782" s="25" t="s">
        <v>115</v>
      </c>
      <c r="B782" t="b">
        <v>0</v>
      </c>
      <c r="C782" s="43" t="s">
        <v>1003</v>
      </c>
      <c r="D782" s="43">
        <v>67111493401</v>
      </c>
      <c r="E782" s="43">
        <v>67111493449</v>
      </c>
      <c r="F782" s="43" t="s">
        <v>125</v>
      </c>
      <c r="G782" s="43" t="b">
        <v>0</v>
      </c>
      <c r="H782" s="43" t="b">
        <v>1</v>
      </c>
      <c r="I782" s="43"/>
      <c r="M782" s="48" t="s">
        <v>1003</v>
      </c>
      <c r="N782" s="48">
        <v>17090418383</v>
      </c>
      <c r="O782" s="48">
        <v>17090419895</v>
      </c>
      <c r="P782" s="48" t="s">
        <v>125</v>
      </c>
      <c r="Q782" s="49" t="s">
        <v>1003</v>
      </c>
      <c r="R782" s="49">
        <v>17083659399</v>
      </c>
      <c r="S782" s="49">
        <v>17083662171</v>
      </c>
      <c r="T782" s="49" t="s">
        <v>125</v>
      </c>
      <c r="U782" s="50" t="s">
        <v>1003</v>
      </c>
      <c r="V782" s="50">
        <v>17083659399</v>
      </c>
      <c r="W782" s="50">
        <v>17083662171</v>
      </c>
      <c r="X782" s="50" t="s">
        <v>125</v>
      </c>
      <c r="Y782" s="50"/>
      <c r="Z782" s="51" t="s">
        <v>1004</v>
      </c>
      <c r="AA782" s="51" t="s">
        <v>189</v>
      </c>
      <c r="AB782" s="51">
        <v>41833</v>
      </c>
      <c r="AC782" s="51">
        <v>51455</v>
      </c>
    </row>
    <row r="783" spans="1:29" x14ac:dyDescent="0.25">
      <c r="A783" s="25" t="s">
        <v>115</v>
      </c>
      <c r="B783" t="b">
        <v>0</v>
      </c>
      <c r="C783" s="43" t="s">
        <v>1005</v>
      </c>
      <c r="D783" s="43">
        <v>67111489689</v>
      </c>
      <c r="E783" s="43">
        <v>67111490761</v>
      </c>
      <c r="F783" s="43" t="s">
        <v>125</v>
      </c>
      <c r="G783" s="43" t="b">
        <v>0</v>
      </c>
      <c r="H783" s="43" t="b">
        <v>1</v>
      </c>
      <c r="I783" s="43"/>
      <c r="M783" s="48" t="s">
        <v>1005</v>
      </c>
      <c r="N783" s="48">
        <v>17090420431</v>
      </c>
      <c r="O783" s="48">
        <v>17090418359</v>
      </c>
      <c r="P783" s="48" t="s">
        <v>125</v>
      </c>
      <c r="Q783" s="49" t="s">
        <v>1005</v>
      </c>
      <c r="R783" s="49">
        <v>17083661447</v>
      </c>
      <c r="S783" s="49">
        <v>17083659483</v>
      </c>
      <c r="T783" s="49" t="s">
        <v>125</v>
      </c>
      <c r="U783" s="50" t="s">
        <v>1005</v>
      </c>
      <c r="V783" s="50">
        <v>17083661447</v>
      </c>
      <c r="W783" s="50">
        <v>17083659483</v>
      </c>
      <c r="X783" s="50" t="s">
        <v>125</v>
      </c>
      <c r="Y783" s="50"/>
      <c r="Z783" s="51" t="s">
        <v>1006</v>
      </c>
      <c r="AA783" s="51" t="s">
        <v>189</v>
      </c>
      <c r="AB783" s="51">
        <v>46000</v>
      </c>
      <c r="AC783" s="51">
        <v>56580</v>
      </c>
    </row>
    <row r="784" spans="1:29" x14ac:dyDescent="0.25">
      <c r="A784" s="25" t="s">
        <v>115</v>
      </c>
      <c r="B784" t="b">
        <v>0</v>
      </c>
      <c r="C784" s="43" t="s">
        <v>1007</v>
      </c>
      <c r="D784" s="43">
        <v>67111491737</v>
      </c>
      <c r="E784" s="43">
        <v>67111492041</v>
      </c>
      <c r="F784" s="43" t="s">
        <v>125</v>
      </c>
      <c r="G784" s="43" t="b">
        <v>0</v>
      </c>
      <c r="H784" s="43" t="b">
        <v>1</v>
      </c>
      <c r="I784" s="43"/>
      <c r="M784" s="48" t="s">
        <v>1007</v>
      </c>
      <c r="N784" s="48">
        <v>17090417103</v>
      </c>
      <c r="O784" s="48">
        <v>17090419639</v>
      </c>
      <c r="P784" s="48" t="s">
        <v>125</v>
      </c>
      <c r="Q784" s="49" t="s">
        <v>1007</v>
      </c>
      <c r="R784" s="49">
        <v>17083658887</v>
      </c>
      <c r="S784" s="49">
        <v>17083660763</v>
      </c>
      <c r="T784" s="49" t="s">
        <v>125</v>
      </c>
      <c r="U784" s="50" t="s">
        <v>1007</v>
      </c>
      <c r="V784" s="50">
        <v>17083658887</v>
      </c>
      <c r="W784" s="50">
        <v>17083660763</v>
      </c>
      <c r="X784" s="50" t="s">
        <v>125</v>
      </c>
      <c r="Y784" s="50"/>
      <c r="Z784" s="51" t="s">
        <v>1008</v>
      </c>
      <c r="AA784" s="51" t="s">
        <v>189</v>
      </c>
      <c r="AB784" s="51">
        <v>50167</v>
      </c>
      <c r="AC784" s="51">
        <v>61705</v>
      </c>
    </row>
    <row r="785" spans="1:29" x14ac:dyDescent="0.25">
      <c r="A785" s="25" t="s">
        <v>115</v>
      </c>
      <c r="B785" t="b">
        <v>0</v>
      </c>
      <c r="C785" s="43" t="s">
        <v>1009</v>
      </c>
      <c r="D785" s="43">
        <v>67111490713</v>
      </c>
      <c r="E785" s="43">
        <v>67111490505</v>
      </c>
      <c r="F785" s="43" t="s">
        <v>125</v>
      </c>
      <c r="G785" s="43" t="b">
        <v>0</v>
      </c>
      <c r="H785" s="43" t="b">
        <v>1</v>
      </c>
      <c r="I785" s="43"/>
      <c r="J785" s="45" t="s">
        <v>1009</v>
      </c>
      <c r="K785" s="46">
        <v>67111490505</v>
      </c>
      <c r="L785" s="47">
        <v>990000565</v>
      </c>
      <c r="M785" s="48" t="s">
        <v>1009</v>
      </c>
      <c r="N785" s="48">
        <v>17090419151</v>
      </c>
      <c r="O785" s="48">
        <v>17090416759</v>
      </c>
      <c r="P785" s="48" t="s">
        <v>125</v>
      </c>
      <c r="Q785" s="49" t="s">
        <v>1009</v>
      </c>
      <c r="R785" s="49">
        <v>17083660935</v>
      </c>
      <c r="S785" s="49">
        <v>17083659227</v>
      </c>
      <c r="T785" s="49" t="s">
        <v>125</v>
      </c>
      <c r="U785" s="50" t="s">
        <v>1009</v>
      </c>
      <c r="V785" s="50">
        <v>17083660935</v>
      </c>
      <c r="W785" s="50">
        <v>17083659227</v>
      </c>
      <c r="X785" s="50" t="s">
        <v>125</v>
      </c>
      <c r="Y785" s="50"/>
      <c r="Z785" s="51" t="s">
        <v>1010</v>
      </c>
      <c r="AA785" s="51" t="s">
        <v>189</v>
      </c>
      <c r="AB785" s="51">
        <v>54333</v>
      </c>
      <c r="AC785" s="51">
        <v>66830</v>
      </c>
    </row>
    <row r="786" spans="1:29" x14ac:dyDescent="0.25">
      <c r="A786" s="25" t="s">
        <v>115</v>
      </c>
      <c r="B786" t="b">
        <v>0</v>
      </c>
      <c r="C786" s="43" t="s">
        <v>1011</v>
      </c>
      <c r="D786" s="43">
        <v>67111492761</v>
      </c>
      <c r="E786" s="43">
        <v>67111493577</v>
      </c>
      <c r="F786" s="43" t="s">
        <v>125</v>
      </c>
      <c r="G786" s="43" t="b">
        <v>0</v>
      </c>
      <c r="H786" s="43" t="b">
        <v>1</v>
      </c>
      <c r="I786" s="43"/>
      <c r="J786" s="45" t="s">
        <v>1011</v>
      </c>
      <c r="K786" s="46">
        <v>67111493577</v>
      </c>
      <c r="L786" s="47">
        <v>990000559</v>
      </c>
      <c r="M786" s="48" t="s">
        <v>1011</v>
      </c>
      <c r="N786" s="48">
        <v>17090418127</v>
      </c>
      <c r="O786" s="48">
        <v>17090419831</v>
      </c>
      <c r="P786" s="48" t="s">
        <v>125</v>
      </c>
      <c r="Q786" s="49" t="s">
        <v>1011</v>
      </c>
      <c r="R786" s="49">
        <v>17083659911</v>
      </c>
      <c r="S786" s="49">
        <v>17083662299</v>
      </c>
      <c r="T786" s="49" t="s">
        <v>125</v>
      </c>
      <c r="U786" s="50" t="s">
        <v>1011</v>
      </c>
      <c r="V786" s="50">
        <v>17083659911</v>
      </c>
      <c r="W786" s="50">
        <v>17083662299</v>
      </c>
      <c r="X786" s="50" t="s">
        <v>125</v>
      </c>
      <c r="Y786" s="50"/>
      <c r="Z786" s="51" t="s">
        <v>1012</v>
      </c>
      <c r="AA786" s="51" t="s">
        <v>189</v>
      </c>
      <c r="AB786" s="51">
        <v>70574</v>
      </c>
      <c r="AC786" s="51">
        <v>83983</v>
      </c>
    </row>
    <row r="787" spans="1:29" x14ac:dyDescent="0.25">
      <c r="A787" s="25" t="s">
        <v>115</v>
      </c>
      <c r="B787" t="b">
        <v>0</v>
      </c>
      <c r="C787" s="43" t="s">
        <v>1013</v>
      </c>
      <c r="D787" s="43">
        <v>67111490201</v>
      </c>
      <c r="E787" s="43">
        <v>67111490601</v>
      </c>
      <c r="F787" s="43" t="s">
        <v>125</v>
      </c>
      <c r="G787" s="43" t="b">
        <v>0</v>
      </c>
      <c r="H787" s="43" t="b">
        <v>1</v>
      </c>
      <c r="I787" s="43"/>
      <c r="M787" s="48" t="s">
        <v>1013</v>
      </c>
      <c r="N787" s="48">
        <v>17090420175</v>
      </c>
      <c r="O787" s="48">
        <v>17090418295</v>
      </c>
      <c r="P787" s="48" t="s">
        <v>125</v>
      </c>
      <c r="Q787" s="49" t="s">
        <v>1013</v>
      </c>
      <c r="R787" s="49">
        <v>17083661959</v>
      </c>
      <c r="S787" s="49">
        <v>17083659323</v>
      </c>
      <c r="T787" s="49" t="s">
        <v>125</v>
      </c>
      <c r="U787" s="50" t="s">
        <v>1013</v>
      </c>
      <c r="V787" s="50">
        <v>17083661959</v>
      </c>
      <c r="W787" s="50">
        <v>17083659323</v>
      </c>
      <c r="X787" s="50" t="s">
        <v>125</v>
      </c>
      <c r="Y787" s="50"/>
      <c r="Z787" s="51" t="s">
        <v>1014</v>
      </c>
      <c r="AA787" s="51" t="s">
        <v>189</v>
      </c>
      <c r="AB787" s="51">
        <v>60917</v>
      </c>
      <c r="AC787" s="51">
        <v>74928</v>
      </c>
    </row>
    <row r="788" spans="1:29" x14ac:dyDescent="0.25">
      <c r="A788" s="25" t="s">
        <v>115</v>
      </c>
      <c r="B788" t="b">
        <v>0</v>
      </c>
      <c r="C788" s="43" t="s">
        <v>1015</v>
      </c>
      <c r="D788" s="43">
        <v>67111492249</v>
      </c>
      <c r="E788" s="43">
        <v>67111492137</v>
      </c>
      <c r="F788" s="43" t="s">
        <v>125</v>
      </c>
      <c r="G788" s="43" t="b">
        <v>0</v>
      </c>
      <c r="H788" s="43" t="b">
        <v>1</v>
      </c>
      <c r="I788" s="43"/>
      <c r="J788" s="45" t="s">
        <v>1015</v>
      </c>
      <c r="K788" s="46">
        <v>67111492137</v>
      </c>
      <c r="L788" s="47">
        <v>990000560</v>
      </c>
      <c r="M788" s="48" t="s">
        <v>1015</v>
      </c>
      <c r="N788" s="48">
        <v>17090417615</v>
      </c>
      <c r="O788" s="48">
        <v>17090419063</v>
      </c>
      <c r="P788" s="48" t="s">
        <v>125</v>
      </c>
      <c r="Q788" s="49" t="s">
        <v>1015</v>
      </c>
      <c r="R788" s="49">
        <v>17083658631</v>
      </c>
      <c r="S788" s="49">
        <v>17083660859</v>
      </c>
      <c r="T788" s="49" t="s">
        <v>125</v>
      </c>
      <c r="U788" s="50" t="s">
        <v>1015</v>
      </c>
      <c r="V788" s="50">
        <v>17083658631</v>
      </c>
      <c r="W788" s="50">
        <v>17083660859</v>
      </c>
      <c r="X788" s="50" t="s">
        <v>125</v>
      </c>
      <c r="Y788" s="50"/>
      <c r="Z788" s="51" t="s">
        <v>1016</v>
      </c>
      <c r="AA788" s="51" t="s">
        <v>189</v>
      </c>
      <c r="AB788" s="51">
        <v>66917</v>
      </c>
      <c r="AC788" s="51">
        <v>82308</v>
      </c>
    </row>
    <row r="789" spans="1:29" x14ac:dyDescent="0.25">
      <c r="A789" s="25" t="s">
        <v>115</v>
      </c>
      <c r="B789" t="b">
        <v>0</v>
      </c>
      <c r="C789" s="43" t="s">
        <v>1017</v>
      </c>
      <c r="D789" s="43">
        <v>67111491225</v>
      </c>
      <c r="E789" s="43">
        <v>67111489833</v>
      </c>
      <c r="F789" s="43" t="s">
        <v>125</v>
      </c>
      <c r="G789" s="43" t="b">
        <v>0</v>
      </c>
      <c r="H789" s="43" t="b">
        <v>1</v>
      </c>
      <c r="I789" s="43"/>
      <c r="J789" s="45" t="s">
        <v>1017</v>
      </c>
      <c r="K789" s="46">
        <v>67111489833</v>
      </c>
      <c r="L789" s="47">
        <v>990000564</v>
      </c>
      <c r="M789" s="48" t="s">
        <v>1017</v>
      </c>
      <c r="N789" s="48">
        <v>17090419663</v>
      </c>
      <c r="O789" s="48">
        <v>17090417527</v>
      </c>
      <c r="P789" s="48" t="s">
        <v>125</v>
      </c>
      <c r="Q789" s="49" t="s">
        <v>1017</v>
      </c>
      <c r="R789" s="49">
        <v>17083660679</v>
      </c>
      <c r="S789" s="49">
        <v>17083658555</v>
      </c>
      <c r="T789" s="49" t="s">
        <v>125</v>
      </c>
      <c r="U789" s="50" t="s">
        <v>1017</v>
      </c>
      <c r="V789" s="50">
        <v>17083660679</v>
      </c>
      <c r="W789" s="50">
        <v>17083658555</v>
      </c>
      <c r="X789" s="50" t="s">
        <v>125</v>
      </c>
      <c r="Y789" s="50"/>
      <c r="Z789" s="51" t="s">
        <v>1018</v>
      </c>
      <c r="AA789" s="51" t="s">
        <v>189</v>
      </c>
      <c r="AB789" s="51">
        <v>77833</v>
      </c>
      <c r="AC789" s="51">
        <v>95735</v>
      </c>
    </row>
    <row r="790" spans="1:29" x14ac:dyDescent="0.25">
      <c r="A790" s="25" t="s">
        <v>115</v>
      </c>
      <c r="B790" t="b">
        <v>0</v>
      </c>
      <c r="C790" s="43" t="s">
        <v>1019</v>
      </c>
      <c r="D790" s="43">
        <v>67111493273</v>
      </c>
      <c r="E790" s="43">
        <v>67111492905</v>
      </c>
      <c r="F790" s="43" t="s">
        <v>125</v>
      </c>
      <c r="G790" s="43" t="b">
        <v>0</v>
      </c>
      <c r="H790" s="43" t="b">
        <v>1</v>
      </c>
      <c r="I790" s="43"/>
      <c r="M790" s="48" t="s">
        <v>1019</v>
      </c>
      <c r="N790" s="48">
        <v>17090418639</v>
      </c>
      <c r="O790" s="48">
        <v>17090420599</v>
      </c>
      <c r="P790" s="48" t="s">
        <v>125</v>
      </c>
      <c r="Q790" s="49" t="s">
        <v>1019</v>
      </c>
      <c r="R790" s="49">
        <v>17083659655</v>
      </c>
      <c r="S790" s="49">
        <v>17083661627</v>
      </c>
      <c r="T790" s="49" t="s">
        <v>125</v>
      </c>
      <c r="U790" s="50" t="s">
        <v>1019</v>
      </c>
      <c r="V790" s="50">
        <v>17083659655</v>
      </c>
      <c r="W790" s="50">
        <v>17083661627</v>
      </c>
      <c r="X790" s="50" t="s">
        <v>125</v>
      </c>
      <c r="Y790" s="50"/>
      <c r="Z790" s="51" t="s">
        <v>1020</v>
      </c>
      <c r="AA790" s="51" t="s">
        <v>189</v>
      </c>
      <c r="AB790" s="51">
        <v>80250</v>
      </c>
      <c r="AC790" s="51">
        <v>98708</v>
      </c>
    </row>
    <row r="791" spans="1:29" x14ac:dyDescent="0.25">
      <c r="A791" s="25" t="s">
        <v>115</v>
      </c>
      <c r="B791" t="b">
        <v>0</v>
      </c>
      <c r="C791" s="43" t="s">
        <v>1021</v>
      </c>
      <c r="D791" s="43">
        <v>67111489945</v>
      </c>
      <c r="E791" s="43">
        <v>67111491369</v>
      </c>
      <c r="F791" s="43" t="s">
        <v>125</v>
      </c>
      <c r="G791" s="43" t="b">
        <v>0</v>
      </c>
      <c r="H791" s="43" t="b">
        <v>1</v>
      </c>
      <c r="I791" s="43"/>
      <c r="M791" s="48" t="s">
        <v>1021</v>
      </c>
      <c r="N791" s="48">
        <v>17090420687</v>
      </c>
      <c r="O791" s="48">
        <v>17090417911</v>
      </c>
      <c r="P791" s="48" t="s">
        <v>125</v>
      </c>
      <c r="Q791" s="49" t="s">
        <v>1021</v>
      </c>
      <c r="R791" s="49">
        <v>17083661703</v>
      </c>
      <c r="S791" s="49">
        <v>17083660091</v>
      </c>
      <c r="T791" s="49" t="s">
        <v>125</v>
      </c>
      <c r="U791" s="50" t="s">
        <v>1021</v>
      </c>
      <c r="V791" s="50">
        <v>17083661703</v>
      </c>
      <c r="W791" s="50">
        <v>17083660091</v>
      </c>
      <c r="X791" s="50" t="s">
        <v>125</v>
      </c>
      <c r="Y791" s="50"/>
      <c r="Z791" s="51" t="s">
        <v>1022</v>
      </c>
      <c r="AA791" s="51" t="s">
        <v>189</v>
      </c>
      <c r="AB791" s="51">
        <v>82500</v>
      </c>
      <c r="AC791" s="51">
        <v>101475</v>
      </c>
    </row>
    <row r="792" spans="1:29" x14ac:dyDescent="0.25">
      <c r="A792" s="25" t="s">
        <v>115</v>
      </c>
      <c r="B792" t="b">
        <v>0</v>
      </c>
      <c r="C792" s="43" t="s">
        <v>1023</v>
      </c>
      <c r="D792" s="43">
        <v>67111491993</v>
      </c>
      <c r="E792" s="43">
        <v>67111491753</v>
      </c>
      <c r="F792" s="43" t="s">
        <v>125</v>
      </c>
      <c r="G792" s="43" t="b">
        <v>0</v>
      </c>
      <c r="H792" s="43" t="b">
        <v>1</v>
      </c>
      <c r="I792" s="43"/>
      <c r="M792" s="48" t="s">
        <v>1023</v>
      </c>
      <c r="N792" s="48">
        <v>17090416687</v>
      </c>
      <c r="O792" s="48">
        <v>17090419447</v>
      </c>
      <c r="P792" s="48" t="s">
        <v>125</v>
      </c>
      <c r="Q792" s="49" t="s">
        <v>1023</v>
      </c>
      <c r="R792" s="49">
        <v>17083659143</v>
      </c>
      <c r="S792" s="49">
        <v>17083660475</v>
      </c>
      <c r="T792" s="49" t="s">
        <v>125</v>
      </c>
      <c r="U792" s="50" t="s">
        <v>1023</v>
      </c>
      <c r="V792" s="50">
        <v>17083659143</v>
      </c>
      <c r="W792" s="50">
        <v>17083660475</v>
      </c>
      <c r="X792" s="50" t="s">
        <v>125</v>
      </c>
      <c r="Y792" s="50"/>
      <c r="Z792" s="51" t="s">
        <v>1024</v>
      </c>
      <c r="AA792" s="51" t="s">
        <v>189</v>
      </c>
      <c r="AB792" s="51">
        <v>111417</v>
      </c>
      <c r="AC792" s="51">
        <v>137043</v>
      </c>
    </row>
    <row r="793" spans="1:29" x14ac:dyDescent="0.25">
      <c r="A793" s="25" t="s">
        <v>115</v>
      </c>
      <c r="B793" t="b">
        <v>0</v>
      </c>
      <c r="C793" s="43" t="s">
        <v>1025</v>
      </c>
      <c r="D793" s="43">
        <v>67111492505</v>
      </c>
      <c r="E793" s="43">
        <v>67111491497</v>
      </c>
      <c r="F793" s="43" t="s">
        <v>132</v>
      </c>
      <c r="G793" s="43" t="b">
        <v>0</v>
      </c>
      <c r="H793" s="43" t="b">
        <v>1</v>
      </c>
      <c r="I793" s="43"/>
      <c r="M793" s="48" t="s">
        <v>1025</v>
      </c>
      <c r="N793" s="48">
        <v>17090417199</v>
      </c>
      <c r="O793" s="48">
        <v>17090417679</v>
      </c>
      <c r="P793" s="48" t="s">
        <v>132</v>
      </c>
      <c r="Q793" s="49" t="s">
        <v>1025</v>
      </c>
      <c r="R793" s="49">
        <v>17083658311</v>
      </c>
      <c r="S793" s="49">
        <v>17083660219</v>
      </c>
      <c r="T793" s="49" t="s">
        <v>132</v>
      </c>
      <c r="U793" s="50" t="s">
        <v>1025</v>
      </c>
      <c r="V793" s="50">
        <v>17083658311</v>
      </c>
      <c r="W793" s="50">
        <v>17083660219</v>
      </c>
      <c r="X793" s="50" t="s">
        <v>132</v>
      </c>
      <c r="Y793" s="50"/>
      <c r="Z793" s="51" t="s">
        <v>1026</v>
      </c>
      <c r="AA793" s="51" t="s">
        <v>192</v>
      </c>
      <c r="AB793" s="51">
        <v>30345</v>
      </c>
      <c r="AC793" s="51">
        <v>36111</v>
      </c>
    </row>
    <row r="794" spans="1:29" x14ac:dyDescent="0.25">
      <c r="A794" s="25" t="s">
        <v>115</v>
      </c>
      <c r="B794" t="b">
        <v>0</v>
      </c>
      <c r="C794" s="43" t="s">
        <v>1027</v>
      </c>
      <c r="D794" s="43">
        <v>67111491481</v>
      </c>
      <c r="E794" s="43">
        <v>67111491689</v>
      </c>
      <c r="F794" s="43" t="s">
        <v>132</v>
      </c>
      <c r="G794" s="43" t="b">
        <v>0</v>
      </c>
      <c r="H794" s="43" t="b">
        <v>1</v>
      </c>
      <c r="I794" s="43"/>
      <c r="M794" s="48" t="s">
        <v>1027</v>
      </c>
      <c r="N794" s="48">
        <v>17090419247</v>
      </c>
      <c r="O794" s="48">
        <v>17090419215</v>
      </c>
      <c r="P794" s="48" t="s">
        <v>132</v>
      </c>
      <c r="Q794" s="49" t="s">
        <v>1027</v>
      </c>
      <c r="R794" s="49">
        <v>17083660359</v>
      </c>
      <c r="S794" s="49">
        <v>17083660411</v>
      </c>
      <c r="T794" s="49" t="s">
        <v>132</v>
      </c>
      <c r="U794" s="50" t="s">
        <v>1027</v>
      </c>
      <c r="V794" s="50">
        <v>17083660359</v>
      </c>
      <c r="W794" s="50">
        <v>17083660411</v>
      </c>
      <c r="X794" s="50" t="s">
        <v>132</v>
      </c>
      <c r="Y794" s="50"/>
      <c r="Z794" s="51" t="s">
        <v>1028</v>
      </c>
      <c r="AA794" s="51" t="s">
        <v>192</v>
      </c>
      <c r="AB794" s="51">
        <v>34655</v>
      </c>
      <c r="AC794" s="51">
        <v>41239</v>
      </c>
    </row>
    <row r="795" spans="1:29" x14ac:dyDescent="0.25">
      <c r="A795" s="25" t="s">
        <v>115</v>
      </c>
      <c r="B795" t="b">
        <v>0</v>
      </c>
      <c r="C795" s="43" t="s">
        <v>1029</v>
      </c>
      <c r="D795" s="43">
        <v>67111493529</v>
      </c>
      <c r="E795" s="43">
        <v>67111490153</v>
      </c>
      <c r="F795" s="43" t="s">
        <v>132</v>
      </c>
      <c r="G795" s="43" t="b">
        <v>0</v>
      </c>
      <c r="H795" s="43" t="b">
        <v>1</v>
      </c>
      <c r="I795" s="43"/>
      <c r="J795" s="45" t="s">
        <v>1029</v>
      </c>
      <c r="K795" s="46">
        <v>67111490153</v>
      </c>
      <c r="L795" s="47">
        <v>990000541</v>
      </c>
      <c r="M795" s="48" t="s">
        <v>1029</v>
      </c>
      <c r="N795" s="48">
        <v>17090418223</v>
      </c>
      <c r="O795" s="48">
        <v>17090416911</v>
      </c>
      <c r="P795" s="48" t="s">
        <v>132</v>
      </c>
      <c r="Q795" s="49" t="s">
        <v>1029</v>
      </c>
      <c r="R795" s="49">
        <v>17083659335</v>
      </c>
      <c r="S795" s="49">
        <v>17083658875</v>
      </c>
      <c r="T795" s="49" t="s">
        <v>132</v>
      </c>
      <c r="U795" s="50" t="s">
        <v>1029</v>
      </c>
      <c r="V795" s="50">
        <v>17083659335</v>
      </c>
      <c r="W795" s="50">
        <v>17083658875</v>
      </c>
      <c r="X795" s="50" t="s">
        <v>132</v>
      </c>
      <c r="Y795" s="50"/>
      <c r="Z795" s="51" t="s">
        <v>1030</v>
      </c>
      <c r="AA795" s="51" t="s">
        <v>192</v>
      </c>
      <c r="AB795" s="51">
        <v>38966</v>
      </c>
      <c r="AC795" s="51">
        <v>46370</v>
      </c>
    </row>
    <row r="796" spans="1:29" x14ac:dyDescent="0.25">
      <c r="A796" s="25" t="s">
        <v>115</v>
      </c>
      <c r="B796" t="b">
        <v>0</v>
      </c>
      <c r="C796" s="43" t="s">
        <v>1031</v>
      </c>
      <c r="D796" s="43">
        <v>67111489625</v>
      </c>
      <c r="E796" s="43">
        <v>67111493225</v>
      </c>
      <c r="F796" s="43" t="s">
        <v>132</v>
      </c>
      <c r="G796" s="43" t="b">
        <v>0</v>
      </c>
      <c r="H796" s="43" t="b">
        <v>1</v>
      </c>
      <c r="I796" s="43"/>
      <c r="M796" s="48" t="s">
        <v>1031</v>
      </c>
      <c r="N796" s="48">
        <v>17090420271</v>
      </c>
      <c r="O796" s="48">
        <v>17090419983</v>
      </c>
      <c r="P796" s="48" t="s">
        <v>132</v>
      </c>
      <c r="Q796" s="49" t="s">
        <v>1031</v>
      </c>
      <c r="R796" s="49">
        <v>17083661383</v>
      </c>
      <c r="S796" s="49">
        <v>17083661947</v>
      </c>
      <c r="T796" s="49" t="s">
        <v>132</v>
      </c>
      <c r="U796" s="50" t="s">
        <v>1031</v>
      </c>
      <c r="V796" s="50">
        <v>17083661383</v>
      </c>
      <c r="W796" s="50">
        <v>17083661947</v>
      </c>
      <c r="X796" s="50" t="s">
        <v>132</v>
      </c>
      <c r="Y796" s="50"/>
      <c r="Z796" s="51" t="s">
        <v>1032</v>
      </c>
      <c r="AA796" s="51" t="s">
        <v>192</v>
      </c>
      <c r="AB796" s="51">
        <v>43276</v>
      </c>
      <c r="AC796" s="51">
        <v>51498</v>
      </c>
    </row>
    <row r="797" spans="1:29" x14ac:dyDescent="0.25">
      <c r="A797" s="25" t="s">
        <v>115</v>
      </c>
      <c r="B797" t="b">
        <v>0</v>
      </c>
      <c r="C797" s="43" t="s">
        <v>1033</v>
      </c>
      <c r="D797" s="43">
        <v>67111491673</v>
      </c>
      <c r="E797" s="43">
        <v>67111490921</v>
      </c>
      <c r="F797" s="43" t="s">
        <v>132</v>
      </c>
      <c r="G797" s="43" t="b">
        <v>0</v>
      </c>
      <c r="H797" s="43" t="b">
        <v>1</v>
      </c>
      <c r="I797" s="43"/>
      <c r="M797" s="48" t="s">
        <v>1033</v>
      </c>
      <c r="N797" s="48">
        <v>17090416943</v>
      </c>
      <c r="O797" s="48">
        <v>17090418447</v>
      </c>
      <c r="P797" s="48" t="s">
        <v>132</v>
      </c>
      <c r="Q797" s="49" t="s">
        <v>1033</v>
      </c>
      <c r="R797" s="49">
        <v>17083658823</v>
      </c>
      <c r="S797" s="49">
        <v>17083659643</v>
      </c>
      <c r="T797" s="49" t="s">
        <v>132</v>
      </c>
      <c r="U797" s="50" t="s">
        <v>1033</v>
      </c>
      <c r="V797" s="50">
        <v>17083658823</v>
      </c>
      <c r="W797" s="50">
        <v>17083659643</v>
      </c>
      <c r="X797" s="50" t="s">
        <v>132</v>
      </c>
      <c r="Y797" s="50"/>
      <c r="Z797" s="51" t="s">
        <v>1034</v>
      </c>
      <c r="AA797" s="51" t="s">
        <v>192</v>
      </c>
      <c r="AB797" s="51">
        <v>47586</v>
      </c>
      <c r="AC797" s="51">
        <v>56627</v>
      </c>
    </row>
    <row r="798" spans="1:29" x14ac:dyDescent="0.25">
      <c r="A798" s="25" t="s">
        <v>115</v>
      </c>
      <c r="B798" t="b">
        <v>0</v>
      </c>
      <c r="C798" s="43" t="s">
        <v>1035</v>
      </c>
      <c r="D798" s="43">
        <v>67111492697</v>
      </c>
      <c r="E798" s="43">
        <v>67111489769</v>
      </c>
      <c r="F798" s="43" t="s">
        <v>132</v>
      </c>
      <c r="G798" s="43" t="b">
        <v>0</v>
      </c>
      <c r="H798" s="43" t="b">
        <v>1</v>
      </c>
      <c r="I798" s="43"/>
      <c r="J798" s="45" t="s">
        <v>1035</v>
      </c>
      <c r="K798" s="46">
        <v>67111489769</v>
      </c>
      <c r="L798" s="47">
        <v>990000566</v>
      </c>
      <c r="M798" s="48" t="s">
        <v>1035</v>
      </c>
      <c r="N798" s="48">
        <v>17090417967</v>
      </c>
      <c r="O798" s="48">
        <v>17090417295</v>
      </c>
      <c r="P798" s="48" t="s">
        <v>132</v>
      </c>
      <c r="Q798" s="49" t="s">
        <v>1035</v>
      </c>
      <c r="R798" s="49">
        <v>17083659847</v>
      </c>
      <c r="S798" s="49">
        <v>17083658491</v>
      </c>
      <c r="T798" s="49" t="s">
        <v>132</v>
      </c>
      <c r="U798" s="50" t="s">
        <v>1035</v>
      </c>
      <c r="V798" s="50">
        <v>17083659847</v>
      </c>
      <c r="W798" s="50">
        <v>17083658491</v>
      </c>
      <c r="X798" s="50" t="s">
        <v>132</v>
      </c>
      <c r="Y798" s="50"/>
      <c r="Z798" s="51" t="s">
        <v>1036</v>
      </c>
      <c r="AA798" s="51" t="s">
        <v>192</v>
      </c>
      <c r="AB798" s="51">
        <v>56207</v>
      </c>
      <c r="AC798" s="51">
        <v>66886</v>
      </c>
    </row>
    <row r="799" spans="1:29" x14ac:dyDescent="0.25">
      <c r="A799" s="25" t="s">
        <v>115</v>
      </c>
      <c r="B799" t="b">
        <v>0</v>
      </c>
      <c r="C799" s="43" t="s">
        <v>1037</v>
      </c>
      <c r="D799" s="43">
        <v>67111491161</v>
      </c>
      <c r="E799" s="43">
        <v>67111492073</v>
      </c>
      <c r="F799" s="43" t="s">
        <v>132</v>
      </c>
      <c r="G799" s="43" t="b">
        <v>0</v>
      </c>
      <c r="H799" s="43" t="b">
        <v>1</v>
      </c>
      <c r="I799" s="43"/>
      <c r="J799" s="45" t="s">
        <v>1037</v>
      </c>
      <c r="K799" s="46">
        <v>67111492073</v>
      </c>
      <c r="L799" s="47">
        <v>990000561</v>
      </c>
      <c r="M799" s="48" t="s">
        <v>1037</v>
      </c>
      <c r="N799" s="48">
        <v>17090419503</v>
      </c>
      <c r="O799" s="48">
        <v>17090419599</v>
      </c>
      <c r="P799" s="48" t="s">
        <v>132</v>
      </c>
      <c r="Q799" s="49" t="s">
        <v>1037</v>
      </c>
      <c r="R799" s="49">
        <v>17083660615</v>
      </c>
      <c r="S799" s="49">
        <v>17083660795</v>
      </c>
      <c r="T799" s="49" t="s">
        <v>132</v>
      </c>
      <c r="U799" s="50" t="s">
        <v>1037</v>
      </c>
      <c r="V799" s="50">
        <v>17083660615</v>
      </c>
      <c r="W799" s="50">
        <v>17083660795</v>
      </c>
      <c r="X799" s="50" t="s">
        <v>132</v>
      </c>
      <c r="Y799" s="50"/>
      <c r="Z799" s="51" t="s">
        <v>1038</v>
      </c>
      <c r="AA799" s="51" t="s">
        <v>192</v>
      </c>
      <c r="AB799" s="51">
        <v>69259</v>
      </c>
      <c r="AC799" s="51">
        <v>82418</v>
      </c>
    </row>
    <row r="800" spans="1:29" x14ac:dyDescent="0.25">
      <c r="A800" s="25" t="s">
        <v>115</v>
      </c>
      <c r="B800" t="b">
        <v>0</v>
      </c>
      <c r="C800" s="43" t="s">
        <v>1039</v>
      </c>
      <c r="D800" s="43">
        <v>67111493209</v>
      </c>
      <c r="E800" s="43">
        <v>67111490537</v>
      </c>
      <c r="F800" s="43" t="s">
        <v>132</v>
      </c>
      <c r="G800" s="43" t="b">
        <v>0</v>
      </c>
      <c r="H800" s="43" t="b">
        <v>1</v>
      </c>
      <c r="I800" s="43"/>
      <c r="J800" s="45" t="s">
        <v>1039</v>
      </c>
      <c r="K800" s="46">
        <v>67111490537</v>
      </c>
      <c r="L800" s="47">
        <v>990000563</v>
      </c>
      <c r="M800" s="48" t="s">
        <v>1039</v>
      </c>
      <c r="N800" s="48">
        <v>17090418479</v>
      </c>
      <c r="O800" s="48">
        <v>17090416719</v>
      </c>
      <c r="P800" s="48" t="s">
        <v>132</v>
      </c>
      <c r="Q800" s="49" t="s">
        <v>1039</v>
      </c>
      <c r="R800" s="49">
        <v>17083659591</v>
      </c>
      <c r="S800" s="49">
        <v>17083659259</v>
      </c>
      <c r="T800" s="49" t="s">
        <v>132</v>
      </c>
      <c r="U800" s="50" t="s">
        <v>1039</v>
      </c>
      <c r="V800" s="50">
        <v>17083659591</v>
      </c>
      <c r="W800" s="50">
        <v>17083659259</v>
      </c>
      <c r="X800" s="50" t="s">
        <v>132</v>
      </c>
      <c r="Y800" s="50"/>
      <c r="Z800" s="51" t="s">
        <v>1040</v>
      </c>
      <c r="AA800" s="51" t="s">
        <v>192</v>
      </c>
      <c r="AB800" s="51">
        <v>83828</v>
      </c>
      <c r="AC800" s="51">
        <v>99755</v>
      </c>
    </row>
    <row r="801" spans="1:29" x14ac:dyDescent="0.25">
      <c r="A801" s="25" t="s">
        <v>115</v>
      </c>
      <c r="B801" t="b">
        <v>0</v>
      </c>
      <c r="C801" s="43" t="s">
        <v>1041</v>
      </c>
      <c r="D801" s="43">
        <v>67111489881</v>
      </c>
      <c r="E801" s="43">
        <v>67111493609</v>
      </c>
      <c r="F801" s="43" t="s">
        <v>132</v>
      </c>
      <c r="G801" s="43" t="b">
        <v>0</v>
      </c>
      <c r="H801" s="43" t="b">
        <v>1</v>
      </c>
      <c r="I801" s="43"/>
      <c r="M801" s="48" t="s">
        <v>1041</v>
      </c>
      <c r="N801" s="48">
        <v>17090420527</v>
      </c>
      <c r="O801" s="48">
        <v>17090419791</v>
      </c>
      <c r="P801" s="48" t="s">
        <v>132</v>
      </c>
      <c r="Q801" s="49" t="s">
        <v>1041</v>
      </c>
      <c r="R801" s="49">
        <v>17083661639</v>
      </c>
      <c r="S801" s="49">
        <v>17083662331</v>
      </c>
      <c r="T801" s="49" t="s">
        <v>132</v>
      </c>
      <c r="U801" s="50" t="s">
        <v>1041</v>
      </c>
      <c r="V801" s="50">
        <v>17083661639</v>
      </c>
      <c r="W801" s="50">
        <v>17083662331</v>
      </c>
      <c r="X801" s="50" t="s">
        <v>132</v>
      </c>
      <c r="Y801" s="50"/>
      <c r="Z801" s="51" t="s">
        <v>1042</v>
      </c>
      <c r="AA801" s="51" t="s">
        <v>192</v>
      </c>
      <c r="AB801" s="51">
        <v>89948</v>
      </c>
      <c r="AC801" s="51">
        <v>107038</v>
      </c>
    </row>
    <row r="802" spans="1:29" x14ac:dyDescent="0.25">
      <c r="A802" s="25" t="s">
        <v>115</v>
      </c>
      <c r="B802" t="b">
        <v>0</v>
      </c>
      <c r="C802" s="43" t="s">
        <v>1043</v>
      </c>
      <c r="D802" s="43">
        <v>67111491929</v>
      </c>
      <c r="E802" s="43">
        <v>67111490585</v>
      </c>
      <c r="F802" s="43" t="s">
        <v>132</v>
      </c>
      <c r="G802" s="43" t="b">
        <v>0</v>
      </c>
      <c r="H802" s="43" t="b">
        <v>1</v>
      </c>
      <c r="I802" s="43"/>
      <c r="M802" s="48" t="s">
        <v>1043</v>
      </c>
      <c r="N802" s="48">
        <v>17090416815</v>
      </c>
      <c r="O802" s="48">
        <v>17090418255</v>
      </c>
      <c r="P802" s="48" t="s">
        <v>132</v>
      </c>
      <c r="Q802" s="49" t="s">
        <v>1043</v>
      </c>
      <c r="R802" s="49">
        <v>17083659079</v>
      </c>
      <c r="S802" s="49">
        <v>17083659271</v>
      </c>
      <c r="T802" s="49" t="s">
        <v>132</v>
      </c>
      <c r="U802" s="50" t="s">
        <v>1043</v>
      </c>
      <c r="V802" s="50">
        <v>17083659079</v>
      </c>
      <c r="W802" s="50">
        <v>17083659271</v>
      </c>
      <c r="X802" s="50" t="s">
        <v>132</v>
      </c>
      <c r="Y802" s="50"/>
      <c r="Z802" s="51" t="s">
        <v>1044</v>
      </c>
      <c r="AA802" s="51" t="s">
        <v>192</v>
      </c>
      <c r="AB802" s="51">
        <v>96241</v>
      </c>
      <c r="AC802" s="51">
        <v>114527</v>
      </c>
    </row>
    <row r="803" spans="1:29" x14ac:dyDescent="0.25">
      <c r="A803" s="25" t="s">
        <v>115</v>
      </c>
      <c r="B803" t="b">
        <v>0</v>
      </c>
      <c r="C803" s="43" t="s">
        <v>1045</v>
      </c>
      <c r="D803" s="43">
        <v>67111490905</v>
      </c>
      <c r="E803" s="43">
        <v>67111492121</v>
      </c>
      <c r="F803" s="43" t="s">
        <v>132</v>
      </c>
      <c r="G803" s="43" t="b">
        <v>0</v>
      </c>
      <c r="H803" s="43" t="b">
        <v>1</v>
      </c>
      <c r="I803" s="43"/>
      <c r="M803" s="48" t="s">
        <v>1045</v>
      </c>
      <c r="N803" s="48">
        <v>17090418863</v>
      </c>
      <c r="O803" s="48">
        <v>17090419023</v>
      </c>
      <c r="P803" s="48" t="s">
        <v>132</v>
      </c>
      <c r="Q803" s="49" t="s">
        <v>1045</v>
      </c>
      <c r="R803" s="49">
        <v>17083661127</v>
      </c>
      <c r="S803" s="49">
        <v>17083660807</v>
      </c>
      <c r="T803" s="49" t="s">
        <v>132</v>
      </c>
      <c r="U803" s="50" t="s">
        <v>1045</v>
      </c>
      <c r="V803" s="50">
        <v>17083661127</v>
      </c>
      <c r="W803" s="50">
        <v>17083660807</v>
      </c>
      <c r="X803" s="50" t="s">
        <v>132</v>
      </c>
      <c r="Y803" s="50"/>
      <c r="Z803" s="51" t="s">
        <v>1046</v>
      </c>
      <c r="AA803" s="51" t="s">
        <v>192</v>
      </c>
      <c r="AB803" s="51">
        <v>135293</v>
      </c>
      <c r="AC803" s="51">
        <v>160999</v>
      </c>
    </row>
    <row r="804" spans="1:29" x14ac:dyDescent="0.25">
      <c r="A804" s="25" t="s">
        <v>115</v>
      </c>
      <c r="B804" t="b">
        <v>0</v>
      </c>
      <c r="C804" s="43" t="s">
        <v>1047</v>
      </c>
      <c r="D804" s="43">
        <v>192486082459</v>
      </c>
      <c r="E804" s="43">
        <v>192486081547</v>
      </c>
      <c r="F804" s="43" t="s">
        <v>132</v>
      </c>
      <c r="G804" s="43" t="b">
        <v>0</v>
      </c>
      <c r="H804" s="43" t="b">
        <v>0</v>
      </c>
      <c r="I804" s="43"/>
      <c r="M804" s="48" t="s">
        <v>1047</v>
      </c>
      <c r="N804" s="48">
        <v>17093056671</v>
      </c>
      <c r="O804" s="48">
        <v>17093057300</v>
      </c>
      <c r="P804" s="48" t="s">
        <v>132</v>
      </c>
      <c r="Q804" s="49" t="s">
        <v>1047</v>
      </c>
      <c r="R804" s="49">
        <v>17086171658</v>
      </c>
      <c r="S804" s="49">
        <v>17085070533</v>
      </c>
      <c r="T804" s="49" t="s">
        <v>132</v>
      </c>
      <c r="U804" s="50" t="s">
        <v>1047</v>
      </c>
      <c r="V804" s="50">
        <v>17084591794</v>
      </c>
      <c r="W804" s="50">
        <v>17084588994</v>
      </c>
      <c r="X804" s="50" t="s">
        <v>132</v>
      </c>
      <c r="Y804" s="50"/>
    </row>
    <row r="805" spans="1:29" x14ac:dyDescent="0.25">
      <c r="A805" s="25" t="s">
        <v>115</v>
      </c>
      <c r="B805" t="b">
        <v>0</v>
      </c>
      <c r="C805" s="43" t="s">
        <v>1048</v>
      </c>
      <c r="D805" s="43">
        <v>192486084507</v>
      </c>
      <c r="E805" s="43">
        <v>192486084107</v>
      </c>
      <c r="F805" s="43" t="s">
        <v>132</v>
      </c>
      <c r="G805" s="43" t="b">
        <v>0</v>
      </c>
      <c r="H805" s="43" t="b">
        <v>0</v>
      </c>
      <c r="I805" s="43"/>
      <c r="M805" s="48" t="s">
        <v>1048</v>
      </c>
      <c r="N805" s="48">
        <v>17093055647</v>
      </c>
      <c r="O805" s="48">
        <v>17093055636</v>
      </c>
      <c r="P805" s="48" t="s">
        <v>132</v>
      </c>
      <c r="Q805" s="49" t="s">
        <v>1048</v>
      </c>
      <c r="R805" s="49">
        <v>17086181888</v>
      </c>
      <c r="S805" s="49">
        <v>17085071301</v>
      </c>
      <c r="T805" s="49" t="s">
        <v>132</v>
      </c>
      <c r="U805" s="50" t="s">
        <v>1048</v>
      </c>
      <c r="V805" s="50">
        <v>17084588466</v>
      </c>
      <c r="W805" s="50">
        <v>17084590114</v>
      </c>
      <c r="X805" s="50" t="s">
        <v>132</v>
      </c>
      <c r="Y805" s="50"/>
    </row>
    <row r="806" spans="1:29" x14ac:dyDescent="0.25">
      <c r="A806" s="25" t="s">
        <v>115</v>
      </c>
      <c r="B806" t="b">
        <v>0</v>
      </c>
      <c r="C806" s="43" t="s">
        <v>1049</v>
      </c>
      <c r="D806" s="43">
        <v>192486080603</v>
      </c>
      <c r="E806" s="43">
        <v>192486081291</v>
      </c>
      <c r="F806" s="43" t="s">
        <v>132</v>
      </c>
      <c r="G806" s="43" t="b">
        <v>0</v>
      </c>
      <c r="H806" s="43" t="b">
        <v>0</v>
      </c>
      <c r="I806" s="43"/>
      <c r="M806" s="48" t="s">
        <v>1049</v>
      </c>
      <c r="N806" s="48">
        <v>17093057695</v>
      </c>
      <c r="O806" s="48">
        <v>17093058196</v>
      </c>
      <c r="P806" s="48" t="s">
        <v>132</v>
      </c>
      <c r="Q806" s="49" t="s">
        <v>1049</v>
      </c>
      <c r="R806" s="49">
        <v>17086183936</v>
      </c>
      <c r="S806" s="49">
        <v>17085069861</v>
      </c>
      <c r="T806" s="49" t="s">
        <v>132</v>
      </c>
      <c r="U806" s="50" t="s">
        <v>1049</v>
      </c>
      <c r="V806" s="50">
        <v>17084590514</v>
      </c>
      <c r="W806" s="50">
        <v>17084589602</v>
      </c>
      <c r="X806" s="50" t="s">
        <v>132</v>
      </c>
      <c r="Y806" s="50"/>
    </row>
    <row r="807" spans="1:29" x14ac:dyDescent="0.25">
      <c r="A807" s="25" t="s">
        <v>115</v>
      </c>
      <c r="B807" t="b">
        <v>0</v>
      </c>
      <c r="C807" s="43" t="s">
        <v>1050</v>
      </c>
      <c r="D807" s="43">
        <v>192486082651</v>
      </c>
      <c r="E807" s="43">
        <v>192486082699</v>
      </c>
      <c r="F807" s="43" t="s">
        <v>132</v>
      </c>
      <c r="G807" s="43" t="b">
        <v>0</v>
      </c>
      <c r="H807" s="43" t="b">
        <v>0</v>
      </c>
      <c r="I807" s="43"/>
      <c r="M807" s="48" t="s">
        <v>1050</v>
      </c>
      <c r="N807" s="48">
        <v>17093055135</v>
      </c>
      <c r="O807" s="48">
        <v>17093055380</v>
      </c>
      <c r="P807" s="48" t="s">
        <v>132</v>
      </c>
      <c r="Q807" s="49" t="s">
        <v>1050</v>
      </c>
      <c r="R807" s="49">
        <v>17086182912</v>
      </c>
      <c r="S807" s="49">
        <v>17085070629</v>
      </c>
      <c r="T807" s="49" t="s">
        <v>132</v>
      </c>
      <c r="U807" s="50" t="s">
        <v>1050</v>
      </c>
      <c r="V807" s="50">
        <v>17084589490</v>
      </c>
      <c r="W807" s="50">
        <v>17084591394</v>
      </c>
      <c r="X807" s="50" t="s">
        <v>132</v>
      </c>
      <c r="Y807" s="50"/>
    </row>
    <row r="808" spans="1:29" x14ac:dyDescent="0.25">
      <c r="A808" s="25" t="s">
        <v>115</v>
      </c>
      <c r="B808" t="b">
        <v>0</v>
      </c>
      <c r="C808" s="43" t="s">
        <v>1051</v>
      </c>
      <c r="D808" s="43">
        <v>192486081627</v>
      </c>
      <c r="E808" s="43">
        <v>192486082187</v>
      </c>
      <c r="F808" s="43" t="s">
        <v>132</v>
      </c>
      <c r="G808" s="43" t="b">
        <v>0</v>
      </c>
      <c r="H808" s="43" t="b">
        <v>0</v>
      </c>
      <c r="I808" s="43"/>
      <c r="M808" s="48" t="s">
        <v>1051</v>
      </c>
      <c r="N808" s="48">
        <v>17093057183</v>
      </c>
      <c r="O808" s="48">
        <v>17093056596</v>
      </c>
      <c r="P808" s="48" t="s">
        <v>132</v>
      </c>
      <c r="Q808" s="49" t="s">
        <v>1051</v>
      </c>
      <c r="R808" s="49">
        <v>17086184960</v>
      </c>
      <c r="S808" s="49">
        <v>17085069477</v>
      </c>
      <c r="T808" s="49" t="s">
        <v>132</v>
      </c>
      <c r="U808" s="50" t="s">
        <v>1051</v>
      </c>
      <c r="V808" s="50">
        <v>17084591538</v>
      </c>
      <c r="W808" s="50">
        <v>17084588194</v>
      </c>
      <c r="X808" s="50" t="s">
        <v>132</v>
      </c>
      <c r="Y808" s="50"/>
    </row>
    <row r="809" spans="1:29" x14ac:dyDescent="0.25">
      <c r="A809" s="25" t="s">
        <v>115</v>
      </c>
      <c r="B809" t="b">
        <v>0</v>
      </c>
      <c r="C809" s="43" t="s">
        <v>1052</v>
      </c>
      <c r="D809" s="43">
        <v>192486083675</v>
      </c>
      <c r="E809" s="43">
        <v>192486081099</v>
      </c>
      <c r="F809" s="43" t="s">
        <v>132</v>
      </c>
      <c r="G809" s="43" t="b">
        <v>0</v>
      </c>
      <c r="H809" s="43" t="b">
        <v>0</v>
      </c>
      <c r="I809" s="43"/>
      <c r="M809" s="48" t="s">
        <v>1052</v>
      </c>
      <c r="N809" s="48">
        <v>17093056159</v>
      </c>
      <c r="O809" s="48">
        <v>17093058388</v>
      </c>
      <c r="P809" s="48" t="s">
        <v>132</v>
      </c>
      <c r="Q809" s="49" t="s">
        <v>1052</v>
      </c>
      <c r="R809" s="49">
        <v>17086181280</v>
      </c>
      <c r="S809" s="49">
        <v>17085071013</v>
      </c>
      <c r="T809" s="49" t="s">
        <v>132</v>
      </c>
      <c r="U809" s="50" t="s">
        <v>1052</v>
      </c>
      <c r="V809" s="50">
        <v>17084588978</v>
      </c>
      <c r="W809" s="50">
        <v>17084589986</v>
      </c>
      <c r="X809" s="50" t="s">
        <v>132</v>
      </c>
      <c r="Y809" s="50"/>
    </row>
    <row r="810" spans="1:29" x14ac:dyDescent="0.25">
      <c r="A810" s="25" t="s">
        <v>115</v>
      </c>
      <c r="B810" t="b">
        <v>0</v>
      </c>
      <c r="C810" s="43" t="s">
        <v>1053</v>
      </c>
      <c r="D810" s="43">
        <v>192486081115</v>
      </c>
      <c r="E810" s="43">
        <v>192486082891</v>
      </c>
      <c r="F810" s="43" t="s">
        <v>132</v>
      </c>
      <c r="G810" s="43" t="b">
        <v>0</v>
      </c>
      <c r="H810" s="43" t="b">
        <v>0</v>
      </c>
      <c r="I810" s="43"/>
      <c r="M810" s="48" t="s">
        <v>1053</v>
      </c>
      <c r="N810" s="48">
        <v>17093058207</v>
      </c>
      <c r="O810" s="48">
        <v>17093055188</v>
      </c>
      <c r="P810" s="48" t="s">
        <v>132</v>
      </c>
      <c r="Q810" s="49" t="s">
        <v>1053</v>
      </c>
      <c r="R810" s="49">
        <v>17086177376</v>
      </c>
      <c r="S810" s="49">
        <v>17085070245</v>
      </c>
      <c r="T810" s="49" t="s">
        <v>132</v>
      </c>
      <c r="U810" s="50" t="s">
        <v>1053</v>
      </c>
      <c r="V810" s="50">
        <v>17084591026</v>
      </c>
      <c r="W810" s="50">
        <v>17084591202</v>
      </c>
      <c r="X810" s="50" t="s">
        <v>132</v>
      </c>
      <c r="Y810" s="50"/>
    </row>
    <row r="811" spans="1:29" x14ac:dyDescent="0.25">
      <c r="A811" s="25" t="s">
        <v>115</v>
      </c>
      <c r="B811" t="b">
        <v>0</v>
      </c>
      <c r="C811" s="43" t="s">
        <v>1054</v>
      </c>
      <c r="D811" s="43">
        <v>192486083163</v>
      </c>
      <c r="E811" s="43">
        <v>192486082379</v>
      </c>
      <c r="F811" s="43" t="s">
        <v>132</v>
      </c>
      <c r="G811" s="43" t="b">
        <v>0</v>
      </c>
      <c r="H811" s="43" t="b">
        <v>0</v>
      </c>
      <c r="I811" s="43"/>
      <c r="M811" s="48" t="s">
        <v>1054</v>
      </c>
      <c r="N811" s="48">
        <v>17093054879</v>
      </c>
      <c r="O811" s="48">
        <v>17093056980</v>
      </c>
      <c r="P811" s="48" t="s">
        <v>132</v>
      </c>
      <c r="Q811" s="49" t="s">
        <v>1054</v>
      </c>
      <c r="R811" s="49">
        <v>17086179424</v>
      </c>
      <c r="S811" s="49">
        <v>17085070437</v>
      </c>
      <c r="T811" s="49" t="s">
        <v>132</v>
      </c>
      <c r="U811" s="50" t="s">
        <v>1054</v>
      </c>
      <c r="V811" s="50">
        <v>17084590002</v>
      </c>
      <c r="W811" s="50">
        <v>17084588386</v>
      </c>
      <c r="X811" s="50" t="s">
        <v>132</v>
      </c>
      <c r="Y811" s="50"/>
    </row>
    <row r="812" spans="1:29" x14ac:dyDescent="0.25">
      <c r="A812" s="25" t="s">
        <v>115</v>
      </c>
      <c r="B812" t="b">
        <v>0</v>
      </c>
      <c r="C812" s="43" t="s">
        <v>1055</v>
      </c>
      <c r="D812" s="43">
        <v>18189389466</v>
      </c>
      <c r="E812" s="43">
        <v>18189386394</v>
      </c>
      <c r="F812" s="43" t="s">
        <v>132</v>
      </c>
      <c r="G812" s="43" t="b">
        <v>0</v>
      </c>
      <c r="H812" s="43" t="b">
        <v>0</v>
      </c>
      <c r="I812" s="43"/>
      <c r="M812" s="48" t="s">
        <v>1055</v>
      </c>
      <c r="N812" s="48">
        <v>17088570094</v>
      </c>
      <c r="O812" s="48">
        <v>17088563867</v>
      </c>
      <c r="P812" s="48" t="s">
        <v>132</v>
      </c>
      <c r="Q812" s="49" t="s">
        <v>1055</v>
      </c>
      <c r="R812" s="49">
        <v>17083126626</v>
      </c>
      <c r="S812" s="49">
        <v>17083124872</v>
      </c>
      <c r="T812" s="49" t="s">
        <v>132</v>
      </c>
      <c r="U812" s="50" t="s">
        <v>1055</v>
      </c>
      <c r="V812" s="50">
        <v>17083126626</v>
      </c>
      <c r="W812" s="50">
        <v>17083124872</v>
      </c>
      <c r="X812" s="50" t="s">
        <v>132</v>
      </c>
      <c r="Y812" s="50"/>
    </row>
    <row r="813" spans="1:29" x14ac:dyDescent="0.25">
      <c r="A813" s="25" t="s">
        <v>115</v>
      </c>
      <c r="B813" t="b">
        <v>0</v>
      </c>
      <c r="C813" s="43" t="s">
        <v>1056</v>
      </c>
      <c r="D813" s="43">
        <v>18189386138</v>
      </c>
      <c r="E813" s="43">
        <v>18254835595</v>
      </c>
      <c r="F813" s="43" t="s">
        <v>132</v>
      </c>
      <c r="G813" s="43" t="b">
        <v>0</v>
      </c>
      <c r="H813" s="43" t="b">
        <v>0</v>
      </c>
      <c r="I813" s="43"/>
      <c r="M813" s="48" t="s">
        <v>1056</v>
      </c>
      <c r="N813" s="48">
        <v>17088570702</v>
      </c>
      <c r="O813" s="48">
        <v>17088560242</v>
      </c>
      <c r="P813" s="48" t="s">
        <v>132</v>
      </c>
      <c r="Q813" s="49" t="s">
        <v>1056</v>
      </c>
      <c r="R813" s="49">
        <v>17083127289</v>
      </c>
      <c r="S813" s="49">
        <v>17083118975</v>
      </c>
      <c r="T813" s="49" t="s">
        <v>132</v>
      </c>
      <c r="U813" s="50" t="s">
        <v>1056</v>
      </c>
      <c r="V813" s="50">
        <v>17083127289</v>
      </c>
      <c r="W813" s="50">
        <v>17083118975</v>
      </c>
      <c r="X813" s="50" t="s">
        <v>132</v>
      </c>
      <c r="Y813" s="50"/>
    </row>
    <row r="814" spans="1:29" x14ac:dyDescent="0.25">
      <c r="A814" s="25" t="s">
        <v>115</v>
      </c>
      <c r="B814" t="b">
        <v>0</v>
      </c>
      <c r="C814" s="43" t="s">
        <v>1057</v>
      </c>
      <c r="D814" s="43">
        <v>18189388186</v>
      </c>
      <c r="E814" s="43">
        <v>18189387114</v>
      </c>
      <c r="F814" s="43" t="s">
        <v>132</v>
      </c>
      <c r="G814" s="43" t="b">
        <v>0</v>
      </c>
      <c r="H814" s="43" t="b">
        <v>0</v>
      </c>
      <c r="I814" s="43"/>
      <c r="M814" s="48" t="s">
        <v>1057</v>
      </c>
      <c r="N814" s="48">
        <v>17088570724</v>
      </c>
      <c r="O814" s="48">
        <v>17088568440</v>
      </c>
      <c r="P814" s="48" t="s">
        <v>132</v>
      </c>
      <c r="Q814" s="49" t="s">
        <v>1057</v>
      </c>
      <c r="R814" s="49">
        <v>17083127962</v>
      </c>
      <c r="S814" s="49">
        <v>17083123754</v>
      </c>
      <c r="T814" s="49" t="s">
        <v>132</v>
      </c>
      <c r="U814" s="50" t="s">
        <v>1057</v>
      </c>
      <c r="V814" s="50">
        <v>17083127962</v>
      </c>
      <c r="W814" s="50">
        <v>17083123754</v>
      </c>
      <c r="X814" s="50" t="s">
        <v>132</v>
      </c>
      <c r="Y814" s="50"/>
    </row>
    <row r="815" spans="1:29" x14ac:dyDescent="0.25">
      <c r="A815" s="25" t="s">
        <v>115</v>
      </c>
      <c r="B815" t="b">
        <v>0</v>
      </c>
      <c r="C815" s="43" t="s">
        <v>1058</v>
      </c>
      <c r="D815" s="43">
        <v>18189387162</v>
      </c>
      <c r="E815" s="43">
        <v>18189388650</v>
      </c>
      <c r="F815" s="43" t="s">
        <v>132</v>
      </c>
      <c r="G815" s="43" t="b">
        <v>0</v>
      </c>
      <c r="H815" s="43" t="b">
        <v>0</v>
      </c>
      <c r="I815" s="43"/>
      <c r="M815" s="48" t="s">
        <v>1058</v>
      </c>
      <c r="N815" s="48">
        <v>17088572964</v>
      </c>
      <c r="O815" s="48">
        <v>17088566904</v>
      </c>
      <c r="P815" s="48" t="s">
        <v>132</v>
      </c>
      <c r="Q815" s="49" t="s">
        <v>1058</v>
      </c>
      <c r="R815" s="49">
        <v>17083127722</v>
      </c>
      <c r="S815" s="49">
        <v>17083122218</v>
      </c>
      <c r="T815" s="49" t="s">
        <v>132</v>
      </c>
      <c r="U815" s="50" t="s">
        <v>1058</v>
      </c>
      <c r="V815" s="50">
        <v>17083127722</v>
      </c>
      <c r="W815" s="50">
        <v>17083122218</v>
      </c>
      <c r="X815" s="50" t="s">
        <v>132</v>
      </c>
      <c r="Y815" s="50"/>
    </row>
    <row r="816" spans="1:29" x14ac:dyDescent="0.25">
      <c r="A816" s="25" t="s">
        <v>115</v>
      </c>
      <c r="B816" t="b">
        <v>0</v>
      </c>
      <c r="C816" s="43" t="s">
        <v>1059</v>
      </c>
      <c r="D816" s="43">
        <v>18189389210</v>
      </c>
      <c r="E816" s="43">
        <v>18189385962</v>
      </c>
      <c r="F816" s="43" t="s">
        <v>132</v>
      </c>
      <c r="G816" s="43" t="b">
        <v>0</v>
      </c>
      <c r="H816" s="43" t="b">
        <v>0</v>
      </c>
      <c r="I816" s="43"/>
      <c r="M816" s="48" t="s">
        <v>1059</v>
      </c>
      <c r="N816" s="48">
        <v>17088572078</v>
      </c>
      <c r="O816" s="48">
        <v>17088562291</v>
      </c>
      <c r="P816" s="48" t="s">
        <v>132</v>
      </c>
      <c r="Q816" s="49" t="s">
        <v>1059</v>
      </c>
      <c r="R816" s="49">
        <v>17083126341</v>
      </c>
      <c r="S816" s="49">
        <v>17083123552</v>
      </c>
      <c r="T816" s="49" t="s">
        <v>132</v>
      </c>
      <c r="U816" s="50" t="s">
        <v>1059</v>
      </c>
      <c r="V816" s="50">
        <v>17083126341</v>
      </c>
      <c r="W816" s="50">
        <v>17083123552</v>
      </c>
      <c r="X816" s="50" t="s">
        <v>132</v>
      </c>
      <c r="Y816" s="50"/>
    </row>
    <row r="817" spans="1:25" x14ac:dyDescent="0.25">
      <c r="A817" s="25" t="s">
        <v>115</v>
      </c>
      <c r="B817" t="b">
        <v>0</v>
      </c>
      <c r="C817" s="43" t="s">
        <v>1060</v>
      </c>
      <c r="D817" s="43">
        <v>18189386650</v>
      </c>
      <c r="E817" s="43">
        <v>18189389034</v>
      </c>
      <c r="F817" s="43" t="s">
        <v>132</v>
      </c>
      <c r="G817" s="43" t="b">
        <v>0</v>
      </c>
      <c r="H817" s="43" t="b">
        <v>0</v>
      </c>
      <c r="I817" s="43"/>
      <c r="M817" s="48" t="s">
        <v>1060</v>
      </c>
      <c r="N817" s="48">
        <v>17088571534</v>
      </c>
      <c r="O817" s="48">
        <v>17088560066</v>
      </c>
      <c r="P817" s="48" t="s">
        <v>132</v>
      </c>
      <c r="Q817" s="49" t="s">
        <v>1060</v>
      </c>
      <c r="R817" s="49">
        <v>17083129785</v>
      </c>
      <c r="S817" s="49">
        <v>17083089094</v>
      </c>
      <c r="T817" s="49" t="s">
        <v>132</v>
      </c>
      <c r="U817" s="50" t="s">
        <v>1060</v>
      </c>
      <c r="V817" s="50">
        <v>17083129785</v>
      </c>
      <c r="W817" s="50">
        <v>17083089094</v>
      </c>
      <c r="X817" s="50" t="s">
        <v>132</v>
      </c>
      <c r="Y817" s="50"/>
    </row>
    <row r="818" spans="1:25" x14ac:dyDescent="0.25">
      <c r="A818" s="25" t="s">
        <v>115</v>
      </c>
      <c r="B818" t="b">
        <v>0</v>
      </c>
      <c r="C818" s="43" t="s">
        <v>1061</v>
      </c>
      <c r="D818" s="43">
        <v>18189388698</v>
      </c>
      <c r="E818" s="43">
        <v>18189387498</v>
      </c>
      <c r="F818" s="43" t="s">
        <v>132</v>
      </c>
      <c r="G818" s="43" t="b">
        <v>0</v>
      </c>
      <c r="H818" s="43" t="b">
        <v>0</v>
      </c>
      <c r="I818" s="43"/>
      <c r="M818" s="48" t="s">
        <v>1061</v>
      </c>
      <c r="N818" s="48">
        <v>17088571766</v>
      </c>
      <c r="O818" s="48">
        <v>17088557090</v>
      </c>
      <c r="P818" s="48" t="s">
        <v>132</v>
      </c>
      <c r="Q818" s="49" t="s">
        <v>1061</v>
      </c>
      <c r="R818" s="49">
        <v>17083129561</v>
      </c>
      <c r="S818" s="49">
        <v>17083092166</v>
      </c>
      <c r="T818" s="49" t="s">
        <v>132</v>
      </c>
      <c r="U818" s="50" t="s">
        <v>1061</v>
      </c>
      <c r="V818" s="50">
        <v>17083129561</v>
      </c>
      <c r="W818" s="50">
        <v>17083092166</v>
      </c>
      <c r="X818" s="50" t="s">
        <v>132</v>
      </c>
      <c r="Y818" s="50"/>
    </row>
    <row r="819" spans="1:25" x14ac:dyDescent="0.25">
      <c r="A819" s="25" t="s">
        <v>115</v>
      </c>
      <c r="B819" t="b">
        <v>0</v>
      </c>
      <c r="C819" s="43" t="s">
        <v>1062</v>
      </c>
      <c r="D819" s="43">
        <v>18189387674</v>
      </c>
      <c r="E819" s="43">
        <v>18189388266</v>
      </c>
      <c r="F819" s="43" t="s">
        <v>132</v>
      </c>
      <c r="G819" s="43" t="b">
        <v>0</v>
      </c>
      <c r="H819" s="43" t="b">
        <v>0</v>
      </c>
      <c r="I819" s="43"/>
      <c r="M819" s="48" t="s">
        <v>1062</v>
      </c>
      <c r="N819" s="48">
        <v>17088572686</v>
      </c>
      <c r="O819" s="48">
        <v>17088560162</v>
      </c>
      <c r="P819" s="48" t="s">
        <v>132</v>
      </c>
      <c r="Q819" s="49" t="s">
        <v>1062</v>
      </c>
      <c r="R819" s="49">
        <v>17083129529</v>
      </c>
      <c r="S819" s="49">
        <v>17083090630</v>
      </c>
      <c r="T819" s="49" t="s">
        <v>132</v>
      </c>
      <c r="U819" s="50" t="s">
        <v>1062</v>
      </c>
      <c r="V819" s="50">
        <v>17083129529</v>
      </c>
      <c r="W819" s="50">
        <v>17083090630</v>
      </c>
      <c r="X819" s="50" t="s">
        <v>132</v>
      </c>
      <c r="Y819" s="50"/>
    </row>
    <row r="820" spans="1:25" x14ac:dyDescent="0.25">
      <c r="A820" s="25" t="s">
        <v>115</v>
      </c>
      <c r="B820" t="b">
        <v>0</v>
      </c>
      <c r="C820" s="43" t="s">
        <v>1063</v>
      </c>
      <c r="D820" s="43">
        <v>18189389722</v>
      </c>
      <c r="E820" s="43">
        <v>18189386730</v>
      </c>
      <c r="F820" s="43" t="s">
        <v>132</v>
      </c>
      <c r="G820" s="43" t="b">
        <v>0</v>
      </c>
      <c r="H820" s="43" t="b">
        <v>0</v>
      </c>
      <c r="I820" s="43"/>
      <c r="M820" s="48" t="s">
        <v>1063</v>
      </c>
      <c r="N820" s="48">
        <v>17088572918</v>
      </c>
      <c r="O820" s="48">
        <v>17088558626</v>
      </c>
      <c r="P820" s="48" t="s">
        <v>132</v>
      </c>
      <c r="Q820" s="49" t="s">
        <v>1063</v>
      </c>
      <c r="R820" s="49">
        <v>17083126073</v>
      </c>
      <c r="S820" s="49">
        <v>17083091398</v>
      </c>
      <c r="T820" s="49" t="s">
        <v>132</v>
      </c>
      <c r="U820" s="50" t="s">
        <v>1063</v>
      </c>
      <c r="V820" s="50">
        <v>17083126073</v>
      </c>
      <c r="W820" s="50">
        <v>17083091398</v>
      </c>
      <c r="X820" s="50" t="s">
        <v>132</v>
      </c>
      <c r="Y820" s="50"/>
    </row>
    <row r="821" spans="1:25" x14ac:dyDescent="0.25">
      <c r="A821" s="25" t="s">
        <v>115</v>
      </c>
      <c r="B821" t="b">
        <v>0</v>
      </c>
      <c r="C821" s="43" t="s">
        <v>1064</v>
      </c>
      <c r="D821" s="43">
        <v>18189385818</v>
      </c>
      <c r="E821" s="43">
        <v>18189389802</v>
      </c>
      <c r="F821" s="43" t="s">
        <v>132</v>
      </c>
      <c r="G821" s="43" t="b">
        <v>0</v>
      </c>
      <c r="H821" s="43" t="b">
        <v>0</v>
      </c>
      <c r="I821" s="43"/>
      <c r="M821" s="48" t="s">
        <v>1064</v>
      </c>
      <c r="N821" s="48">
        <v>17088569566</v>
      </c>
      <c r="O821" s="48">
        <v>17088561959</v>
      </c>
      <c r="P821" s="48" t="s">
        <v>132</v>
      </c>
      <c r="Q821" s="49" t="s">
        <v>1064</v>
      </c>
      <c r="R821" s="49">
        <v>17083126418</v>
      </c>
      <c r="S821" s="49">
        <v>17083125432</v>
      </c>
      <c r="T821" s="49" t="s">
        <v>132</v>
      </c>
      <c r="U821" s="50" t="s">
        <v>1064</v>
      </c>
      <c r="V821" s="50">
        <v>17083126418</v>
      </c>
      <c r="W821" s="50">
        <v>17083125432</v>
      </c>
      <c r="X821" s="50" t="s">
        <v>132</v>
      </c>
      <c r="Y821" s="50"/>
    </row>
    <row r="822" spans="1:25" x14ac:dyDescent="0.25">
      <c r="A822" s="25" t="s">
        <v>115</v>
      </c>
      <c r="B822" t="b">
        <v>0</v>
      </c>
      <c r="C822" s="43" t="s">
        <v>1065</v>
      </c>
      <c r="D822" s="43">
        <v>18189387866</v>
      </c>
      <c r="E822" s="43">
        <v>18189386778</v>
      </c>
      <c r="F822" s="43" t="s">
        <v>132</v>
      </c>
      <c r="G822" s="43" t="b">
        <v>0</v>
      </c>
      <c r="H822" s="43" t="b">
        <v>0</v>
      </c>
      <c r="I822" s="43"/>
      <c r="M822" s="48" t="s">
        <v>1065</v>
      </c>
      <c r="N822" s="48">
        <v>17088572812</v>
      </c>
      <c r="O822" s="48">
        <v>17088565756</v>
      </c>
      <c r="P822" s="48" t="s">
        <v>132</v>
      </c>
      <c r="Q822" s="49" t="s">
        <v>1065</v>
      </c>
      <c r="R822" s="49">
        <v>17083129222</v>
      </c>
      <c r="S822" s="49">
        <v>17083122510</v>
      </c>
      <c r="T822" s="49" t="s">
        <v>132</v>
      </c>
      <c r="U822" s="50" t="s">
        <v>1065</v>
      </c>
      <c r="V822" s="50">
        <v>17083129222</v>
      </c>
      <c r="W822" s="50">
        <v>17083122510</v>
      </c>
      <c r="X822" s="50" t="s">
        <v>132</v>
      </c>
      <c r="Y822" s="50"/>
    </row>
    <row r="823" spans="1:25" x14ac:dyDescent="0.25">
      <c r="A823" s="25" t="s">
        <v>115</v>
      </c>
      <c r="B823" t="b">
        <v>0</v>
      </c>
      <c r="C823" s="43" t="s">
        <v>1066</v>
      </c>
      <c r="D823" s="43">
        <v>18189386842</v>
      </c>
      <c r="E823" s="43">
        <v>18189388314</v>
      </c>
      <c r="F823" s="43" t="s">
        <v>132</v>
      </c>
      <c r="G823" s="43" t="b">
        <v>0</v>
      </c>
      <c r="H823" s="43" t="b">
        <v>0</v>
      </c>
      <c r="I823" s="43"/>
      <c r="M823" s="48" t="s">
        <v>1066</v>
      </c>
      <c r="N823" s="48">
        <v>17088569420</v>
      </c>
      <c r="O823" s="48">
        <v>17088568828</v>
      </c>
      <c r="P823" s="48" t="s">
        <v>132</v>
      </c>
      <c r="Q823" s="49" t="s">
        <v>1066</v>
      </c>
      <c r="R823" s="49">
        <v>17083127686</v>
      </c>
      <c r="S823" s="49">
        <v>17083125582</v>
      </c>
      <c r="T823" s="49" t="s">
        <v>132</v>
      </c>
      <c r="U823" s="50" t="s">
        <v>1066</v>
      </c>
      <c r="V823" s="50">
        <v>17083127686</v>
      </c>
      <c r="W823" s="50">
        <v>17083125582</v>
      </c>
      <c r="X823" s="50" t="s">
        <v>132</v>
      </c>
      <c r="Y823" s="50"/>
    </row>
    <row r="824" spans="1:25" x14ac:dyDescent="0.25">
      <c r="A824" s="25" t="s">
        <v>115</v>
      </c>
      <c r="B824" t="b">
        <v>0</v>
      </c>
      <c r="C824" s="43" t="s">
        <v>1067</v>
      </c>
      <c r="D824" s="43">
        <v>18189388890</v>
      </c>
      <c r="E824" s="43">
        <v>18189386010</v>
      </c>
      <c r="F824" s="43" t="s">
        <v>132</v>
      </c>
      <c r="G824" s="43" t="b">
        <v>0</v>
      </c>
      <c r="H824" s="43" t="b">
        <v>0</v>
      </c>
      <c r="I824" s="43"/>
      <c r="M824" s="48" t="s">
        <v>1067</v>
      </c>
      <c r="N824" s="48">
        <v>17088569918</v>
      </c>
      <c r="O824" s="48">
        <v>17088565239</v>
      </c>
      <c r="P824" s="48" t="s">
        <v>132</v>
      </c>
      <c r="Q824" s="49" t="s">
        <v>1067</v>
      </c>
      <c r="R824" s="49">
        <v>17083128274</v>
      </c>
      <c r="S824" s="49">
        <v>17083123172</v>
      </c>
      <c r="T824" s="49" t="s">
        <v>132</v>
      </c>
      <c r="U824" s="50" t="s">
        <v>1067</v>
      </c>
      <c r="V824" s="50">
        <v>17083128274</v>
      </c>
      <c r="W824" s="50">
        <v>17083123172</v>
      </c>
      <c r="X824" s="50" t="s">
        <v>132</v>
      </c>
      <c r="Y824" s="50"/>
    </row>
    <row r="825" spans="1:25" x14ac:dyDescent="0.25">
      <c r="A825" s="25" t="s">
        <v>115</v>
      </c>
      <c r="B825" t="b">
        <v>0</v>
      </c>
      <c r="C825" s="43" t="s">
        <v>1068</v>
      </c>
      <c r="D825" s="43">
        <v>18189386330</v>
      </c>
      <c r="E825" s="43">
        <v>18189389082</v>
      </c>
      <c r="F825" s="43" t="s">
        <v>132</v>
      </c>
      <c r="G825" s="43" t="b">
        <v>0</v>
      </c>
      <c r="H825" s="43" t="b">
        <v>0</v>
      </c>
      <c r="I825" s="43"/>
      <c r="M825" s="48" t="s">
        <v>1068</v>
      </c>
      <c r="N825" s="48">
        <v>17088572830</v>
      </c>
      <c r="O825" s="48">
        <v>17088561947</v>
      </c>
      <c r="P825" s="48" t="s">
        <v>132</v>
      </c>
      <c r="Q825" s="49" t="s">
        <v>1068</v>
      </c>
      <c r="R825" s="49">
        <v>17083126290</v>
      </c>
      <c r="S825" s="49">
        <v>17083122952</v>
      </c>
      <c r="T825" s="49" t="s">
        <v>132</v>
      </c>
      <c r="U825" s="50" t="s">
        <v>1068</v>
      </c>
      <c r="V825" s="50">
        <v>17083126290</v>
      </c>
      <c r="W825" s="50">
        <v>17083122952</v>
      </c>
      <c r="X825" s="50" t="s">
        <v>132</v>
      </c>
      <c r="Y825" s="50"/>
    </row>
    <row r="826" spans="1:25" x14ac:dyDescent="0.25">
      <c r="A826" s="25" t="s">
        <v>115</v>
      </c>
      <c r="B826" t="b">
        <v>0</v>
      </c>
      <c r="C826" s="43" t="s">
        <v>1069</v>
      </c>
      <c r="D826" s="43">
        <v>18189388378</v>
      </c>
      <c r="E826" s="43">
        <v>18189387546</v>
      </c>
      <c r="F826" s="43" t="s">
        <v>132</v>
      </c>
      <c r="G826" s="43" t="b">
        <v>0</v>
      </c>
      <c r="H826" s="43" t="b">
        <v>0</v>
      </c>
      <c r="I826" s="43"/>
      <c r="M826" s="48" t="s">
        <v>1069</v>
      </c>
      <c r="N826" s="48">
        <v>17088573342</v>
      </c>
      <c r="O826" s="48">
        <v>17088565019</v>
      </c>
      <c r="P826" s="48" t="s">
        <v>132</v>
      </c>
      <c r="Q826" s="49" t="s">
        <v>1069</v>
      </c>
      <c r="R826" s="49">
        <v>17083127314</v>
      </c>
      <c r="S826" s="49">
        <v>17083124488</v>
      </c>
      <c r="T826" s="49" t="s">
        <v>132</v>
      </c>
      <c r="U826" s="50" t="s">
        <v>1069</v>
      </c>
      <c r="V826" s="50">
        <v>17083127314</v>
      </c>
      <c r="W826" s="50">
        <v>17083124488</v>
      </c>
      <c r="X826" s="50" t="s">
        <v>132</v>
      </c>
      <c r="Y826" s="50"/>
    </row>
    <row r="827" spans="1:25" x14ac:dyDescent="0.25">
      <c r="A827" s="25" t="s">
        <v>115</v>
      </c>
      <c r="B827" t="b">
        <v>0</v>
      </c>
      <c r="C827" s="43" t="s">
        <v>1070</v>
      </c>
      <c r="D827" s="43">
        <v>18189387354</v>
      </c>
      <c r="E827" s="43">
        <v>18189387930</v>
      </c>
      <c r="F827" s="43" t="s">
        <v>132</v>
      </c>
      <c r="G827" s="43" t="b">
        <v>0</v>
      </c>
      <c r="H827" s="43" t="b">
        <v>0</v>
      </c>
      <c r="I827" s="43"/>
      <c r="M827" s="48" t="s">
        <v>1070</v>
      </c>
      <c r="N827" s="48">
        <v>17088571374</v>
      </c>
      <c r="O827" s="48">
        <v>17088562331</v>
      </c>
      <c r="P827" s="48" t="s">
        <v>132</v>
      </c>
      <c r="Q827" s="49" t="s">
        <v>1070</v>
      </c>
      <c r="R827" s="49">
        <v>17083128546</v>
      </c>
      <c r="S827" s="49">
        <v>17083121800</v>
      </c>
      <c r="T827" s="49" t="s">
        <v>132</v>
      </c>
      <c r="U827" s="50" t="s">
        <v>1070</v>
      </c>
      <c r="V827" s="50">
        <v>17083128546</v>
      </c>
      <c r="W827" s="50">
        <v>17083121800</v>
      </c>
      <c r="X827" s="50" t="s">
        <v>132</v>
      </c>
      <c r="Y827" s="50"/>
    </row>
    <row r="828" spans="1:25" x14ac:dyDescent="0.25">
      <c r="A828" s="25" t="b">
        <v>1</v>
      </c>
      <c r="B828" t="b">
        <v>0</v>
      </c>
      <c r="C828" s="43" t="s">
        <v>1071</v>
      </c>
      <c r="D828" s="43">
        <v>18699932274</v>
      </c>
      <c r="E828" s="43">
        <v>18699933234</v>
      </c>
      <c r="F828" s="43" t="s">
        <v>173</v>
      </c>
      <c r="G828" s="43" t="b">
        <v>0</v>
      </c>
      <c r="H828" s="43" t="b">
        <v>0</v>
      </c>
      <c r="I828" s="43"/>
      <c r="J828" s="45" t="s">
        <v>1071</v>
      </c>
      <c r="K828" s="46">
        <v>18699933234</v>
      </c>
      <c r="M828" s="48" t="s">
        <v>1071</v>
      </c>
      <c r="N828" s="48">
        <v>17088572046</v>
      </c>
      <c r="O828" s="48">
        <v>17088557512</v>
      </c>
      <c r="P828" s="48" t="s">
        <v>173</v>
      </c>
      <c r="Q828" s="49" t="s">
        <v>1071</v>
      </c>
      <c r="R828" s="49">
        <v>17083127577</v>
      </c>
      <c r="S828" s="49">
        <v>17083089900</v>
      </c>
      <c r="T828" s="49" t="s">
        <v>173</v>
      </c>
      <c r="U828" s="50" t="s">
        <v>1071</v>
      </c>
      <c r="V828" s="50">
        <v>17083127577</v>
      </c>
      <c r="W828" s="50">
        <v>17083089900</v>
      </c>
      <c r="X828" s="50" t="s">
        <v>173</v>
      </c>
      <c r="Y828" s="50"/>
    </row>
    <row r="829" spans="1:25" x14ac:dyDescent="0.25">
      <c r="A829" s="25" t="b">
        <v>1</v>
      </c>
      <c r="B829" t="b">
        <v>0</v>
      </c>
      <c r="C829" s="43" t="s">
        <v>1072</v>
      </c>
      <c r="D829" s="43">
        <v>18699934322</v>
      </c>
      <c r="E829" s="43">
        <v>18699934002</v>
      </c>
      <c r="F829" s="43" t="s">
        <v>173</v>
      </c>
      <c r="G829" s="43" t="b">
        <v>0</v>
      </c>
      <c r="H829" s="43" t="b">
        <v>0</v>
      </c>
      <c r="I829" s="43"/>
      <c r="J829" s="45" t="s">
        <v>1072</v>
      </c>
      <c r="K829" s="46">
        <v>18699934002</v>
      </c>
      <c r="M829" s="48" t="s">
        <v>1072</v>
      </c>
      <c r="N829" s="48">
        <v>17088569834</v>
      </c>
      <c r="O829" s="48">
        <v>17088565659</v>
      </c>
      <c r="P829" s="48" t="s">
        <v>173</v>
      </c>
      <c r="Q829" s="49" t="s">
        <v>1072</v>
      </c>
      <c r="R829" s="49">
        <v>17083129473</v>
      </c>
      <c r="S829" s="49">
        <v>17083123487</v>
      </c>
      <c r="T829" s="49" t="s">
        <v>173</v>
      </c>
      <c r="U829" s="50" t="s">
        <v>1072</v>
      </c>
      <c r="V829" s="50">
        <v>17083129473</v>
      </c>
      <c r="W829" s="50">
        <v>17083123487</v>
      </c>
      <c r="X829" s="50" t="s">
        <v>173</v>
      </c>
      <c r="Y829" s="50"/>
    </row>
    <row r="830" spans="1:25" x14ac:dyDescent="0.25">
      <c r="A830" s="25" t="b">
        <v>1</v>
      </c>
      <c r="B830" t="b">
        <v>0</v>
      </c>
      <c r="C830" s="43" t="s">
        <v>1073</v>
      </c>
      <c r="D830" s="43">
        <v>29932165173</v>
      </c>
      <c r="E830" s="43">
        <v>29932165077</v>
      </c>
      <c r="F830" s="43" t="s">
        <v>173</v>
      </c>
      <c r="G830" s="43" t="b">
        <v>0</v>
      </c>
      <c r="H830" s="43" t="b">
        <v>0</v>
      </c>
      <c r="I830" s="43"/>
      <c r="J830" s="45" t="s">
        <v>1073</v>
      </c>
      <c r="K830" s="46">
        <v>29932165077</v>
      </c>
      <c r="M830" s="48" t="s">
        <v>1073</v>
      </c>
      <c r="N830" s="48">
        <v>17090028252</v>
      </c>
      <c r="O830" s="48">
        <v>17090029788</v>
      </c>
      <c r="P830" s="48" t="s">
        <v>173</v>
      </c>
      <c r="Q830" s="49" t="s">
        <v>1073</v>
      </c>
      <c r="R830" s="49">
        <v>17084729859</v>
      </c>
      <c r="S830" s="49">
        <v>17084728323</v>
      </c>
      <c r="T830" s="49" t="s">
        <v>173</v>
      </c>
      <c r="U830" s="50"/>
      <c r="V830" s="50"/>
      <c r="W830" s="50"/>
      <c r="X830" s="50"/>
      <c r="Y830" s="50"/>
    </row>
    <row r="831" spans="1:25" x14ac:dyDescent="0.25">
      <c r="A831" s="25" t="b">
        <v>1</v>
      </c>
      <c r="B831" t="b">
        <v>0</v>
      </c>
      <c r="C831" s="43" t="s">
        <v>1074</v>
      </c>
      <c r="D831" s="43">
        <v>29932164149</v>
      </c>
      <c r="E831" s="43">
        <v>29932166613</v>
      </c>
      <c r="F831" s="43" t="s">
        <v>173</v>
      </c>
      <c r="G831" s="43" t="b">
        <v>0</v>
      </c>
      <c r="H831" s="43" t="b">
        <v>0</v>
      </c>
      <c r="I831" s="43"/>
      <c r="J831" s="45" t="s">
        <v>1074</v>
      </c>
      <c r="K831" s="46">
        <v>29932166613</v>
      </c>
      <c r="M831" s="48" t="s">
        <v>1074</v>
      </c>
      <c r="N831" s="48">
        <v>17090030300</v>
      </c>
      <c r="O831" s="48">
        <v>17090029404</v>
      </c>
      <c r="P831" s="48" t="s">
        <v>173</v>
      </c>
      <c r="Q831" s="49" t="s">
        <v>1074</v>
      </c>
      <c r="R831" s="49">
        <v>17084728835</v>
      </c>
      <c r="S831" s="49">
        <v>17084731389</v>
      </c>
      <c r="T831" s="49" t="s">
        <v>173</v>
      </c>
      <c r="U831" s="50"/>
      <c r="V831" s="50"/>
      <c r="W831" s="50"/>
      <c r="X831" s="50"/>
      <c r="Y831" s="50"/>
    </row>
    <row r="832" spans="1:25" x14ac:dyDescent="0.25">
      <c r="A832" s="25" t="s">
        <v>115</v>
      </c>
      <c r="B832" t="b">
        <v>0</v>
      </c>
      <c r="C832" s="43" t="s">
        <v>1075</v>
      </c>
      <c r="D832" s="43">
        <v>361624944083</v>
      </c>
      <c r="E832" s="43">
        <v>361624941075</v>
      </c>
      <c r="F832" s="43" t="s">
        <v>117</v>
      </c>
      <c r="G832" s="43" t="b">
        <v>1</v>
      </c>
      <c r="H832" s="43" t="b">
        <v>0</v>
      </c>
      <c r="I832" s="43" t="s">
        <v>134</v>
      </c>
      <c r="M832" s="48" t="s">
        <v>1075</v>
      </c>
      <c r="N832" s="48">
        <v>17098480414</v>
      </c>
      <c r="O832" s="48">
        <v>17098480670</v>
      </c>
      <c r="P832" s="48" t="s">
        <v>117</v>
      </c>
      <c r="Q832" s="49"/>
      <c r="R832" s="49"/>
      <c r="S832" s="49"/>
      <c r="T832" s="49"/>
      <c r="U832" s="50" t="s">
        <v>1075</v>
      </c>
      <c r="V832" s="50">
        <v>17102546413</v>
      </c>
      <c r="W832" s="50">
        <v>17101203127</v>
      </c>
      <c r="X832" s="50" t="s">
        <v>117</v>
      </c>
      <c r="Y832" s="50">
        <v>150047</v>
      </c>
    </row>
    <row r="833" spans="1:25" x14ac:dyDescent="0.25">
      <c r="A833" s="25" t="s">
        <v>115</v>
      </c>
      <c r="B833" t="b">
        <v>0</v>
      </c>
      <c r="C833" s="43" t="s">
        <v>1076</v>
      </c>
      <c r="D833" s="43">
        <v>361624941523</v>
      </c>
      <c r="E833" s="43">
        <v>361624942867</v>
      </c>
      <c r="F833" s="43" t="s">
        <v>117</v>
      </c>
      <c r="G833" s="43" t="b">
        <v>1</v>
      </c>
      <c r="H833" s="43" t="b">
        <v>0</v>
      </c>
      <c r="I833" s="43" t="s">
        <v>134</v>
      </c>
      <c r="M833" s="48" t="s">
        <v>1076</v>
      </c>
      <c r="N833" s="48">
        <v>17098533809</v>
      </c>
      <c r="O833" s="48">
        <v>17098531249</v>
      </c>
      <c r="P833" s="48" t="s">
        <v>117</v>
      </c>
      <c r="Q833" s="49"/>
      <c r="R833" s="49"/>
      <c r="S833" s="49"/>
      <c r="T833" s="49"/>
      <c r="U833" s="50" t="s">
        <v>1076</v>
      </c>
      <c r="V833" s="50">
        <v>17102545901</v>
      </c>
      <c r="W833" s="50">
        <v>17101201527</v>
      </c>
      <c r="X833" s="50" t="s">
        <v>117</v>
      </c>
      <c r="Y833" s="50">
        <v>150049</v>
      </c>
    </row>
    <row r="834" spans="1:25" x14ac:dyDescent="0.25">
      <c r="A834" s="25" t="s">
        <v>115</v>
      </c>
      <c r="B834" t="b">
        <v>0</v>
      </c>
      <c r="C834" s="43" t="s">
        <v>1077</v>
      </c>
      <c r="D834" s="43">
        <v>361624943571</v>
      </c>
      <c r="E834" s="43">
        <v>361624942355</v>
      </c>
      <c r="F834" s="43" t="s">
        <v>117</v>
      </c>
      <c r="G834" s="43" t="b">
        <v>1</v>
      </c>
      <c r="H834" s="43" t="b">
        <v>0</v>
      </c>
      <c r="I834" s="43" t="s">
        <v>134</v>
      </c>
      <c r="M834" s="48" t="s">
        <v>1077</v>
      </c>
      <c r="N834" s="48">
        <v>17098538800</v>
      </c>
      <c r="O834" s="48">
        <v>17098538032</v>
      </c>
      <c r="P834" s="48" t="s">
        <v>117</v>
      </c>
      <c r="Q834" s="49"/>
      <c r="R834" s="49"/>
      <c r="S834" s="49"/>
      <c r="T834" s="49"/>
      <c r="U834" s="50" t="s">
        <v>1077</v>
      </c>
      <c r="V834" s="50">
        <v>17102548461</v>
      </c>
      <c r="W834" s="50">
        <v>17101204919</v>
      </c>
      <c r="X834" s="50" t="s">
        <v>117</v>
      </c>
      <c r="Y834" s="50">
        <v>150048</v>
      </c>
    </row>
    <row r="835" spans="1:25" x14ac:dyDescent="0.25">
      <c r="A835" s="25" t="s">
        <v>115</v>
      </c>
      <c r="B835" t="b">
        <v>0</v>
      </c>
      <c r="C835" s="43" t="s">
        <v>1078</v>
      </c>
      <c r="D835" s="43">
        <v>361624942547</v>
      </c>
      <c r="E835" s="43">
        <v>361624943763</v>
      </c>
      <c r="F835" s="43" t="s">
        <v>117</v>
      </c>
      <c r="G835" s="43" t="b">
        <v>1</v>
      </c>
      <c r="H835" s="43" t="b">
        <v>0</v>
      </c>
      <c r="I835" s="43"/>
      <c r="M835" s="48" t="s">
        <v>1078</v>
      </c>
      <c r="N835" s="48">
        <v>17098535088</v>
      </c>
      <c r="O835" s="48">
        <v>17098535216</v>
      </c>
      <c r="P835" s="48" t="s">
        <v>117</v>
      </c>
      <c r="Q835" s="49"/>
      <c r="R835" s="49"/>
      <c r="S835" s="49"/>
      <c r="T835" s="49"/>
      <c r="U835" s="50" t="s">
        <v>1078</v>
      </c>
      <c r="V835" s="50">
        <v>17102546925</v>
      </c>
      <c r="W835" s="50">
        <v>17101204343</v>
      </c>
      <c r="X835" s="50" t="s">
        <v>117</v>
      </c>
      <c r="Y835" s="50">
        <v>150199</v>
      </c>
    </row>
    <row r="836" spans="1:25" x14ac:dyDescent="0.25">
      <c r="A836" s="25" t="s">
        <v>115</v>
      </c>
      <c r="B836" t="b">
        <v>0</v>
      </c>
      <c r="C836" s="43" t="s">
        <v>1079</v>
      </c>
      <c r="D836" s="43">
        <v>361624944595</v>
      </c>
      <c r="E836" s="43">
        <v>361624941971</v>
      </c>
      <c r="F836" s="43" t="s">
        <v>117</v>
      </c>
      <c r="G836" s="43" t="b">
        <v>1</v>
      </c>
      <c r="H836" s="43" t="b">
        <v>0</v>
      </c>
      <c r="I836" s="43" t="s">
        <v>134</v>
      </c>
      <c r="M836" s="48" t="s">
        <v>1079</v>
      </c>
      <c r="N836" s="48">
        <v>17098532147</v>
      </c>
      <c r="O836" s="48">
        <v>17098533939</v>
      </c>
      <c r="P836" s="48" t="s">
        <v>117</v>
      </c>
      <c r="Q836" s="49"/>
      <c r="R836" s="49"/>
      <c r="S836" s="49"/>
      <c r="T836" s="49"/>
      <c r="U836" s="50" t="s">
        <v>1079</v>
      </c>
      <c r="V836" s="50">
        <v>17102547949</v>
      </c>
      <c r="W836" s="50">
        <v>17101204087</v>
      </c>
      <c r="X836" s="50" t="s">
        <v>117</v>
      </c>
      <c r="Y836" s="50">
        <v>150050</v>
      </c>
    </row>
    <row r="837" spans="1:25" x14ac:dyDescent="0.25">
      <c r="A837" s="25" t="s">
        <v>115</v>
      </c>
      <c r="B837" t="b">
        <v>0</v>
      </c>
      <c r="C837" s="43" t="s">
        <v>1080</v>
      </c>
      <c r="D837" s="43">
        <v>361624940595</v>
      </c>
      <c r="E837" s="43">
        <v>361624942675</v>
      </c>
      <c r="F837" s="43" t="s">
        <v>123</v>
      </c>
      <c r="G837" s="43" t="b">
        <v>1</v>
      </c>
      <c r="H837" s="43" t="b">
        <v>0</v>
      </c>
      <c r="I837" s="43" t="s">
        <v>134</v>
      </c>
      <c r="M837" s="48" t="s">
        <v>1080</v>
      </c>
      <c r="N837" s="48">
        <v>17098575572</v>
      </c>
      <c r="O837" s="48">
        <v>17098571988</v>
      </c>
      <c r="P837" s="48" t="s">
        <v>123</v>
      </c>
      <c r="Q837" s="49"/>
      <c r="R837" s="49"/>
      <c r="S837" s="49"/>
      <c r="T837" s="49"/>
      <c r="U837" s="50" t="s">
        <v>1080</v>
      </c>
      <c r="V837" s="50">
        <v>17102545549</v>
      </c>
      <c r="W837" s="50">
        <v>17101192296</v>
      </c>
      <c r="X837" s="50" t="s">
        <v>123</v>
      </c>
      <c r="Y837" s="50">
        <v>150059</v>
      </c>
    </row>
    <row r="838" spans="1:25" x14ac:dyDescent="0.25">
      <c r="A838" s="25" t="s">
        <v>115</v>
      </c>
      <c r="B838" t="b">
        <v>0</v>
      </c>
      <c r="C838" s="43" t="s">
        <v>1081</v>
      </c>
      <c r="D838" s="43">
        <v>361624942643</v>
      </c>
      <c r="E838" s="43">
        <v>361624940883</v>
      </c>
      <c r="F838" s="43" t="s">
        <v>123</v>
      </c>
      <c r="G838" s="43" t="b">
        <v>1</v>
      </c>
      <c r="H838" s="43" t="b">
        <v>0</v>
      </c>
      <c r="I838" s="43" t="s">
        <v>134</v>
      </c>
      <c r="M838" s="48" t="s">
        <v>1081</v>
      </c>
      <c r="N838" s="48">
        <v>17098550019</v>
      </c>
      <c r="O838" s="48">
        <v>17098572182</v>
      </c>
      <c r="P838" s="48" t="s">
        <v>123</v>
      </c>
      <c r="Q838" s="49"/>
      <c r="R838" s="49"/>
      <c r="S838" s="49"/>
      <c r="T838" s="49"/>
      <c r="U838" s="50" t="s">
        <v>1081</v>
      </c>
      <c r="V838" s="50">
        <v>17102547597</v>
      </c>
      <c r="W838" s="50">
        <v>17101190504</v>
      </c>
      <c r="X838" s="50" t="s">
        <v>123</v>
      </c>
      <c r="Y838" s="50">
        <v>150057</v>
      </c>
    </row>
    <row r="839" spans="1:25" x14ac:dyDescent="0.25">
      <c r="A839" s="25" t="s">
        <v>115</v>
      </c>
      <c r="B839" t="b">
        <v>0</v>
      </c>
      <c r="C839" s="43" t="s">
        <v>1082</v>
      </c>
      <c r="D839" s="43">
        <v>361624941619</v>
      </c>
      <c r="E839" s="43">
        <v>361624944467</v>
      </c>
      <c r="F839" s="43" t="s">
        <v>123</v>
      </c>
      <c r="G839" s="43" t="b">
        <v>1</v>
      </c>
      <c r="H839" s="43" t="b">
        <v>0</v>
      </c>
      <c r="I839" s="43" t="s">
        <v>134</v>
      </c>
      <c r="M839" s="48" t="s">
        <v>1082</v>
      </c>
      <c r="N839" s="48">
        <v>17098548995</v>
      </c>
      <c r="O839" s="48">
        <v>17098548739</v>
      </c>
      <c r="P839" s="48" t="s">
        <v>123</v>
      </c>
      <c r="Q839" s="49"/>
      <c r="R839" s="49"/>
      <c r="S839" s="49"/>
      <c r="T839" s="49"/>
      <c r="U839" s="50" t="s">
        <v>1082</v>
      </c>
      <c r="V839" s="50">
        <v>17102546061</v>
      </c>
      <c r="W839" s="50">
        <v>17101192872</v>
      </c>
      <c r="X839" s="50" t="s">
        <v>123</v>
      </c>
      <c r="Y839" s="50">
        <v>150065</v>
      </c>
    </row>
    <row r="840" spans="1:25" x14ac:dyDescent="0.25">
      <c r="A840" s="25" t="s">
        <v>115</v>
      </c>
      <c r="B840" t="b">
        <v>0</v>
      </c>
      <c r="C840" s="43" t="s">
        <v>1083</v>
      </c>
      <c r="D840" s="43">
        <v>322184</v>
      </c>
      <c r="E840" s="43">
        <v>300913</v>
      </c>
      <c r="F840" s="43" t="s">
        <v>119</v>
      </c>
      <c r="G840" s="43" t="b">
        <v>0</v>
      </c>
      <c r="H840" s="43" t="b">
        <v>0</v>
      </c>
      <c r="I840" s="43"/>
      <c r="M840" s="48" t="s">
        <v>1083</v>
      </c>
      <c r="N840" s="48">
        <v>17088570886</v>
      </c>
      <c r="O840" s="48">
        <v>17088566871</v>
      </c>
      <c r="P840" s="48" t="s">
        <v>119</v>
      </c>
      <c r="Q840" s="49" t="s">
        <v>1083</v>
      </c>
      <c r="R840" s="49">
        <v>17083128545</v>
      </c>
      <c r="S840" s="49">
        <v>17083129232</v>
      </c>
      <c r="T840" s="49" t="s">
        <v>119</v>
      </c>
      <c r="U840" s="50" t="s">
        <v>1083</v>
      </c>
      <c r="V840" s="50">
        <v>17083128545</v>
      </c>
      <c r="W840" s="50">
        <v>17083129232</v>
      </c>
      <c r="X840" s="50" t="s">
        <v>119</v>
      </c>
      <c r="Y840" s="50"/>
    </row>
    <row r="841" spans="1:25" x14ac:dyDescent="0.25">
      <c r="A841" s="25" t="s">
        <v>115</v>
      </c>
      <c r="B841" t="b">
        <v>0</v>
      </c>
      <c r="C841" s="43" t="s">
        <v>1084</v>
      </c>
      <c r="D841" s="43">
        <v>321160</v>
      </c>
      <c r="E841" s="43">
        <v>300833</v>
      </c>
      <c r="F841" s="43" t="s">
        <v>123</v>
      </c>
      <c r="G841" s="43" t="b">
        <v>1</v>
      </c>
      <c r="H841" s="43" t="b">
        <v>0</v>
      </c>
      <c r="I841" s="43" t="s">
        <v>134</v>
      </c>
      <c r="M841" s="48" t="s">
        <v>1084</v>
      </c>
      <c r="N841" s="48">
        <v>17088572302</v>
      </c>
      <c r="O841" s="48">
        <v>17088557432</v>
      </c>
      <c r="P841" s="48" t="s">
        <v>123</v>
      </c>
      <c r="Q841" s="49" t="s">
        <v>1084</v>
      </c>
      <c r="R841" s="49">
        <v>17083127449</v>
      </c>
      <c r="S841" s="49">
        <v>17083092162</v>
      </c>
      <c r="T841" s="49" t="s">
        <v>123</v>
      </c>
      <c r="U841" s="50" t="s">
        <v>1084</v>
      </c>
      <c r="V841" s="50">
        <v>17083127449</v>
      </c>
      <c r="W841" s="50">
        <v>17083092162</v>
      </c>
      <c r="X841" s="50" t="s">
        <v>123</v>
      </c>
      <c r="Y841" s="50">
        <v>150115</v>
      </c>
    </row>
    <row r="842" spans="1:25" x14ac:dyDescent="0.25">
      <c r="A842" s="25" t="s">
        <v>115</v>
      </c>
      <c r="B842" t="b">
        <v>0</v>
      </c>
      <c r="C842" s="43" t="s">
        <v>1085</v>
      </c>
      <c r="D842" s="43">
        <v>323208</v>
      </c>
      <c r="E842" s="43">
        <v>299905</v>
      </c>
      <c r="F842" s="43" t="s">
        <v>123</v>
      </c>
      <c r="G842" s="43" t="b">
        <v>1</v>
      </c>
      <c r="H842" s="43" t="b">
        <v>0</v>
      </c>
      <c r="I842" s="43"/>
      <c r="M842" s="48" t="s">
        <v>1085</v>
      </c>
      <c r="N842" s="48">
        <v>17088570254</v>
      </c>
      <c r="O842" s="48">
        <v>17088557316</v>
      </c>
      <c r="P842" s="48" t="s">
        <v>123</v>
      </c>
      <c r="Q842" s="49" t="s">
        <v>1085</v>
      </c>
      <c r="R842" s="49">
        <v>17083128473</v>
      </c>
      <c r="S842" s="49">
        <v>17083092130</v>
      </c>
      <c r="T842" s="49" t="s">
        <v>123</v>
      </c>
      <c r="U842" s="50" t="s">
        <v>1085</v>
      </c>
      <c r="V842" s="50">
        <v>17083128473</v>
      </c>
      <c r="W842" s="50">
        <v>17083092130</v>
      </c>
      <c r="X842" s="50" t="s">
        <v>123</v>
      </c>
      <c r="Y842" s="50">
        <v>150149</v>
      </c>
    </row>
    <row r="843" spans="1:25" x14ac:dyDescent="0.25">
      <c r="A843" s="25" t="s">
        <v>115</v>
      </c>
      <c r="B843" t="b">
        <v>0</v>
      </c>
      <c r="C843" s="43" t="s">
        <v>1086</v>
      </c>
      <c r="D843" s="43">
        <v>320392</v>
      </c>
      <c r="E843" s="43">
        <v>299121</v>
      </c>
      <c r="F843" s="43" t="s">
        <v>132</v>
      </c>
      <c r="G843" s="43" t="b">
        <v>0</v>
      </c>
      <c r="H843" s="43" t="b">
        <v>0</v>
      </c>
      <c r="I843" s="43"/>
      <c r="M843" s="48" t="s">
        <v>1086</v>
      </c>
      <c r="N843" s="48">
        <v>17088572282</v>
      </c>
      <c r="O843" s="48">
        <v>17088566999</v>
      </c>
      <c r="P843" s="48" t="s">
        <v>132</v>
      </c>
      <c r="Q843" s="49" t="s">
        <v>1086</v>
      </c>
      <c r="R843" s="49">
        <v>17083127393</v>
      </c>
      <c r="S843" s="49">
        <v>17083129168</v>
      </c>
      <c r="T843" s="49" t="s">
        <v>132</v>
      </c>
      <c r="U843" s="50" t="s">
        <v>1086</v>
      </c>
      <c r="V843" s="50">
        <v>17083127393</v>
      </c>
      <c r="W843" s="50">
        <v>17083129168</v>
      </c>
      <c r="X843" s="50" t="s">
        <v>132</v>
      </c>
      <c r="Y843" s="50"/>
    </row>
    <row r="844" spans="1:25" x14ac:dyDescent="0.25">
      <c r="A844" s="25" t="s">
        <v>115</v>
      </c>
      <c r="B844" t="b">
        <v>0</v>
      </c>
      <c r="C844" s="43" t="s">
        <v>1087</v>
      </c>
      <c r="D844" s="43">
        <v>322440</v>
      </c>
      <c r="E844" s="43">
        <v>301425</v>
      </c>
      <c r="F844" s="43" t="s">
        <v>119</v>
      </c>
      <c r="G844" s="43" t="b">
        <v>0</v>
      </c>
      <c r="H844" s="43" t="b">
        <v>0</v>
      </c>
      <c r="I844" s="43"/>
      <c r="M844" s="48" t="s">
        <v>1087</v>
      </c>
      <c r="N844" s="48">
        <v>17088571910</v>
      </c>
      <c r="O844" s="48">
        <v>17088568663</v>
      </c>
      <c r="P844" s="48" t="s">
        <v>119</v>
      </c>
      <c r="Q844" s="49" t="s">
        <v>1087</v>
      </c>
      <c r="R844" s="49">
        <v>17083126497</v>
      </c>
      <c r="S844" s="49">
        <v>17083125840</v>
      </c>
      <c r="T844" s="49" t="s">
        <v>119</v>
      </c>
      <c r="U844" s="50" t="s">
        <v>1087</v>
      </c>
      <c r="V844" s="50">
        <v>17083126497</v>
      </c>
      <c r="W844" s="50">
        <v>17083125840</v>
      </c>
      <c r="X844" s="50" t="s">
        <v>119</v>
      </c>
      <c r="Y844" s="50"/>
    </row>
    <row r="845" spans="1:25" x14ac:dyDescent="0.25">
      <c r="A845" s="25" t="s">
        <v>115</v>
      </c>
      <c r="B845" t="b">
        <v>0</v>
      </c>
      <c r="C845" s="43" t="s">
        <v>1088</v>
      </c>
      <c r="D845" s="43">
        <v>321416</v>
      </c>
      <c r="E845" s="43">
        <v>302345</v>
      </c>
      <c r="F845" s="43" t="s">
        <v>125</v>
      </c>
      <c r="G845" s="43" t="b">
        <v>0</v>
      </c>
      <c r="H845" s="43" t="b">
        <v>0</v>
      </c>
      <c r="I845" s="43"/>
      <c r="M845" s="48" t="s">
        <v>1088</v>
      </c>
      <c r="N845" s="48">
        <v>17088572490</v>
      </c>
      <c r="O845" s="48">
        <v>17088566499</v>
      </c>
      <c r="P845" s="48" t="s">
        <v>125</v>
      </c>
      <c r="Q845" s="49" t="s">
        <v>1088</v>
      </c>
      <c r="R845" s="49">
        <v>17083128126</v>
      </c>
      <c r="S845" s="49">
        <v>17083124887</v>
      </c>
      <c r="T845" s="49" t="s">
        <v>125</v>
      </c>
      <c r="U845" s="50" t="s">
        <v>1088</v>
      </c>
      <c r="V845" s="50">
        <v>17083128126</v>
      </c>
      <c r="W845" s="50">
        <v>17083124887</v>
      </c>
      <c r="X845" s="50" t="s">
        <v>125</v>
      </c>
      <c r="Y845" s="50"/>
    </row>
    <row r="846" spans="1:25" x14ac:dyDescent="0.25">
      <c r="A846" s="25" t="s">
        <v>115</v>
      </c>
      <c r="B846" t="b">
        <v>0</v>
      </c>
      <c r="C846" s="43" t="s">
        <v>1089</v>
      </c>
      <c r="D846" s="43">
        <v>323464</v>
      </c>
      <c r="E846" s="43">
        <v>300241</v>
      </c>
      <c r="F846" s="43" t="s">
        <v>132</v>
      </c>
      <c r="G846" s="43" t="b">
        <v>0</v>
      </c>
      <c r="H846" s="43" t="b">
        <v>0</v>
      </c>
      <c r="I846" s="43"/>
      <c r="M846" s="48" t="s">
        <v>1089</v>
      </c>
      <c r="N846" s="48">
        <v>17088571130</v>
      </c>
      <c r="O846" s="48">
        <v>17088566231</v>
      </c>
      <c r="P846" s="48" t="s">
        <v>132</v>
      </c>
      <c r="Q846" s="49" t="s">
        <v>1089</v>
      </c>
      <c r="R846" s="49">
        <v>17083129185</v>
      </c>
      <c r="S846" s="49">
        <v>17083128016</v>
      </c>
      <c r="T846" s="49" t="s">
        <v>132</v>
      </c>
      <c r="U846" s="50" t="s">
        <v>1089</v>
      </c>
      <c r="V846" s="50">
        <v>17083129185</v>
      </c>
      <c r="W846" s="50">
        <v>17083128016</v>
      </c>
      <c r="X846" s="50" t="s">
        <v>132</v>
      </c>
      <c r="Y846" s="50"/>
    </row>
    <row r="847" spans="1:25" x14ac:dyDescent="0.25">
      <c r="A847" s="25" t="s">
        <v>115</v>
      </c>
      <c r="B847" t="b">
        <v>0</v>
      </c>
      <c r="C847" s="43" t="s">
        <v>1090</v>
      </c>
      <c r="D847" s="43">
        <v>320584</v>
      </c>
      <c r="E847" s="43">
        <v>302001</v>
      </c>
      <c r="F847" s="43" t="s">
        <v>132</v>
      </c>
      <c r="G847" s="43" t="b">
        <v>0</v>
      </c>
      <c r="H847" s="43" t="b">
        <v>0</v>
      </c>
      <c r="I847" s="43"/>
      <c r="M847" s="48" t="s">
        <v>1090</v>
      </c>
      <c r="N847" s="48">
        <v>17088569862</v>
      </c>
      <c r="O847" s="48">
        <v>17088567767</v>
      </c>
      <c r="P847" s="48" t="s">
        <v>132</v>
      </c>
      <c r="Q847" s="49" t="s">
        <v>1090</v>
      </c>
      <c r="R847" s="49">
        <v>17083129057</v>
      </c>
      <c r="S847" s="49">
        <v>17083127632</v>
      </c>
      <c r="T847" s="49" t="s">
        <v>132</v>
      </c>
      <c r="U847" s="50" t="s">
        <v>1090</v>
      </c>
      <c r="V847" s="50">
        <v>17083129057</v>
      </c>
      <c r="W847" s="50">
        <v>17083127632</v>
      </c>
      <c r="X847" s="50" t="s">
        <v>132</v>
      </c>
      <c r="Y847" s="50"/>
    </row>
    <row r="848" spans="1:25" x14ac:dyDescent="0.25">
      <c r="A848" s="25" t="s">
        <v>115</v>
      </c>
      <c r="B848" t="b">
        <v>0</v>
      </c>
      <c r="C848" s="43" t="s">
        <v>1091</v>
      </c>
      <c r="D848" s="43">
        <v>322632</v>
      </c>
      <c r="E848" s="43">
        <v>301337</v>
      </c>
      <c r="F848" s="43" t="s">
        <v>132</v>
      </c>
      <c r="G848" s="43" t="b">
        <v>0</v>
      </c>
      <c r="H848" s="43" t="b">
        <v>0</v>
      </c>
      <c r="I848" s="43"/>
      <c r="M848" s="48" t="s">
        <v>1091</v>
      </c>
      <c r="N848" s="48">
        <v>17088571666</v>
      </c>
      <c r="O848" s="48">
        <v>17088566421</v>
      </c>
      <c r="P848" s="48" t="s">
        <v>132</v>
      </c>
      <c r="Q848" s="49" t="s">
        <v>1091</v>
      </c>
      <c r="R848" s="49">
        <v>17083127598</v>
      </c>
      <c r="S848" s="49">
        <v>17083124659</v>
      </c>
      <c r="T848" s="49" t="s">
        <v>132</v>
      </c>
      <c r="U848" s="50" t="s">
        <v>1091</v>
      </c>
      <c r="V848" s="50">
        <v>17083127598</v>
      </c>
      <c r="W848" s="50">
        <v>17083124659</v>
      </c>
      <c r="X848" s="50" t="s">
        <v>132</v>
      </c>
      <c r="Y848" s="50"/>
    </row>
    <row r="849" spans="1:25" x14ac:dyDescent="0.25">
      <c r="A849" s="25" t="s">
        <v>115</v>
      </c>
      <c r="B849" t="b">
        <v>0</v>
      </c>
      <c r="C849" s="43" t="s">
        <v>1092</v>
      </c>
      <c r="D849" s="43">
        <v>320072</v>
      </c>
      <c r="E849" s="43">
        <v>300809</v>
      </c>
      <c r="F849" s="43" t="s">
        <v>125</v>
      </c>
      <c r="G849" s="43" t="b">
        <v>0</v>
      </c>
      <c r="H849" s="43" t="b">
        <v>0</v>
      </c>
      <c r="I849" s="43"/>
      <c r="M849" s="48" t="s">
        <v>1092</v>
      </c>
      <c r="N849" s="48">
        <v>17088571722</v>
      </c>
      <c r="O849" s="48">
        <v>17088569187</v>
      </c>
      <c r="P849" s="48" t="s">
        <v>125</v>
      </c>
      <c r="Q849" s="49" t="s">
        <v>1092</v>
      </c>
      <c r="R849" s="49">
        <v>17083128638</v>
      </c>
      <c r="S849" s="49">
        <v>17083121815</v>
      </c>
      <c r="T849" s="49" t="s">
        <v>125</v>
      </c>
      <c r="U849" s="50" t="s">
        <v>1092</v>
      </c>
      <c r="V849" s="50">
        <v>17083128638</v>
      </c>
      <c r="W849" s="50">
        <v>17083121815</v>
      </c>
      <c r="X849" s="50" t="s">
        <v>125</v>
      </c>
      <c r="Y849" s="50"/>
    </row>
    <row r="850" spans="1:25" x14ac:dyDescent="0.25">
      <c r="A850" s="25" t="s">
        <v>115</v>
      </c>
      <c r="B850" t="b">
        <v>0</v>
      </c>
      <c r="C850" s="43" t="s">
        <v>1093</v>
      </c>
      <c r="D850" s="43">
        <v>322120</v>
      </c>
      <c r="E850" s="43">
        <v>302193</v>
      </c>
      <c r="F850" s="43" t="s">
        <v>132</v>
      </c>
      <c r="G850" s="43" t="b">
        <v>0</v>
      </c>
      <c r="H850" s="43" t="b">
        <v>0</v>
      </c>
      <c r="I850" s="43"/>
      <c r="M850" s="48" t="s">
        <v>1093</v>
      </c>
      <c r="N850" s="48">
        <v>17088572730</v>
      </c>
      <c r="O850" s="48">
        <v>17088568535</v>
      </c>
      <c r="P850" s="48" t="s">
        <v>132</v>
      </c>
      <c r="Q850" s="49" t="s">
        <v>1093</v>
      </c>
      <c r="R850" s="49">
        <v>17083126945</v>
      </c>
      <c r="S850" s="49">
        <v>17083126096</v>
      </c>
      <c r="T850" s="49" t="s">
        <v>132</v>
      </c>
      <c r="U850" s="50" t="s">
        <v>1093</v>
      </c>
      <c r="V850" s="50">
        <v>17083126945</v>
      </c>
      <c r="W850" s="50">
        <v>17083126096</v>
      </c>
      <c r="X850" s="50" t="s">
        <v>132</v>
      </c>
      <c r="Y850" s="50"/>
    </row>
    <row r="851" spans="1:25" x14ac:dyDescent="0.25">
      <c r="A851" s="25" t="s">
        <v>115</v>
      </c>
      <c r="B851" t="b">
        <v>0</v>
      </c>
      <c r="C851" s="43" t="s">
        <v>1094</v>
      </c>
      <c r="D851" s="43">
        <v>323144</v>
      </c>
      <c r="E851" s="43">
        <v>300657</v>
      </c>
      <c r="F851" s="43" t="s">
        <v>132</v>
      </c>
      <c r="G851" s="43" t="b">
        <v>0</v>
      </c>
      <c r="H851" s="43" t="b">
        <v>0</v>
      </c>
      <c r="I851" s="43"/>
      <c r="M851" s="48" t="s">
        <v>1094</v>
      </c>
      <c r="N851" s="48">
        <v>17088571142</v>
      </c>
      <c r="O851" s="48">
        <v>17088565463</v>
      </c>
      <c r="P851" s="48" t="s">
        <v>132</v>
      </c>
      <c r="Q851" s="49" t="s">
        <v>1094</v>
      </c>
      <c r="R851" s="49">
        <v>17083129313</v>
      </c>
      <c r="S851" s="49">
        <v>17083128400</v>
      </c>
      <c r="T851" s="49" t="s">
        <v>132</v>
      </c>
      <c r="U851" s="50" t="s">
        <v>1094</v>
      </c>
      <c r="V851" s="50">
        <v>17083129313</v>
      </c>
      <c r="W851" s="50">
        <v>17083128400</v>
      </c>
      <c r="X851" s="50" t="s">
        <v>132</v>
      </c>
      <c r="Y851" s="50"/>
    </row>
    <row r="852" spans="1:25" x14ac:dyDescent="0.25">
      <c r="A852" s="25" t="s">
        <v>115</v>
      </c>
      <c r="B852" t="b">
        <v>0</v>
      </c>
      <c r="C852" s="43" t="s">
        <v>1095</v>
      </c>
      <c r="D852" s="43">
        <v>321864</v>
      </c>
      <c r="E852" s="43">
        <v>300478</v>
      </c>
      <c r="F852" s="43" t="s">
        <v>117</v>
      </c>
      <c r="G852" s="43" t="b">
        <v>0</v>
      </c>
      <c r="H852" s="43" t="b">
        <v>0</v>
      </c>
      <c r="I852" s="43"/>
      <c r="M852" s="48" t="s">
        <v>1095</v>
      </c>
      <c r="N852" s="48">
        <v>17088573390</v>
      </c>
      <c r="O852" s="48">
        <v>17088557956</v>
      </c>
      <c r="P852" s="48" t="s">
        <v>117</v>
      </c>
      <c r="Q852" s="49" t="s">
        <v>1095</v>
      </c>
      <c r="R852" s="49">
        <v>17083125977</v>
      </c>
      <c r="S852" s="49">
        <v>17083090530</v>
      </c>
      <c r="T852" s="49" t="s">
        <v>117</v>
      </c>
      <c r="U852" s="50" t="s">
        <v>1095</v>
      </c>
      <c r="V852" s="50">
        <v>17083125977</v>
      </c>
      <c r="W852" s="50">
        <v>17083090530</v>
      </c>
      <c r="X852" s="50" t="s">
        <v>117</v>
      </c>
      <c r="Y852" s="50"/>
    </row>
    <row r="853" spans="1:25" x14ac:dyDescent="0.25">
      <c r="A853" s="25" t="s">
        <v>115</v>
      </c>
      <c r="B853" t="b">
        <v>0</v>
      </c>
      <c r="C853" s="43" t="s">
        <v>1096</v>
      </c>
      <c r="D853" s="43">
        <v>320840</v>
      </c>
      <c r="E853" s="43">
        <v>302782</v>
      </c>
      <c r="F853" s="43" t="s">
        <v>117</v>
      </c>
      <c r="G853" s="43" t="b">
        <v>0</v>
      </c>
      <c r="H853" s="43" t="b">
        <v>0</v>
      </c>
      <c r="I853" s="43"/>
      <c r="M853" s="48" t="s">
        <v>1096</v>
      </c>
      <c r="N853" s="48">
        <v>17088572814</v>
      </c>
      <c r="O853" s="48">
        <v>17088560196</v>
      </c>
      <c r="P853" s="48" t="s">
        <v>117</v>
      </c>
      <c r="Q853" s="49" t="s">
        <v>1096</v>
      </c>
      <c r="R853" s="49">
        <v>17083126425</v>
      </c>
      <c r="S853" s="49">
        <v>17083091810</v>
      </c>
      <c r="T853" s="49" t="s">
        <v>117</v>
      </c>
      <c r="U853" s="50" t="s">
        <v>1096</v>
      </c>
      <c r="V853" s="50">
        <v>17083126425</v>
      </c>
      <c r="W853" s="50">
        <v>17083091810</v>
      </c>
      <c r="X853" s="50" t="s">
        <v>117</v>
      </c>
      <c r="Y853" s="50"/>
    </row>
    <row r="854" spans="1:25" x14ac:dyDescent="0.25">
      <c r="A854" s="25" t="s">
        <v>115</v>
      </c>
      <c r="B854" t="b">
        <v>0</v>
      </c>
      <c r="C854" s="43" t="s">
        <v>1097</v>
      </c>
      <c r="D854" s="43">
        <v>322888</v>
      </c>
      <c r="E854" s="43">
        <v>299841</v>
      </c>
      <c r="F854" s="43" t="s">
        <v>123</v>
      </c>
      <c r="G854" s="43" t="b">
        <v>0</v>
      </c>
      <c r="H854" s="43" t="b">
        <v>0</v>
      </c>
      <c r="I854" s="43"/>
      <c r="M854" s="48" t="s">
        <v>1097</v>
      </c>
      <c r="N854" s="48">
        <v>17088571342</v>
      </c>
      <c r="O854" s="48">
        <v>17088559608</v>
      </c>
      <c r="P854" s="48" t="s">
        <v>123</v>
      </c>
      <c r="Q854" s="49" t="s">
        <v>1097</v>
      </c>
      <c r="R854" s="49">
        <v>17083129689</v>
      </c>
      <c r="S854" s="49">
        <v>17083089442</v>
      </c>
      <c r="T854" s="49" t="s">
        <v>123</v>
      </c>
      <c r="U854" s="50" t="s">
        <v>1097</v>
      </c>
      <c r="V854" s="50">
        <v>17083129689</v>
      </c>
      <c r="W854" s="50">
        <v>17083089442</v>
      </c>
      <c r="X854" s="50" t="s">
        <v>123</v>
      </c>
      <c r="Y854" s="50"/>
    </row>
    <row r="855" spans="1:25" x14ac:dyDescent="0.25">
      <c r="A855" s="25" t="b">
        <v>1</v>
      </c>
      <c r="B855" t="b">
        <v>0</v>
      </c>
      <c r="C855" s="43" t="s">
        <v>1098</v>
      </c>
      <c r="D855" s="43">
        <v>322376</v>
      </c>
      <c r="E855" s="43">
        <v>301153</v>
      </c>
      <c r="F855" s="43" t="s">
        <v>173</v>
      </c>
      <c r="G855" s="43" t="b">
        <v>0</v>
      </c>
      <c r="H855" s="43" t="b">
        <v>0</v>
      </c>
      <c r="I855" s="43"/>
      <c r="J855" s="45" t="s">
        <v>1098</v>
      </c>
      <c r="K855" s="46">
        <v>301153</v>
      </c>
      <c r="L855" s="47">
        <v>990000416</v>
      </c>
      <c r="M855" s="48" t="s">
        <v>1098</v>
      </c>
      <c r="N855" s="48">
        <v>17088572270</v>
      </c>
      <c r="O855" s="48">
        <v>17088557836</v>
      </c>
      <c r="P855" s="48" t="s">
        <v>173</v>
      </c>
      <c r="Q855" s="49" t="s">
        <v>1098</v>
      </c>
      <c r="R855" s="49">
        <v>17083128761</v>
      </c>
      <c r="S855" s="49">
        <v>17083092522</v>
      </c>
      <c r="T855" s="49" t="s">
        <v>173</v>
      </c>
      <c r="U855" s="50" t="s">
        <v>1098</v>
      </c>
      <c r="V855" s="50">
        <v>17083128761</v>
      </c>
      <c r="W855" s="50">
        <v>17083092522</v>
      </c>
      <c r="X855" s="50" t="s">
        <v>173</v>
      </c>
      <c r="Y855" s="50"/>
    </row>
    <row r="856" spans="1:25" x14ac:dyDescent="0.25">
      <c r="A856" s="25" t="s">
        <v>115</v>
      </c>
      <c r="B856" t="b">
        <v>0</v>
      </c>
      <c r="C856" s="43" t="s">
        <v>1099</v>
      </c>
      <c r="D856" s="43">
        <v>321352</v>
      </c>
      <c r="E856" s="43">
        <v>299537</v>
      </c>
      <c r="F856" s="43" t="s">
        <v>123</v>
      </c>
      <c r="G856" s="43" t="b">
        <v>1</v>
      </c>
      <c r="H856" s="43" t="b">
        <v>0</v>
      </c>
      <c r="I856" s="43" t="s">
        <v>134</v>
      </c>
      <c r="M856" s="48" t="s">
        <v>1099</v>
      </c>
      <c r="N856" s="48">
        <v>17088570222</v>
      </c>
      <c r="O856" s="48">
        <v>17088558196</v>
      </c>
      <c r="P856" s="48" t="s">
        <v>123</v>
      </c>
      <c r="Q856" s="49" t="s">
        <v>1099</v>
      </c>
      <c r="R856" s="49">
        <v>17083126713</v>
      </c>
      <c r="S856" s="49">
        <v>17083091018</v>
      </c>
      <c r="T856" s="49" t="s">
        <v>123</v>
      </c>
      <c r="U856" s="50" t="s">
        <v>1099</v>
      </c>
      <c r="V856" s="50">
        <v>17083126713</v>
      </c>
      <c r="W856" s="50">
        <v>17083091018</v>
      </c>
      <c r="X856" s="50" t="s">
        <v>123</v>
      </c>
      <c r="Y856" s="50">
        <v>150111</v>
      </c>
    </row>
    <row r="857" spans="1:25" x14ac:dyDescent="0.25">
      <c r="A857" s="25" t="s">
        <v>115</v>
      </c>
      <c r="B857" t="b">
        <v>0</v>
      </c>
      <c r="C857" s="43" t="s">
        <v>1100</v>
      </c>
      <c r="D857" s="43">
        <v>323400</v>
      </c>
      <c r="E857" s="43">
        <v>299673</v>
      </c>
      <c r="F857" s="43" t="s">
        <v>123</v>
      </c>
      <c r="G857" s="43" t="b">
        <v>1</v>
      </c>
      <c r="H857" s="43" t="b">
        <v>0</v>
      </c>
      <c r="I857" s="43" t="s">
        <v>134</v>
      </c>
      <c r="M857" s="48" t="s">
        <v>1100</v>
      </c>
      <c r="N857" s="48">
        <v>17088570058</v>
      </c>
      <c r="O857" s="48">
        <v>17088567987</v>
      </c>
      <c r="P857" s="48" t="s">
        <v>123</v>
      </c>
      <c r="Q857" s="49" t="s">
        <v>1100</v>
      </c>
      <c r="R857" s="49">
        <v>17083127742</v>
      </c>
      <c r="S857" s="49">
        <v>17083122039</v>
      </c>
      <c r="T857" s="49" t="s">
        <v>123</v>
      </c>
      <c r="U857" s="50" t="s">
        <v>1100</v>
      </c>
      <c r="V857" s="50">
        <v>17083127742</v>
      </c>
      <c r="W857" s="50">
        <v>17083122039</v>
      </c>
      <c r="X857" s="50" t="s">
        <v>123</v>
      </c>
      <c r="Y857" s="50">
        <v>150112</v>
      </c>
    </row>
    <row r="858" spans="1:25" x14ac:dyDescent="0.25">
      <c r="A858" s="25" t="s">
        <v>115</v>
      </c>
      <c r="B858" t="b">
        <v>0</v>
      </c>
      <c r="C858" s="43" t="s">
        <v>1101</v>
      </c>
      <c r="D858" s="43">
        <v>322248</v>
      </c>
      <c r="E858" s="43">
        <v>300689</v>
      </c>
      <c r="F858" s="43" t="s">
        <v>123</v>
      </c>
      <c r="G858" s="43" t="b">
        <v>0</v>
      </c>
      <c r="H858" s="43" t="b">
        <v>0</v>
      </c>
      <c r="I858" s="43" t="s">
        <v>134</v>
      </c>
      <c r="M858" s="48" t="s">
        <v>1101</v>
      </c>
      <c r="N858" s="48">
        <v>17088570606</v>
      </c>
      <c r="O858" s="48">
        <v>17088557364</v>
      </c>
      <c r="P858" s="48" t="s">
        <v>123</v>
      </c>
      <c r="Q858" s="49" t="s">
        <v>1101</v>
      </c>
      <c r="R858" s="49">
        <v>17083128953</v>
      </c>
      <c r="S858" s="49">
        <v>17083091210</v>
      </c>
      <c r="T858" s="49" t="s">
        <v>123</v>
      </c>
      <c r="U858" s="50" t="s">
        <v>1101</v>
      </c>
      <c r="V858" s="50">
        <v>17083128953</v>
      </c>
      <c r="W858" s="50">
        <v>17083091210</v>
      </c>
      <c r="X858" s="50" t="s">
        <v>123</v>
      </c>
      <c r="Y858" s="50"/>
    </row>
    <row r="859" spans="1:25" x14ac:dyDescent="0.25">
      <c r="A859" s="25" t="s">
        <v>115</v>
      </c>
      <c r="B859" t="b">
        <v>0</v>
      </c>
      <c r="C859" s="43" t="s">
        <v>1102</v>
      </c>
      <c r="D859" s="43">
        <v>321224</v>
      </c>
      <c r="E859" s="43">
        <v>301061</v>
      </c>
      <c r="F859" s="43" t="s">
        <v>123</v>
      </c>
      <c r="G859" s="43" t="b">
        <v>0</v>
      </c>
      <c r="H859" s="43" t="b">
        <v>0</v>
      </c>
      <c r="I859" s="43"/>
      <c r="M859" s="48" t="s">
        <v>1102</v>
      </c>
      <c r="N859" s="48">
        <v>17088572306</v>
      </c>
      <c r="O859" s="48">
        <v>17088568437</v>
      </c>
      <c r="P859" s="48" t="s">
        <v>123</v>
      </c>
      <c r="Q859" s="49" t="s">
        <v>1102</v>
      </c>
      <c r="R859" s="49">
        <v>17083127406</v>
      </c>
      <c r="S859" s="49">
        <v>17083121739</v>
      </c>
      <c r="T859" s="49" t="s">
        <v>123</v>
      </c>
      <c r="U859" s="50" t="s">
        <v>1102</v>
      </c>
      <c r="V859" s="50">
        <v>17083127406</v>
      </c>
      <c r="W859" s="50">
        <v>17083121739</v>
      </c>
      <c r="X859" s="50" t="s">
        <v>123</v>
      </c>
      <c r="Y859" s="50"/>
    </row>
    <row r="860" spans="1:25" x14ac:dyDescent="0.25">
      <c r="A860" s="25" t="b">
        <v>1</v>
      </c>
      <c r="B860" t="b">
        <v>0</v>
      </c>
      <c r="C860" s="43" t="s">
        <v>1103</v>
      </c>
      <c r="D860" s="43">
        <v>323272</v>
      </c>
      <c r="E860" s="43">
        <v>300569</v>
      </c>
      <c r="F860" s="43" t="s">
        <v>173</v>
      </c>
      <c r="G860" s="43" t="b">
        <v>0</v>
      </c>
      <c r="H860" s="43" t="b">
        <v>0</v>
      </c>
      <c r="I860" s="43"/>
      <c r="J860" s="52" t="s">
        <v>1103</v>
      </c>
      <c r="K860" s="46">
        <v>300569</v>
      </c>
      <c r="M860" s="48" t="s">
        <v>1103</v>
      </c>
      <c r="N860" s="48">
        <v>17088571690</v>
      </c>
      <c r="O860" s="48">
        <v>17088569267</v>
      </c>
      <c r="P860" s="48" t="s">
        <v>173</v>
      </c>
      <c r="Q860" s="49" t="s">
        <v>1103</v>
      </c>
      <c r="R860" s="49">
        <v>17083127038</v>
      </c>
      <c r="S860" s="49">
        <v>17083122935</v>
      </c>
      <c r="T860" s="49" t="s">
        <v>173</v>
      </c>
      <c r="U860" s="50" t="s">
        <v>1103</v>
      </c>
      <c r="V860" s="50">
        <v>17083127038</v>
      </c>
      <c r="W860" s="50">
        <v>17083122935</v>
      </c>
      <c r="X860" s="50" t="s">
        <v>173</v>
      </c>
      <c r="Y860" s="50"/>
    </row>
    <row r="861" spans="1:25" x14ac:dyDescent="0.25">
      <c r="A861" s="25" t="s">
        <v>115</v>
      </c>
      <c r="B861" t="b">
        <v>0</v>
      </c>
      <c r="C861" s="43" t="s">
        <v>1104</v>
      </c>
      <c r="D861" s="43">
        <v>319944</v>
      </c>
      <c r="E861" s="43">
        <v>299801</v>
      </c>
      <c r="F861" s="43" t="s">
        <v>119</v>
      </c>
      <c r="G861" s="43" t="b">
        <v>0</v>
      </c>
      <c r="H861" s="43" t="b">
        <v>0</v>
      </c>
      <c r="I861" s="43"/>
      <c r="M861" s="48" t="s">
        <v>1104</v>
      </c>
      <c r="N861" s="48">
        <v>17088569386</v>
      </c>
      <c r="O861" s="48">
        <v>17088566707</v>
      </c>
      <c r="P861" s="48" t="s">
        <v>119</v>
      </c>
      <c r="Q861" s="49" t="s">
        <v>1104</v>
      </c>
      <c r="R861" s="49">
        <v>17083127678</v>
      </c>
      <c r="S861" s="49">
        <v>17083124599</v>
      </c>
      <c r="T861" s="49" t="s">
        <v>119</v>
      </c>
      <c r="U861" s="50" t="s">
        <v>1104</v>
      </c>
      <c r="V861" s="50">
        <v>17083127678</v>
      </c>
      <c r="W861" s="50">
        <v>17083124599</v>
      </c>
      <c r="X861" s="50" t="s">
        <v>119</v>
      </c>
      <c r="Y861" s="50"/>
    </row>
    <row r="862" spans="1:25" x14ac:dyDescent="0.25">
      <c r="A862" s="25" t="s">
        <v>115</v>
      </c>
      <c r="B862" t="b">
        <v>0</v>
      </c>
      <c r="C862" s="43" t="s">
        <v>1105</v>
      </c>
      <c r="D862" s="43">
        <v>321992</v>
      </c>
      <c r="E862" s="43">
        <v>300905</v>
      </c>
      <c r="F862" s="43" t="s">
        <v>117</v>
      </c>
      <c r="G862" s="43" t="b">
        <v>0</v>
      </c>
      <c r="H862" s="43" t="b">
        <v>0</v>
      </c>
      <c r="I862" s="43"/>
      <c r="J862" s="45" t="s">
        <v>1106</v>
      </c>
      <c r="K862" s="46">
        <v>300905</v>
      </c>
      <c r="L862" s="47">
        <v>990000667</v>
      </c>
      <c r="M862" s="48" t="s">
        <v>1105</v>
      </c>
      <c r="N862" s="48">
        <v>17088571338</v>
      </c>
      <c r="O862" s="48">
        <v>17088565619</v>
      </c>
      <c r="P862" s="48" t="s">
        <v>117</v>
      </c>
      <c r="Q862" s="49" t="s">
        <v>1105</v>
      </c>
      <c r="R862" s="49">
        <v>17083127166</v>
      </c>
      <c r="S862" s="49">
        <v>17083125239</v>
      </c>
      <c r="T862" s="49" t="s">
        <v>117</v>
      </c>
      <c r="U862" s="50" t="s">
        <v>1105</v>
      </c>
      <c r="V862" s="50">
        <v>17083127166</v>
      </c>
      <c r="W862" s="50">
        <v>17083125239</v>
      </c>
      <c r="X862" s="50" t="s">
        <v>117</v>
      </c>
      <c r="Y862" s="50"/>
    </row>
    <row r="863" spans="1:25" x14ac:dyDescent="0.25">
      <c r="A863" s="25" t="s">
        <v>115</v>
      </c>
      <c r="B863" t="b">
        <v>0</v>
      </c>
      <c r="C863" s="43" t="s">
        <v>1107</v>
      </c>
      <c r="D863" s="43">
        <v>322504</v>
      </c>
      <c r="E863" s="43">
        <v>300257</v>
      </c>
      <c r="F863" s="43" t="s">
        <v>123</v>
      </c>
      <c r="G863" s="43" t="b">
        <v>0</v>
      </c>
      <c r="H863" s="43" t="b">
        <v>0</v>
      </c>
      <c r="I863" s="43" t="s">
        <v>134</v>
      </c>
      <c r="M863" s="48" t="s">
        <v>1107</v>
      </c>
      <c r="N863" s="48">
        <v>17088571630</v>
      </c>
      <c r="O863" s="48">
        <v>17088559348</v>
      </c>
      <c r="P863" s="48" t="s">
        <v>123</v>
      </c>
      <c r="Q863" s="49" t="s">
        <v>1107</v>
      </c>
      <c r="R863" s="49">
        <v>17083126905</v>
      </c>
      <c r="S863" s="49">
        <v>17083092810</v>
      </c>
      <c r="T863" s="49" t="s">
        <v>123</v>
      </c>
      <c r="U863" s="50" t="s">
        <v>1107</v>
      </c>
      <c r="V863" s="50">
        <v>17083126905</v>
      </c>
      <c r="W863" s="50">
        <v>17083092810</v>
      </c>
      <c r="X863" s="50" t="s">
        <v>123</v>
      </c>
      <c r="Y863" s="50"/>
    </row>
    <row r="864" spans="1:25" x14ac:dyDescent="0.25">
      <c r="A864" s="25" t="s">
        <v>115</v>
      </c>
      <c r="B864" t="b">
        <v>0</v>
      </c>
      <c r="C864" s="43" t="s">
        <v>1108</v>
      </c>
      <c r="D864" s="43">
        <v>321480</v>
      </c>
      <c r="E864" s="43">
        <v>301361</v>
      </c>
      <c r="F864" s="43" t="s">
        <v>117</v>
      </c>
      <c r="G864" s="43" t="b">
        <v>0</v>
      </c>
      <c r="H864" s="43" t="b">
        <v>0</v>
      </c>
      <c r="I864" s="43"/>
      <c r="M864" s="48" t="s">
        <v>1108</v>
      </c>
      <c r="N864" s="48">
        <v>17088571694</v>
      </c>
      <c r="O864" s="48">
        <v>17088559252</v>
      </c>
      <c r="P864" s="48" t="s">
        <v>117</v>
      </c>
      <c r="Q864" s="49" t="s">
        <v>1108</v>
      </c>
      <c r="R864" s="49">
        <v>17083126745</v>
      </c>
      <c r="S864" s="49">
        <v>17083089586</v>
      </c>
      <c r="T864" s="49" t="s">
        <v>117</v>
      </c>
      <c r="U864" s="50" t="s">
        <v>1108</v>
      </c>
      <c r="V864" s="50">
        <v>17083126745</v>
      </c>
      <c r="W864" s="50">
        <v>17083089586</v>
      </c>
      <c r="X864" s="50" t="s">
        <v>117</v>
      </c>
      <c r="Y864" s="50"/>
    </row>
    <row r="865" spans="1:25" x14ac:dyDescent="0.25">
      <c r="A865" s="25" t="s">
        <v>115</v>
      </c>
      <c r="B865" t="b">
        <v>0</v>
      </c>
      <c r="C865" s="43" t="s">
        <v>1109</v>
      </c>
      <c r="D865" s="43">
        <v>323528</v>
      </c>
      <c r="E865" s="43">
        <v>300961</v>
      </c>
      <c r="F865" s="43" t="s">
        <v>125</v>
      </c>
      <c r="G865" s="43" t="b">
        <v>0</v>
      </c>
      <c r="H865" s="43" t="b">
        <v>0</v>
      </c>
      <c r="I865" s="43" t="s">
        <v>126</v>
      </c>
      <c r="M865" s="48" t="s">
        <v>1109</v>
      </c>
      <c r="N865" s="48">
        <v>17088570030</v>
      </c>
      <c r="O865" s="48">
        <v>17088560908</v>
      </c>
      <c r="P865" s="48" t="s">
        <v>125</v>
      </c>
      <c r="Q865" s="49" t="s">
        <v>1109</v>
      </c>
      <c r="R865" s="49">
        <v>17083127353</v>
      </c>
      <c r="S865" s="49">
        <v>17083090218</v>
      </c>
      <c r="T865" s="49" t="s">
        <v>125</v>
      </c>
      <c r="U865" s="50" t="s">
        <v>1109</v>
      </c>
      <c r="V865" s="50">
        <v>17083127353</v>
      </c>
      <c r="W865" s="50">
        <v>17083090218</v>
      </c>
      <c r="X865" s="50" t="s">
        <v>125</v>
      </c>
      <c r="Y865" s="50"/>
    </row>
    <row r="866" spans="1:25" x14ac:dyDescent="0.25">
      <c r="A866" s="25" t="s">
        <v>115</v>
      </c>
      <c r="B866" t="b">
        <v>0</v>
      </c>
      <c r="C866" s="43" t="s">
        <v>1110</v>
      </c>
      <c r="D866" s="43">
        <v>319528</v>
      </c>
      <c r="E866" s="43">
        <v>300089</v>
      </c>
      <c r="F866" s="43" t="s">
        <v>383</v>
      </c>
      <c r="G866" s="43" t="b">
        <v>0</v>
      </c>
      <c r="H866" s="43" t="b">
        <v>0</v>
      </c>
      <c r="I866" s="43"/>
      <c r="M866" s="48" t="s">
        <v>1110</v>
      </c>
      <c r="N866" s="48">
        <v>17088572362</v>
      </c>
      <c r="O866" s="48">
        <v>17088566323</v>
      </c>
      <c r="P866" s="48" t="s">
        <v>383</v>
      </c>
      <c r="Q866" s="49" t="s">
        <v>1110</v>
      </c>
      <c r="R866" s="49">
        <v>17086789214</v>
      </c>
      <c r="S866" s="49">
        <v>17083124407</v>
      </c>
      <c r="T866" s="49" t="s">
        <v>383</v>
      </c>
      <c r="U866" s="50" t="s">
        <v>1110</v>
      </c>
      <c r="V866" s="50">
        <v>17083128190</v>
      </c>
      <c r="W866" s="50">
        <v>17083124407</v>
      </c>
      <c r="X866" s="50" t="s">
        <v>383</v>
      </c>
      <c r="Y866" s="50"/>
    </row>
    <row r="867" spans="1:25" x14ac:dyDescent="0.25">
      <c r="A867" s="25" t="s">
        <v>115</v>
      </c>
      <c r="B867" t="b">
        <v>0</v>
      </c>
      <c r="C867" s="43" t="s">
        <v>1111</v>
      </c>
      <c r="D867" s="43">
        <v>321576</v>
      </c>
      <c r="E867" s="43">
        <v>300121</v>
      </c>
      <c r="F867" s="43" t="s">
        <v>125</v>
      </c>
      <c r="G867" s="43" t="b">
        <v>1</v>
      </c>
      <c r="H867" s="43" t="b">
        <v>0</v>
      </c>
      <c r="I867" s="43" t="s">
        <v>126</v>
      </c>
      <c r="M867" s="48" t="s">
        <v>1111</v>
      </c>
      <c r="N867" s="48">
        <v>17088571082</v>
      </c>
      <c r="O867" s="48">
        <v>17088566451</v>
      </c>
      <c r="P867" s="48" t="s">
        <v>125</v>
      </c>
      <c r="Q867" s="49" t="s">
        <v>1111</v>
      </c>
      <c r="R867" s="49">
        <v>17083125886</v>
      </c>
      <c r="S867" s="49">
        <v>17083124343</v>
      </c>
      <c r="T867" s="49" t="s">
        <v>125</v>
      </c>
      <c r="U867" s="50" t="s">
        <v>1111</v>
      </c>
      <c r="V867" s="50">
        <v>17083125886</v>
      </c>
      <c r="W867" s="50">
        <v>17083124343</v>
      </c>
      <c r="X867" s="50" t="s">
        <v>125</v>
      </c>
      <c r="Y867" s="50">
        <v>120404</v>
      </c>
    </row>
    <row r="868" spans="1:25" x14ac:dyDescent="0.25">
      <c r="A868" s="25" t="s">
        <v>115</v>
      </c>
      <c r="B868" t="b">
        <v>0</v>
      </c>
      <c r="C868" s="43" t="s">
        <v>1112</v>
      </c>
      <c r="D868" s="43">
        <v>23210982506</v>
      </c>
      <c r="E868" s="43">
        <v>23210983282</v>
      </c>
      <c r="F868" s="43" t="s">
        <v>117</v>
      </c>
      <c r="G868" s="43" t="b">
        <v>1</v>
      </c>
      <c r="H868" s="43" t="b">
        <v>0</v>
      </c>
      <c r="I868" s="43" t="s">
        <v>134</v>
      </c>
      <c r="M868" s="48" t="s">
        <v>1112</v>
      </c>
      <c r="N868" s="48">
        <v>17088573036</v>
      </c>
      <c r="O868" s="48">
        <v>17088567916</v>
      </c>
      <c r="P868" s="48" t="s">
        <v>117</v>
      </c>
      <c r="Q868" s="49"/>
      <c r="R868" s="49"/>
      <c r="S868" s="49"/>
      <c r="T868" s="49"/>
      <c r="U868" s="50" t="s">
        <v>1112</v>
      </c>
      <c r="V868" s="50">
        <v>17102548013</v>
      </c>
      <c r="W868" s="50">
        <v>17101189684</v>
      </c>
      <c r="X868" s="50" t="s">
        <v>117</v>
      </c>
      <c r="Y868" s="50">
        <v>150029</v>
      </c>
    </row>
    <row r="869" spans="1:25" x14ac:dyDescent="0.25">
      <c r="A869" s="25" t="s">
        <v>115</v>
      </c>
      <c r="B869" t="b">
        <v>0</v>
      </c>
      <c r="C869" s="43" t="s">
        <v>1113</v>
      </c>
      <c r="D869" s="43">
        <v>22170027999</v>
      </c>
      <c r="E869" s="43">
        <v>22170029151</v>
      </c>
      <c r="F869" s="43" t="s">
        <v>123</v>
      </c>
      <c r="G869" s="43" t="b">
        <v>0</v>
      </c>
      <c r="H869" s="43" t="b">
        <v>0</v>
      </c>
      <c r="I869" s="43"/>
      <c r="M869" s="48" t="s">
        <v>1113</v>
      </c>
      <c r="N869" s="48">
        <v>17088570908</v>
      </c>
      <c r="O869" s="48">
        <v>17088568554</v>
      </c>
      <c r="P869" s="48" t="s">
        <v>123</v>
      </c>
      <c r="Q869" s="49" t="s">
        <v>1113</v>
      </c>
      <c r="R869" s="49">
        <v>17083128550</v>
      </c>
      <c r="S869" s="49">
        <v>17083123281</v>
      </c>
      <c r="T869" s="49" t="s">
        <v>123</v>
      </c>
      <c r="U869" s="50" t="s">
        <v>1113</v>
      </c>
      <c r="V869" s="50">
        <v>17083128550</v>
      </c>
      <c r="W869" s="50">
        <v>17083123281</v>
      </c>
      <c r="X869" s="50" t="s">
        <v>123</v>
      </c>
      <c r="Y869" s="50"/>
    </row>
    <row r="870" spans="1:25" x14ac:dyDescent="0.25">
      <c r="A870" s="25" t="s">
        <v>115</v>
      </c>
      <c r="B870" t="b">
        <v>0</v>
      </c>
      <c r="C870" s="43" t="s">
        <v>1114</v>
      </c>
      <c r="D870" s="43">
        <v>22170030047</v>
      </c>
      <c r="E870" s="43">
        <v>22170027615</v>
      </c>
      <c r="F870" s="43" t="s">
        <v>125</v>
      </c>
      <c r="G870" s="43" t="b">
        <v>0</v>
      </c>
      <c r="H870" s="43" t="b">
        <v>0</v>
      </c>
      <c r="I870" s="43"/>
      <c r="M870" s="48" t="s">
        <v>1114</v>
      </c>
      <c r="N870" s="48">
        <v>17088572364</v>
      </c>
      <c r="O870" s="48">
        <v>17088565676</v>
      </c>
      <c r="P870" s="48" t="s">
        <v>125</v>
      </c>
      <c r="Q870" s="49" t="s">
        <v>1114</v>
      </c>
      <c r="R870" s="49">
        <v>17083128710</v>
      </c>
      <c r="S870" s="49">
        <v>17083122006</v>
      </c>
      <c r="T870" s="49" t="s">
        <v>125</v>
      </c>
      <c r="U870" s="50" t="s">
        <v>1114</v>
      </c>
      <c r="V870" s="50">
        <v>17083128710</v>
      </c>
      <c r="W870" s="50">
        <v>17083122006</v>
      </c>
      <c r="X870" s="50" t="s">
        <v>125</v>
      </c>
      <c r="Y870" s="50"/>
    </row>
    <row r="871" spans="1:25" x14ac:dyDescent="0.25">
      <c r="A871" s="25" t="s">
        <v>115</v>
      </c>
      <c r="B871" t="b">
        <v>0</v>
      </c>
      <c r="C871" s="43" t="s">
        <v>1115</v>
      </c>
      <c r="D871" s="43">
        <v>22170026047</v>
      </c>
      <c r="E871" s="43">
        <v>22170028383</v>
      </c>
      <c r="F871" s="43" t="s">
        <v>119</v>
      </c>
      <c r="G871" s="43" t="b">
        <v>0</v>
      </c>
      <c r="H871" s="43" t="b">
        <v>0</v>
      </c>
      <c r="I871" s="43"/>
      <c r="M871" s="48" t="s">
        <v>1115</v>
      </c>
      <c r="N871" s="48">
        <v>17088572796</v>
      </c>
      <c r="O871" s="48">
        <v>17088567734</v>
      </c>
      <c r="P871" s="48" t="s">
        <v>119</v>
      </c>
      <c r="Q871" s="49" t="s">
        <v>1115</v>
      </c>
      <c r="R871" s="49">
        <v>17083125814</v>
      </c>
      <c r="S871" s="49">
        <v>17083124665</v>
      </c>
      <c r="T871" s="49" t="s">
        <v>119</v>
      </c>
      <c r="U871" s="50" t="s">
        <v>1115</v>
      </c>
      <c r="V871" s="50">
        <v>17083125814</v>
      </c>
      <c r="W871" s="50">
        <v>17083124665</v>
      </c>
      <c r="X871" s="50" t="s">
        <v>119</v>
      </c>
      <c r="Y871" s="50"/>
    </row>
    <row r="872" spans="1:25" x14ac:dyDescent="0.25">
      <c r="A872" s="25" t="s">
        <v>115</v>
      </c>
      <c r="B872" t="b">
        <v>0</v>
      </c>
      <c r="C872" s="43" t="s">
        <v>1116</v>
      </c>
      <c r="D872" s="43">
        <v>22170028095</v>
      </c>
      <c r="E872" s="43">
        <v>22170026847</v>
      </c>
      <c r="F872" s="43" t="s">
        <v>132</v>
      </c>
      <c r="G872" s="43" t="b">
        <v>0</v>
      </c>
      <c r="H872" s="43" t="b">
        <v>0</v>
      </c>
      <c r="I872" s="43"/>
      <c r="M872" s="48" t="s">
        <v>1116</v>
      </c>
      <c r="N872" s="48">
        <v>17088570988</v>
      </c>
      <c r="O872" s="48">
        <v>17088566866</v>
      </c>
      <c r="P872" s="48" t="s">
        <v>132</v>
      </c>
      <c r="Q872" s="49" t="s">
        <v>1116</v>
      </c>
      <c r="R872" s="49">
        <v>17083125926</v>
      </c>
      <c r="S872" s="49">
        <v>17083121790</v>
      </c>
      <c r="T872" s="49" t="s">
        <v>132</v>
      </c>
      <c r="U872" s="50" t="s">
        <v>1116</v>
      </c>
      <c r="V872" s="50">
        <v>17083125926</v>
      </c>
      <c r="W872" s="50">
        <v>17083121790</v>
      </c>
      <c r="X872" s="50" t="s">
        <v>132</v>
      </c>
      <c r="Y872" s="50"/>
    </row>
    <row r="873" spans="1:25" x14ac:dyDescent="0.25">
      <c r="A873" s="25" t="s">
        <v>115</v>
      </c>
      <c r="B873" t="b">
        <v>0</v>
      </c>
      <c r="C873" s="43" t="s">
        <v>1117</v>
      </c>
      <c r="D873" s="43">
        <v>22170027071</v>
      </c>
      <c r="E873" s="43">
        <v>22170029919</v>
      </c>
      <c r="F873" s="43" t="s">
        <v>117</v>
      </c>
      <c r="G873" s="43" t="b">
        <v>0</v>
      </c>
      <c r="H873" s="43" t="b">
        <v>0</v>
      </c>
      <c r="I873" s="43"/>
      <c r="M873" s="48" t="s">
        <v>1117</v>
      </c>
      <c r="N873" s="48">
        <v>17088571036</v>
      </c>
      <c r="O873" s="48">
        <v>17088565482</v>
      </c>
      <c r="P873" s="48" t="s">
        <v>117</v>
      </c>
      <c r="Q873" s="49" t="s">
        <v>1117</v>
      </c>
      <c r="R873" s="49">
        <v>17083127398</v>
      </c>
      <c r="S873" s="49">
        <v>17083124817</v>
      </c>
      <c r="T873" s="49" t="s">
        <v>117</v>
      </c>
      <c r="U873" s="50" t="s">
        <v>1117</v>
      </c>
      <c r="V873" s="50">
        <v>17083127398</v>
      </c>
      <c r="W873" s="50">
        <v>17083124817</v>
      </c>
      <c r="X873" s="50" t="s">
        <v>117</v>
      </c>
      <c r="Y873" s="50"/>
    </row>
    <row r="874" spans="1:25" x14ac:dyDescent="0.25">
      <c r="A874" s="25" t="s">
        <v>115</v>
      </c>
      <c r="B874" t="b">
        <v>0</v>
      </c>
      <c r="C874" s="43" t="s">
        <v>1118</v>
      </c>
      <c r="D874" s="43">
        <v>22170029119</v>
      </c>
      <c r="E874" s="43">
        <v>22170027231</v>
      </c>
      <c r="F874" s="43" t="s">
        <v>186</v>
      </c>
      <c r="G874" s="43" t="b">
        <v>0</v>
      </c>
      <c r="H874" s="43" t="b">
        <v>0</v>
      </c>
      <c r="I874" s="43"/>
      <c r="M874" s="48" t="s">
        <v>1118</v>
      </c>
      <c r="N874" s="48">
        <v>17088570700</v>
      </c>
      <c r="O874" s="48">
        <v>17088567980</v>
      </c>
      <c r="P874" s="48" t="s">
        <v>186</v>
      </c>
      <c r="Q874" s="49" t="s">
        <v>1118</v>
      </c>
      <c r="R874" s="49">
        <v>17083128454</v>
      </c>
      <c r="S874" s="49">
        <v>17083124310</v>
      </c>
      <c r="T874" s="49" t="s">
        <v>186</v>
      </c>
      <c r="U874" s="50" t="s">
        <v>1118</v>
      </c>
      <c r="V874" s="50">
        <v>17083128454</v>
      </c>
      <c r="W874" s="50">
        <v>17083124310</v>
      </c>
      <c r="X874" s="50" t="s">
        <v>186</v>
      </c>
      <c r="Y874" s="50"/>
    </row>
    <row r="875" spans="1:25" x14ac:dyDescent="0.25">
      <c r="A875" s="25" t="s">
        <v>115</v>
      </c>
      <c r="B875" t="b">
        <v>0</v>
      </c>
      <c r="C875" s="43" t="s">
        <v>1119</v>
      </c>
      <c r="D875" s="43">
        <v>22170026559</v>
      </c>
      <c r="E875" s="43">
        <v>22170028767</v>
      </c>
      <c r="F875" s="43" t="s">
        <v>1120</v>
      </c>
      <c r="G875" s="43" t="b">
        <v>0</v>
      </c>
      <c r="H875" s="43" t="b">
        <v>0</v>
      </c>
      <c r="I875" s="43"/>
      <c r="M875" s="48" t="s">
        <v>1119</v>
      </c>
      <c r="N875" s="48">
        <v>17088571330</v>
      </c>
      <c r="O875" s="48">
        <v>17088566902</v>
      </c>
      <c r="P875" s="48" t="s">
        <v>1120</v>
      </c>
      <c r="Q875" s="49" t="s">
        <v>1119</v>
      </c>
      <c r="R875" s="49">
        <v>17083129078</v>
      </c>
      <c r="S875" s="49">
        <v>17083123129</v>
      </c>
      <c r="T875" s="49" t="s">
        <v>1120</v>
      </c>
      <c r="U875" s="50" t="s">
        <v>1119</v>
      </c>
      <c r="V875" s="50">
        <v>17083129078</v>
      </c>
      <c r="W875" s="50">
        <v>17083123129</v>
      </c>
      <c r="X875" s="50" t="s">
        <v>1120</v>
      </c>
      <c r="Y875" s="50"/>
    </row>
    <row r="876" spans="1:25" x14ac:dyDescent="0.25">
      <c r="A876" s="25" t="s">
        <v>115</v>
      </c>
      <c r="B876" t="b">
        <v>0</v>
      </c>
      <c r="C876" s="43" t="s">
        <v>1121</v>
      </c>
      <c r="D876" s="43">
        <v>22170028607</v>
      </c>
      <c r="E876" s="43">
        <v>22170026463</v>
      </c>
      <c r="F876" s="43" t="s">
        <v>1122</v>
      </c>
      <c r="G876" s="43" t="b">
        <v>0</v>
      </c>
      <c r="H876" s="43" t="b">
        <v>0</v>
      </c>
      <c r="I876" s="43"/>
      <c r="M876" s="48" t="s">
        <v>1121</v>
      </c>
      <c r="N876" s="48">
        <v>17088571106</v>
      </c>
      <c r="O876" s="48">
        <v>17088568129</v>
      </c>
      <c r="P876" s="48" t="s">
        <v>1122</v>
      </c>
      <c r="Q876" s="49" t="s">
        <v>1121</v>
      </c>
      <c r="R876" s="49">
        <v>17083127886</v>
      </c>
      <c r="S876" s="49">
        <v>17083123829</v>
      </c>
      <c r="T876" s="49" t="s">
        <v>1122</v>
      </c>
      <c r="U876" s="50" t="s">
        <v>1121</v>
      </c>
      <c r="V876" s="50">
        <v>17083127886</v>
      </c>
      <c r="W876" s="50">
        <v>17083123829</v>
      </c>
      <c r="X876" s="50" t="s">
        <v>1122</v>
      </c>
      <c r="Y876" s="50"/>
    </row>
    <row r="877" spans="1:25" x14ac:dyDescent="0.25">
      <c r="A877" s="25" t="s">
        <v>115</v>
      </c>
      <c r="B877" t="b">
        <v>0</v>
      </c>
      <c r="C877" s="43" t="s">
        <v>1123</v>
      </c>
      <c r="D877" s="43">
        <v>22170027583</v>
      </c>
      <c r="E877" s="43">
        <v>22170029535</v>
      </c>
      <c r="F877" s="43" t="s">
        <v>1124</v>
      </c>
      <c r="G877" s="43" t="b">
        <v>0</v>
      </c>
      <c r="H877" s="43" t="b">
        <v>0</v>
      </c>
      <c r="I877" s="43"/>
      <c r="M877" s="48" t="s">
        <v>1123</v>
      </c>
      <c r="N877" s="48">
        <v>17088570050</v>
      </c>
      <c r="O877" s="48">
        <v>17088568438</v>
      </c>
      <c r="P877" s="48" t="s">
        <v>1124</v>
      </c>
      <c r="Q877" s="49" t="s">
        <v>1123</v>
      </c>
      <c r="R877" s="49">
        <v>17083127030</v>
      </c>
      <c r="S877" s="49">
        <v>17083125433</v>
      </c>
      <c r="T877" s="49" t="s">
        <v>1124</v>
      </c>
      <c r="U877" s="50" t="s">
        <v>1123</v>
      </c>
      <c r="V877" s="50">
        <v>17083127030</v>
      </c>
      <c r="W877" s="50">
        <v>17083125433</v>
      </c>
      <c r="X877" s="50" t="s">
        <v>1124</v>
      </c>
      <c r="Y877" s="50"/>
    </row>
    <row r="878" spans="1:25" x14ac:dyDescent="0.25">
      <c r="A878" s="25" t="s">
        <v>115</v>
      </c>
      <c r="B878" t="b">
        <v>0</v>
      </c>
      <c r="C878" s="43" t="s">
        <v>1125</v>
      </c>
      <c r="D878" s="43">
        <v>23210979946</v>
      </c>
      <c r="E878" s="43">
        <v>23210981106</v>
      </c>
      <c r="F878" s="43" t="s">
        <v>117</v>
      </c>
      <c r="G878" s="43" t="b">
        <v>1</v>
      </c>
      <c r="H878" s="43" t="b">
        <v>0</v>
      </c>
      <c r="I878" s="43" t="s">
        <v>134</v>
      </c>
      <c r="M878" s="48" t="s">
        <v>1125</v>
      </c>
      <c r="N878" s="48">
        <v>17088570972</v>
      </c>
      <c r="O878" s="48">
        <v>17088565628</v>
      </c>
      <c r="P878" s="48" t="s">
        <v>117</v>
      </c>
      <c r="Q878" s="49"/>
      <c r="R878" s="49"/>
      <c r="S878" s="49"/>
      <c r="T878" s="49"/>
      <c r="U878" s="50" t="s">
        <v>1125</v>
      </c>
      <c r="V878" s="50">
        <v>17102545453</v>
      </c>
      <c r="W878" s="50">
        <v>17101189940</v>
      </c>
      <c r="X878" s="50" t="s">
        <v>117</v>
      </c>
      <c r="Y878" s="50">
        <v>150031</v>
      </c>
    </row>
    <row r="879" spans="1:25" x14ac:dyDescent="0.25">
      <c r="A879" s="25" t="s">
        <v>115</v>
      </c>
      <c r="B879" t="b">
        <v>1</v>
      </c>
      <c r="C879" s="43" t="s">
        <v>1126</v>
      </c>
      <c r="D879" s="43">
        <v>23210981994</v>
      </c>
      <c r="E879" s="43">
        <v>23210982386</v>
      </c>
      <c r="F879" s="43" t="s">
        <v>117</v>
      </c>
      <c r="G879" s="43" t="b">
        <v>1</v>
      </c>
      <c r="H879" s="43" t="b">
        <v>0</v>
      </c>
      <c r="I879" s="43" t="s">
        <v>134</v>
      </c>
      <c r="M879" s="48" t="s">
        <v>1126</v>
      </c>
      <c r="N879" s="48">
        <v>17088572252</v>
      </c>
      <c r="O879" s="48">
        <v>17088565458</v>
      </c>
      <c r="P879" s="48" t="s">
        <v>117</v>
      </c>
      <c r="Q879" s="49"/>
      <c r="R879" s="49"/>
      <c r="S879" s="49"/>
      <c r="T879" s="49"/>
      <c r="U879" s="50" t="s">
        <v>1126</v>
      </c>
      <c r="V879" s="50">
        <v>17102547501</v>
      </c>
      <c r="W879" s="50">
        <v>17101189812</v>
      </c>
      <c r="X879" s="50" t="s">
        <v>117</v>
      </c>
      <c r="Y879" s="50">
        <v>150032</v>
      </c>
    </row>
    <row r="880" spans="1:25" x14ac:dyDescent="0.25">
      <c r="A880" s="25" t="s">
        <v>115</v>
      </c>
      <c r="B880" t="b">
        <v>1</v>
      </c>
      <c r="C880" s="43" t="s">
        <v>1127</v>
      </c>
      <c r="D880" s="43">
        <v>23210980970</v>
      </c>
      <c r="E880" s="43">
        <v>23210979850</v>
      </c>
      <c r="F880" s="43" t="s">
        <v>117</v>
      </c>
      <c r="G880" s="43" t="b">
        <v>1</v>
      </c>
      <c r="H880" s="43" t="b">
        <v>0</v>
      </c>
      <c r="I880" s="43" t="s">
        <v>134</v>
      </c>
      <c r="M880" s="48" t="s">
        <v>1127</v>
      </c>
      <c r="N880" s="48">
        <v>17088571900</v>
      </c>
      <c r="O880" s="48">
        <v>17088567018</v>
      </c>
      <c r="P880" s="48" t="s">
        <v>117</v>
      </c>
      <c r="Q880" s="49"/>
      <c r="R880" s="49"/>
      <c r="S880" s="49"/>
      <c r="T880" s="49"/>
      <c r="U880" s="50" t="s">
        <v>1127</v>
      </c>
      <c r="V880" s="50">
        <v>17102546477</v>
      </c>
      <c r="W880" s="50">
        <v>17101190068</v>
      </c>
      <c r="X880" s="50" t="s">
        <v>117</v>
      </c>
      <c r="Y880" s="50">
        <v>150033</v>
      </c>
    </row>
    <row r="881" spans="1:29" x14ac:dyDescent="0.25">
      <c r="A881" s="25" t="s">
        <v>115</v>
      </c>
      <c r="B881" t="b">
        <v>0</v>
      </c>
      <c r="C881" s="43" t="s">
        <v>1128</v>
      </c>
      <c r="D881" s="43">
        <v>23210983018</v>
      </c>
      <c r="E881" s="43">
        <v>23210982666</v>
      </c>
      <c r="F881" s="43" t="s">
        <v>117</v>
      </c>
      <c r="G881" s="43" t="b">
        <v>1</v>
      </c>
      <c r="H881" s="43" t="b">
        <v>0</v>
      </c>
      <c r="I881" s="43" t="s">
        <v>134</v>
      </c>
      <c r="M881" s="48" t="s">
        <v>1128</v>
      </c>
      <c r="N881" s="48">
        <v>17088573058</v>
      </c>
      <c r="O881" s="48">
        <v>17088565830</v>
      </c>
      <c r="P881" s="48" t="s">
        <v>117</v>
      </c>
      <c r="Q881" s="49"/>
      <c r="R881" s="49"/>
      <c r="S881" s="49"/>
      <c r="T881" s="49"/>
      <c r="U881" s="50" t="s">
        <v>1128</v>
      </c>
      <c r="V881" s="50">
        <v>17102548525</v>
      </c>
      <c r="W881" s="50">
        <v>17101189748</v>
      </c>
      <c r="X881" s="50" t="s">
        <v>117</v>
      </c>
      <c r="Y881" s="50">
        <v>150034</v>
      </c>
    </row>
    <row r="882" spans="1:29" x14ac:dyDescent="0.25">
      <c r="A882" s="25" t="s">
        <v>115</v>
      </c>
      <c r="B882" t="b">
        <v>0</v>
      </c>
      <c r="C882" s="43" t="s">
        <v>1129</v>
      </c>
      <c r="D882" s="43">
        <v>23210979690</v>
      </c>
      <c r="E882" s="43">
        <v>23210980490</v>
      </c>
      <c r="F882" s="43" t="s">
        <v>117</v>
      </c>
      <c r="G882" s="43" t="b">
        <v>1</v>
      </c>
      <c r="H882" s="43" t="b">
        <v>0</v>
      </c>
      <c r="I882" s="43" t="s">
        <v>134</v>
      </c>
      <c r="M882" s="48" t="s">
        <v>1129</v>
      </c>
      <c r="N882" s="48">
        <v>17088570178</v>
      </c>
      <c r="O882" s="48">
        <v>17088566198</v>
      </c>
      <c r="P882" s="48" t="s">
        <v>117</v>
      </c>
      <c r="Q882" s="49"/>
      <c r="R882" s="49"/>
      <c r="S882" s="49"/>
      <c r="T882" s="49"/>
      <c r="U882" s="50" t="s">
        <v>1129</v>
      </c>
      <c r="V882" s="50">
        <v>17102545197</v>
      </c>
      <c r="W882" s="50">
        <v>17101190004</v>
      </c>
      <c r="X882" s="50" t="s">
        <v>117</v>
      </c>
      <c r="Y882" s="50">
        <v>150035</v>
      </c>
    </row>
    <row r="883" spans="1:29" x14ac:dyDescent="0.25">
      <c r="A883" s="25" t="s">
        <v>115</v>
      </c>
      <c r="B883" t="b">
        <v>0</v>
      </c>
      <c r="C883" s="43" t="s">
        <v>1130</v>
      </c>
      <c r="D883" s="43">
        <v>23210981738</v>
      </c>
      <c r="E883" s="43">
        <v>23210981770</v>
      </c>
      <c r="F883" s="43" t="s">
        <v>117</v>
      </c>
      <c r="G883" s="43" t="b">
        <v>1</v>
      </c>
      <c r="H883" s="43" t="b">
        <v>0</v>
      </c>
      <c r="I883" s="43" t="s">
        <v>134</v>
      </c>
      <c r="M883" s="48" t="s">
        <v>1130</v>
      </c>
      <c r="N883" s="48">
        <v>17088572002</v>
      </c>
      <c r="O883" s="48">
        <v>17088567198</v>
      </c>
      <c r="P883" s="48" t="s">
        <v>117</v>
      </c>
      <c r="Q883" s="49"/>
      <c r="R883" s="49"/>
      <c r="S883" s="49"/>
      <c r="T883" s="49"/>
      <c r="U883" s="50" t="s">
        <v>1130</v>
      </c>
      <c r="V883" s="50">
        <v>17102546221</v>
      </c>
      <c r="W883" s="50">
        <v>17101189876</v>
      </c>
      <c r="X883" s="50" t="s">
        <v>117</v>
      </c>
      <c r="Y883" s="50">
        <v>150036</v>
      </c>
    </row>
    <row r="884" spans="1:29" x14ac:dyDescent="0.25">
      <c r="A884" s="25" t="s">
        <v>115</v>
      </c>
      <c r="B884" t="b">
        <v>1</v>
      </c>
      <c r="C884" s="43" t="s">
        <v>1131</v>
      </c>
      <c r="D884" s="43">
        <v>23210980714</v>
      </c>
      <c r="E884" s="43">
        <v>23210979402</v>
      </c>
      <c r="F884" s="43" t="s">
        <v>117</v>
      </c>
      <c r="G884" s="43" t="b">
        <v>1</v>
      </c>
      <c r="H884" s="43" t="b">
        <v>0</v>
      </c>
      <c r="I884" s="43" t="s">
        <v>134</v>
      </c>
      <c r="M884" s="48" t="s">
        <v>1131</v>
      </c>
      <c r="N884" s="48">
        <v>17088570642</v>
      </c>
      <c r="O884" s="48">
        <v>17088566849</v>
      </c>
      <c r="P884" s="48" t="s">
        <v>117</v>
      </c>
      <c r="Q884" s="49"/>
      <c r="R884" s="49"/>
      <c r="S884" s="49"/>
      <c r="T884" s="49"/>
      <c r="U884" s="50" t="s">
        <v>1131</v>
      </c>
      <c r="V884" s="50">
        <v>17102547245</v>
      </c>
      <c r="W884" s="50">
        <v>17101190132</v>
      </c>
      <c r="X884" s="50" t="s">
        <v>117</v>
      </c>
      <c r="Y884" s="50">
        <v>150037</v>
      </c>
    </row>
    <row r="885" spans="1:29" x14ac:dyDescent="0.25">
      <c r="A885" s="25" t="s">
        <v>115</v>
      </c>
      <c r="B885" t="b">
        <v>0</v>
      </c>
      <c r="C885" s="43" t="s">
        <v>1132</v>
      </c>
      <c r="D885" s="43">
        <v>23210982762</v>
      </c>
      <c r="E885" s="43">
        <v>23210982986</v>
      </c>
      <c r="F885" s="43" t="s">
        <v>117</v>
      </c>
      <c r="G885" s="43" t="b">
        <v>1</v>
      </c>
      <c r="H885" s="43" t="b">
        <v>0</v>
      </c>
      <c r="I885" s="43" t="s">
        <v>134</v>
      </c>
      <c r="M885" s="48" t="s">
        <v>1132</v>
      </c>
      <c r="N885" s="48">
        <v>17088572498</v>
      </c>
      <c r="O885" s="48">
        <v>17088567633</v>
      </c>
      <c r="P885" s="48" t="s">
        <v>117</v>
      </c>
      <c r="Q885" s="49"/>
      <c r="R885" s="49"/>
      <c r="S885" s="49"/>
      <c r="T885" s="49"/>
      <c r="U885" s="50" t="s">
        <v>1132</v>
      </c>
      <c r="V885" s="50">
        <v>17102548269</v>
      </c>
      <c r="W885" s="50">
        <v>17101189644</v>
      </c>
      <c r="X885" s="50" t="s">
        <v>117</v>
      </c>
      <c r="Y885" s="50">
        <v>150038</v>
      </c>
    </row>
    <row r="886" spans="1:29" x14ac:dyDescent="0.25">
      <c r="A886" s="25" t="s">
        <v>115</v>
      </c>
      <c r="B886" t="b">
        <v>0</v>
      </c>
      <c r="C886" s="43" t="s">
        <v>1133</v>
      </c>
      <c r="D886" s="43">
        <v>23210980202</v>
      </c>
      <c r="E886" s="43">
        <v>23210981194</v>
      </c>
      <c r="F886" s="43" t="s">
        <v>117</v>
      </c>
      <c r="G886" s="43" t="b">
        <v>1</v>
      </c>
      <c r="H886" s="43" t="b">
        <v>0</v>
      </c>
      <c r="I886" s="43" t="s">
        <v>134</v>
      </c>
      <c r="M886" s="48" t="s">
        <v>1133</v>
      </c>
      <c r="N886" s="48">
        <v>17088572242</v>
      </c>
      <c r="O886" s="48">
        <v>17088565513</v>
      </c>
      <c r="P886" s="48" t="s">
        <v>117</v>
      </c>
      <c r="Q886" s="49"/>
      <c r="R886" s="49"/>
      <c r="S886" s="49"/>
      <c r="T886" s="49"/>
      <c r="U886" s="50" t="s">
        <v>1133</v>
      </c>
      <c r="V886" s="50">
        <v>17102545709</v>
      </c>
      <c r="W886" s="50">
        <v>17101189900</v>
      </c>
      <c r="X886" s="50" t="s">
        <v>117</v>
      </c>
      <c r="Y886" s="50">
        <v>150039</v>
      </c>
    </row>
    <row r="887" spans="1:29" x14ac:dyDescent="0.25">
      <c r="A887" s="25" t="s">
        <v>115</v>
      </c>
      <c r="B887" t="b">
        <v>0</v>
      </c>
      <c r="C887" s="43" t="s">
        <v>1134</v>
      </c>
      <c r="D887" s="43">
        <v>23210982250</v>
      </c>
      <c r="E887" s="43">
        <v>23210982090</v>
      </c>
      <c r="F887" s="43" t="s">
        <v>117</v>
      </c>
      <c r="G887" s="43" t="b">
        <v>1</v>
      </c>
      <c r="H887" s="43" t="b">
        <v>0</v>
      </c>
      <c r="I887" s="43" t="s">
        <v>134</v>
      </c>
      <c r="M887" s="48" t="s">
        <v>1134</v>
      </c>
      <c r="N887" s="48">
        <v>17088570732</v>
      </c>
      <c r="O887" s="48">
        <v>17088567212</v>
      </c>
      <c r="P887" s="48" t="s">
        <v>117</v>
      </c>
      <c r="Q887" s="49"/>
      <c r="R887" s="49"/>
      <c r="S887" s="49"/>
      <c r="T887" s="49"/>
      <c r="U887" s="50" t="s">
        <v>1134</v>
      </c>
      <c r="V887" s="50">
        <v>17102546733</v>
      </c>
      <c r="W887" s="50">
        <v>17101190540</v>
      </c>
      <c r="X887" s="50" t="s">
        <v>117</v>
      </c>
      <c r="Y887" s="50">
        <v>150040</v>
      </c>
    </row>
    <row r="888" spans="1:29" x14ac:dyDescent="0.25">
      <c r="A888" s="25" t="s">
        <v>115</v>
      </c>
      <c r="B888" t="b">
        <v>0</v>
      </c>
      <c r="C888" s="43" t="s">
        <v>1135</v>
      </c>
      <c r="D888" s="43">
        <v>23210981226</v>
      </c>
      <c r="E888" s="43">
        <v>23210980298</v>
      </c>
      <c r="F888" s="43" t="s">
        <v>117</v>
      </c>
      <c r="G888" s="43" t="b">
        <v>1</v>
      </c>
      <c r="H888" s="43" t="b">
        <v>0</v>
      </c>
      <c r="I888" s="43" t="s">
        <v>134</v>
      </c>
      <c r="M888" s="48" t="s">
        <v>1135</v>
      </c>
      <c r="N888" s="48">
        <v>17088571548</v>
      </c>
      <c r="O888" s="48">
        <v>17088567420</v>
      </c>
      <c r="P888" s="48" t="s">
        <v>117</v>
      </c>
      <c r="Q888" s="49"/>
      <c r="R888" s="49"/>
      <c r="S888" s="49"/>
      <c r="T888" s="49"/>
      <c r="U888" s="50" t="s">
        <v>1135</v>
      </c>
      <c r="V888" s="50">
        <v>17102548781</v>
      </c>
      <c r="W888" s="50">
        <v>17101190220</v>
      </c>
      <c r="X888" s="50" t="s">
        <v>117</v>
      </c>
      <c r="Y888" s="50">
        <v>150041</v>
      </c>
    </row>
    <row r="889" spans="1:29" x14ac:dyDescent="0.25">
      <c r="A889" s="25" t="s">
        <v>115</v>
      </c>
      <c r="B889" t="b">
        <v>1</v>
      </c>
      <c r="C889" s="43" t="s">
        <v>1136</v>
      </c>
      <c r="D889" s="43">
        <v>23210983274</v>
      </c>
      <c r="E889" s="43">
        <v>23210982442</v>
      </c>
      <c r="F889" s="43" t="s">
        <v>117</v>
      </c>
      <c r="G889" s="43" t="b">
        <v>1</v>
      </c>
      <c r="H889" s="43" t="b">
        <v>0</v>
      </c>
      <c r="I889" s="43" t="s">
        <v>134</v>
      </c>
      <c r="M889" s="48" t="s">
        <v>1136</v>
      </c>
      <c r="N889" s="48">
        <v>17088572092</v>
      </c>
      <c r="O889" s="48">
        <v>17088567634</v>
      </c>
      <c r="P889" s="48" t="s">
        <v>117</v>
      </c>
      <c r="Q889" s="49"/>
      <c r="R889" s="49"/>
      <c r="S889" s="49"/>
      <c r="T889" s="49"/>
      <c r="U889" s="50" t="s">
        <v>1136</v>
      </c>
      <c r="V889" s="50">
        <v>17102545069</v>
      </c>
      <c r="W889" s="50">
        <v>17101190476</v>
      </c>
      <c r="X889" s="50" t="s">
        <v>117</v>
      </c>
      <c r="Y889" s="50">
        <v>150042</v>
      </c>
    </row>
    <row r="890" spans="1:29" x14ac:dyDescent="0.25">
      <c r="A890" s="25" t="s">
        <v>115</v>
      </c>
      <c r="B890" t="b">
        <v>0</v>
      </c>
      <c r="C890" s="43" t="s">
        <v>1137</v>
      </c>
      <c r="D890" s="43">
        <v>23612721751</v>
      </c>
      <c r="E890" s="43">
        <v>23612720023</v>
      </c>
      <c r="F890" s="43" t="s">
        <v>125</v>
      </c>
      <c r="G890" s="43" t="b">
        <v>0</v>
      </c>
      <c r="H890" s="43" t="b">
        <v>1</v>
      </c>
      <c r="I890" s="43"/>
      <c r="M890" s="48" t="s">
        <v>1137</v>
      </c>
      <c r="N890" s="48">
        <v>17088571054</v>
      </c>
      <c r="O890" s="48">
        <v>17088558530</v>
      </c>
      <c r="P890" s="48" t="s">
        <v>125</v>
      </c>
      <c r="Q890" s="49" t="s">
        <v>1137</v>
      </c>
      <c r="R890" s="49">
        <v>17083127557</v>
      </c>
      <c r="S890" s="49">
        <v>17083091782</v>
      </c>
      <c r="T890" s="49" t="s">
        <v>125</v>
      </c>
      <c r="U890" s="50" t="s">
        <v>1137</v>
      </c>
      <c r="V890" s="50">
        <v>17083127557</v>
      </c>
      <c r="W890" s="50">
        <v>17083091782</v>
      </c>
      <c r="X890" s="50" t="s">
        <v>125</v>
      </c>
      <c r="Y890" s="50"/>
      <c r="Z890" s="51" t="s">
        <v>1137</v>
      </c>
      <c r="AA890" s="51" t="s">
        <v>189</v>
      </c>
      <c r="AB890" s="51">
        <v>38250</v>
      </c>
      <c r="AC890" s="51">
        <v>47048</v>
      </c>
    </row>
    <row r="891" spans="1:29" x14ac:dyDescent="0.25">
      <c r="A891" s="25" t="s">
        <v>115</v>
      </c>
      <c r="B891" t="b">
        <v>0</v>
      </c>
      <c r="C891" s="43" t="s">
        <v>1138</v>
      </c>
      <c r="D891" s="43">
        <v>23612720727</v>
      </c>
      <c r="E891" s="43">
        <v>23612723095</v>
      </c>
      <c r="F891" s="43" t="s">
        <v>125</v>
      </c>
      <c r="G891" s="43" t="b">
        <v>0</v>
      </c>
      <c r="H891" s="43" t="b">
        <v>1</v>
      </c>
      <c r="I891" s="43"/>
      <c r="M891" s="48" t="s">
        <v>1138</v>
      </c>
      <c r="N891" s="48">
        <v>17088569502</v>
      </c>
      <c r="O891" s="48">
        <v>17088559282</v>
      </c>
      <c r="P891" s="48" t="s">
        <v>125</v>
      </c>
      <c r="Q891" s="49" t="s">
        <v>1138</v>
      </c>
      <c r="R891" s="49">
        <v>17083127621</v>
      </c>
      <c r="S891" s="49">
        <v>17083121151</v>
      </c>
      <c r="T891" s="49" t="s">
        <v>125</v>
      </c>
      <c r="U891" s="50" t="s">
        <v>1138</v>
      </c>
      <c r="V891" s="50">
        <v>17083127621</v>
      </c>
      <c r="W891" s="50">
        <v>17083121151</v>
      </c>
      <c r="X891" s="50" t="s">
        <v>125</v>
      </c>
      <c r="Y891" s="50"/>
      <c r="Z891" s="51" t="s">
        <v>1138</v>
      </c>
      <c r="AA891" s="51" t="s">
        <v>189</v>
      </c>
      <c r="AB891" s="51">
        <v>41666</v>
      </c>
      <c r="AC891" s="51">
        <v>51249</v>
      </c>
    </row>
    <row r="892" spans="1:29" x14ac:dyDescent="0.25">
      <c r="A892" s="25" t="s">
        <v>115</v>
      </c>
      <c r="B892" t="b">
        <v>0</v>
      </c>
      <c r="C892" s="43" t="s">
        <v>1139</v>
      </c>
      <c r="D892" s="43">
        <v>23612722775</v>
      </c>
      <c r="E892" s="43">
        <v>23612720215</v>
      </c>
      <c r="F892" s="43" t="s">
        <v>125</v>
      </c>
      <c r="G892" s="43" t="b">
        <v>0</v>
      </c>
      <c r="H892" s="43" t="b">
        <v>1</v>
      </c>
      <c r="I892" s="43"/>
      <c r="J892" s="45" t="s">
        <v>1139</v>
      </c>
      <c r="K892" s="46">
        <v>23612720215</v>
      </c>
      <c r="L892" s="47">
        <v>990000538</v>
      </c>
      <c r="M892" s="48" t="s">
        <v>1139</v>
      </c>
      <c r="N892" s="48">
        <v>17088570782</v>
      </c>
      <c r="O892" s="48">
        <v>17088558898</v>
      </c>
      <c r="P892" s="48" t="s">
        <v>125</v>
      </c>
      <c r="Q892" s="49" t="s">
        <v>1139</v>
      </c>
      <c r="R892" s="49">
        <v>17083128453</v>
      </c>
      <c r="S892" s="49">
        <v>17083118079</v>
      </c>
      <c r="T892" s="49" t="s">
        <v>125</v>
      </c>
      <c r="U892" s="50" t="s">
        <v>1139</v>
      </c>
      <c r="V892" s="50">
        <v>17083128453</v>
      </c>
      <c r="W892" s="50">
        <v>17083118079</v>
      </c>
      <c r="X892" s="50" t="s">
        <v>125</v>
      </c>
      <c r="Y892" s="50"/>
      <c r="Z892" s="51" t="s">
        <v>1139</v>
      </c>
      <c r="AA892" s="51" t="s">
        <v>189</v>
      </c>
      <c r="AB892" s="51">
        <v>49000</v>
      </c>
      <c r="AC892" s="51">
        <v>60270</v>
      </c>
    </row>
    <row r="893" spans="1:29" x14ac:dyDescent="0.25">
      <c r="A893" s="25" t="s">
        <v>115</v>
      </c>
      <c r="B893" t="b">
        <v>0</v>
      </c>
      <c r="C893" s="43" t="s">
        <v>1140</v>
      </c>
      <c r="D893" s="43">
        <v>24522282017</v>
      </c>
      <c r="E893" s="43">
        <v>24522283902</v>
      </c>
      <c r="F893" s="43" t="s">
        <v>123</v>
      </c>
      <c r="G893" s="43" t="b">
        <v>1</v>
      </c>
      <c r="H893" s="43" t="b">
        <v>0</v>
      </c>
      <c r="I893" s="43" t="s">
        <v>134</v>
      </c>
      <c r="M893" s="48" t="s">
        <v>1140</v>
      </c>
      <c r="N893" s="48">
        <v>17088572586</v>
      </c>
      <c r="O893" s="48">
        <v>17088568387</v>
      </c>
      <c r="P893" s="48" t="s">
        <v>123</v>
      </c>
      <c r="Q893" s="49" t="s">
        <v>1140</v>
      </c>
      <c r="R893" s="49">
        <v>17093209581</v>
      </c>
      <c r="S893" s="49">
        <v>17093207629</v>
      </c>
      <c r="T893" s="49" t="s">
        <v>123</v>
      </c>
      <c r="U893" s="50" t="s">
        <v>1140</v>
      </c>
      <c r="V893" s="50">
        <v>17100526266</v>
      </c>
      <c r="W893" s="50">
        <v>17100529642</v>
      </c>
      <c r="X893" s="50" t="s">
        <v>123</v>
      </c>
      <c r="Y893" s="50">
        <v>150073</v>
      </c>
    </row>
    <row r="894" spans="1:29" x14ac:dyDescent="0.25">
      <c r="A894" s="25" t="s">
        <v>115</v>
      </c>
      <c r="B894" t="b">
        <v>0</v>
      </c>
      <c r="C894" s="43" t="s">
        <v>1141</v>
      </c>
      <c r="D894" s="43">
        <v>24522284065</v>
      </c>
      <c r="E894" s="43">
        <v>24522281726</v>
      </c>
      <c r="F894" s="43" t="s">
        <v>123</v>
      </c>
      <c r="G894" s="43" t="b">
        <v>1</v>
      </c>
      <c r="H894" s="43" t="b">
        <v>0</v>
      </c>
      <c r="I894" s="43" t="s">
        <v>134</v>
      </c>
      <c r="M894" s="48" t="s">
        <v>1141</v>
      </c>
      <c r="N894" s="48">
        <v>17088570266</v>
      </c>
      <c r="O894" s="48">
        <v>17088568075</v>
      </c>
      <c r="P894" s="48" t="s">
        <v>123</v>
      </c>
      <c r="Q894" s="49" t="s">
        <v>1141</v>
      </c>
      <c r="R894" s="49">
        <v>17093207021</v>
      </c>
      <c r="S894" s="49">
        <v>17093208909</v>
      </c>
      <c r="T894" s="49" t="s">
        <v>123</v>
      </c>
      <c r="U894" s="50" t="s">
        <v>1141</v>
      </c>
      <c r="V894" s="50">
        <v>17100528314</v>
      </c>
      <c r="W894" s="50">
        <v>17100527130</v>
      </c>
      <c r="X894" s="50" t="s">
        <v>123</v>
      </c>
      <c r="Y894" s="50">
        <v>150074</v>
      </c>
    </row>
    <row r="895" spans="1:29" x14ac:dyDescent="0.25">
      <c r="A895" s="25" t="s">
        <v>115</v>
      </c>
      <c r="B895" t="b">
        <v>0</v>
      </c>
      <c r="C895" s="43" t="s">
        <v>1142</v>
      </c>
      <c r="D895" s="43">
        <v>24522281505</v>
      </c>
      <c r="E895" s="43">
        <v>24522284542</v>
      </c>
      <c r="F895" s="43" t="s">
        <v>123</v>
      </c>
      <c r="G895" s="43" t="b">
        <v>1</v>
      </c>
      <c r="H895" s="43" t="b">
        <v>0</v>
      </c>
      <c r="I895" s="43" t="s">
        <v>134</v>
      </c>
      <c r="M895" s="48" t="s">
        <v>1142</v>
      </c>
      <c r="N895" s="48">
        <v>17088569626</v>
      </c>
      <c r="O895" s="48">
        <v>17088565523</v>
      </c>
      <c r="P895" s="48" t="s">
        <v>123</v>
      </c>
      <c r="Q895" s="49" t="s">
        <v>1142</v>
      </c>
      <c r="R895" s="49">
        <v>17093209069</v>
      </c>
      <c r="S895" s="49">
        <v>17093206733</v>
      </c>
      <c r="T895" s="49" t="s">
        <v>123</v>
      </c>
      <c r="U895" s="50" t="s">
        <v>1142</v>
      </c>
      <c r="V895" s="50">
        <v>17100527290</v>
      </c>
      <c r="W895" s="50">
        <v>17100528410</v>
      </c>
      <c r="X895" s="50" t="s">
        <v>123</v>
      </c>
      <c r="Y895" s="50">
        <v>150075</v>
      </c>
    </row>
    <row r="896" spans="1:29" x14ac:dyDescent="0.25">
      <c r="A896" s="25" t="s">
        <v>115</v>
      </c>
      <c r="B896" t="b">
        <v>0</v>
      </c>
      <c r="C896" s="43" t="s">
        <v>1143</v>
      </c>
      <c r="D896" s="43">
        <v>24522283553</v>
      </c>
      <c r="E896" s="43">
        <v>24522281985</v>
      </c>
      <c r="F896" s="43" t="s">
        <v>123</v>
      </c>
      <c r="G896" s="43" t="b">
        <v>1</v>
      </c>
      <c r="H896" s="43" t="b">
        <v>0</v>
      </c>
      <c r="I896" s="43" t="s">
        <v>134</v>
      </c>
      <c r="M896" s="48" t="s">
        <v>1143</v>
      </c>
      <c r="N896" s="48">
        <v>17088571420</v>
      </c>
      <c r="O896" s="48">
        <v>17088567084</v>
      </c>
      <c r="P896" s="48" t="s">
        <v>123</v>
      </c>
      <c r="Q896" s="49" t="s">
        <v>1143</v>
      </c>
      <c r="R896" s="49">
        <v>17093208045</v>
      </c>
      <c r="S896" s="49">
        <v>17093209549</v>
      </c>
      <c r="T896" s="49" t="s">
        <v>123</v>
      </c>
      <c r="U896" s="50" t="s">
        <v>1143</v>
      </c>
      <c r="V896" s="50">
        <v>17100529338</v>
      </c>
      <c r="W896" s="50">
        <v>17100526234</v>
      </c>
      <c r="X896" s="50" t="s">
        <v>123</v>
      </c>
      <c r="Y896" s="50">
        <v>150076</v>
      </c>
    </row>
    <row r="897" spans="1:25" x14ac:dyDescent="0.25">
      <c r="A897" s="25" t="s">
        <v>115</v>
      </c>
      <c r="B897" t="b">
        <v>0</v>
      </c>
      <c r="C897" s="43" t="s">
        <v>1144</v>
      </c>
      <c r="D897" s="43">
        <v>24522282529</v>
      </c>
      <c r="E897" s="43">
        <v>24522283265</v>
      </c>
      <c r="F897" s="43" t="s">
        <v>123</v>
      </c>
      <c r="G897" s="43" t="b">
        <v>1</v>
      </c>
      <c r="H897" s="43" t="b">
        <v>0</v>
      </c>
      <c r="I897" s="43" t="s">
        <v>134</v>
      </c>
      <c r="M897" s="48" t="s">
        <v>1144</v>
      </c>
      <c r="N897" s="48">
        <v>17088571058</v>
      </c>
      <c r="O897" s="48">
        <v>17088567845</v>
      </c>
      <c r="P897" s="48" t="s">
        <v>123</v>
      </c>
      <c r="Q897" s="49" t="s">
        <v>1144</v>
      </c>
      <c r="R897" s="49">
        <v>17093210093</v>
      </c>
      <c r="S897" s="49">
        <v>17093207085</v>
      </c>
      <c r="T897" s="49" t="s">
        <v>123</v>
      </c>
      <c r="U897" s="50" t="s">
        <v>1144</v>
      </c>
      <c r="V897" s="50">
        <v>17100526010</v>
      </c>
      <c r="W897" s="50">
        <v>17100529050</v>
      </c>
      <c r="X897" s="50" t="s">
        <v>123</v>
      </c>
      <c r="Y897" s="50">
        <v>150070</v>
      </c>
    </row>
    <row r="898" spans="1:25" x14ac:dyDescent="0.25">
      <c r="A898" s="25" t="s">
        <v>115</v>
      </c>
      <c r="B898" t="b">
        <v>0</v>
      </c>
      <c r="C898" s="43" t="s">
        <v>1145</v>
      </c>
      <c r="D898" s="43">
        <v>24522284577</v>
      </c>
      <c r="E898" s="43">
        <v>24522281089</v>
      </c>
      <c r="F898" s="43" t="s">
        <v>123</v>
      </c>
      <c r="G898" s="43" t="b">
        <v>1</v>
      </c>
      <c r="H898" s="43" t="b">
        <v>0</v>
      </c>
      <c r="I898" s="43" t="s">
        <v>134</v>
      </c>
      <c r="M898" s="48" t="s">
        <v>1145</v>
      </c>
      <c r="N898" s="48">
        <v>17088569498</v>
      </c>
      <c r="O898" s="48">
        <v>17088566795</v>
      </c>
      <c r="P898" s="48" t="s">
        <v>123</v>
      </c>
      <c r="Q898" s="49" t="s">
        <v>1145</v>
      </c>
      <c r="R898" s="49">
        <v>17093206045</v>
      </c>
      <c r="S898" s="49">
        <v>17093208365</v>
      </c>
      <c r="T898" s="49" t="s">
        <v>123</v>
      </c>
      <c r="U898" s="50" t="s">
        <v>1145</v>
      </c>
      <c r="V898" s="50">
        <v>17100528058</v>
      </c>
      <c r="W898" s="50">
        <v>17100526682</v>
      </c>
      <c r="X898" s="50" t="s">
        <v>123</v>
      </c>
      <c r="Y898" s="50">
        <v>150080</v>
      </c>
    </row>
    <row r="899" spans="1:25" x14ac:dyDescent="0.25">
      <c r="A899" s="25" t="s">
        <v>115</v>
      </c>
      <c r="B899" t="b">
        <v>0</v>
      </c>
      <c r="C899" s="43" t="s">
        <v>1146</v>
      </c>
      <c r="D899" s="43">
        <v>24522281249</v>
      </c>
      <c r="E899" s="43">
        <v>24522284673</v>
      </c>
      <c r="F899" s="43" t="s">
        <v>123</v>
      </c>
      <c r="G899" s="43" t="b">
        <v>1</v>
      </c>
      <c r="H899" s="43" t="b">
        <v>0</v>
      </c>
      <c r="I899" s="43" t="s">
        <v>134</v>
      </c>
      <c r="M899" s="48" t="s">
        <v>1146</v>
      </c>
      <c r="N899" s="48">
        <v>17088572458</v>
      </c>
      <c r="O899" s="48">
        <v>17088566493</v>
      </c>
      <c r="P899" s="48" t="s">
        <v>123</v>
      </c>
      <c r="Q899" s="49" t="s">
        <v>1146</v>
      </c>
      <c r="R899" s="49">
        <v>17093208093</v>
      </c>
      <c r="S899" s="49">
        <v>17093206189</v>
      </c>
      <c r="T899" s="49" t="s">
        <v>123</v>
      </c>
      <c r="U899" s="50" t="s">
        <v>1146</v>
      </c>
      <c r="V899" s="50">
        <v>17100527034</v>
      </c>
      <c r="W899" s="50">
        <v>17100527962</v>
      </c>
      <c r="X899" s="50" t="s">
        <v>123</v>
      </c>
      <c r="Y899" s="50">
        <v>150071</v>
      </c>
    </row>
    <row r="900" spans="1:25" x14ac:dyDescent="0.25">
      <c r="A900" s="25" t="s">
        <v>115</v>
      </c>
      <c r="B900" t="b">
        <v>0</v>
      </c>
      <c r="C900" s="43" t="s">
        <v>1147</v>
      </c>
      <c r="D900" s="43">
        <v>24522283297</v>
      </c>
      <c r="E900" s="43">
        <v>24522282881</v>
      </c>
      <c r="F900" s="43" t="s">
        <v>123</v>
      </c>
      <c r="G900" s="43" t="b">
        <v>1</v>
      </c>
      <c r="H900" s="43" t="b">
        <v>0</v>
      </c>
      <c r="I900" s="43" t="s">
        <v>134</v>
      </c>
      <c r="M900" s="48" t="s">
        <v>1147</v>
      </c>
      <c r="N900" s="48">
        <v>17088569706</v>
      </c>
      <c r="O900" s="48">
        <v>17088566147</v>
      </c>
      <c r="P900" s="48" t="s">
        <v>123</v>
      </c>
      <c r="Q900" s="49" t="s">
        <v>1147</v>
      </c>
      <c r="R900" s="49">
        <v>17093207069</v>
      </c>
      <c r="S900" s="49">
        <v>17093209773</v>
      </c>
      <c r="T900" s="49" t="s">
        <v>123</v>
      </c>
      <c r="U900" s="50" t="s">
        <v>1147</v>
      </c>
      <c r="V900" s="50">
        <v>17100529082</v>
      </c>
      <c r="W900" s="50">
        <v>17100525786</v>
      </c>
      <c r="X900" s="50" t="s">
        <v>123</v>
      </c>
      <c r="Y900" s="50">
        <v>150072</v>
      </c>
    </row>
    <row r="901" spans="1:25" x14ac:dyDescent="0.25">
      <c r="A901" s="25" t="s">
        <v>115</v>
      </c>
      <c r="B901" t="b">
        <v>0</v>
      </c>
      <c r="C901" s="43" t="s">
        <v>1148</v>
      </c>
      <c r="D901" s="43">
        <v>24522282273</v>
      </c>
      <c r="E901" s="43">
        <v>24522283585</v>
      </c>
      <c r="F901" s="43" t="s">
        <v>123</v>
      </c>
      <c r="G901" s="43" t="b">
        <v>1</v>
      </c>
      <c r="H901" s="43" t="b">
        <v>0</v>
      </c>
      <c r="I901" s="43" t="s">
        <v>134</v>
      </c>
      <c r="M901" s="48" t="s">
        <v>1148</v>
      </c>
      <c r="N901" s="48">
        <v>17088570458</v>
      </c>
      <c r="O901" s="48">
        <v>17088569331</v>
      </c>
      <c r="P901" s="48" t="s">
        <v>123</v>
      </c>
      <c r="Q901" s="49" t="s">
        <v>1148</v>
      </c>
      <c r="R901" s="49">
        <v>17093209117</v>
      </c>
      <c r="S901" s="49">
        <v>17093207981</v>
      </c>
      <c r="T901" s="49" t="s">
        <v>123</v>
      </c>
      <c r="U901" s="50" t="s">
        <v>1148</v>
      </c>
      <c r="V901" s="50">
        <v>17100526522</v>
      </c>
      <c r="W901" s="50">
        <v>17100529370</v>
      </c>
      <c r="X901" s="50" t="s">
        <v>123</v>
      </c>
      <c r="Y901" s="50">
        <v>150082</v>
      </c>
    </row>
    <row r="902" spans="1:25" x14ac:dyDescent="0.25">
      <c r="A902" s="25" t="s">
        <v>115</v>
      </c>
      <c r="B902" t="b">
        <v>0</v>
      </c>
      <c r="C902" s="43" t="s">
        <v>1149</v>
      </c>
      <c r="D902" s="43">
        <v>24522284321</v>
      </c>
      <c r="E902" s="43">
        <v>24522281793</v>
      </c>
      <c r="F902" s="43" t="s">
        <v>123</v>
      </c>
      <c r="G902" s="43" t="b">
        <v>1</v>
      </c>
      <c r="H902" s="43" t="b">
        <v>0</v>
      </c>
      <c r="I902" s="43" t="s">
        <v>134</v>
      </c>
      <c r="M902" s="48" t="s">
        <v>1149</v>
      </c>
      <c r="N902" s="48">
        <v>17088572954</v>
      </c>
      <c r="O902" s="48">
        <v>17088567315</v>
      </c>
      <c r="P902" s="48" t="s">
        <v>123</v>
      </c>
      <c r="Q902" s="49" t="s">
        <v>1149</v>
      </c>
      <c r="R902" s="49">
        <v>17093206557</v>
      </c>
      <c r="S902" s="49">
        <v>17093208685</v>
      </c>
      <c r="T902" s="49" t="s">
        <v>123</v>
      </c>
      <c r="U902" s="50" t="s">
        <v>1149</v>
      </c>
      <c r="V902" s="50">
        <v>17100528570</v>
      </c>
      <c r="W902" s="50">
        <v>17100527578</v>
      </c>
      <c r="X902" s="50" t="s">
        <v>123</v>
      </c>
      <c r="Y902" s="50">
        <v>150079</v>
      </c>
    </row>
    <row r="903" spans="1:25" x14ac:dyDescent="0.25">
      <c r="A903" s="25" t="s">
        <v>115</v>
      </c>
      <c r="B903" t="b">
        <v>0</v>
      </c>
      <c r="C903" s="43" t="s">
        <v>1150</v>
      </c>
      <c r="D903" s="43">
        <v>24522281761</v>
      </c>
      <c r="E903" s="43">
        <v>24522284225</v>
      </c>
      <c r="F903" s="43" t="s">
        <v>123</v>
      </c>
      <c r="G903" s="43" t="b">
        <v>1</v>
      </c>
      <c r="H903" s="43" t="b">
        <v>0</v>
      </c>
      <c r="I903" s="43" t="s">
        <v>134</v>
      </c>
      <c r="M903" s="48" t="s">
        <v>1150</v>
      </c>
      <c r="N903" s="48">
        <v>17088570092</v>
      </c>
      <c r="O903" s="48">
        <v>17088568876</v>
      </c>
      <c r="P903" s="48" t="s">
        <v>123</v>
      </c>
      <c r="Q903" s="49" t="s">
        <v>1150</v>
      </c>
      <c r="R903" s="49">
        <v>17093208605</v>
      </c>
      <c r="S903" s="49">
        <v>17093206893</v>
      </c>
      <c r="T903" s="49" t="s">
        <v>123</v>
      </c>
      <c r="U903" s="50" t="s">
        <v>1150</v>
      </c>
      <c r="V903" s="50">
        <v>17100527546</v>
      </c>
      <c r="W903" s="50">
        <v>17100528186</v>
      </c>
      <c r="X903" s="50" t="s">
        <v>123</v>
      </c>
      <c r="Y903" s="50">
        <v>150077</v>
      </c>
    </row>
    <row r="904" spans="1:25" x14ac:dyDescent="0.25">
      <c r="A904" s="25" t="s">
        <v>115</v>
      </c>
      <c r="B904" t="b">
        <v>0</v>
      </c>
      <c r="C904" s="43" t="s">
        <v>1151</v>
      </c>
      <c r="D904" s="43">
        <v>24522283809</v>
      </c>
      <c r="E904" s="43">
        <v>24522282433</v>
      </c>
      <c r="F904" s="43" t="s">
        <v>123</v>
      </c>
      <c r="G904" s="43" t="b">
        <v>1</v>
      </c>
      <c r="H904" s="43" t="b">
        <v>0</v>
      </c>
      <c r="I904" s="43" t="s">
        <v>134</v>
      </c>
      <c r="M904" s="48" t="s">
        <v>1151</v>
      </c>
      <c r="N904" s="48">
        <v>17088570138</v>
      </c>
      <c r="O904" s="48">
        <v>17088565747</v>
      </c>
      <c r="P904" s="48" t="s">
        <v>123</v>
      </c>
      <c r="Q904" s="49" t="s">
        <v>1151</v>
      </c>
      <c r="R904" s="49">
        <v>17093207581</v>
      </c>
      <c r="S904" s="49">
        <v>17093209325</v>
      </c>
      <c r="T904" s="49" t="s">
        <v>123</v>
      </c>
      <c r="U904" s="50" t="s">
        <v>1151</v>
      </c>
      <c r="V904" s="50">
        <v>17100529594</v>
      </c>
      <c r="W904" s="50">
        <v>17100526394</v>
      </c>
      <c r="X904" s="50" t="s">
        <v>123</v>
      </c>
      <c r="Y904" s="50">
        <v>150081</v>
      </c>
    </row>
    <row r="905" spans="1:25" x14ac:dyDescent="0.25">
      <c r="A905" s="25" t="s">
        <v>115</v>
      </c>
      <c r="B905" t="b">
        <v>0</v>
      </c>
      <c r="C905" s="43" t="s">
        <v>1152</v>
      </c>
      <c r="D905" s="43">
        <v>24522542506</v>
      </c>
      <c r="E905" s="43">
        <v>24522540586</v>
      </c>
      <c r="F905" s="43" t="s">
        <v>123</v>
      </c>
      <c r="G905" s="43" t="b">
        <v>1</v>
      </c>
      <c r="H905" s="43" t="b">
        <v>0</v>
      </c>
      <c r="I905" s="43"/>
      <c r="M905" s="48" t="s">
        <v>1152</v>
      </c>
      <c r="N905" s="48">
        <v>17088572550</v>
      </c>
      <c r="O905" s="48">
        <v>17088565263</v>
      </c>
      <c r="P905" s="48" t="s">
        <v>123</v>
      </c>
      <c r="Q905" s="49" t="s">
        <v>1152</v>
      </c>
      <c r="R905" s="49">
        <v>17093208719</v>
      </c>
      <c r="S905" s="49">
        <v>17093206031</v>
      </c>
      <c r="T905" s="49" t="s">
        <v>123</v>
      </c>
      <c r="U905" s="50" t="s">
        <v>1152</v>
      </c>
      <c r="V905" s="50">
        <v>17100531145</v>
      </c>
      <c r="W905" s="50">
        <v>17100532297</v>
      </c>
      <c r="X905" s="50" t="s">
        <v>123</v>
      </c>
      <c r="Y905" s="50">
        <v>150189</v>
      </c>
    </row>
    <row r="906" spans="1:25" x14ac:dyDescent="0.25">
      <c r="A906" s="25" t="s">
        <v>115</v>
      </c>
      <c r="B906" t="b">
        <v>0</v>
      </c>
      <c r="C906" s="43" t="s">
        <v>1153</v>
      </c>
      <c r="D906" s="43">
        <v>24522539946</v>
      </c>
      <c r="E906" s="43">
        <v>24522541866</v>
      </c>
      <c r="F906" s="43" t="s">
        <v>123</v>
      </c>
      <c r="G906" s="43" t="b">
        <v>1</v>
      </c>
      <c r="H906" s="43" t="b">
        <v>0</v>
      </c>
      <c r="I906" s="43"/>
      <c r="M906" s="48" t="s">
        <v>1153</v>
      </c>
      <c r="N906" s="48">
        <v>17088572758</v>
      </c>
      <c r="O906" s="48">
        <v>17088571232</v>
      </c>
      <c r="P906" s="48" t="s">
        <v>123</v>
      </c>
      <c r="Q906" s="49" t="s">
        <v>1153</v>
      </c>
      <c r="R906" s="49">
        <v>17093207695</v>
      </c>
      <c r="S906" s="49">
        <v>17093209615</v>
      </c>
      <c r="T906" s="49" t="s">
        <v>123</v>
      </c>
      <c r="U906" s="50" t="s">
        <v>1153</v>
      </c>
      <c r="V906" s="50">
        <v>17100533193</v>
      </c>
      <c r="W906" s="50">
        <v>17100530505</v>
      </c>
      <c r="X906" s="50" t="s">
        <v>123</v>
      </c>
      <c r="Y906" s="50">
        <v>150177</v>
      </c>
    </row>
    <row r="907" spans="1:25" x14ac:dyDescent="0.25">
      <c r="A907" s="25" t="s">
        <v>115</v>
      </c>
      <c r="B907" t="b">
        <v>0</v>
      </c>
      <c r="C907" s="43" t="s">
        <v>1154</v>
      </c>
      <c r="D907" s="43">
        <v>24522541994</v>
      </c>
      <c r="E907" s="43">
        <v>24522539690</v>
      </c>
      <c r="F907" s="43" t="s">
        <v>123</v>
      </c>
      <c r="G907" s="43" t="b">
        <v>1</v>
      </c>
      <c r="H907" s="43" t="b">
        <v>0</v>
      </c>
      <c r="I907" s="43"/>
      <c r="M907" s="48" t="s">
        <v>1154</v>
      </c>
      <c r="N907" s="48">
        <v>17088570710</v>
      </c>
      <c r="O907" s="48">
        <v>17088572128</v>
      </c>
      <c r="P907" s="48" t="s">
        <v>123</v>
      </c>
      <c r="Q907" s="49" t="s">
        <v>1154</v>
      </c>
      <c r="R907" s="49">
        <v>17093209743</v>
      </c>
      <c r="S907" s="49">
        <v>17093207823</v>
      </c>
      <c r="T907" s="49" t="s">
        <v>123</v>
      </c>
      <c r="U907" s="50" t="s">
        <v>1154</v>
      </c>
      <c r="V907" s="50">
        <v>17100530633</v>
      </c>
      <c r="W907" s="50">
        <v>17100532937</v>
      </c>
      <c r="X907" s="50" t="s">
        <v>123</v>
      </c>
      <c r="Y907" s="50">
        <v>150171</v>
      </c>
    </row>
    <row r="908" spans="1:25" x14ac:dyDescent="0.25">
      <c r="A908" s="25" t="s">
        <v>115</v>
      </c>
      <c r="B908" t="b">
        <v>0</v>
      </c>
      <c r="C908" s="43" t="s">
        <v>1155</v>
      </c>
      <c r="D908" s="43">
        <v>24935683921</v>
      </c>
      <c r="E908" s="43">
        <v>24935685457</v>
      </c>
      <c r="F908" s="43" t="s">
        <v>123</v>
      </c>
      <c r="G908" s="43" t="b">
        <v>0</v>
      </c>
      <c r="H908" s="43" t="b">
        <v>0</v>
      </c>
      <c r="I908" s="43"/>
      <c r="M908" s="48" t="s">
        <v>1155</v>
      </c>
      <c r="N908" s="48">
        <v>17088569970</v>
      </c>
      <c r="O908" s="48">
        <v>17088566413</v>
      </c>
      <c r="P908" s="48" t="s">
        <v>123</v>
      </c>
      <c r="Q908" s="49" t="s">
        <v>1155</v>
      </c>
      <c r="R908" s="49">
        <v>17083127326</v>
      </c>
      <c r="S908" s="49">
        <v>17083125547</v>
      </c>
      <c r="T908" s="49" t="s">
        <v>123</v>
      </c>
      <c r="U908" s="50" t="s">
        <v>1155</v>
      </c>
      <c r="V908" s="50">
        <v>17083127326</v>
      </c>
      <c r="W908" s="50">
        <v>17083125547</v>
      </c>
      <c r="X908" s="50" t="s">
        <v>123</v>
      </c>
      <c r="Y908" s="50"/>
    </row>
    <row r="909" spans="1:25" x14ac:dyDescent="0.25">
      <c r="A909" s="25" t="s">
        <v>115</v>
      </c>
      <c r="B909" t="b">
        <v>0</v>
      </c>
      <c r="C909" s="43" t="s">
        <v>1156</v>
      </c>
      <c r="D909" s="43">
        <v>25400315660</v>
      </c>
      <c r="E909" s="43">
        <v>25400313204</v>
      </c>
      <c r="F909" s="43" t="s">
        <v>123</v>
      </c>
      <c r="G909" s="43" t="b">
        <v>0</v>
      </c>
      <c r="H909" s="43" t="b">
        <v>0</v>
      </c>
      <c r="I909" s="43"/>
      <c r="M909" s="48" t="s">
        <v>1156</v>
      </c>
      <c r="N909" s="48">
        <v>17088573202</v>
      </c>
      <c r="O909" s="48">
        <v>17088567857</v>
      </c>
      <c r="P909" s="48" t="s">
        <v>123</v>
      </c>
      <c r="Q909" s="49" t="s">
        <v>1156</v>
      </c>
      <c r="R909" s="49">
        <v>17083127502</v>
      </c>
      <c r="S909" s="49">
        <v>17083121965</v>
      </c>
      <c r="T909" s="49" t="s">
        <v>123</v>
      </c>
      <c r="U909" s="50" t="s">
        <v>1156</v>
      </c>
      <c r="V909" s="50">
        <v>17083127502</v>
      </c>
      <c r="W909" s="50">
        <v>17083121965</v>
      </c>
      <c r="X909" s="50" t="s">
        <v>123</v>
      </c>
      <c r="Y909" s="50"/>
    </row>
    <row r="910" spans="1:25" x14ac:dyDescent="0.25">
      <c r="A910" s="25" t="s">
        <v>115</v>
      </c>
      <c r="B910" t="b">
        <v>0</v>
      </c>
      <c r="C910" s="43" t="s">
        <v>1157</v>
      </c>
      <c r="D910" s="43">
        <v>25400311948</v>
      </c>
      <c r="E910" s="43">
        <v>25400312052</v>
      </c>
      <c r="F910" s="43" t="s">
        <v>117</v>
      </c>
      <c r="G910" s="43" t="b">
        <v>0</v>
      </c>
      <c r="H910" s="43" t="b">
        <v>0</v>
      </c>
      <c r="I910" s="43"/>
      <c r="J910" s="45" t="s">
        <v>1157</v>
      </c>
      <c r="K910" s="46">
        <v>25400312052</v>
      </c>
      <c r="L910" s="47">
        <v>990000689</v>
      </c>
      <c r="M910" s="48" t="s">
        <v>1157</v>
      </c>
      <c r="N910" s="48">
        <v>17088569906</v>
      </c>
      <c r="O910" s="48">
        <v>17088566873</v>
      </c>
      <c r="P910" s="48" t="s">
        <v>117</v>
      </c>
      <c r="Q910" s="49" t="s">
        <v>1157</v>
      </c>
      <c r="R910" s="49">
        <v>17083126382</v>
      </c>
      <c r="S910" s="49">
        <v>17083123965</v>
      </c>
      <c r="T910" s="49" t="s">
        <v>117</v>
      </c>
      <c r="U910" s="50" t="s">
        <v>1157</v>
      </c>
      <c r="V910" s="50">
        <v>17083126382</v>
      </c>
      <c r="W910" s="50">
        <v>17083123965</v>
      </c>
      <c r="X910" s="50" t="s">
        <v>117</v>
      </c>
      <c r="Y910" s="50"/>
    </row>
    <row r="911" spans="1:25" x14ac:dyDescent="0.25">
      <c r="A911" s="25" t="s">
        <v>115</v>
      </c>
      <c r="B911" t="b">
        <v>0</v>
      </c>
      <c r="C911" s="43" t="s">
        <v>1158</v>
      </c>
      <c r="D911" s="43">
        <v>25400313996</v>
      </c>
      <c r="E911" s="43">
        <v>25400314740</v>
      </c>
      <c r="F911" s="43" t="s">
        <v>119</v>
      </c>
      <c r="G911" s="43" t="b">
        <v>0</v>
      </c>
      <c r="H911" s="43" t="b">
        <v>0</v>
      </c>
      <c r="I911" s="43"/>
      <c r="J911" s="45" t="s">
        <v>1158</v>
      </c>
      <c r="K911" s="46">
        <v>25400314740</v>
      </c>
      <c r="L911" s="47">
        <v>990000690</v>
      </c>
      <c r="M911" s="48" t="s">
        <v>1158</v>
      </c>
      <c r="N911" s="48">
        <v>17088572938</v>
      </c>
      <c r="O911" s="48">
        <v>17088565301</v>
      </c>
      <c r="P911" s="48" t="s">
        <v>119</v>
      </c>
      <c r="Q911" s="49" t="s">
        <v>1158</v>
      </c>
      <c r="R911" s="49">
        <v>17083128862</v>
      </c>
      <c r="S911" s="49">
        <v>17083124723</v>
      </c>
      <c r="T911" s="49" t="s">
        <v>119</v>
      </c>
      <c r="U911" s="50" t="s">
        <v>1158</v>
      </c>
      <c r="V911" s="50">
        <v>17083128862</v>
      </c>
      <c r="W911" s="50">
        <v>17083124723</v>
      </c>
      <c r="X911" s="50" t="s">
        <v>119</v>
      </c>
      <c r="Y911" s="50"/>
    </row>
    <row r="912" spans="1:25" x14ac:dyDescent="0.25">
      <c r="A912" s="25" t="b">
        <v>1</v>
      </c>
      <c r="B912" t="b">
        <v>0</v>
      </c>
      <c r="C912" s="43" t="s">
        <v>1159</v>
      </c>
      <c r="D912" s="43">
        <v>25471974433</v>
      </c>
      <c r="E912" s="43">
        <v>25471972033</v>
      </c>
      <c r="F912" s="43" t="s">
        <v>173</v>
      </c>
      <c r="G912" s="43" t="b">
        <v>0</v>
      </c>
      <c r="H912" s="43" t="b">
        <v>0</v>
      </c>
      <c r="I912" s="43"/>
      <c r="J912" s="45" t="s">
        <v>1160</v>
      </c>
      <c r="K912" s="46">
        <v>25471972033</v>
      </c>
      <c r="M912" s="48" t="s">
        <v>1159</v>
      </c>
      <c r="N912" s="48">
        <v>17088570996</v>
      </c>
      <c r="O912" s="48">
        <v>17088568780</v>
      </c>
      <c r="P912" s="48" t="s">
        <v>173</v>
      </c>
      <c r="Q912" s="49" t="s">
        <v>1159</v>
      </c>
      <c r="R912" s="49">
        <v>17086203140</v>
      </c>
      <c r="S912" s="49">
        <v>17084621689</v>
      </c>
      <c r="T912" s="49" t="s">
        <v>173</v>
      </c>
      <c r="U912" s="50" t="s">
        <v>1159</v>
      </c>
      <c r="V912" s="50">
        <v>17102546669</v>
      </c>
      <c r="W912" s="50">
        <v>17101202743</v>
      </c>
      <c r="X912" s="50" t="s">
        <v>173</v>
      </c>
      <c r="Y912" s="50"/>
    </row>
    <row r="913" spans="1:25" x14ac:dyDescent="0.25">
      <c r="A913" s="25" t="b">
        <v>1</v>
      </c>
      <c r="B913" t="b">
        <v>0</v>
      </c>
      <c r="C913" s="43" t="s">
        <v>1161</v>
      </c>
      <c r="D913" s="43">
        <v>25471971873</v>
      </c>
      <c r="E913" s="43">
        <v>25471975105</v>
      </c>
      <c r="F913" s="43" t="s">
        <v>173</v>
      </c>
      <c r="G913" s="43" t="b">
        <v>0</v>
      </c>
      <c r="H913" s="43" t="b">
        <v>0</v>
      </c>
      <c r="I913" s="43"/>
      <c r="J913" s="45" t="s">
        <v>1162</v>
      </c>
      <c r="K913" s="46">
        <v>25471975105</v>
      </c>
      <c r="M913" s="48" t="s">
        <v>1161</v>
      </c>
      <c r="N913" s="48">
        <v>17088570636</v>
      </c>
      <c r="O913" s="48">
        <v>17088568764</v>
      </c>
      <c r="P913" s="48" t="s">
        <v>173</v>
      </c>
      <c r="Q913" s="49" t="s">
        <v>1161</v>
      </c>
      <c r="R913" s="49">
        <v>17086191031</v>
      </c>
      <c r="S913" s="49">
        <v>17084624633</v>
      </c>
      <c r="T913" s="49" t="s">
        <v>173</v>
      </c>
      <c r="U913" s="50" t="s">
        <v>1161</v>
      </c>
      <c r="V913" s="50">
        <v>17102545389</v>
      </c>
      <c r="W913" s="50">
        <v>17101201591</v>
      </c>
      <c r="X913" s="50" t="s">
        <v>173</v>
      </c>
      <c r="Y913" s="50"/>
    </row>
    <row r="914" spans="1:25" x14ac:dyDescent="0.25">
      <c r="A914" s="25" t="b">
        <v>1</v>
      </c>
      <c r="B914" t="b">
        <v>0</v>
      </c>
      <c r="C914" s="43" t="s">
        <v>1163</v>
      </c>
      <c r="D914" s="43">
        <v>25471973921</v>
      </c>
      <c r="E914" s="43">
        <v>25471972801</v>
      </c>
      <c r="F914" s="43" t="s">
        <v>173</v>
      </c>
      <c r="G914" s="43" t="b">
        <v>0</v>
      </c>
      <c r="H914" s="43" t="b">
        <v>0</v>
      </c>
      <c r="I914" s="43"/>
      <c r="J914" s="45" t="s">
        <v>1164</v>
      </c>
      <c r="K914" s="46">
        <v>25471972801</v>
      </c>
      <c r="M914" s="48" t="s">
        <v>1163</v>
      </c>
      <c r="N914" s="48">
        <v>17088571500</v>
      </c>
      <c r="O914" s="48">
        <v>17088568170</v>
      </c>
      <c r="P914" s="48" t="s">
        <v>173</v>
      </c>
      <c r="Q914" s="49" t="s">
        <v>1163</v>
      </c>
      <c r="R914" s="49">
        <v>17086193079</v>
      </c>
      <c r="S914" s="49">
        <v>17084624889</v>
      </c>
      <c r="T914" s="49" t="s">
        <v>173</v>
      </c>
      <c r="U914" s="50" t="s">
        <v>1163</v>
      </c>
      <c r="V914" s="50">
        <v>17102547437</v>
      </c>
      <c r="W914" s="50">
        <v>17101204663</v>
      </c>
      <c r="X914" s="50" t="s">
        <v>173</v>
      </c>
      <c r="Y914" s="50"/>
    </row>
    <row r="915" spans="1:25" x14ac:dyDescent="0.25">
      <c r="A915" s="25" t="s">
        <v>115</v>
      </c>
      <c r="B915" t="b">
        <v>0</v>
      </c>
      <c r="C915" s="43" t="s">
        <v>1165</v>
      </c>
      <c r="D915" s="43">
        <v>192486082139</v>
      </c>
      <c r="E915" s="43">
        <v>192486083787</v>
      </c>
      <c r="F915" s="43" t="s">
        <v>132</v>
      </c>
      <c r="G915" s="43" t="b">
        <v>0</v>
      </c>
      <c r="H915" s="43" t="b">
        <v>0</v>
      </c>
      <c r="I915" s="43"/>
      <c r="M915" s="48" t="s">
        <v>1165</v>
      </c>
      <c r="N915" s="48">
        <v>17093056927</v>
      </c>
      <c r="O915" s="48">
        <v>17093056468</v>
      </c>
      <c r="P915" s="48" t="s">
        <v>132</v>
      </c>
      <c r="Q915" s="49" t="s">
        <v>1165</v>
      </c>
      <c r="R915" s="49">
        <v>17086178400</v>
      </c>
      <c r="S915" s="49">
        <v>17085069669</v>
      </c>
      <c r="T915" s="49" t="s">
        <v>132</v>
      </c>
      <c r="U915" s="50" t="s">
        <v>1165</v>
      </c>
      <c r="V915" s="50">
        <v>17084592050</v>
      </c>
      <c r="W915" s="50">
        <v>17084590946</v>
      </c>
      <c r="X915" s="50" t="s">
        <v>132</v>
      </c>
      <c r="Y915" s="50"/>
    </row>
    <row r="916" spans="1:25" x14ac:dyDescent="0.25">
      <c r="A916" s="25" t="s">
        <v>115</v>
      </c>
      <c r="B916" t="b">
        <v>0</v>
      </c>
      <c r="C916" s="43" t="s">
        <v>1166</v>
      </c>
      <c r="D916" s="43">
        <v>321217791741</v>
      </c>
      <c r="E916" s="43">
        <v>321217790333</v>
      </c>
      <c r="F916" s="43" t="s">
        <v>123</v>
      </c>
      <c r="G916" s="43" t="b">
        <v>1</v>
      </c>
      <c r="H916" s="43" t="b">
        <v>0</v>
      </c>
      <c r="I916" s="43" t="s">
        <v>134</v>
      </c>
      <c r="M916" s="48" t="s">
        <v>1166</v>
      </c>
      <c r="N916" s="48">
        <v>17096281932</v>
      </c>
      <c r="O916" s="48">
        <v>17096280140</v>
      </c>
      <c r="P916" s="48" t="s">
        <v>123</v>
      </c>
      <c r="Q916" s="49" t="s">
        <v>1166</v>
      </c>
      <c r="R916" s="49">
        <v>17085925442</v>
      </c>
      <c r="S916" s="49">
        <v>17085924994</v>
      </c>
      <c r="T916" s="49" t="s">
        <v>123</v>
      </c>
      <c r="U916" s="50" t="s">
        <v>1166</v>
      </c>
      <c r="V916" s="50">
        <v>17085391015</v>
      </c>
      <c r="W916" s="50">
        <v>17085391911</v>
      </c>
      <c r="X916" s="50" t="s">
        <v>123</v>
      </c>
      <c r="Y916" s="50">
        <v>150097</v>
      </c>
    </row>
    <row r="917" spans="1:25" x14ac:dyDescent="0.25">
      <c r="A917" s="25" t="s">
        <v>115</v>
      </c>
      <c r="B917" t="b">
        <v>0</v>
      </c>
      <c r="C917" s="43" t="s">
        <v>1167</v>
      </c>
      <c r="D917" s="43">
        <v>321217793789</v>
      </c>
      <c r="E917" s="43">
        <v>321217792893</v>
      </c>
      <c r="F917" s="43" t="s">
        <v>123</v>
      </c>
      <c r="G917" s="43" t="b">
        <v>1</v>
      </c>
      <c r="H917" s="43" t="b">
        <v>0</v>
      </c>
      <c r="I917" s="43" t="s">
        <v>134</v>
      </c>
      <c r="M917" s="48" t="s">
        <v>1167</v>
      </c>
      <c r="N917" s="48">
        <v>17096278220</v>
      </c>
      <c r="O917" s="48">
        <v>17096279628</v>
      </c>
      <c r="P917" s="48" t="s">
        <v>123</v>
      </c>
      <c r="Q917" s="49" t="s">
        <v>1167</v>
      </c>
      <c r="R917" s="49">
        <v>17085924418</v>
      </c>
      <c r="S917" s="49">
        <v>17085926786</v>
      </c>
      <c r="T917" s="49" t="s">
        <v>123</v>
      </c>
      <c r="U917" s="50" t="s">
        <v>1167</v>
      </c>
      <c r="V917" s="50">
        <v>17085393063</v>
      </c>
      <c r="W917" s="50">
        <v>17085394471</v>
      </c>
      <c r="X917" s="50" t="s">
        <v>123</v>
      </c>
      <c r="Y917" s="50">
        <v>150098</v>
      </c>
    </row>
    <row r="918" spans="1:25" x14ac:dyDescent="0.25">
      <c r="A918" s="25" t="s">
        <v>248</v>
      </c>
      <c r="B918" t="b">
        <v>0</v>
      </c>
      <c r="C918" s="43" t="s">
        <v>1168</v>
      </c>
      <c r="D918" s="43">
        <v>358454265008</v>
      </c>
      <c r="E918" s="43">
        <v>358454267696</v>
      </c>
      <c r="F918" s="43" t="s">
        <v>132</v>
      </c>
      <c r="G918" s="43" t="b">
        <v>0</v>
      </c>
      <c r="H918" s="43" t="b">
        <v>0</v>
      </c>
      <c r="I918" s="43"/>
      <c r="J918" s="45" t="s">
        <v>1168</v>
      </c>
      <c r="K918" s="46">
        <v>358454267696</v>
      </c>
      <c r="M918" s="48" t="s">
        <v>1168</v>
      </c>
      <c r="N918" s="48">
        <v>17097090246</v>
      </c>
      <c r="O918" s="48">
        <v>17096931657</v>
      </c>
      <c r="P918" s="48" t="s">
        <v>132</v>
      </c>
      <c r="Q918" s="49" t="s">
        <v>1168</v>
      </c>
      <c r="R918" s="49">
        <v>17084759352</v>
      </c>
      <c r="S918" s="49">
        <v>17084756280</v>
      </c>
      <c r="T918" s="49" t="s">
        <v>132</v>
      </c>
      <c r="U918" s="50" t="s">
        <v>1168</v>
      </c>
      <c r="V918" s="50">
        <v>17085740341</v>
      </c>
      <c r="W918" s="50">
        <v>17085742645</v>
      </c>
      <c r="X918" s="50" t="s">
        <v>132</v>
      </c>
      <c r="Y918" s="50"/>
    </row>
    <row r="919" spans="1:25" x14ac:dyDescent="0.25">
      <c r="A919" s="25" t="s">
        <v>248</v>
      </c>
      <c r="B919" t="b">
        <v>0</v>
      </c>
      <c r="C919" s="43" t="s">
        <v>1169</v>
      </c>
      <c r="D919" s="43">
        <v>358454267056</v>
      </c>
      <c r="E919" s="43">
        <v>358454265488</v>
      </c>
      <c r="F919" s="43" t="s">
        <v>132</v>
      </c>
      <c r="G919" s="43" t="b">
        <v>0</v>
      </c>
      <c r="H919" s="43" t="b">
        <v>0</v>
      </c>
      <c r="I919" s="43"/>
      <c r="J919" s="45" t="s">
        <v>1169</v>
      </c>
      <c r="K919" s="46">
        <v>358454265488</v>
      </c>
      <c r="M919" s="48" t="s">
        <v>1169</v>
      </c>
      <c r="N919" s="48">
        <v>17096940696</v>
      </c>
      <c r="O919" s="48">
        <v>17096930121</v>
      </c>
      <c r="P919" s="48" t="s">
        <v>132</v>
      </c>
      <c r="Q919" s="49" t="s">
        <v>1169</v>
      </c>
      <c r="R919" s="49">
        <v>17084756792</v>
      </c>
      <c r="S919" s="49">
        <v>17084759832</v>
      </c>
      <c r="T919" s="49" t="s">
        <v>132</v>
      </c>
      <c r="U919" s="50" t="s">
        <v>1169</v>
      </c>
      <c r="V919" s="50">
        <v>17085742389</v>
      </c>
      <c r="W919" s="50">
        <v>17085740821</v>
      </c>
      <c r="X919" s="50" t="s">
        <v>132</v>
      </c>
      <c r="Y919" s="50"/>
    </row>
    <row r="920" spans="1:25" x14ac:dyDescent="0.25">
      <c r="A920" s="25" t="s">
        <v>248</v>
      </c>
      <c r="B920" t="b">
        <v>0</v>
      </c>
      <c r="C920" s="43" t="s">
        <v>1170</v>
      </c>
      <c r="D920" s="43">
        <v>358454264496</v>
      </c>
      <c r="E920" s="43">
        <v>358454266256</v>
      </c>
      <c r="F920" s="43" t="s">
        <v>132</v>
      </c>
      <c r="G920" s="43" t="b">
        <v>0</v>
      </c>
      <c r="H920" s="43" t="b">
        <v>0</v>
      </c>
      <c r="I920" s="43"/>
      <c r="J920" s="45" t="s">
        <v>1170</v>
      </c>
      <c r="K920" s="46">
        <v>358454266256</v>
      </c>
      <c r="M920" s="48" t="s">
        <v>1170</v>
      </c>
      <c r="N920" s="48">
        <v>17096940184</v>
      </c>
      <c r="O920" s="48">
        <v>17096933193</v>
      </c>
      <c r="P920" s="48" t="s">
        <v>132</v>
      </c>
      <c r="Q920" s="49" t="s">
        <v>1170</v>
      </c>
      <c r="R920" s="49">
        <v>17084758840</v>
      </c>
      <c r="S920" s="49">
        <v>17084757144</v>
      </c>
      <c r="T920" s="49" t="s">
        <v>132</v>
      </c>
      <c r="U920" s="50" t="s">
        <v>1170</v>
      </c>
      <c r="V920" s="50">
        <v>17085739829</v>
      </c>
      <c r="W920" s="50">
        <v>17085741205</v>
      </c>
      <c r="X920" s="50" t="s">
        <v>132</v>
      </c>
      <c r="Y920" s="50"/>
    </row>
    <row r="921" spans="1:25" x14ac:dyDescent="0.25">
      <c r="A921" s="25" t="s">
        <v>248</v>
      </c>
      <c r="B921" t="b">
        <v>0</v>
      </c>
      <c r="C921" s="43" t="s">
        <v>1171</v>
      </c>
      <c r="D921" s="43">
        <v>358454266544</v>
      </c>
      <c r="E921" s="43">
        <v>358454264720</v>
      </c>
      <c r="F921" s="43" t="s">
        <v>125</v>
      </c>
      <c r="G921" s="43" t="b">
        <v>0</v>
      </c>
      <c r="H921" s="43" t="b">
        <v>0</v>
      </c>
      <c r="I921" s="43"/>
      <c r="J921" s="45" t="s">
        <v>1171</v>
      </c>
      <c r="K921" s="46">
        <v>358454264720</v>
      </c>
      <c r="M921" s="48" t="s">
        <v>1171</v>
      </c>
      <c r="N921" s="48">
        <v>17096939160</v>
      </c>
      <c r="O921" s="48">
        <v>17096930505</v>
      </c>
      <c r="P921" s="48" t="s">
        <v>125</v>
      </c>
      <c r="Q921" s="49" t="s">
        <v>1171</v>
      </c>
      <c r="R921" s="49">
        <v>17084757816</v>
      </c>
      <c r="S921" s="49">
        <v>17084758680</v>
      </c>
      <c r="T921" s="49" t="s">
        <v>125</v>
      </c>
      <c r="U921" s="50" t="s">
        <v>1171</v>
      </c>
      <c r="V921" s="50">
        <v>17085741877</v>
      </c>
      <c r="W921" s="50">
        <v>17085739669</v>
      </c>
      <c r="X921" s="50" t="s">
        <v>125</v>
      </c>
      <c r="Y921" s="50"/>
    </row>
    <row r="922" spans="1:25" x14ac:dyDescent="0.25">
      <c r="A922" s="25" t="s">
        <v>248</v>
      </c>
      <c r="B922" t="b">
        <v>0</v>
      </c>
      <c r="C922" s="43" t="s">
        <v>1172</v>
      </c>
      <c r="D922" s="43">
        <v>358454265520</v>
      </c>
      <c r="E922" s="43">
        <v>358454267792</v>
      </c>
      <c r="F922" s="43" t="s">
        <v>125</v>
      </c>
      <c r="G922" s="43" t="b">
        <v>0</v>
      </c>
      <c r="H922" s="43" t="b">
        <v>0</v>
      </c>
      <c r="I922" s="43"/>
      <c r="J922" s="45" t="s">
        <v>1172</v>
      </c>
      <c r="K922" s="46">
        <v>358454267792</v>
      </c>
      <c r="M922" s="48" t="s">
        <v>1172</v>
      </c>
      <c r="N922" s="48">
        <v>17096941208</v>
      </c>
      <c r="O922" s="48">
        <v>17096932041</v>
      </c>
      <c r="P922" s="48" t="s">
        <v>125</v>
      </c>
      <c r="Q922" s="49" t="s">
        <v>1172</v>
      </c>
      <c r="R922" s="49">
        <v>17084759864</v>
      </c>
      <c r="S922" s="49">
        <v>17084756376</v>
      </c>
      <c r="T922" s="49" t="s">
        <v>125</v>
      </c>
      <c r="U922" s="50" t="s">
        <v>1172</v>
      </c>
      <c r="V922" s="50">
        <v>17085740853</v>
      </c>
      <c r="W922" s="50">
        <v>17085742741</v>
      </c>
      <c r="X922" s="50" t="s">
        <v>125</v>
      </c>
      <c r="Y922" s="50"/>
    </row>
    <row r="923" spans="1:25" x14ac:dyDescent="0.25">
      <c r="A923" s="25" t="s">
        <v>248</v>
      </c>
      <c r="B923" t="b">
        <v>0</v>
      </c>
      <c r="C923" s="43" t="s">
        <v>1173</v>
      </c>
      <c r="D923" s="43">
        <v>358454267568</v>
      </c>
      <c r="E923" s="43">
        <v>358454264912</v>
      </c>
      <c r="F923" s="43" t="s">
        <v>125</v>
      </c>
      <c r="G923" s="43" t="b">
        <v>0</v>
      </c>
      <c r="H923" s="43" t="b">
        <v>0</v>
      </c>
      <c r="I923" s="43"/>
      <c r="J923" s="45" t="s">
        <v>1173</v>
      </c>
      <c r="K923" s="46">
        <v>358454264912</v>
      </c>
      <c r="M923" s="48" t="s">
        <v>1173</v>
      </c>
      <c r="N923" s="48">
        <v>17096937880</v>
      </c>
      <c r="O923" s="48">
        <v>17096929737</v>
      </c>
      <c r="P923" s="48" t="s">
        <v>125</v>
      </c>
      <c r="Q923" s="49" t="s">
        <v>1173</v>
      </c>
      <c r="R923" s="49">
        <v>17084756152</v>
      </c>
      <c r="S923" s="49">
        <v>17084759448</v>
      </c>
      <c r="T923" s="49" t="s">
        <v>125</v>
      </c>
      <c r="U923" s="50" t="s">
        <v>1173</v>
      </c>
      <c r="V923" s="50">
        <v>17085742901</v>
      </c>
      <c r="W923" s="50">
        <v>17085740437</v>
      </c>
      <c r="X923" s="50" t="s">
        <v>125</v>
      </c>
      <c r="Y923" s="50"/>
    </row>
    <row r="924" spans="1:25" x14ac:dyDescent="0.25">
      <c r="A924" s="25" t="s">
        <v>248</v>
      </c>
      <c r="B924" t="b">
        <v>0</v>
      </c>
      <c r="C924" s="43" t="s">
        <v>1174</v>
      </c>
      <c r="D924" s="43">
        <v>358454264240</v>
      </c>
      <c r="E924" s="43">
        <v>358454266448</v>
      </c>
      <c r="F924" s="43" t="s">
        <v>125</v>
      </c>
      <c r="G924" s="43" t="b">
        <v>0</v>
      </c>
      <c r="H924" s="43" t="b">
        <v>0</v>
      </c>
      <c r="I924" s="43"/>
      <c r="J924" s="45" t="s">
        <v>1174</v>
      </c>
      <c r="K924" s="46">
        <v>358454266448</v>
      </c>
      <c r="M924" s="48" t="s">
        <v>1174</v>
      </c>
      <c r="N924" s="48">
        <v>17096939928</v>
      </c>
      <c r="O924" s="48">
        <v>17096932809</v>
      </c>
      <c r="P924" s="48" t="s">
        <v>125</v>
      </c>
      <c r="Q924" s="49" t="s">
        <v>1174</v>
      </c>
      <c r="R924" s="49">
        <v>17084758200</v>
      </c>
      <c r="S924" s="49">
        <v>17084757912</v>
      </c>
      <c r="T924" s="49" t="s">
        <v>125</v>
      </c>
      <c r="U924" s="50" t="s">
        <v>1174</v>
      </c>
      <c r="V924" s="50">
        <v>17085739189</v>
      </c>
      <c r="W924" s="50">
        <v>17085741973</v>
      </c>
      <c r="X924" s="50" t="s">
        <v>125</v>
      </c>
      <c r="Y924" s="50"/>
    </row>
    <row r="925" spans="1:25" x14ac:dyDescent="0.25">
      <c r="A925" s="25" t="s">
        <v>248</v>
      </c>
      <c r="B925" t="b">
        <v>0</v>
      </c>
      <c r="C925" s="43" t="s">
        <v>1175</v>
      </c>
      <c r="D925" s="43">
        <v>358454266288</v>
      </c>
      <c r="E925" s="43">
        <v>358454267216</v>
      </c>
      <c r="F925" s="43" t="s">
        <v>132</v>
      </c>
      <c r="G925" s="43" t="b">
        <v>0</v>
      </c>
      <c r="H925" s="43" t="b">
        <v>0</v>
      </c>
      <c r="I925" s="43"/>
      <c r="J925" s="45" t="s">
        <v>1175</v>
      </c>
      <c r="K925" s="46">
        <v>358454267216</v>
      </c>
      <c r="M925" s="48" t="s">
        <v>1175</v>
      </c>
      <c r="N925" s="48">
        <v>17096940952</v>
      </c>
      <c r="O925" s="48">
        <v>17096931369</v>
      </c>
      <c r="P925" s="48" t="s">
        <v>132</v>
      </c>
      <c r="Q925" s="49" t="s">
        <v>1175</v>
      </c>
      <c r="R925" s="49">
        <v>17084757176</v>
      </c>
      <c r="S925" s="49">
        <v>17084756568</v>
      </c>
      <c r="T925" s="49" t="s">
        <v>132</v>
      </c>
      <c r="U925" s="50" t="s">
        <v>1175</v>
      </c>
      <c r="V925" s="50">
        <v>17085741237</v>
      </c>
      <c r="W925" s="50">
        <v>17085742165</v>
      </c>
      <c r="X925" s="50" t="s">
        <v>132</v>
      </c>
      <c r="Y925" s="50"/>
    </row>
    <row r="926" spans="1:25" x14ac:dyDescent="0.25">
      <c r="A926" s="25" t="s">
        <v>248</v>
      </c>
      <c r="B926" t="b">
        <v>0</v>
      </c>
      <c r="C926" s="43" t="s">
        <v>1176</v>
      </c>
      <c r="D926" s="43">
        <v>358454265264</v>
      </c>
      <c r="E926" s="43">
        <v>358454265680</v>
      </c>
      <c r="F926" s="43" t="s">
        <v>132</v>
      </c>
      <c r="G926" s="43" t="b">
        <v>0</v>
      </c>
      <c r="H926" s="43" t="b">
        <v>0</v>
      </c>
      <c r="I926" s="43"/>
      <c r="J926" s="45" t="s">
        <v>1176</v>
      </c>
      <c r="K926" s="46">
        <v>358454265680</v>
      </c>
      <c r="M926" s="48" t="s">
        <v>1176</v>
      </c>
      <c r="N926" s="48">
        <v>17096938392</v>
      </c>
      <c r="O926" s="48">
        <v>17096929833</v>
      </c>
      <c r="P926" s="48" t="s">
        <v>132</v>
      </c>
      <c r="Q926" s="49" t="s">
        <v>1176</v>
      </c>
      <c r="R926" s="49">
        <v>17084759224</v>
      </c>
      <c r="S926" s="49">
        <v>17084759640</v>
      </c>
      <c r="T926" s="49" t="s">
        <v>132</v>
      </c>
      <c r="U926" s="50" t="s">
        <v>1176</v>
      </c>
      <c r="V926" s="50">
        <v>17085740213</v>
      </c>
      <c r="W926" s="50">
        <v>17085740629</v>
      </c>
      <c r="X926" s="50" t="s">
        <v>132</v>
      </c>
      <c r="Y926" s="50"/>
    </row>
    <row r="927" spans="1:25" x14ac:dyDescent="0.25">
      <c r="A927" s="25" t="s">
        <v>248</v>
      </c>
      <c r="B927" t="b">
        <v>0</v>
      </c>
      <c r="C927" s="43" t="s">
        <v>1177</v>
      </c>
      <c r="D927" s="43">
        <v>358454267312</v>
      </c>
      <c r="E927" s="43">
        <v>358454264144</v>
      </c>
      <c r="F927" s="43" t="s">
        <v>132</v>
      </c>
      <c r="G927" s="43" t="b">
        <v>0</v>
      </c>
      <c r="H927" s="43" t="b">
        <v>0</v>
      </c>
      <c r="I927" s="43"/>
      <c r="J927" s="45" t="s">
        <v>1177</v>
      </c>
      <c r="K927" s="46">
        <v>358454264144</v>
      </c>
      <c r="M927" s="48" t="s">
        <v>1177</v>
      </c>
      <c r="N927" s="48">
        <v>17096938904</v>
      </c>
      <c r="O927" s="48">
        <v>17096931273</v>
      </c>
      <c r="P927" s="48" t="s">
        <v>132</v>
      </c>
      <c r="Q927" s="49" t="s">
        <v>1177</v>
      </c>
      <c r="R927" s="49">
        <v>17084756664</v>
      </c>
      <c r="S927" s="49">
        <v>17084758104</v>
      </c>
      <c r="T927" s="49" t="s">
        <v>132</v>
      </c>
      <c r="U927" s="50" t="s">
        <v>1177</v>
      </c>
      <c r="V927" s="50">
        <v>17085742261</v>
      </c>
      <c r="W927" s="50">
        <v>17085739093</v>
      </c>
      <c r="X927" s="50" t="s">
        <v>132</v>
      </c>
      <c r="Y927" s="50"/>
    </row>
    <row r="928" spans="1:25" x14ac:dyDescent="0.25">
      <c r="A928" s="25" t="s">
        <v>248</v>
      </c>
      <c r="B928" t="b">
        <v>0</v>
      </c>
      <c r="C928" s="43" t="s">
        <v>1178</v>
      </c>
      <c r="D928" s="43">
        <v>358454264752</v>
      </c>
      <c r="E928" s="43">
        <v>358454266064</v>
      </c>
      <c r="F928" s="43" t="s">
        <v>132</v>
      </c>
      <c r="G928" s="43" t="b">
        <v>0</v>
      </c>
      <c r="H928" s="43" t="b">
        <v>0</v>
      </c>
      <c r="I928" s="43"/>
      <c r="J928" s="45" t="s">
        <v>1178</v>
      </c>
      <c r="K928" s="46">
        <v>358454266064</v>
      </c>
      <c r="M928" s="48" t="s">
        <v>1178</v>
      </c>
      <c r="N928" s="48">
        <v>17096940440</v>
      </c>
      <c r="O928" s="48">
        <v>17096932905</v>
      </c>
      <c r="P928" s="48" t="s">
        <v>132</v>
      </c>
      <c r="Q928" s="49" t="s">
        <v>1178</v>
      </c>
      <c r="R928" s="49">
        <v>17084758712</v>
      </c>
      <c r="S928" s="49">
        <v>17084757336</v>
      </c>
      <c r="T928" s="49" t="s">
        <v>132</v>
      </c>
      <c r="U928" s="50" t="s">
        <v>1178</v>
      </c>
      <c r="V928" s="50">
        <v>17085739701</v>
      </c>
      <c r="W928" s="50">
        <v>17085741397</v>
      </c>
      <c r="X928" s="50" t="s">
        <v>132</v>
      </c>
      <c r="Y928" s="50"/>
    </row>
    <row r="929" spans="1:29" x14ac:dyDescent="0.25">
      <c r="A929" s="25" t="s">
        <v>248</v>
      </c>
      <c r="B929" t="b">
        <v>0</v>
      </c>
      <c r="C929" s="43" t="s">
        <v>1179</v>
      </c>
      <c r="D929" s="43">
        <v>358454266800</v>
      </c>
      <c r="E929" s="43">
        <v>358454264528</v>
      </c>
      <c r="F929" s="43" t="s">
        <v>132</v>
      </c>
      <c r="G929" s="43" t="b">
        <v>0</v>
      </c>
      <c r="H929" s="43" t="b">
        <v>0</v>
      </c>
      <c r="I929" s="43"/>
      <c r="J929" s="45" t="s">
        <v>1179</v>
      </c>
      <c r="K929" s="46">
        <v>358454264528</v>
      </c>
      <c r="M929" s="48" t="s">
        <v>1179</v>
      </c>
      <c r="N929" s="48">
        <v>17096939416</v>
      </c>
      <c r="O929" s="48">
        <v>17096930601</v>
      </c>
      <c r="P929" s="48" t="s">
        <v>132</v>
      </c>
      <c r="Q929" s="49" t="s">
        <v>1179</v>
      </c>
      <c r="R929" s="49">
        <v>17084757688</v>
      </c>
      <c r="S929" s="49">
        <v>17084758872</v>
      </c>
      <c r="T929" s="49" t="s">
        <v>132</v>
      </c>
      <c r="U929" s="50" t="s">
        <v>1179</v>
      </c>
      <c r="V929" s="50">
        <v>17085741749</v>
      </c>
      <c r="W929" s="50">
        <v>17085739861</v>
      </c>
      <c r="X929" s="50" t="s">
        <v>132</v>
      </c>
      <c r="Y929" s="50"/>
    </row>
    <row r="930" spans="1:29" x14ac:dyDescent="0.25">
      <c r="A930" s="25" t="s">
        <v>248</v>
      </c>
      <c r="B930" t="b">
        <v>0</v>
      </c>
      <c r="C930" s="43" t="s">
        <v>1180</v>
      </c>
      <c r="D930" s="43">
        <v>358454265776</v>
      </c>
      <c r="E930" s="43">
        <v>358454267600</v>
      </c>
      <c r="F930" s="43" t="s">
        <v>132</v>
      </c>
      <c r="G930" s="43" t="b">
        <v>0</v>
      </c>
      <c r="H930" s="43" t="b">
        <v>0</v>
      </c>
      <c r="I930" s="43"/>
      <c r="J930" s="45" t="s">
        <v>1180</v>
      </c>
      <c r="K930" s="46">
        <v>358454267600</v>
      </c>
      <c r="M930" s="48" t="s">
        <v>1180</v>
      </c>
      <c r="N930" s="48">
        <v>17096941464</v>
      </c>
      <c r="O930" s="48">
        <v>17096932137</v>
      </c>
      <c r="P930" s="48" t="s">
        <v>132</v>
      </c>
      <c r="Q930" s="49" t="s">
        <v>1180</v>
      </c>
      <c r="R930" s="49">
        <v>17084759736</v>
      </c>
      <c r="S930" s="49">
        <v>17084756184</v>
      </c>
      <c r="T930" s="49" t="s">
        <v>132</v>
      </c>
      <c r="U930" s="50" t="s">
        <v>1180</v>
      </c>
      <c r="V930" s="50">
        <v>17085740725</v>
      </c>
      <c r="W930" s="50">
        <v>17085742933</v>
      </c>
      <c r="X930" s="50" t="s">
        <v>132</v>
      </c>
      <c r="Y930" s="50"/>
    </row>
    <row r="931" spans="1:29" x14ac:dyDescent="0.25">
      <c r="A931" s="25" t="s">
        <v>248</v>
      </c>
      <c r="B931" t="b">
        <v>0</v>
      </c>
      <c r="C931" s="43" t="s">
        <v>1181</v>
      </c>
      <c r="D931" s="43">
        <v>358454267824</v>
      </c>
      <c r="E931" s="43">
        <v>358454265296</v>
      </c>
      <c r="F931" s="43" t="s">
        <v>132</v>
      </c>
      <c r="G931" s="43" t="b">
        <v>0</v>
      </c>
      <c r="H931" s="43" t="b">
        <v>0</v>
      </c>
      <c r="I931" s="43"/>
      <c r="J931" s="45" t="s">
        <v>1181</v>
      </c>
      <c r="K931" s="46">
        <v>358454265296</v>
      </c>
      <c r="M931" s="48" t="s">
        <v>1181</v>
      </c>
      <c r="N931" s="48">
        <v>17096937560</v>
      </c>
      <c r="O931" s="48">
        <v>17096930985</v>
      </c>
      <c r="P931" s="48" t="s">
        <v>132</v>
      </c>
      <c r="Q931" s="49" t="s">
        <v>1181</v>
      </c>
      <c r="R931" s="49">
        <v>17084756408</v>
      </c>
      <c r="S931" s="49">
        <v>17084759256</v>
      </c>
      <c r="T931" s="49" t="s">
        <v>132</v>
      </c>
      <c r="U931" s="50" t="s">
        <v>1181</v>
      </c>
      <c r="V931" s="50">
        <v>17085742773</v>
      </c>
      <c r="W931" s="50">
        <v>17085740245</v>
      </c>
      <c r="X931" s="50" t="s">
        <v>132</v>
      </c>
      <c r="Y931" s="50"/>
    </row>
    <row r="932" spans="1:29" x14ac:dyDescent="0.25">
      <c r="A932" s="25" t="s">
        <v>248</v>
      </c>
      <c r="B932" t="b">
        <v>0</v>
      </c>
      <c r="C932" s="43" t="s">
        <v>1182</v>
      </c>
      <c r="D932" s="43">
        <v>358454263920</v>
      </c>
      <c r="E932" s="43">
        <v>358454266832</v>
      </c>
      <c r="F932" s="43" t="s">
        <v>132</v>
      </c>
      <c r="G932" s="43" t="b">
        <v>0</v>
      </c>
      <c r="H932" s="43" t="b">
        <v>0</v>
      </c>
      <c r="I932" s="43"/>
      <c r="J932" s="45" t="s">
        <v>1182</v>
      </c>
      <c r="K932" s="46">
        <v>358454266832</v>
      </c>
      <c r="M932" s="48" t="s">
        <v>1182</v>
      </c>
      <c r="N932" s="48">
        <v>17096939608</v>
      </c>
      <c r="O932" s="48">
        <v>17096931753</v>
      </c>
      <c r="P932" s="48" t="s">
        <v>132</v>
      </c>
      <c r="Q932" s="49" t="s">
        <v>1182</v>
      </c>
      <c r="R932" s="49">
        <v>17084758456</v>
      </c>
      <c r="S932" s="49">
        <v>17084757720</v>
      </c>
      <c r="T932" s="49" t="s">
        <v>132</v>
      </c>
      <c r="U932" s="50" t="s">
        <v>1182</v>
      </c>
      <c r="V932" s="50">
        <v>17085739445</v>
      </c>
      <c r="W932" s="50">
        <v>17085741781</v>
      </c>
      <c r="X932" s="50" t="s">
        <v>132</v>
      </c>
      <c r="Y932" s="50"/>
    </row>
    <row r="933" spans="1:29" x14ac:dyDescent="0.25">
      <c r="A933" s="25" t="s">
        <v>248</v>
      </c>
      <c r="B933" t="b">
        <v>0</v>
      </c>
      <c r="C933" s="43" t="s">
        <v>1183</v>
      </c>
      <c r="D933" s="43">
        <v>358454265968</v>
      </c>
      <c r="E933" s="43">
        <v>358454263856</v>
      </c>
      <c r="F933" s="43" t="s">
        <v>132</v>
      </c>
      <c r="G933" s="43" t="b">
        <v>0</v>
      </c>
      <c r="H933" s="43" t="b">
        <v>0</v>
      </c>
      <c r="I933" s="43"/>
      <c r="J933" s="45" t="s">
        <v>1183</v>
      </c>
      <c r="K933" s="46">
        <v>358454263856</v>
      </c>
      <c r="L933" s="47">
        <v>990000266</v>
      </c>
      <c r="M933" s="48" t="s">
        <v>1183</v>
      </c>
      <c r="N933" s="48">
        <v>17096938584</v>
      </c>
      <c r="O933" s="48">
        <v>17096930217</v>
      </c>
      <c r="P933" s="48" t="s">
        <v>132</v>
      </c>
      <c r="Q933" s="49" t="s">
        <v>1183</v>
      </c>
      <c r="R933" s="49">
        <v>17084757432</v>
      </c>
      <c r="S933" s="49">
        <v>17084758488</v>
      </c>
      <c r="T933" s="49" t="s">
        <v>132</v>
      </c>
      <c r="U933" s="50" t="s">
        <v>1183</v>
      </c>
      <c r="V933" s="50">
        <v>17085741493</v>
      </c>
      <c r="W933" s="50">
        <v>17085739477</v>
      </c>
      <c r="X933" s="50" t="s">
        <v>132</v>
      </c>
      <c r="Y933" s="50"/>
    </row>
    <row r="934" spans="1:29" x14ac:dyDescent="0.25">
      <c r="A934" s="25" t="s">
        <v>248</v>
      </c>
      <c r="B934" t="b">
        <v>0</v>
      </c>
      <c r="C934" s="43" t="s">
        <v>1184</v>
      </c>
      <c r="D934" s="43">
        <v>358454264944</v>
      </c>
      <c r="E934" s="43">
        <v>358454266928</v>
      </c>
      <c r="F934" s="43" t="s">
        <v>125</v>
      </c>
      <c r="G934" s="43" t="b">
        <v>0</v>
      </c>
      <c r="H934" s="43" t="b">
        <v>0</v>
      </c>
      <c r="I934" s="43"/>
      <c r="J934" s="45" t="s">
        <v>1184</v>
      </c>
      <c r="K934" s="46">
        <v>358454266928</v>
      </c>
      <c r="M934" s="48" t="s">
        <v>1184</v>
      </c>
      <c r="N934" s="48">
        <v>17096940120</v>
      </c>
      <c r="O934" s="48">
        <v>17096929449</v>
      </c>
      <c r="P934" s="48" t="s">
        <v>125</v>
      </c>
      <c r="Q934" s="49" t="s">
        <v>1184</v>
      </c>
      <c r="R934" s="49">
        <v>17084759480</v>
      </c>
      <c r="S934" s="49">
        <v>17084756952</v>
      </c>
      <c r="T934" s="49" t="s">
        <v>125</v>
      </c>
      <c r="U934" s="50" t="s">
        <v>1184</v>
      </c>
      <c r="V934" s="50">
        <v>17085740469</v>
      </c>
      <c r="W934" s="50">
        <v>17085742549</v>
      </c>
      <c r="X934" s="50" t="s">
        <v>125</v>
      </c>
      <c r="Y934" s="50"/>
    </row>
    <row r="935" spans="1:29" x14ac:dyDescent="0.25">
      <c r="A935" s="25" t="s">
        <v>248</v>
      </c>
      <c r="B935" t="b">
        <v>0</v>
      </c>
      <c r="C935" s="43" t="s">
        <v>1185</v>
      </c>
      <c r="D935" s="43">
        <v>358454266992</v>
      </c>
      <c r="E935" s="43">
        <v>358454265392</v>
      </c>
      <c r="F935" s="43" t="s">
        <v>125</v>
      </c>
      <c r="G935" s="43" t="b">
        <v>0</v>
      </c>
      <c r="H935" s="43" t="b">
        <v>0</v>
      </c>
      <c r="I935" s="43"/>
      <c r="J935" s="45" t="s">
        <v>1185</v>
      </c>
      <c r="K935" s="46">
        <v>358454265392</v>
      </c>
      <c r="M935" s="48" t="s">
        <v>1185</v>
      </c>
      <c r="N935" s="48">
        <v>17096939096</v>
      </c>
      <c r="O935" s="48">
        <v>17096932521</v>
      </c>
      <c r="P935" s="48" t="s">
        <v>125</v>
      </c>
      <c r="Q935" s="49" t="s">
        <v>1185</v>
      </c>
      <c r="R935" s="49">
        <v>17084756920</v>
      </c>
      <c r="S935" s="49">
        <v>17084760024</v>
      </c>
      <c r="T935" s="49" t="s">
        <v>125</v>
      </c>
      <c r="U935" s="50" t="s">
        <v>1185</v>
      </c>
      <c r="V935" s="50">
        <v>17085742517</v>
      </c>
      <c r="W935" s="50">
        <v>17085741013</v>
      </c>
      <c r="X935" s="50" t="s">
        <v>125</v>
      </c>
      <c r="Y935" s="50"/>
    </row>
    <row r="936" spans="1:29" x14ac:dyDescent="0.25">
      <c r="A936" s="25" t="s">
        <v>248</v>
      </c>
      <c r="B936" t="b">
        <v>0</v>
      </c>
      <c r="C936" s="43" t="s">
        <v>1186</v>
      </c>
      <c r="D936" s="43">
        <v>358454264432</v>
      </c>
      <c r="E936" s="43">
        <v>358454266160</v>
      </c>
      <c r="F936" s="43" t="s">
        <v>125</v>
      </c>
      <c r="G936" s="43" t="b">
        <v>0</v>
      </c>
      <c r="H936" s="43" t="b">
        <v>0</v>
      </c>
      <c r="I936" s="43"/>
      <c r="J936" s="45" t="s">
        <v>1186</v>
      </c>
      <c r="K936" s="46">
        <v>358454266160</v>
      </c>
      <c r="M936" s="48" t="s">
        <v>1186</v>
      </c>
      <c r="N936" s="48">
        <v>17096938072</v>
      </c>
      <c r="O936" s="48">
        <v>17096930409</v>
      </c>
      <c r="P936" s="48" t="s">
        <v>125</v>
      </c>
      <c r="Q936" s="49" t="s">
        <v>1186</v>
      </c>
      <c r="R936" s="49">
        <v>17084758968</v>
      </c>
      <c r="S936" s="49">
        <v>17084757048</v>
      </c>
      <c r="T936" s="49" t="s">
        <v>125</v>
      </c>
      <c r="U936" s="50" t="s">
        <v>1186</v>
      </c>
      <c r="V936" s="50">
        <v>17085739957</v>
      </c>
      <c r="W936" s="50">
        <v>17085741109</v>
      </c>
      <c r="X936" s="50" t="s">
        <v>125</v>
      </c>
      <c r="Y936" s="50"/>
    </row>
    <row r="937" spans="1:29" x14ac:dyDescent="0.25">
      <c r="A937" s="25" t="s">
        <v>248</v>
      </c>
      <c r="B937" t="b">
        <v>0</v>
      </c>
      <c r="C937" s="43" t="s">
        <v>1187</v>
      </c>
      <c r="D937" s="43">
        <v>358454266480</v>
      </c>
      <c r="E937" s="43">
        <v>358454264624</v>
      </c>
      <c r="F937" s="43" t="s">
        <v>125</v>
      </c>
      <c r="G937" s="43" t="b">
        <v>0</v>
      </c>
      <c r="H937" s="43" t="b">
        <v>0</v>
      </c>
      <c r="I937" s="43"/>
      <c r="J937" s="45" t="s">
        <v>1187</v>
      </c>
      <c r="K937" s="46">
        <v>358454264624</v>
      </c>
      <c r="M937" s="48" t="s">
        <v>1187</v>
      </c>
      <c r="N937" s="48">
        <v>17096940632</v>
      </c>
      <c r="O937" s="48">
        <v>17096933289</v>
      </c>
      <c r="P937" s="48" t="s">
        <v>125</v>
      </c>
      <c r="Q937" s="49" t="s">
        <v>1187</v>
      </c>
      <c r="R937" s="49">
        <v>17084757944</v>
      </c>
      <c r="S937" s="49">
        <v>17084758584</v>
      </c>
      <c r="T937" s="49" t="s">
        <v>125</v>
      </c>
      <c r="U937" s="50" t="s">
        <v>1187</v>
      </c>
      <c r="V937" s="50">
        <v>17085742005</v>
      </c>
      <c r="W937" s="50">
        <v>17085739573</v>
      </c>
      <c r="X937" s="50" t="s">
        <v>125</v>
      </c>
      <c r="Y937" s="50"/>
    </row>
    <row r="938" spans="1:29" x14ac:dyDescent="0.25">
      <c r="A938" s="25" t="s">
        <v>115</v>
      </c>
      <c r="B938" t="b">
        <v>0</v>
      </c>
      <c r="C938" s="43" t="s">
        <v>1188</v>
      </c>
      <c r="D938" s="43">
        <v>361000109729</v>
      </c>
      <c r="E938" s="43">
        <v>361000110881</v>
      </c>
      <c r="F938" s="43" t="s">
        <v>125</v>
      </c>
      <c r="G938" s="43" t="b">
        <v>0</v>
      </c>
      <c r="H938" s="43" t="b">
        <v>0</v>
      </c>
      <c r="I938" s="43"/>
      <c r="J938" s="45" t="s">
        <v>1188</v>
      </c>
      <c r="K938" s="46">
        <v>361000110881</v>
      </c>
      <c r="L938" s="47">
        <v>990000544</v>
      </c>
      <c r="M938" s="48"/>
      <c r="N938" s="48"/>
      <c r="O938" s="48"/>
      <c r="P938" s="48"/>
      <c r="Q938" s="49" t="s">
        <v>1188</v>
      </c>
      <c r="R938" s="49">
        <v>17084930345</v>
      </c>
      <c r="S938" s="49">
        <v>17084928041</v>
      </c>
      <c r="T938" s="49" t="s">
        <v>125</v>
      </c>
      <c r="U938" s="50" t="s">
        <v>1188</v>
      </c>
      <c r="V938" s="50">
        <v>17085864394</v>
      </c>
      <c r="W938" s="50">
        <v>17085862090</v>
      </c>
      <c r="X938" s="50" t="s">
        <v>125</v>
      </c>
      <c r="Y938" s="50"/>
      <c r="Z938" s="53"/>
    </row>
    <row r="939" spans="1:29" ht="30" x14ac:dyDescent="0.25">
      <c r="A939" s="25" t="s">
        <v>115</v>
      </c>
      <c r="B939" t="b">
        <v>0</v>
      </c>
      <c r="C939" s="43" t="s">
        <v>1189</v>
      </c>
      <c r="D939" s="43">
        <v>361000111777</v>
      </c>
      <c r="E939" s="43">
        <v>361000108193</v>
      </c>
      <c r="F939" s="43" t="s">
        <v>132</v>
      </c>
      <c r="G939" s="43" t="b">
        <v>0</v>
      </c>
      <c r="H939" s="43" t="b">
        <v>1</v>
      </c>
      <c r="I939" s="43"/>
      <c r="J939" s="45" t="s">
        <v>1189</v>
      </c>
      <c r="K939" s="46">
        <v>361000108193</v>
      </c>
      <c r="L939" s="47">
        <v>990000545</v>
      </c>
      <c r="M939" s="48"/>
      <c r="N939" s="48"/>
      <c r="O939" s="48"/>
      <c r="P939" s="48"/>
      <c r="Q939" s="49" t="s">
        <v>1189</v>
      </c>
      <c r="R939" s="49">
        <v>17084929321</v>
      </c>
      <c r="S939" s="49">
        <v>17084931113</v>
      </c>
      <c r="T939" s="49" t="s">
        <v>132</v>
      </c>
      <c r="U939" s="50" t="s">
        <v>1189</v>
      </c>
      <c r="V939" s="50">
        <v>17085863370</v>
      </c>
      <c r="W939" s="50">
        <v>17085865162</v>
      </c>
      <c r="X939" s="50" t="s">
        <v>132</v>
      </c>
      <c r="Y939" s="50"/>
      <c r="Z939" s="53" t="s">
        <v>1190</v>
      </c>
      <c r="AA939" s="51" t="s">
        <v>192</v>
      </c>
      <c r="AB939" s="51">
        <v>16486</v>
      </c>
      <c r="AC939" s="51">
        <v>19619</v>
      </c>
    </row>
    <row r="940" spans="1:29" x14ac:dyDescent="0.25">
      <c r="A940" s="25" t="s">
        <v>115</v>
      </c>
      <c r="B940" t="b">
        <v>0</v>
      </c>
      <c r="C940" s="43" t="s">
        <v>1191</v>
      </c>
      <c r="D940" s="43">
        <v>361000108449</v>
      </c>
      <c r="E940" s="43">
        <v>361000111265</v>
      </c>
      <c r="F940" s="43" t="s">
        <v>186</v>
      </c>
      <c r="G940" s="43" t="b">
        <v>0</v>
      </c>
      <c r="H940" s="43" t="b">
        <v>1</v>
      </c>
      <c r="I940" s="43"/>
      <c r="J940" s="45" t="s">
        <v>1191</v>
      </c>
      <c r="K940" s="46">
        <v>361000111265</v>
      </c>
      <c r="L940" s="47">
        <v>990000481</v>
      </c>
      <c r="M940" s="48"/>
      <c r="N940" s="48"/>
      <c r="O940" s="48"/>
      <c r="P940" s="48"/>
      <c r="Q940" s="49" t="s">
        <v>1191</v>
      </c>
      <c r="R940" s="49">
        <v>17084931369</v>
      </c>
      <c r="S940" s="49">
        <v>17084929577</v>
      </c>
      <c r="T940" s="49" t="s">
        <v>186</v>
      </c>
      <c r="U940" s="50" t="s">
        <v>1191</v>
      </c>
      <c r="V940" s="50">
        <v>17085865418</v>
      </c>
      <c r="W940" s="50">
        <v>17085863626</v>
      </c>
      <c r="X940" s="50" t="s">
        <v>186</v>
      </c>
      <c r="Y940" s="50"/>
      <c r="Z940" s="51" t="s">
        <v>1191</v>
      </c>
      <c r="AA940" s="51" t="s">
        <v>187</v>
      </c>
      <c r="AB940" s="51">
        <v>638</v>
      </c>
      <c r="AC940" s="51">
        <v>759</v>
      </c>
    </row>
    <row r="941" spans="1:29" x14ac:dyDescent="0.25">
      <c r="A941" s="25" t="s">
        <v>115</v>
      </c>
      <c r="B941" t="b">
        <v>0</v>
      </c>
      <c r="C941" s="43" t="s">
        <v>1192</v>
      </c>
      <c r="D941" s="43">
        <v>361624943770</v>
      </c>
      <c r="E941" s="43">
        <v>361624944266</v>
      </c>
      <c r="F941" s="43" t="s">
        <v>123</v>
      </c>
      <c r="G941" s="43" t="b">
        <v>1</v>
      </c>
      <c r="H941" s="43" t="b">
        <v>0</v>
      </c>
      <c r="I941" s="43" t="s">
        <v>134</v>
      </c>
      <c r="M941" s="48" t="s">
        <v>1192</v>
      </c>
      <c r="N941" s="48">
        <v>17098547601</v>
      </c>
      <c r="O941" s="48">
        <v>17098548609</v>
      </c>
      <c r="P941" s="48" t="s">
        <v>123</v>
      </c>
      <c r="Q941" s="49"/>
      <c r="R941" s="49"/>
      <c r="S941" s="49"/>
      <c r="T941" s="49"/>
      <c r="U941" s="50" t="s">
        <v>1192</v>
      </c>
      <c r="V941" s="50">
        <v>17102546381</v>
      </c>
      <c r="W941" s="50">
        <v>17101191444</v>
      </c>
      <c r="X941" s="50" t="s">
        <v>123</v>
      </c>
      <c r="Y941" s="50">
        <v>150085</v>
      </c>
    </row>
    <row r="942" spans="1:29" x14ac:dyDescent="0.25">
      <c r="A942" s="25" t="s">
        <v>115</v>
      </c>
      <c r="B942" t="b">
        <v>0</v>
      </c>
      <c r="C942" s="43" t="s">
        <v>1193</v>
      </c>
      <c r="D942" s="43">
        <v>361624941210</v>
      </c>
      <c r="E942" s="43">
        <v>361624942474</v>
      </c>
      <c r="F942" s="43" t="s">
        <v>123</v>
      </c>
      <c r="G942" s="43" t="b">
        <v>1</v>
      </c>
      <c r="H942" s="43" t="b">
        <v>0</v>
      </c>
      <c r="I942" s="43" t="s">
        <v>134</v>
      </c>
      <c r="M942" s="48" t="s">
        <v>1193</v>
      </c>
      <c r="N942" s="48">
        <v>17098549649</v>
      </c>
      <c r="O942" s="48">
        <v>17098549313</v>
      </c>
      <c r="P942" s="48" t="s">
        <v>123</v>
      </c>
      <c r="Q942" s="49"/>
      <c r="R942" s="49"/>
      <c r="S942" s="49"/>
      <c r="T942" s="49"/>
      <c r="U942" s="50"/>
      <c r="V942" s="50"/>
      <c r="W942" s="50"/>
      <c r="X942" s="50"/>
      <c r="Y942" s="50"/>
    </row>
    <row r="943" spans="1:29" x14ac:dyDescent="0.25">
      <c r="A943" s="25" t="s">
        <v>115</v>
      </c>
      <c r="B943" t="b">
        <v>0</v>
      </c>
      <c r="C943" s="43" t="s">
        <v>1194</v>
      </c>
      <c r="D943" s="43">
        <v>361624943258</v>
      </c>
      <c r="E943" s="43">
        <v>361624943178</v>
      </c>
      <c r="F943" s="43" t="s">
        <v>123</v>
      </c>
      <c r="G943" s="43" t="b">
        <v>1</v>
      </c>
      <c r="H943" s="43" t="b">
        <v>0</v>
      </c>
      <c r="I943" s="43" t="s">
        <v>134</v>
      </c>
      <c r="M943" s="48" t="s">
        <v>1194</v>
      </c>
      <c r="N943" s="48">
        <v>17098548625</v>
      </c>
      <c r="O943" s="48">
        <v>17098547521</v>
      </c>
      <c r="P943" s="48" t="s">
        <v>123</v>
      </c>
      <c r="Q943" s="49"/>
      <c r="R943" s="49"/>
      <c r="S943" s="49"/>
      <c r="T943" s="49"/>
      <c r="U943" s="50" t="s">
        <v>1194</v>
      </c>
      <c r="V943" s="50">
        <v>17102546637</v>
      </c>
      <c r="W943" s="50">
        <v>17101189988</v>
      </c>
      <c r="X943" s="50" t="s">
        <v>123</v>
      </c>
      <c r="Y943" s="50">
        <v>150086</v>
      </c>
    </row>
    <row r="944" spans="1:29" x14ac:dyDescent="0.25">
      <c r="A944" s="25" t="s">
        <v>115</v>
      </c>
      <c r="B944" t="b">
        <v>0</v>
      </c>
      <c r="C944" s="43" t="s">
        <v>1195</v>
      </c>
      <c r="D944" s="43">
        <v>361624942234</v>
      </c>
      <c r="E944" s="43">
        <v>361624941386</v>
      </c>
      <c r="F944" s="43" t="s">
        <v>123</v>
      </c>
      <c r="G944" s="43" t="b">
        <v>1</v>
      </c>
      <c r="H944" s="43" t="b">
        <v>0</v>
      </c>
      <c r="I944" s="43" t="s">
        <v>134</v>
      </c>
      <c r="M944" s="48" t="s">
        <v>1195</v>
      </c>
      <c r="N944" s="48">
        <v>17098550673</v>
      </c>
      <c r="O944" s="48">
        <v>17098551105</v>
      </c>
      <c r="P944" s="48" t="s">
        <v>123</v>
      </c>
      <c r="Q944" s="49"/>
      <c r="R944" s="49"/>
      <c r="S944" s="49"/>
      <c r="T944" s="49"/>
      <c r="U944" s="50" t="s">
        <v>1195</v>
      </c>
      <c r="V944" s="50">
        <v>17102545613</v>
      </c>
      <c r="W944" s="50">
        <v>17101191076</v>
      </c>
      <c r="X944" s="50" t="s">
        <v>123</v>
      </c>
      <c r="Y944" s="50">
        <v>150087</v>
      </c>
    </row>
    <row r="945" spans="1:25" x14ac:dyDescent="0.25">
      <c r="A945" s="25" t="s">
        <v>115</v>
      </c>
      <c r="B945" t="b">
        <v>0</v>
      </c>
      <c r="C945" s="43" t="s">
        <v>1196</v>
      </c>
      <c r="D945" s="43">
        <v>361624944282</v>
      </c>
      <c r="E945" s="43">
        <v>361624943818</v>
      </c>
      <c r="F945" s="43" t="s">
        <v>123</v>
      </c>
      <c r="G945" s="43" t="b">
        <v>1</v>
      </c>
      <c r="H945" s="43" t="b">
        <v>0</v>
      </c>
      <c r="I945" s="43" t="s">
        <v>134</v>
      </c>
      <c r="M945" s="48" t="s">
        <v>1196</v>
      </c>
      <c r="N945" s="48">
        <v>17098548113</v>
      </c>
      <c r="O945" s="48">
        <v>17098548929</v>
      </c>
      <c r="P945" s="48" t="s">
        <v>123</v>
      </c>
      <c r="Q945" s="49"/>
      <c r="R945" s="49"/>
      <c r="S945" s="49"/>
      <c r="T945" s="49"/>
      <c r="U945" s="50" t="s">
        <v>1196</v>
      </c>
      <c r="V945" s="50">
        <v>17102546893</v>
      </c>
      <c r="W945" s="50">
        <v>17101191764</v>
      </c>
      <c r="X945" s="50" t="s">
        <v>123</v>
      </c>
      <c r="Y945" s="50">
        <v>150088</v>
      </c>
    </row>
    <row r="946" spans="1:25" x14ac:dyDescent="0.25">
      <c r="A946" s="25" t="s">
        <v>115</v>
      </c>
      <c r="B946" t="b">
        <v>0</v>
      </c>
      <c r="C946" s="43" t="s">
        <v>1197</v>
      </c>
      <c r="D946" s="43">
        <v>361624940954</v>
      </c>
      <c r="E946" s="43">
        <v>361624942026</v>
      </c>
      <c r="F946" s="43" t="s">
        <v>123</v>
      </c>
      <c r="G946" s="43" t="b">
        <v>1</v>
      </c>
      <c r="H946" s="43" t="b">
        <v>0</v>
      </c>
      <c r="I946" s="43" t="s">
        <v>134</v>
      </c>
      <c r="M946" s="48" t="s">
        <v>1197</v>
      </c>
      <c r="N946" s="48">
        <v>17098550161</v>
      </c>
      <c r="O946" s="48">
        <v>17098550209</v>
      </c>
      <c r="P946" s="48" t="s">
        <v>123</v>
      </c>
      <c r="Q946" s="49"/>
      <c r="R946" s="49"/>
      <c r="S946" s="49"/>
      <c r="T946" s="49"/>
      <c r="U946" s="50" t="s">
        <v>1197</v>
      </c>
      <c r="V946" s="50">
        <v>17102545357</v>
      </c>
      <c r="W946" s="50">
        <v>17101190628</v>
      </c>
      <c r="X946" s="50" t="s">
        <v>123</v>
      </c>
      <c r="Y946" s="50">
        <v>150089</v>
      </c>
    </row>
    <row r="947" spans="1:25" x14ac:dyDescent="0.25">
      <c r="A947" s="25" t="s">
        <v>115</v>
      </c>
      <c r="B947" t="b">
        <v>0</v>
      </c>
      <c r="C947" s="43" t="s">
        <v>1198</v>
      </c>
      <c r="D947" s="43">
        <v>361624943002</v>
      </c>
      <c r="E947" s="43">
        <v>361624942634</v>
      </c>
      <c r="F947" s="43" t="s">
        <v>123</v>
      </c>
      <c r="G947" s="43" t="b">
        <v>1</v>
      </c>
      <c r="H947" s="43" t="b">
        <v>0</v>
      </c>
      <c r="I947" s="43" t="s">
        <v>134</v>
      </c>
      <c r="M947" s="48" t="s">
        <v>1198</v>
      </c>
      <c r="N947" s="48">
        <v>17098549137</v>
      </c>
      <c r="O947" s="48">
        <v>17098547745</v>
      </c>
      <c r="P947" s="48" t="s">
        <v>123</v>
      </c>
      <c r="Q947" s="49"/>
      <c r="R947" s="49"/>
      <c r="S947" s="49"/>
      <c r="T947" s="49"/>
      <c r="U947" s="50" t="s">
        <v>1198</v>
      </c>
      <c r="V947" s="50">
        <v>17102548173</v>
      </c>
      <c r="W947" s="50">
        <v>17101192868</v>
      </c>
      <c r="X947" s="50" t="s">
        <v>123</v>
      </c>
      <c r="Y947" s="50">
        <v>150091</v>
      </c>
    </row>
    <row r="948" spans="1:25" x14ac:dyDescent="0.25">
      <c r="A948" s="25" t="s">
        <v>115</v>
      </c>
      <c r="B948" t="b">
        <v>0</v>
      </c>
      <c r="C948" s="43" t="s">
        <v>1199</v>
      </c>
      <c r="D948" s="43">
        <v>361624941978</v>
      </c>
      <c r="E948" s="43">
        <v>361624940842</v>
      </c>
      <c r="F948" s="43" t="s">
        <v>123</v>
      </c>
      <c r="G948" s="43" t="b">
        <v>1</v>
      </c>
      <c r="H948" s="43" t="b">
        <v>0</v>
      </c>
      <c r="I948" s="43" t="s">
        <v>134</v>
      </c>
      <c r="M948" s="48" t="s">
        <v>1199</v>
      </c>
      <c r="N948" s="48">
        <v>17098551185</v>
      </c>
      <c r="O948" s="48">
        <v>17098550561</v>
      </c>
      <c r="P948" s="48" t="s">
        <v>123</v>
      </c>
      <c r="Q948" s="49"/>
      <c r="R948" s="49"/>
      <c r="S948" s="49"/>
      <c r="T948" s="49"/>
      <c r="U948" s="50" t="s">
        <v>1199</v>
      </c>
      <c r="V948" s="50">
        <v>17102548685</v>
      </c>
      <c r="W948" s="50">
        <v>17101192420</v>
      </c>
      <c r="X948" s="50" t="s">
        <v>123</v>
      </c>
      <c r="Y948" s="50">
        <v>150092</v>
      </c>
    </row>
    <row r="949" spans="1:25" x14ac:dyDescent="0.25">
      <c r="A949" s="25" t="s">
        <v>115</v>
      </c>
      <c r="B949" t="b">
        <v>0</v>
      </c>
      <c r="C949" s="43" t="s">
        <v>1200</v>
      </c>
      <c r="D949" s="43">
        <v>361624944026</v>
      </c>
      <c r="E949" s="43">
        <v>361624944426</v>
      </c>
      <c r="F949" s="43" t="s">
        <v>123</v>
      </c>
      <c r="G949" s="43" t="b">
        <v>1</v>
      </c>
      <c r="H949" s="43" t="b">
        <v>0</v>
      </c>
      <c r="I949" s="43" t="s">
        <v>134</v>
      </c>
      <c r="M949" s="48" t="s">
        <v>1200</v>
      </c>
      <c r="N949" s="48">
        <v>17098548305</v>
      </c>
      <c r="O949" s="48">
        <v>17098547297</v>
      </c>
      <c r="P949" s="48" t="s">
        <v>123</v>
      </c>
      <c r="Q949" s="49"/>
      <c r="R949" s="49"/>
      <c r="S949" s="49"/>
      <c r="T949" s="49"/>
      <c r="U949" s="50" t="s">
        <v>1200</v>
      </c>
      <c r="V949" s="50">
        <v>17102548941</v>
      </c>
      <c r="W949" s="50">
        <v>17101189972</v>
      </c>
      <c r="X949" s="50" t="s">
        <v>123</v>
      </c>
      <c r="Y949" s="50">
        <v>150093</v>
      </c>
    </row>
    <row r="950" spans="1:25" x14ac:dyDescent="0.25">
      <c r="A950" s="25" t="s">
        <v>115</v>
      </c>
      <c r="B950" t="b">
        <v>0</v>
      </c>
      <c r="C950" s="43" t="s">
        <v>1201</v>
      </c>
      <c r="D950" s="43">
        <v>361624941466</v>
      </c>
      <c r="E950" s="43">
        <v>361624942250</v>
      </c>
      <c r="F950" s="43" t="s">
        <v>123</v>
      </c>
      <c r="G950" s="43" t="b">
        <v>1</v>
      </c>
      <c r="H950" s="43" t="b">
        <v>0</v>
      </c>
      <c r="I950" s="43" t="s">
        <v>134</v>
      </c>
      <c r="M950" s="48" t="s">
        <v>1201</v>
      </c>
      <c r="N950" s="48">
        <v>17098550353</v>
      </c>
      <c r="O950" s="48">
        <v>17098550881</v>
      </c>
      <c r="P950" s="48" t="s">
        <v>123</v>
      </c>
      <c r="Q950" s="49"/>
      <c r="R950" s="49"/>
      <c r="S950" s="49"/>
      <c r="T950" s="49"/>
      <c r="U950" s="50" t="s">
        <v>1201</v>
      </c>
      <c r="V950" s="50">
        <v>17102547405</v>
      </c>
      <c r="W950" s="50">
        <v>17101191188</v>
      </c>
      <c r="X950" s="50" t="s">
        <v>123</v>
      </c>
      <c r="Y950" s="50">
        <v>150066</v>
      </c>
    </row>
    <row r="951" spans="1:25" x14ac:dyDescent="0.25">
      <c r="A951" s="25" t="s">
        <v>115</v>
      </c>
      <c r="B951" t="b">
        <v>0</v>
      </c>
      <c r="C951" s="43" t="s">
        <v>1202</v>
      </c>
      <c r="D951" s="43">
        <v>361624943514</v>
      </c>
      <c r="E951" s="43">
        <v>361624943530</v>
      </c>
      <c r="F951" s="43" t="s">
        <v>123</v>
      </c>
      <c r="G951" s="43" t="b">
        <v>1</v>
      </c>
      <c r="H951" s="43" t="b">
        <v>0</v>
      </c>
      <c r="I951" s="43" t="s">
        <v>134</v>
      </c>
      <c r="M951" s="48" t="s">
        <v>1202</v>
      </c>
      <c r="N951" s="48">
        <v>17098547793</v>
      </c>
      <c r="O951" s="48">
        <v>17098549089</v>
      </c>
      <c r="P951" s="48" t="s">
        <v>123</v>
      </c>
      <c r="Q951" s="49" t="s">
        <v>1202</v>
      </c>
      <c r="R951" s="49">
        <v>17093232008</v>
      </c>
      <c r="S951" s="49">
        <v>17093231752</v>
      </c>
      <c r="T951" s="49" t="s">
        <v>123</v>
      </c>
      <c r="U951" s="50" t="s">
        <v>1202</v>
      </c>
      <c r="V951" s="50">
        <v>17100535280</v>
      </c>
      <c r="W951" s="50">
        <v>17100535024</v>
      </c>
      <c r="X951" s="50" t="s">
        <v>123</v>
      </c>
      <c r="Y951" s="50">
        <v>150099</v>
      </c>
    </row>
    <row r="952" spans="1:25" x14ac:dyDescent="0.25">
      <c r="A952" s="25" t="s">
        <v>115</v>
      </c>
      <c r="B952" t="b">
        <v>0</v>
      </c>
      <c r="C952" s="43" t="s">
        <v>1203</v>
      </c>
      <c r="D952" s="43">
        <v>361624942490</v>
      </c>
      <c r="E952" s="43">
        <v>361624941162</v>
      </c>
      <c r="F952" s="43" t="s">
        <v>123</v>
      </c>
      <c r="G952" s="43" t="b">
        <v>1</v>
      </c>
      <c r="H952" s="43" t="b">
        <v>0</v>
      </c>
      <c r="I952" s="43" t="s">
        <v>134</v>
      </c>
      <c r="M952" s="48" t="s">
        <v>1203</v>
      </c>
      <c r="N952" s="48">
        <v>17098549841</v>
      </c>
      <c r="O952" s="48">
        <v>17098549985</v>
      </c>
      <c r="P952" s="48" t="s">
        <v>123</v>
      </c>
      <c r="Q952" s="49" t="s">
        <v>1203</v>
      </c>
      <c r="R952" s="49">
        <v>17093234056</v>
      </c>
      <c r="S952" s="49">
        <v>17093231112</v>
      </c>
      <c r="T952" s="49" t="s">
        <v>123</v>
      </c>
      <c r="U952" s="50" t="s">
        <v>1203</v>
      </c>
      <c r="V952" s="50">
        <v>17100537328</v>
      </c>
      <c r="W952" s="50">
        <v>17100534384</v>
      </c>
      <c r="X952" s="50" t="s">
        <v>123</v>
      </c>
      <c r="Y952" s="50">
        <v>150090</v>
      </c>
    </row>
    <row r="953" spans="1:25" x14ac:dyDescent="0.25">
      <c r="A953" s="25" t="s">
        <v>115</v>
      </c>
      <c r="B953" t="b">
        <v>0</v>
      </c>
      <c r="C953" s="43" t="s">
        <v>1204</v>
      </c>
      <c r="D953" s="43">
        <v>361624944538</v>
      </c>
      <c r="E953" s="43">
        <v>361624943978</v>
      </c>
      <c r="F953" s="43" t="s">
        <v>123</v>
      </c>
      <c r="G953" s="43" t="b">
        <v>1</v>
      </c>
      <c r="H953" s="43" t="b">
        <v>0</v>
      </c>
      <c r="I953" s="43" t="s">
        <v>134</v>
      </c>
      <c r="M953" s="48" t="s">
        <v>1204</v>
      </c>
      <c r="N953" s="48">
        <v>17098548817</v>
      </c>
      <c r="O953" s="48">
        <v>17098548193</v>
      </c>
      <c r="P953" s="48" t="s">
        <v>123</v>
      </c>
      <c r="Q953" s="49" t="s">
        <v>1204</v>
      </c>
      <c r="R953" s="49">
        <v>17093231496</v>
      </c>
      <c r="S953" s="49">
        <v>17093233928</v>
      </c>
      <c r="T953" s="49" t="s">
        <v>123</v>
      </c>
      <c r="U953" s="50" t="s">
        <v>1204</v>
      </c>
      <c r="V953" s="50">
        <v>17100534768</v>
      </c>
      <c r="W953" s="50">
        <v>17100537200</v>
      </c>
      <c r="X953" s="50" t="s">
        <v>123</v>
      </c>
      <c r="Y953" s="50">
        <v>150094</v>
      </c>
    </row>
    <row r="954" spans="1:25" x14ac:dyDescent="0.25">
      <c r="A954" s="25" t="s">
        <v>115</v>
      </c>
      <c r="B954" t="b">
        <v>0</v>
      </c>
      <c r="C954" s="43" t="s">
        <v>1205</v>
      </c>
      <c r="D954" s="43">
        <v>361624940634</v>
      </c>
      <c r="E954" s="43">
        <v>361624941802</v>
      </c>
      <c r="F954" s="43" t="s">
        <v>123</v>
      </c>
      <c r="G954" s="43" t="b">
        <v>1</v>
      </c>
      <c r="H954" s="43" t="b">
        <v>0</v>
      </c>
      <c r="I954" s="43" t="s">
        <v>134</v>
      </c>
      <c r="M954" s="48" t="s">
        <v>1205</v>
      </c>
      <c r="N954" s="48">
        <v>17098550865</v>
      </c>
      <c r="O954" s="48">
        <v>17098550289</v>
      </c>
      <c r="P954" s="48" t="s">
        <v>123</v>
      </c>
      <c r="Q954" s="49"/>
      <c r="R954" s="49"/>
      <c r="S954" s="49"/>
      <c r="T954" s="49"/>
      <c r="U954" s="50" t="s">
        <v>1205</v>
      </c>
      <c r="V954" s="50">
        <v>17102545869</v>
      </c>
      <c r="W954" s="50">
        <v>17101192852</v>
      </c>
      <c r="X954" s="50" t="s">
        <v>123</v>
      </c>
      <c r="Y954" s="50">
        <v>150095</v>
      </c>
    </row>
    <row r="955" spans="1:25" x14ac:dyDescent="0.25">
      <c r="A955" s="25" t="s">
        <v>115</v>
      </c>
      <c r="B955" t="b">
        <v>0</v>
      </c>
      <c r="C955" s="43" t="s">
        <v>1206</v>
      </c>
      <c r="D955" s="43">
        <v>361624942682</v>
      </c>
      <c r="E955" s="43">
        <v>361624943082</v>
      </c>
      <c r="F955" s="43" t="s">
        <v>123</v>
      </c>
      <c r="G955" s="43" t="b">
        <v>1</v>
      </c>
      <c r="H955" s="43" t="b">
        <v>0</v>
      </c>
      <c r="I955" s="43" t="s">
        <v>134</v>
      </c>
      <c r="M955" s="48" t="s">
        <v>1206</v>
      </c>
      <c r="N955" s="48">
        <v>17098547537</v>
      </c>
      <c r="O955" s="48">
        <v>17098548497</v>
      </c>
      <c r="P955" s="48" t="s">
        <v>123</v>
      </c>
      <c r="Q955" s="49"/>
      <c r="R955" s="49"/>
      <c r="S955" s="49"/>
      <c r="T955" s="49"/>
      <c r="U955" s="50" t="s">
        <v>1206</v>
      </c>
      <c r="V955" s="50">
        <v>17102547917</v>
      </c>
      <c r="W955" s="50">
        <v>17101191060</v>
      </c>
      <c r="X955" s="50" t="s">
        <v>123</v>
      </c>
      <c r="Y955" s="50">
        <v>150096</v>
      </c>
    </row>
    <row r="956" spans="1:25" x14ac:dyDescent="0.25">
      <c r="A956" s="25" t="s">
        <v>115</v>
      </c>
      <c r="B956" t="b">
        <v>0</v>
      </c>
      <c r="C956" s="43" t="s">
        <v>1207</v>
      </c>
      <c r="D956" s="43">
        <v>361624941658</v>
      </c>
      <c r="E956" s="43">
        <v>361624940570</v>
      </c>
      <c r="F956" s="43" t="s">
        <v>123</v>
      </c>
      <c r="G956" s="43" t="b">
        <v>1</v>
      </c>
      <c r="H956" s="43" t="b">
        <v>0</v>
      </c>
      <c r="I956" s="43" t="s">
        <v>134</v>
      </c>
      <c r="M956" s="48" t="s">
        <v>1207</v>
      </c>
      <c r="N956" s="48">
        <v>17098549585</v>
      </c>
      <c r="O956" s="48">
        <v>17098549393</v>
      </c>
      <c r="P956" s="48" t="s">
        <v>123</v>
      </c>
      <c r="Q956" s="49"/>
      <c r="R956" s="49"/>
      <c r="S956" s="49"/>
      <c r="T956" s="49"/>
      <c r="U956" s="50" t="s">
        <v>1207</v>
      </c>
      <c r="V956" s="50">
        <v>17102548429</v>
      </c>
      <c r="W956" s="50">
        <v>17101189268</v>
      </c>
      <c r="X956" s="50" t="s">
        <v>123</v>
      </c>
      <c r="Y956" s="50">
        <v>150100</v>
      </c>
    </row>
    <row r="957" spans="1:25" x14ac:dyDescent="0.25">
      <c r="A957" s="25" t="s">
        <v>115</v>
      </c>
      <c r="B957" t="b">
        <v>0</v>
      </c>
      <c r="C957" s="43" t="s">
        <v>1208</v>
      </c>
      <c r="D957" s="43">
        <v>361624943706</v>
      </c>
      <c r="E957" s="43">
        <v>361624944154</v>
      </c>
      <c r="F957" s="43" t="s">
        <v>123</v>
      </c>
      <c r="G957" s="43" t="b">
        <v>1</v>
      </c>
      <c r="H957" s="43" t="b">
        <v>0</v>
      </c>
      <c r="I957" s="43" t="s">
        <v>134</v>
      </c>
      <c r="M957" s="48" t="s">
        <v>1208</v>
      </c>
      <c r="N957" s="48">
        <v>17100067061</v>
      </c>
      <c r="O957" s="48">
        <v>17100070414</v>
      </c>
      <c r="P957" s="48" t="s">
        <v>123</v>
      </c>
      <c r="Q957" s="49" t="s">
        <v>1208</v>
      </c>
      <c r="R957" s="49">
        <v>17085923394</v>
      </c>
      <c r="S957" s="49">
        <v>17085925506</v>
      </c>
      <c r="T957" s="49" t="s">
        <v>123</v>
      </c>
      <c r="U957" s="50" t="s">
        <v>1208</v>
      </c>
      <c r="V957" s="50">
        <v>17102546125</v>
      </c>
      <c r="W957" s="50">
        <v>17101190308</v>
      </c>
      <c r="X957" s="50" t="s">
        <v>123</v>
      </c>
      <c r="Y957" s="50">
        <v>150068</v>
      </c>
    </row>
    <row r="958" spans="1:25" x14ac:dyDescent="0.25">
      <c r="A958" s="25" t="s">
        <v>115</v>
      </c>
      <c r="B958" t="b">
        <v>0</v>
      </c>
      <c r="C958" s="43" t="s">
        <v>1209</v>
      </c>
      <c r="D958" s="43">
        <v>361624941146</v>
      </c>
      <c r="E958" s="43">
        <v>361624941338</v>
      </c>
      <c r="F958" s="43" t="s">
        <v>123</v>
      </c>
      <c r="G958" s="43" t="b">
        <v>1</v>
      </c>
      <c r="H958" s="43" t="b">
        <v>0</v>
      </c>
      <c r="I958" s="43" t="s">
        <v>134</v>
      </c>
      <c r="M958" s="48" t="s">
        <v>1209</v>
      </c>
      <c r="N958" s="48">
        <v>17099603990</v>
      </c>
      <c r="O958" s="48">
        <v>17099604454</v>
      </c>
      <c r="P958" s="48" t="s">
        <v>123</v>
      </c>
      <c r="Q958" s="49"/>
      <c r="R958" s="49"/>
      <c r="S958" s="49"/>
      <c r="T958" s="49"/>
      <c r="U958" s="50" t="s">
        <v>1209</v>
      </c>
      <c r="V958" s="50">
        <v>17102547661</v>
      </c>
      <c r="W958" s="50">
        <v>17101191780</v>
      </c>
      <c r="X958" s="50" t="s">
        <v>123</v>
      </c>
      <c r="Y958" s="50">
        <v>150101</v>
      </c>
    </row>
    <row r="959" spans="1:25" x14ac:dyDescent="0.25">
      <c r="A959" s="25" t="s">
        <v>115</v>
      </c>
      <c r="B959" t="b">
        <v>0</v>
      </c>
      <c r="C959" s="43" t="s">
        <v>1210</v>
      </c>
      <c r="D959" s="43">
        <v>364708967626</v>
      </c>
      <c r="E959" s="43">
        <v>364708970122</v>
      </c>
      <c r="F959" s="43" t="s">
        <v>1120</v>
      </c>
      <c r="G959" s="43" t="b">
        <v>0</v>
      </c>
      <c r="H959" s="43" t="b">
        <v>0</v>
      </c>
      <c r="I959" s="43" t="s">
        <v>126</v>
      </c>
      <c r="M959" s="48" t="s">
        <v>1210</v>
      </c>
      <c r="N959" s="48">
        <v>17100667679</v>
      </c>
      <c r="O959" s="48">
        <v>17100666095</v>
      </c>
      <c r="P959" s="48" t="s">
        <v>1120</v>
      </c>
      <c r="Q959" s="49"/>
      <c r="R959" s="49"/>
      <c r="S959" s="49"/>
      <c r="T959" s="49"/>
      <c r="U959" s="50" t="s">
        <v>1210</v>
      </c>
      <c r="V959" s="50">
        <v>17102547445</v>
      </c>
      <c r="W959" s="50">
        <v>17101192432</v>
      </c>
      <c r="X959" s="50" t="s">
        <v>1120</v>
      </c>
      <c r="Y959" s="50"/>
    </row>
    <row r="960" spans="1:25" x14ac:dyDescent="0.25">
      <c r="A960" s="25" t="s">
        <v>115</v>
      </c>
      <c r="B960" t="b">
        <v>0</v>
      </c>
      <c r="C960" s="43" t="s">
        <v>1211</v>
      </c>
      <c r="D960" s="43">
        <v>364708969674</v>
      </c>
      <c r="E960" s="43">
        <v>364708967818</v>
      </c>
      <c r="F960" s="43" t="s">
        <v>1120</v>
      </c>
      <c r="G960" s="43" t="b">
        <v>0</v>
      </c>
      <c r="H960" s="43" t="b">
        <v>0</v>
      </c>
      <c r="I960" s="43" t="s">
        <v>126</v>
      </c>
      <c r="M960" s="48" t="s">
        <v>1211</v>
      </c>
      <c r="N960" s="48">
        <v>17100666655</v>
      </c>
      <c r="O960" s="48">
        <v>17100667631</v>
      </c>
      <c r="P960" s="48" t="s">
        <v>1120</v>
      </c>
      <c r="Q960" s="49"/>
      <c r="R960" s="49"/>
      <c r="S960" s="49"/>
      <c r="T960" s="49"/>
      <c r="U960" s="50" t="s">
        <v>1211</v>
      </c>
      <c r="V960" s="50">
        <v>17102548469</v>
      </c>
      <c r="W960" s="50">
        <v>17101192688</v>
      </c>
      <c r="X960" s="50" t="s">
        <v>1120</v>
      </c>
      <c r="Y960" s="50"/>
    </row>
    <row r="961" spans="1:25" x14ac:dyDescent="0.25">
      <c r="A961" s="25" t="s">
        <v>115</v>
      </c>
      <c r="B961" t="b">
        <v>0</v>
      </c>
      <c r="C961" s="43" t="s">
        <v>1212</v>
      </c>
      <c r="D961" s="43">
        <v>364708967114</v>
      </c>
      <c r="E961" s="43">
        <v>364708969354</v>
      </c>
      <c r="F961" s="43" t="s">
        <v>1120</v>
      </c>
      <c r="G961" s="43" t="b">
        <v>0</v>
      </c>
      <c r="H961" s="43" t="b">
        <v>0</v>
      </c>
      <c r="I961" s="43" t="s">
        <v>126</v>
      </c>
      <c r="M961" s="48" t="s">
        <v>1212</v>
      </c>
      <c r="N961" s="48">
        <v>17100668703</v>
      </c>
      <c r="O961" s="48">
        <v>17100665327</v>
      </c>
      <c r="P961" s="48" t="s">
        <v>1120</v>
      </c>
      <c r="Q961" s="49"/>
      <c r="R961" s="49"/>
      <c r="S961" s="49"/>
      <c r="T961" s="49"/>
      <c r="U961" s="50" t="s">
        <v>1212</v>
      </c>
      <c r="V961" s="50">
        <v>17102545909</v>
      </c>
      <c r="W961" s="50">
        <v>17101191152</v>
      </c>
      <c r="X961" s="50" t="s">
        <v>1120</v>
      </c>
      <c r="Y961" s="50"/>
    </row>
    <row r="962" spans="1:25" x14ac:dyDescent="0.25">
      <c r="A962" s="25" t="s">
        <v>115</v>
      </c>
      <c r="B962" t="b">
        <v>0</v>
      </c>
      <c r="C962" s="43" t="s">
        <v>1213</v>
      </c>
      <c r="D962" s="43">
        <v>364708969162</v>
      </c>
      <c r="E962" s="43">
        <v>364708966474</v>
      </c>
      <c r="F962" s="43" t="s">
        <v>1120</v>
      </c>
      <c r="G962" s="43" t="b">
        <v>0</v>
      </c>
      <c r="H962" s="43" t="b">
        <v>0</v>
      </c>
      <c r="I962" s="43" t="s">
        <v>126</v>
      </c>
      <c r="M962" s="48" t="s">
        <v>1213</v>
      </c>
      <c r="N962" s="48">
        <v>17100664991</v>
      </c>
      <c r="O962" s="48">
        <v>17100668399</v>
      </c>
      <c r="P962" s="48" t="s">
        <v>1120</v>
      </c>
      <c r="Q962" s="49"/>
      <c r="R962" s="49"/>
      <c r="S962" s="49"/>
      <c r="T962" s="49"/>
      <c r="U962" s="50" t="s">
        <v>1213</v>
      </c>
      <c r="V962" s="50">
        <v>17102547957</v>
      </c>
      <c r="W962" s="50">
        <v>17101191176</v>
      </c>
      <c r="X962" s="50" t="s">
        <v>1120</v>
      </c>
      <c r="Y962" s="50"/>
    </row>
    <row r="963" spans="1:25" x14ac:dyDescent="0.25">
      <c r="A963" s="25" t="s">
        <v>115</v>
      </c>
      <c r="B963" t="b">
        <v>0</v>
      </c>
      <c r="C963" s="43" t="s">
        <v>1214</v>
      </c>
      <c r="D963" s="43">
        <v>364708968138</v>
      </c>
      <c r="E963" s="43">
        <v>364708969546</v>
      </c>
      <c r="F963" s="43" t="s">
        <v>1120</v>
      </c>
      <c r="G963" s="43" t="b">
        <v>0</v>
      </c>
      <c r="H963" s="43" t="b">
        <v>0</v>
      </c>
      <c r="I963" s="43" t="s">
        <v>126</v>
      </c>
      <c r="M963" s="48" t="s">
        <v>1214</v>
      </c>
      <c r="N963" s="48">
        <v>17100667039</v>
      </c>
      <c r="O963" s="48">
        <v>17100666863</v>
      </c>
      <c r="P963" s="48" t="s">
        <v>1120</v>
      </c>
      <c r="Q963" s="49"/>
      <c r="R963" s="49"/>
      <c r="S963" s="49"/>
      <c r="T963" s="49"/>
      <c r="U963" s="50" t="s">
        <v>1214</v>
      </c>
      <c r="V963" s="50">
        <v>17102546933</v>
      </c>
      <c r="W963" s="50">
        <v>17101189640</v>
      </c>
      <c r="X963" s="50" t="s">
        <v>1120</v>
      </c>
      <c r="Y963" s="50"/>
    </row>
    <row r="964" spans="1:25" x14ac:dyDescent="0.25">
      <c r="A964" s="25" t="s">
        <v>115</v>
      </c>
      <c r="B964" t="b">
        <v>0</v>
      </c>
      <c r="C964" s="43" t="s">
        <v>1215</v>
      </c>
      <c r="D964" s="43">
        <v>364708970186</v>
      </c>
      <c r="E964" s="43">
        <v>364708968010</v>
      </c>
      <c r="F964" s="43" t="s">
        <v>1120</v>
      </c>
      <c r="G964" s="43" t="b">
        <v>1</v>
      </c>
      <c r="H964" s="43" t="b">
        <v>0</v>
      </c>
      <c r="I964" s="43" t="s">
        <v>126</v>
      </c>
      <c r="M964" s="48" t="s">
        <v>1215</v>
      </c>
      <c r="N964" s="48">
        <v>17100666015</v>
      </c>
      <c r="O964" s="48">
        <v>17100666911</v>
      </c>
      <c r="P964" s="48" t="s">
        <v>1120</v>
      </c>
      <c r="Q964" s="49"/>
      <c r="R964" s="49"/>
      <c r="S964" s="49"/>
      <c r="T964" s="49"/>
      <c r="U964" s="50" t="s">
        <v>1215</v>
      </c>
      <c r="V964" s="50">
        <v>17102548981</v>
      </c>
      <c r="W964" s="50">
        <v>17101192712</v>
      </c>
      <c r="X964" s="50" t="s">
        <v>1120</v>
      </c>
      <c r="Y964" s="50">
        <v>130029</v>
      </c>
    </row>
    <row r="965" spans="1:25" x14ac:dyDescent="0.25">
      <c r="A965" s="25" t="s">
        <v>115</v>
      </c>
      <c r="B965" t="b">
        <v>0</v>
      </c>
      <c r="C965" s="43" t="s">
        <v>1216</v>
      </c>
      <c r="D965" s="43">
        <v>364708966858</v>
      </c>
      <c r="E965" s="43">
        <v>364708968778</v>
      </c>
      <c r="F965" s="43" t="s">
        <v>1120</v>
      </c>
      <c r="G965" s="43" t="b">
        <v>0</v>
      </c>
      <c r="H965" s="43" t="b">
        <v>0</v>
      </c>
      <c r="I965" s="43" t="s">
        <v>126</v>
      </c>
      <c r="M965" s="48" t="s">
        <v>1216</v>
      </c>
      <c r="N965" s="48">
        <v>17100668063</v>
      </c>
      <c r="O965" s="48">
        <v>17100665375</v>
      </c>
      <c r="P965" s="48" t="s">
        <v>1120</v>
      </c>
      <c r="Q965" s="49"/>
      <c r="R965" s="49"/>
      <c r="S965" s="49"/>
      <c r="T965" s="49"/>
      <c r="U965" s="50" t="s">
        <v>1216</v>
      </c>
      <c r="V965" s="50">
        <v>17102544909</v>
      </c>
      <c r="W965" s="50">
        <v>17101190408</v>
      </c>
      <c r="X965" s="50" t="s">
        <v>1120</v>
      </c>
      <c r="Y965" s="50"/>
    </row>
    <row r="966" spans="1:25" x14ac:dyDescent="0.25">
      <c r="A966" s="25" t="s">
        <v>115</v>
      </c>
      <c r="B966" t="b">
        <v>0</v>
      </c>
      <c r="C966" s="43" t="s">
        <v>1217</v>
      </c>
      <c r="D966" s="43">
        <v>230904877642</v>
      </c>
      <c r="E966" s="43">
        <v>230904879178</v>
      </c>
      <c r="F966" s="43" t="s">
        <v>123</v>
      </c>
      <c r="G966" s="43" t="b">
        <v>1</v>
      </c>
      <c r="H966" s="43" t="b">
        <v>0</v>
      </c>
      <c r="I966" s="43" t="s">
        <v>126</v>
      </c>
      <c r="M966" s="48" t="s">
        <v>1217</v>
      </c>
      <c r="N966" s="48">
        <v>17094562804</v>
      </c>
      <c r="O966" s="48">
        <v>17094564340</v>
      </c>
      <c r="P966" s="48" t="s">
        <v>123</v>
      </c>
      <c r="Q966" s="49" t="s">
        <v>1217</v>
      </c>
      <c r="R966" s="49">
        <v>17084343001</v>
      </c>
      <c r="S966" s="49">
        <v>17084344537</v>
      </c>
      <c r="T966" s="49" t="s">
        <v>123</v>
      </c>
      <c r="U966" s="50" t="s">
        <v>1217</v>
      </c>
      <c r="V966" s="50">
        <v>17084474478</v>
      </c>
      <c r="W966" s="50">
        <v>17084477358</v>
      </c>
      <c r="X966" s="50" t="s">
        <v>123</v>
      </c>
      <c r="Y966" s="50">
        <v>150188</v>
      </c>
    </row>
    <row r="967" spans="1:25" x14ac:dyDescent="0.25">
      <c r="A967" s="25" t="s">
        <v>115</v>
      </c>
      <c r="B967" t="b">
        <v>0</v>
      </c>
      <c r="C967" s="43" t="s">
        <v>1218</v>
      </c>
      <c r="D967" s="43">
        <v>358760791623</v>
      </c>
      <c r="E967" s="43">
        <v>358760791431</v>
      </c>
      <c r="F967" s="43" t="s">
        <v>1120</v>
      </c>
      <c r="G967" s="43" t="b">
        <v>1</v>
      </c>
      <c r="H967" s="43" t="b">
        <v>0</v>
      </c>
      <c r="I967" s="43" t="s">
        <v>126</v>
      </c>
      <c r="M967" s="48" t="s">
        <v>1218</v>
      </c>
      <c r="N967" s="48">
        <v>17097950689</v>
      </c>
      <c r="O967" s="48">
        <v>17097957122</v>
      </c>
      <c r="P967" s="48" t="s">
        <v>1120</v>
      </c>
      <c r="Q967" s="49" t="s">
        <v>1218</v>
      </c>
      <c r="R967" s="49">
        <v>17084795716</v>
      </c>
      <c r="S967" s="49">
        <v>17084794948</v>
      </c>
      <c r="T967" s="49" t="s">
        <v>1120</v>
      </c>
      <c r="U967" s="50" t="s">
        <v>1218</v>
      </c>
      <c r="V967" s="50">
        <v>17085715465</v>
      </c>
      <c r="W967" s="50">
        <v>17085716209</v>
      </c>
      <c r="X967" s="50" t="s">
        <v>1120</v>
      </c>
      <c r="Y967" s="50">
        <v>130425</v>
      </c>
    </row>
    <row r="968" spans="1:25" x14ac:dyDescent="0.25">
      <c r="A968" s="25" t="s">
        <v>115</v>
      </c>
      <c r="B968" t="b">
        <v>0</v>
      </c>
      <c r="C968" s="43" t="s">
        <v>1219</v>
      </c>
      <c r="D968" s="43">
        <v>358760788295</v>
      </c>
      <c r="E968" s="43">
        <v>358760788359</v>
      </c>
      <c r="F968" s="43" t="s">
        <v>1120</v>
      </c>
      <c r="G968" s="43" t="b">
        <v>0</v>
      </c>
      <c r="H968" s="43" t="b">
        <v>0</v>
      </c>
      <c r="I968" s="43" t="s">
        <v>126</v>
      </c>
      <c r="M968" s="48" t="s">
        <v>1219</v>
      </c>
      <c r="N968" s="48">
        <v>17097952737</v>
      </c>
      <c r="O968" s="48">
        <v>17097954050</v>
      </c>
      <c r="P968" s="48" t="s">
        <v>1120</v>
      </c>
      <c r="Q968" s="49" t="s">
        <v>1219</v>
      </c>
      <c r="R968" s="49">
        <v>17084794692</v>
      </c>
      <c r="S968" s="49">
        <v>17084794756</v>
      </c>
      <c r="T968" s="49" t="s">
        <v>1120</v>
      </c>
      <c r="U968" s="50" t="s">
        <v>1219</v>
      </c>
      <c r="V968" s="50">
        <v>17085717513</v>
      </c>
      <c r="W968" s="50">
        <v>17085717745</v>
      </c>
      <c r="X968" s="50" t="s">
        <v>1120</v>
      </c>
      <c r="Y968" s="50"/>
    </row>
    <row r="969" spans="1:25" x14ac:dyDescent="0.25">
      <c r="A969" s="25" t="s">
        <v>115</v>
      </c>
      <c r="B969" t="b">
        <v>0</v>
      </c>
      <c r="C969" s="43" t="s">
        <v>1220</v>
      </c>
      <c r="D969" s="43">
        <v>358760790343</v>
      </c>
      <c r="E969" s="43">
        <v>358760789127</v>
      </c>
      <c r="F969" s="43" t="s">
        <v>1120</v>
      </c>
      <c r="G969" s="43" t="b">
        <v>0</v>
      </c>
      <c r="H969" s="43" t="b">
        <v>0</v>
      </c>
      <c r="I969" s="43" t="s">
        <v>126</v>
      </c>
      <c r="M969" s="48" t="s">
        <v>1220</v>
      </c>
      <c r="N969" s="48">
        <v>17097950177</v>
      </c>
      <c r="O969" s="48">
        <v>17097954818</v>
      </c>
      <c r="P969" s="48" t="s">
        <v>1120</v>
      </c>
      <c r="Q969" s="49" t="s">
        <v>1220</v>
      </c>
      <c r="R969" s="49">
        <v>17084796740</v>
      </c>
      <c r="S969" s="49">
        <v>17084793220</v>
      </c>
      <c r="T969" s="49" t="s">
        <v>1120</v>
      </c>
      <c r="U969" s="50" t="s">
        <v>1220</v>
      </c>
      <c r="V969" s="50">
        <v>17085714953</v>
      </c>
      <c r="W969" s="50">
        <v>17085717361</v>
      </c>
      <c r="X969" s="50" t="s">
        <v>1120</v>
      </c>
      <c r="Y969" s="50"/>
    </row>
    <row r="970" spans="1:25" x14ac:dyDescent="0.25">
      <c r="A970" s="25" t="s">
        <v>115</v>
      </c>
      <c r="B970" t="b">
        <v>0</v>
      </c>
      <c r="C970" s="43" t="s">
        <v>1221</v>
      </c>
      <c r="D970" s="43">
        <v>358760789319</v>
      </c>
      <c r="E970" s="43">
        <v>358760790663</v>
      </c>
      <c r="F970" s="43" t="s">
        <v>1120</v>
      </c>
      <c r="G970" s="43" t="b">
        <v>0</v>
      </c>
      <c r="H970" s="43" t="b">
        <v>0</v>
      </c>
      <c r="I970" s="43" t="s">
        <v>126</v>
      </c>
      <c r="M970" s="48" t="s">
        <v>1221</v>
      </c>
      <c r="N970" s="48">
        <v>17097952225</v>
      </c>
      <c r="O970" s="48">
        <v>17097955586</v>
      </c>
      <c r="P970" s="48" t="s">
        <v>1120</v>
      </c>
      <c r="Q970" s="49" t="s">
        <v>1221</v>
      </c>
      <c r="R970" s="49">
        <v>17084793028</v>
      </c>
      <c r="S970" s="49">
        <v>17084796292</v>
      </c>
      <c r="T970" s="49" t="s">
        <v>1120</v>
      </c>
      <c r="U970" s="50" t="s">
        <v>1221</v>
      </c>
      <c r="V970" s="50">
        <v>17085717001</v>
      </c>
      <c r="W970" s="50">
        <v>17085714673</v>
      </c>
      <c r="X970" s="50" t="s">
        <v>1120</v>
      </c>
      <c r="Y970" s="50"/>
    </row>
    <row r="971" spans="1:25" x14ac:dyDescent="0.25">
      <c r="A971" s="25" t="s">
        <v>115</v>
      </c>
      <c r="B971" t="b">
        <v>0</v>
      </c>
      <c r="C971" s="43" t="s">
        <v>1222</v>
      </c>
      <c r="D971" s="43">
        <v>358760791367</v>
      </c>
      <c r="E971" s="43">
        <v>358760789895</v>
      </c>
      <c r="F971" s="43" t="s">
        <v>1120</v>
      </c>
      <c r="G971" s="43" t="b">
        <v>0</v>
      </c>
      <c r="H971" s="43" t="b">
        <v>0</v>
      </c>
      <c r="I971" s="43" t="s">
        <v>126</v>
      </c>
      <c r="M971" s="48" t="s">
        <v>1222</v>
      </c>
      <c r="N971" s="48">
        <v>17097951201</v>
      </c>
      <c r="O971" s="48">
        <v>17097954434</v>
      </c>
      <c r="P971" s="48" t="s">
        <v>1120</v>
      </c>
      <c r="Q971" s="49" t="s">
        <v>1222</v>
      </c>
      <c r="R971" s="49">
        <v>17084795076</v>
      </c>
      <c r="S971" s="49">
        <v>17084793412</v>
      </c>
      <c r="T971" s="49" t="s">
        <v>1120</v>
      </c>
      <c r="U971" s="50" t="s">
        <v>1222</v>
      </c>
      <c r="V971" s="50">
        <v>17085715977</v>
      </c>
      <c r="W971" s="50">
        <v>17085716977</v>
      </c>
      <c r="X971" s="50" t="s">
        <v>1120</v>
      </c>
      <c r="Y971" s="50"/>
    </row>
    <row r="972" spans="1:25" x14ac:dyDescent="0.25">
      <c r="A972" s="25" t="s">
        <v>115</v>
      </c>
      <c r="B972" t="b">
        <v>0</v>
      </c>
      <c r="C972" s="43" t="s">
        <v>1223</v>
      </c>
      <c r="D972" s="43">
        <v>358760788807</v>
      </c>
      <c r="E972" s="43">
        <v>358760790087</v>
      </c>
      <c r="F972" s="43" t="s">
        <v>1120</v>
      </c>
      <c r="G972" s="43" t="b">
        <v>0</v>
      </c>
      <c r="H972" s="43" t="b">
        <v>0</v>
      </c>
      <c r="I972" s="43" t="s">
        <v>126</v>
      </c>
      <c r="M972" s="48" t="s">
        <v>1223</v>
      </c>
      <c r="N972" s="48">
        <v>17097953249</v>
      </c>
      <c r="O972" s="48">
        <v>17097955970</v>
      </c>
      <c r="P972" s="48" t="s">
        <v>1120</v>
      </c>
      <c r="Q972" s="49" t="s">
        <v>1223</v>
      </c>
      <c r="R972" s="49">
        <v>17084794052</v>
      </c>
      <c r="S972" s="49">
        <v>17084796484</v>
      </c>
      <c r="T972" s="49" t="s">
        <v>1120</v>
      </c>
      <c r="U972" s="50" t="s">
        <v>1223</v>
      </c>
      <c r="V972" s="50">
        <v>17085718025</v>
      </c>
      <c r="W972" s="50">
        <v>17085715441</v>
      </c>
      <c r="X972" s="50" t="s">
        <v>1120</v>
      </c>
      <c r="Y972" s="50"/>
    </row>
    <row r="973" spans="1:25" x14ac:dyDescent="0.25">
      <c r="A973" s="25" t="s">
        <v>115</v>
      </c>
      <c r="B973" t="b">
        <v>0</v>
      </c>
      <c r="C973" s="43" t="s">
        <v>1224</v>
      </c>
      <c r="D973" s="43">
        <v>358760790855</v>
      </c>
      <c r="E973" s="43">
        <v>358760788551</v>
      </c>
      <c r="F973" s="43" t="s">
        <v>1120</v>
      </c>
      <c r="G973" s="43" t="b">
        <v>1</v>
      </c>
      <c r="H973" s="43" t="b">
        <v>0</v>
      </c>
      <c r="I973" s="43" t="s">
        <v>126</v>
      </c>
      <c r="M973" s="48" t="s">
        <v>1224</v>
      </c>
      <c r="N973" s="48">
        <v>17097949201</v>
      </c>
      <c r="O973" s="48">
        <v>17097953666</v>
      </c>
      <c r="P973" s="48" t="s">
        <v>1120</v>
      </c>
      <c r="Q973" s="49" t="s">
        <v>1224</v>
      </c>
      <c r="R973" s="49">
        <v>17084796100</v>
      </c>
      <c r="S973" s="49">
        <v>17084794180</v>
      </c>
      <c r="T973" s="49" t="s">
        <v>1120</v>
      </c>
      <c r="U973" s="50" t="s">
        <v>1224</v>
      </c>
      <c r="V973" s="50">
        <v>17085714697</v>
      </c>
      <c r="W973" s="50">
        <v>17085718513</v>
      </c>
      <c r="X973" s="50" t="s">
        <v>1120</v>
      </c>
      <c r="Y973" s="50">
        <v>130420</v>
      </c>
    </row>
    <row r="974" spans="1:25" x14ac:dyDescent="0.25">
      <c r="A974" s="25" t="s">
        <v>115</v>
      </c>
      <c r="B974" t="b">
        <v>0</v>
      </c>
      <c r="C974" s="43" t="s">
        <v>1225</v>
      </c>
      <c r="D974" s="43">
        <v>322088</v>
      </c>
      <c r="E974" s="43">
        <v>301921</v>
      </c>
      <c r="F974" s="43" t="s">
        <v>123</v>
      </c>
      <c r="G974" s="43" t="b">
        <v>1</v>
      </c>
      <c r="H974" s="43" t="b">
        <v>0</v>
      </c>
      <c r="I974" s="43"/>
      <c r="M974" s="48" t="s">
        <v>1225</v>
      </c>
      <c r="N974" s="48">
        <v>17088569966</v>
      </c>
      <c r="O974" s="48">
        <v>17088559092</v>
      </c>
      <c r="P974" s="48" t="s">
        <v>123</v>
      </c>
      <c r="Q974" s="49" t="s">
        <v>1225</v>
      </c>
      <c r="R974" s="49">
        <v>17083129017</v>
      </c>
      <c r="S974" s="49">
        <v>17083090378</v>
      </c>
      <c r="T974" s="49" t="s">
        <v>123</v>
      </c>
      <c r="U974" s="50" t="s">
        <v>1225</v>
      </c>
      <c r="V974" s="50">
        <v>17083129017</v>
      </c>
      <c r="W974" s="50">
        <v>17083090378</v>
      </c>
      <c r="X974" s="50" t="s">
        <v>123</v>
      </c>
      <c r="Y974" s="50">
        <v>150150</v>
      </c>
    </row>
    <row r="975" spans="1:25" x14ac:dyDescent="0.25">
      <c r="A975" s="25" t="s">
        <v>115</v>
      </c>
      <c r="B975" t="b">
        <v>0</v>
      </c>
      <c r="C975" s="43" t="s">
        <v>1226</v>
      </c>
      <c r="D975" s="43">
        <v>321064</v>
      </c>
      <c r="E975" s="43">
        <v>300497</v>
      </c>
      <c r="F975" s="43" t="s">
        <v>123</v>
      </c>
      <c r="G975" s="43" t="b">
        <v>0</v>
      </c>
      <c r="H975" s="43" t="b">
        <v>0</v>
      </c>
      <c r="I975" s="43"/>
      <c r="M975" s="48" t="s">
        <v>1226</v>
      </c>
      <c r="N975" s="48">
        <v>17088569646</v>
      </c>
      <c r="O975" s="48">
        <v>17088559700</v>
      </c>
      <c r="P975" s="48" t="s">
        <v>123</v>
      </c>
      <c r="Q975" s="49" t="s">
        <v>1226</v>
      </c>
      <c r="R975" s="49">
        <v>17083129305</v>
      </c>
      <c r="S975" s="49">
        <v>17083089266</v>
      </c>
      <c r="T975" s="49" t="s">
        <v>123</v>
      </c>
      <c r="U975" s="50" t="s">
        <v>1226</v>
      </c>
      <c r="V975" s="50">
        <v>17083129305</v>
      </c>
      <c r="W975" s="50">
        <v>17083089266</v>
      </c>
      <c r="X975" s="50" t="s">
        <v>123</v>
      </c>
      <c r="Y975" s="50"/>
    </row>
    <row r="976" spans="1:25" x14ac:dyDescent="0.25">
      <c r="A976" s="25" t="s">
        <v>115</v>
      </c>
      <c r="B976" t="b">
        <v>0</v>
      </c>
      <c r="C976" s="43" t="s">
        <v>1227</v>
      </c>
      <c r="D976" s="43">
        <v>323112</v>
      </c>
      <c r="E976" s="43">
        <v>302441</v>
      </c>
      <c r="F976" s="43" t="s">
        <v>186</v>
      </c>
      <c r="G976" s="43" t="b">
        <v>0</v>
      </c>
      <c r="H976" s="43" t="b">
        <v>0</v>
      </c>
      <c r="I976" s="43"/>
      <c r="M976" s="48" t="s">
        <v>1227</v>
      </c>
      <c r="N976" s="48">
        <v>17088569642</v>
      </c>
      <c r="O976" s="48">
        <v>17088568691</v>
      </c>
      <c r="P976" s="48" t="s">
        <v>186</v>
      </c>
      <c r="Q976" s="49" t="s">
        <v>1227</v>
      </c>
      <c r="R976" s="49">
        <v>17083128062</v>
      </c>
      <c r="S976" s="49">
        <v>17083123703</v>
      </c>
      <c r="T976" s="49" t="s">
        <v>186</v>
      </c>
      <c r="U976" s="50" t="s">
        <v>1227</v>
      </c>
      <c r="V976" s="50">
        <v>17083128062</v>
      </c>
      <c r="W976" s="50">
        <v>17083123703</v>
      </c>
      <c r="X976" s="50" t="s">
        <v>186</v>
      </c>
      <c r="Y976" s="50"/>
    </row>
    <row r="977" spans="1:25" x14ac:dyDescent="0.25">
      <c r="A977" s="25" t="s">
        <v>115</v>
      </c>
      <c r="B977" t="b">
        <v>0</v>
      </c>
      <c r="C977" s="43" t="s">
        <v>1228</v>
      </c>
      <c r="D977" s="43">
        <v>320808</v>
      </c>
      <c r="E977" s="43">
        <v>301637</v>
      </c>
      <c r="F977" s="43" t="s">
        <v>132</v>
      </c>
      <c r="G977" s="43" t="b">
        <v>0</v>
      </c>
      <c r="H977" s="43" t="b">
        <v>0</v>
      </c>
      <c r="I977" s="43"/>
      <c r="M977" s="48" t="s">
        <v>1228</v>
      </c>
      <c r="N977" s="48">
        <v>17088571794</v>
      </c>
      <c r="O977" s="48">
        <v>17088565365</v>
      </c>
      <c r="P977" s="48" t="s">
        <v>132</v>
      </c>
      <c r="Q977" s="49" t="s">
        <v>1228</v>
      </c>
      <c r="R977" s="49">
        <v>17083127726</v>
      </c>
      <c r="S977" s="49">
        <v>17083124619</v>
      </c>
      <c r="T977" s="49" t="s">
        <v>132</v>
      </c>
      <c r="U977" s="50" t="s">
        <v>1228</v>
      </c>
      <c r="V977" s="50">
        <v>17083127726</v>
      </c>
      <c r="W977" s="50">
        <v>17083124619</v>
      </c>
      <c r="X977" s="50" t="s">
        <v>132</v>
      </c>
      <c r="Y977" s="50"/>
    </row>
    <row r="978" spans="1:25" x14ac:dyDescent="0.25">
      <c r="A978" s="25" t="s">
        <v>115</v>
      </c>
      <c r="B978" t="b">
        <v>0</v>
      </c>
      <c r="C978" s="43" t="s">
        <v>1229</v>
      </c>
      <c r="D978" s="43">
        <v>322856</v>
      </c>
      <c r="E978" s="43">
        <v>302825</v>
      </c>
      <c r="F978" s="43" t="s">
        <v>123</v>
      </c>
      <c r="G978" s="43" t="b">
        <v>0</v>
      </c>
      <c r="H978" s="43" t="b">
        <v>0</v>
      </c>
      <c r="I978" s="43"/>
      <c r="M978" s="48" t="s">
        <v>1229</v>
      </c>
      <c r="N978" s="48">
        <v>17088571850</v>
      </c>
      <c r="O978" s="48">
        <v>17088566387</v>
      </c>
      <c r="P978" s="48" t="s">
        <v>123</v>
      </c>
      <c r="Q978" s="49" t="s">
        <v>1229</v>
      </c>
      <c r="R978" s="49">
        <v>17083128958</v>
      </c>
      <c r="S978" s="49">
        <v>17083124471</v>
      </c>
      <c r="T978" s="49" t="s">
        <v>123</v>
      </c>
      <c r="U978" s="50" t="s">
        <v>1229</v>
      </c>
      <c r="V978" s="50">
        <v>17083128958</v>
      </c>
      <c r="W978" s="50">
        <v>17083124471</v>
      </c>
      <c r="X978" s="50" t="s">
        <v>123</v>
      </c>
      <c r="Y978" s="50"/>
    </row>
    <row r="979" spans="1:25" x14ac:dyDescent="0.25">
      <c r="A979" s="25" t="s">
        <v>115</v>
      </c>
      <c r="B979" t="b">
        <v>0</v>
      </c>
      <c r="C979" s="43" t="s">
        <v>1230</v>
      </c>
      <c r="D979" s="43">
        <v>323368</v>
      </c>
      <c r="E979" s="43">
        <v>303057</v>
      </c>
      <c r="F979" s="43" t="s">
        <v>123</v>
      </c>
      <c r="G979" s="43" t="b">
        <v>0</v>
      </c>
      <c r="H979" s="43" t="b">
        <v>0</v>
      </c>
      <c r="I979" s="43"/>
      <c r="M979" s="48" t="s">
        <v>1230</v>
      </c>
      <c r="N979" s="48">
        <v>17088572974</v>
      </c>
      <c r="O979" s="48">
        <v>17088560020</v>
      </c>
      <c r="P979" s="48" t="s">
        <v>123</v>
      </c>
      <c r="Q979" s="49" t="s">
        <v>1230</v>
      </c>
      <c r="R979" s="49">
        <v>17083127257</v>
      </c>
      <c r="S979" s="49">
        <v>17083089010</v>
      </c>
      <c r="T979" s="49" t="s">
        <v>123</v>
      </c>
      <c r="U979" s="50" t="s">
        <v>1230</v>
      </c>
      <c r="V979" s="50">
        <v>17083127257</v>
      </c>
      <c r="W979" s="50">
        <v>17083089010</v>
      </c>
      <c r="X979" s="50" t="s">
        <v>123</v>
      </c>
      <c r="Y979" s="50"/>
    </row>
    <row r="980" spans="1:25" x14ac:dyDescent="0.25">
      <c r="A980" s="25" t="s">
        <v>115</v>
      </c>
      <c r="B980" t="b">
        <v>0</v>
      </c>
      <c r="C980" s="43" t="s">
        <v>1231</v>
      </c>
      <c r="D980" s="43">
        <v>319656</v>
      </c>
      <c r="E980" s="43">
        <v>302689</v>
      </c>
      <c r="F980" s="43" t="s">
        <v>125</v>
      </c>
      <c r="G980" s="43" t="b">
        <v>0</v>
      </c>
      <c r="H980" s="43" t="b">
        <v>0</v>
      </c>
      <c r="I980" s="43" t="s">
        <v>126</v>
      </c>
      <c r="M980" s="48" t="s">
        <v>1231</v>
      </c>
      <c r="N980" s="48">
        <v>17088570926</v>
      </c>
      <c r="O980" s="48">
        <v>17088558604</v>
      </c>
      <c r="P980" s="48" t="s">
        <v>125</v>
      </c>
      <c r="Q980" s="49" t="s">
        <v>1231</v>
      </c>
      <c r="R980" s="49">
        <v>17083128281</v>
      </c>
      <c r="S980" s="49">
        <v>17083090986</v>
      </c>
      <c r="T980" s="49" t="s">
        <v>125</v>
      </c>
      <c r="U980" s="50" t="s">
        <v>1231</v>
      </c>
      <c r="V980" s="50">
        <v>17083128281</v>
      </c>
      <c r="W980" s="50">
        <v>17083090986</v>
      </c>
      <c r="X980" s="50" t="s">
        <v>125</v>
      </c>
      <c r="Y980" s="50"/>
    </row>
    <row r="981" spans="1:25" x14ac:dyDescent="0.25">
      <c r="A981" s="25" t="s">
        <v>115</v>
      </c>
      <c r="B981" t="b">
        <v>0</v>
      </c>
      <c r="C981" s="43" t="s">
        <v>1232</v>
      </c>
      <c r="D981" s="43">
        <v>321704</v>
      </c>
      <c r="E981" s="43">
        <v>302225</v>
      </c>
      <c r="F981" s="43" t="s">
        <v>123</v>
      </c>
      <c r="G981" s="43" t="b">
        <v>1</v>
      </c>
      <c r="H981" s="43" t="b">
        <v>0</v>
      </c>
      <c r="I981" s="43" t="s">
        <v>134</v>
      </c>
      <c r="M981" s="48" t="s">
        <v>1232</v>
      </c>
      <c r="N981" s="48">
        <v>17088572526</v>
      </c>
      <c r="O981" s="48">
        <v>17088559796</v>
      </c>
      <c r="P981" s="48" t="s">
        <v>123</v>
      </c>
      <c r="Q981" s="49" t="s">
        <v>1232</v>
      </c>
      <c r="R981" s="49">
        <v>17083126969</v>
      </c>
      <c r="S981" s="49">
        <v>17083089546</v>
      </c>
      <c r="T981" s="49" t="s">
        <v>123</v>
      </c>
      <c r="U981" s="50" t="s">
        <v>1232</v>
      </c>
      <c r="V981" s="50">
        <v>17083126969</v>
      </c>
      <c r="W981" s="50">
        <v>17083089546</v>
      </c>
      <c r="X981" s="50" t="s">
        <v>123</v>
      </c>
      <c r="Y981" s="50">
        <v>150052</v>
      </c>
    </row>
    <row r="982" spans="1:25" x14ac:dyDescent="0.25">
      <c r="A982" s="25" t="s">
        <v>115</v>
      </c>
      <c r="B982" t="b">
        <v>0</v>
      </c>
      <c r="C982" s="43" t="s">
        <v>1233</v>
      </c>
      <c r="D982" s="43">
        <v>320680</v>
      </c>
      <c r="E982" s="43">
        <v>302937</v>
      </c>
      <c r="F982" s="43" t="s">
        <v>123</v>
      </c>
      <c r="G982" s="43" t="b">
        <v>0</v>
      </c>
      <c r="H982" s="43" t="b">
        <v>0</v>
      </c>
      <c r="I982" s="43"/>
      <c r="M982" s="48" t="s">
        <v>1233</v>
      </c>
      <c r="N982" s="48">
        <v>17088570314</v>
      </c>
      <c r="O982" s="48">
        <v>17088569139</v>
      </c>
      <c r="P982" s="48" t="s">
        <v>123</v>
      </c>
      <c r="Q982" s="49" t="s">
        <v>1233</v>
      </c>
      <c r="R982" s="49">
        <v>17083126142</v>
      </c>
      <c r="S982" s="49">
        <v>17083122807</v>
      </c>
      <c r="T982" s="49" t="s">
        <v>123</v>
      </c>
      <c r="U982" s="50" t="s">
        <v>1233</v>
      </c>
      <c r="V982" s="50">
        <v>17083126142</v>
      </c>
      <c r="W982" s="50">
        <v>17083122807</v>
      </c>
      <c r="X982" s="50" t="s">
        <v>123</v>
      </c>
      <c r="Y982" s="50"/>
    </row>
    <row r="983" spans="1:25" x14ac:dyDescent="0.25">
      <c r="A983" s="25" t="s">
        <v>115</v>
      </c>
      <c r="B983" t="b">
        <v>0</v>
      </c>
      <c r="C983" s="43" t="s">
        <v>1234</v>
      </c>
      <c r="D983" s="43">
        <v>322728</v>
      </c>
      <c r="E983" s="43">
        <v>299569</v>
      </c>
      <c r="F983" s="43" t="s">
        <v>123</v>
      </c>
      <c r="G983" s="43" t="b">
        <v>0</v>
      </c>
      <c r="H983" s="43" t="b">
        <v>0</v>
      </c>
      <c r="I983" s="43"/>
      <c r="M983" s="48" t="s">
        <v>1234</v>
      </c>
      <c r="N983" s="48">
        <v>17088570478</v>
      </c>
      <c r="O983" s="48">
        <v>17088557460</v>
      </c>
      <c r="P983" s="48" t="s">
        <v>123</v>
      </c>
      <c r="Q983" s="49" t="s">
        <v>1234</v>
      </c>
      <c r="R983" s="49">
        <v>17083127993</v>
      </c>
      <c r="S983" s="49">
        <v>17083092402</v>
      </c>
      <c r="T983" s="49" t="s">
        <v>123</v>
      </c>
      <c r="U983" s="50" t="s">
        <v>1234</v>
      </c>
      <c r="V983" s="50">
        <v>17083127993</v>
      </c>
      <c r="W983" s="50">
        <v>17083092402</v>
      </c>
      <c r="X983" s="50" t="s">
        <v>123</v>
      </c>
      <c r="Y983" s="50"/>
    </row>
    <row r="984" spans="1:25" x14ac:dyDescent="0.25">
      <c r="A984" s="25" t="b">
        <v>1</v>
      </c>
      <c r="B984" t="b">
        <v>1</v>
      </c>
      <c r="C984" s="43" t="s">
        <v>1235</v>
      </c>
      <c r="D984" s="43">
        <v>320168</v>
      </c>
      <c r="E984" s="43">
        <v>300465</v>
      </c>
      <c r="F984" s="43" t="s">
        <v>173</v>
      </c>
      <c r="G984" s="43" t="b">
        <v>0</v>
      </c>
      <c r="H984" s="43" t="b">
        <v>0</v>
      </c>
      <c r="I984" s="43"/>
      <c r="J984" s="45" t="s">
        <v>1235</v>
      </c>
      <c r="K984" s="46">
        <v>300465</v>
      </c>
      <c r="M984" s="48" t="s">
        <v>1235</v>
      </c>
      <c r="N984" s="48">
        <v>17088572782</v>
      </c>
      <c r="O984" s="48">
        <v>17088558868</v>
      </c>
      <c r="P984" s="48" t="s">
        <v>173</v>
      </c>
      <c r="Q984" s="49" t="s">
        <v>1235</v>
      </c>
      <c r="R984" s="49">
        <v>17083129273</v>
      </c>
      <c r="S984" s="49">
        <v>17083091122</v>
      </c>
      <c r="T984" s="49" t="s">
        <v>173</v>
      </c>
      <c r="U984" s="50" t="s">
        <v>1235</v>
      </c>
      <c r="V984" s="50">
        <v>17083129273</v>
      </c>
      <c r="W984" s="50">
        <v>17083091122</v>
      </c>
      <c r="X984" s="50" t="s">
        <v>173</v>
      </c>
      <c r="Y984" s="50"/>
    </row>
    <row r="985" spans="1:25" x14ac:dyDescent="0.25">
      <c r="A985" s="25" t="s">
        <v>115</v>
      </c>
      <c r="B985" t="b">
        <v>0</v>
      </c>
      <c r="C985" s="43" t="s">
        <v>1236</v>
      </c>
      <c r="D985" s="43">
        <v>322216</v>
      </c>
      <c r="E985" s="43">
        <v>301969</v>
      </c>
      <c r="F985" s="43" t="s">
        <v>123</v>
      </c>
      <c r="G985" s="43" t="b">
        <v>0</v>
      </c>
      <c r="H985" s="43" t="b">
        <v>0</v>
      </c>
      <c r="I985" s="43" t="s">
        <v>134</v>
      </c>
      <c r="M985" s="48" t="s">
        <v>1236</v>
      </c>
      <c r="N985" s="48">
        <v>17088570734</v>
      </c>
      <c r="O985" s="48">
        <v>17088560596</v>
      </c>
      <c r="P985" s="48" t="s">
        <v>123</v>
      </c>
      <c r="Q985" s="49" t="s">
        <v>1236</v>
      </c>
      <c r="R985" s="49">
        <v>17083127225</v>
      </c>
      <c r="S985" s="49">
        <v>17083090930</v>
      </c>
      <c r="T985" s="49" t="s">
        <v>123</v>
      </c>
      <c r="U985" s="50" t="s">
        <v>1236</v>
      </c>
      <c r="V985" s="50">
        <v>17083127225</v>
      </c>
      <c r="W985" s="50">
        <v>17083090930</v>
      </c>
      <c r="X985" s="50" t="s">
        <v>123</v>
      </c>
      <c r="Y985" s="50"/>
    </row>
    <row r="986" spans="1:25" x14ac:dyDescent="0.25">
      <c r="A986" s="25" t="s">
        <v>115</v>
      </c>
      <c r="B986" t="b">
        <v>0</v>
      </c>
      <c r="C986" s="43" t="s">
        <v>1237</v>
      </c>
      <c r="D986" s="43">
        <v>321192</v>
      </c>
      <c r="E986" s="43">
        <v>301537</v>
      </c>
      <c r="F986" s="43" t="s">
        <v>123</v>
      </c>
      <c r="G986" s="43" t="b">
        <v>1</v>
      </c>
      <c r="H986" s="43" t="b">
        <v>0</v>
      </c>
      <c r="I986" s="43" t="s">
        <v>134</v>
      </c>
      <c r="M986" s="48" t="s">
        <v>1237</v>
      </c>
      <c r="N986" s="48">
        <v>17088571502</v>
      </c>
      <c r="O986" s="48">
        <v>17088559476</v>
      </c>
      <c r="P986" s="48" t="s">
        <v>123</v>
      </c>
      <c r="Q986" s="49" t="s">
        <v>1237</v>
      </c>
      <c r="R986" s="49">
        <v>17083125945</v>
      </c>
      <c r="S986" s="49">
        <v>17083089226</v>
      </c>
      <c r="T986" s="49" t="s">
        <v>123</v>
      </c>
      <c r="U986" s="50" t="s">
        <v>1237</v>
      </c>
      <c r="V986" s="50">
        <v>17083125945</v>
      </c>
      <c r="W986" s="50">
        <v>17083089226</v>
      </c>
      <c r="X986" s="50" t="s">
        <v>123</v>
      </c>
      <c r="Y986" s="50">
        <v>150161</v>
      </c>
    </row>
    <row r="987" spans="1:25" x14ac:dyDescent="0.25">
      <c r="A987" s="25" t="s">
        <v>115</v>
      </c>
      <c r="B987" t="b">
        <v>0</v>
      </c>
      <c r="C987" s="43" t="s">
        <v>1238</v>
      </c>
      <c r="D987" s="43">
        <v>323240</v>
      </c>
      <c r="E987" s="43">
        <v>299753</v>
      </c>
      <c r="F987" s="43" t="s">
        <v>186</v>
      </c>
      <c r="G987" s="43" t="b">
        <v>0</v>
      </c>
      <c r="H987" s="43" t="b">
        <v>0</v>
      </c>
      <c r="I987" s="43"/>
      <c r="M987" s="48" t="s">
        <v>1238</v>
      </c>
      <c r="N987" s="48">
        <v>17088572618</v>
      </c>
      <c r="O987" s="48">
        <v>17088567923</v>
      </c>
      <c r="P987" s="48" t="s">
        <v>186</v>
      </c>
      <c r="Q987" s="49" t="s">
        <v>1238</v>
      </c>
      <c r="R987" s="49">
        <v>17083128766</v>
      </c>
      <c r="S987" s="49">
        <v>17083122167</v>
      </c>
      <c r="T987" s="49" t="s">
        <v>186</v>
      </c>
      <c r="U987" s="50" t="s">
        <v>1238</v>
      </c>
      <c r="V987" s="50">
        <v>17083128766</v>
      </c>
      <c r="W987" s="50">
        <v>17083122167</v>
      </c>
      <c r="X987" s="50" t="s">
        <v>186</v>
      </c>
      <c r="Y987" s="50"/>
    </row>
    <row r="988" spans="1:25" x14ac:dyDescent="0.25">
      <c r="A988" s="25" t="s">
        <v>115</v>
      </c>
      <c r="B988" t="b">
        <v>0</v>
      </c>
      <c r="C988" s="43" t="s">
        <v>1239</v>
      </c>
      <c r="D988" s="43">
        <v>319912</v>
      </c>
      <c r="E988" s="43">
        <v>299993</v>
      </c>
      <c r="F988" s="43" t="s">
        <v>123</v>
      </c>
      <c r="G988" s="43" t="b">
        <v>0</v>
      </c>
      <c r="H988" s="43" t="b">
        <v>0</v>
      </c>
      <c r="I988" s="43"/>
      <c r="J988" s="45" t="s">
        <v>1240</v>
      </c>
      <c r="K988" s="46">
        <v>299993</v>
      </c>
      <c r="L988" s="47">
        <v>990000662</v>
      </c>
      <c r="M988" s="48" t="s">
        <v>1239</v>
      </c>
      <c r="N988" s="48">
        <v>17088572874</v>
      </c>
      <c r="O988" s="48">
        <v>17088567603</v>
      </c>
      <c r="P988" s="48" t="s">
        <v>123</v>
      </c>
      <c r="Q988" s="49" t="s">
        <v>1239</v>
      </c>
      <c r="R988" s="49">
        <v>17083129470</v>
      </c>
      <c r="S988" s="49">
        <v>17083122615</v>
      </c>
      <c r="T988" s="49" t="s">
        <v>123</v>
      </c>
      <c r="U988" s="50" t="s">
        <v>1239</v>
      </c>
      <c r="V988" s="50">
        <v>17083129470</v>
      </c>
      <c r="W988" s="50">
        <v>17083122615</v>
      </c>
      <c r="X988" s="50" t="s">
        <v>123</v>
      </c>
      <c r="Y988" s="50"/>
    </row>
    <row r="989" spans="1:25" x14ac:dyDescent="0.25">
      <c r="A989" s="25" t="s">
        <v>115</v>
      </c>
      <c r="B989" t="b">
        <v>0</v>
      </c>
      <c r="C989" s="43" t="s">
        <v>1241</v>
      </c>
      <c r="D989" s="43">
        <v>319592</v>
      </c>
      <c r="E989" s="43">
        <v>299601</v>
      </c>
      <c r="F989" s="43" t="s">
        <v>123</v>
      </c>
      <c r="G989" s="43" t="b">
        <v>0</v>
      </c>
      <c r="H989" s="43" t="b">
        <v>0</v>
      </c>
      <c r="I989" s="43"/>
      <c r="M989" s="48" t="s">
        <v>1241</v>
      </c>
      <c r="N989" s="48">
        <v>17088572590</v>
      </c>
      <c r="O989" s="48">
        <v>17088557780</v>
      </c>
      <c r="P989" s="48" t="s">
        <v>123</v>
      </c>
      <c r="Q989" s="49" t="s">
        <v>1241</v>
      </c>
      <c r="R989" s="49">
        <v>17083128377</v>
      </c>
      <c r="S989" s="49">
        <v>17083092722</v>
      </c>
      <c r="T989" s="49" t="s">
        <v>123</v>
      </c>
      <c r="U989" s="50" t="s">
        <v>1241</v>
      </c>
      <c r="V989" s="50">
        <v>17083128377</v>
      </c>
      <c r="W989" s="50">
        <v>17083092722</v>
      </c>
      <c r="X989" s="50" t="s">
        <v>123</v>
      </c>
      <c r="Y989" s="50"/>
    </row>
    <row r="990" spans="1:25" x14ac:dyDescent="0.25">
      <c r="A990" s="25" t="s">
        <v>115</v>
      </c>
      <c r="B990" t="b">
        <v>0</v>
      </c>
      <c r="C990" s="43" t="s">
        <v>1242</v>
      </c>
      <c r="D990" s="43">
        <v>321640</v>
      </c>
      <c r="E990" s="43">
        <v>302417</v>
      </c>
      <c r="F990" s="43" t="s">
        <v>123</v>
      </c>
      <c r="G990" s="43" t="b">
        <v>0</v>
      </c>
      <c r="H990" s="43" t="b">
        <v>0</v>
      </c>
      <c r="I990" s="43"/>
      <c r="M990" s="48" t="s">
        <v>1242</v>
      </c>
      <c r="N990" s="48">
        <v>17088569454</v>
      </c>
      <c r="O990" s="48">
        <v>17088559956</v>
      </c>
      <c r="P990" s="48" t="s">
        <v>123</v>
      </c>
      <c r="Q990" s="49" t="s">
        <v>1242</v>
      </c>
      <c r="R990" s="49">
        <v>17083129657</v>
      </c>
      <c r="S990" s="49">
        <v>17083089138</v>
      </c>
      <c r="T990" s="49" t="s">
        <v>123</v>
      </c>
      <c r="U990" s="50" t="s">
        <v>1242</v>
      </c>
      <c r="V990" s="50">
        <v>17083129657</v>
      </c>
      <c r="W990" s="50">
        <v>17083089138</v>
      </c>
      <c r="X990" s="50" t="s">
        <v>123</v>
      </c>
      <c r="Y990" s="50"/>
    </row>
    <row r="991" spans="1:25" x14ac:dyDescent="0.25">
      <c r="A991" s="25" t="s">
        <v>115</v>
      </c>
      <c r="B991" t="b">
        <v>0</v>
      </c>
      <c r="C991" s="43" t="s">
        <v>1243</v>
      </c>
      <c r="D991" s="43">
        <v>320616</v>
      </c>
      <c r="E991" s="43">
        <v>299529</v>
      </c>
      <c r="F991" s="43" t="s">
        <v>123</v>
      </c>
      <c r="G991" s="43" t="b">
        <v>0</v>
      </c>
      <c r="H991" s="43" t="b">
        <v>0</v>
      </c>
      <c r="I991" s="43" t="s">
        <v>134</v>
      </c>
      <c r="M991" s="48" t="s">
        <v>1243</v>
      </c>
      <c r="N991" s="48">
        <v>17088573214</v>
      </c>
      <c r="O991" s="48">
        <v>17088560060</v>
      </c>
      <c r="P991" s="48" t="s">
        <v>123</v>
      </c>
      <c r="Q991" s="49" t="s">
        <v>1243</v>
      </c>
      <c r="R991" s="49">
        <v>17083126265</v>
      </c>
      <c r="S991" s="49">
        <v>17083089402</v>
      </c>
      <c r="T991" s="49" t="s">
        <v>123</v>
      </c>
      <c r="U991" s="50" t="s">
        <v>1243</v>
      </c>
      <c r="V991" s="50">
        <v>17083126265</v>
      </c>
      <c r="W991" s="50">
        <v>17083089402</v>
      </c>
      <c r="X991" s="50" t="s">
        <v>123</v>
      </c>
      <c r="Y991" s="50"/>
    </row>
    <row r="992" spans="1:25" x14ac:dyDescent="0.25">
      <c r="A992" s="25" t="s">
        <v>115</v>
      </c>
      <c r="B992" t="b">
        <v>0</v>
      </c>
      <c r="C992" s="43" t="s">
        <v>1244</v>
      </c>
      <c r="D992" s="43">
        <v>322664</v>
      </c>
      <c r="E992" s="43">
        <v>299049</v>
      </c>
      <c r="F992" s="43" t="s">
        <v>123</v>
      </c>
      <c r="G992" s="43" t="b">
        <v>1</v>
      </c>
      <c r="H992" s="43" t="b">
        <v>0</v>
      </c>
      <c r="I992" s="43"/>
      <c r="M992" s="48" t="s">
        <v>1244</v>
      </c>
      <c r="N992" s="48">
        <v>17088570398</v>
      </c>
      <c r="O992" s="48">
        <v>17088558300</v>
      </c>
      <c r="P992" s="48" t="s">
        <v>123</v>
      </c>
      <c r="Q992" s="49" t="s">
        <v>1244</v>
      </c>
      <c r="R992" s="49">
        <v>17083128185</v>
      </c>
      <c r="S992" s="49">
        <v>17083090746</v>
      </c>
      <c r="T992" s="49" t="s">
        <v>123</v>
      </c>
      <c r="U992" s="50" t="s">
        <v>1244</v>
      </c>
      <c r="V992" s="50">
        <v>17083128185</v>
      </c>
      <c r="W992" s="50">
        <v>17083090746</v>
      </c>
      <c r="X992" s="50" t="s">
        <v>123</v>
      </c>
      <c r="Y992" s="50">
        <v>150190</v>
      </c>
    </row>
    <row r="993" spans="1:25" x14ac:dyDescent="0.25">
      <c r="A993" s="25" t="s">
        <v>115</v>
      </c>
      <c r="B993" t="b">
        <v>0</v>
      </c>
      <c r="C993" s="43" t="s">
        <v>1245</v>
      </c>
      <c r="D993" s="43">
        <v>320104</v>
      </c>
      <c r="E993" s="43">
        <v>301193</v>
      </c>
      <c r="F993" s="43" t="s">
        <v>123</v>
      </c>
      <c r="G993" s="43" t="b">
        <v>0</v>
      </c>
      <c r="H993" s="43" t="b">
        <v>0</v>
      </c>
      <c r="I993" s="43"/>
      <c r="M993" s="48" t="s">
        <v>1245</v>
      </c>
      <c r="N993" s="48">
        <v>17088572062</v>
      </c>
      <c r="O993" s="48">
        <v>17088558780</v>
      </c>
      <c r="P993" s="48" t="s">
        <v>123</v>
      </c>
      <c r="Q993" s="49" t="s">
        <v>1245</v>
      </c>
      <c r="R993" s="49">
        <v>17083126277</v>
      </c>
      <c r="S993" s="49">
        <v>17083091194</v>
      </c>
      <c r="T993" s="49" t="s">
        <v>123</v>
      </c>
      <c r="U993" s="50" t="s">
        <v>1245</v>
      </c>
      <c r="V993" s="50">
        <v>17083126277</v>
      </c>
      <c r="W993" s="50">
        <v>17083091194</v>
      </c>
      <c r="X993" s="50" t="s">
        <v>123</v>
      </c>
      <c r="Y993" s="50"/>
    </row>
    <row r="994" spans="1:25" x14ac:dyDescent="0.25">
      <c r="A994" s="25" t="s">
        <v>115</v>
      </c>
      <c r="B994" t="b">
        <v>0</v>
      </c>
      <c r="C994" s="43" t="s">
        <v>1246</v>
      </c>
      <c r="D994" s="43">
        <v>322152</v>
      </c>
      <c r="E994" s="43">
        <v>302341</v>
      </c>
      <c r="F994" s="43" t="s">
        <v>123</v>
      </c>
      <c r="G994" s="43" t="b">
        <v>0</v>
      </c>
      <c r="H994" s="43" t="b">
        <v>0</v>
      </c>
      <c r="I994" s="43"/>
      <c r="M994" s="48" t="s">
        <v>1246</v>
      </c>
      <c r="N994" s="48">
        <v>17088573098</v>
      </c>
      <c r="O994" s="48">
        <v>17088566635</v>
      </c>
      <c r="P994" s="48" t="s">
        <v>123</v>
      </c>
      <c r="Q994" s="49" t="s">
        <v>1246</v>
      </c>
      <c r="R994" s="49">
        <v>17083128318</v>
      </c>
      <c r="S994" s="49">
        <v>17083123823</v>
      </c>
      <c r="T994" s="49" t="s">
        <v>123</v>
      </c>
      <c r="U994" s="50" t="s">
        <v>1246</v>
      </c>
      <c r="V994" s="50">
        <v>17083128318</v>
      </c>
      <c r="W994" s="50">
        <v>17083123823</v>
      </c>
      <c r="X994" s="50" t="s">
        <v>123</v>
      </c>
      <c r="Y994" s="50"/>
    </row>
    <row r="995" spans="1:25" x14ac:dyDescent="0.25">
      <c r="A995" s="25" t="s">
        <v>115</v>
      </c>
      <c r="B995" t="b">
        <v>0</v>
      </c>
      <c r="C995" s="43" t="s">
        <v>1247</v>
      </c>
      <c r="D995" s="43">
        <v>321128</v>
      </c>
      <c r="E995" s="43">
        <v>300229</v>
      </c>
      <c r="F995" s="43" t="s">
        <v>125</v>
      </c>
      <c r="G995" s="43" t="b">
        <v>0</v>
      </c>
      <c r="H995" s="43" t="b">
        <v>0</v>
      </c>
      <c r="I995" s="43" t="s">
        <v>126</v>
      </c>
      <c r="M995" s="48" t="s">
        <v>1247</v>
      </c>
      <c r="N995" s="48">
        <v>17088570538</v>
      </c>
      <c r="O995" s="48">
        <v>17088568747</v>
      </c>
      <c r="P995" s="48" t="s">
        <v>125</v>
      </c>
      <c r="Q995" s="49" t="s">
        <v>1247</v>
      </c>
      <c r="R995" s="49">
        <v>17083128574</v>
      </c>
      <c r="S995" s="49">
        <v>17083122863</v>
      </c>
      <c r="T995" s="49" t="s">
        <v>125</v>
      </c>
      <c r="U995" s="50" t="s">
        <v>1247</v>
      </c>
      <c r="V995" s="50">
        <v>17083128574</v>
      </c>
      <c r="W995" s="50">
        <v>17083122863</v>
      </c>
      <c r="X995" s="50" t="s">
        <v>125</v>
      </c>
      <c r="Y995" s="50"/>
    </row>
    <row r="996" spans="1:25" x14ac:dyDescent="0.25">
      <c r="A996" s="25" t="s">
        <v>115</v>
      </c>
      <c r="B996" t="b">
        <v>0</v>
      </c>
      <c r="C996" s="43" t="s">
        <v>1248</v>
      </c>
      <c r="D996" s="43">
        <v>323176</v>
      </c>
      <c r="E996" s="43">
        <v>299033</v>
      </c>
      <c r="F996" s="43" t="s">
        <v>132</v>
      </c>
      <c r="G996" s="43" t="b">
        <v>0</v>
      </c>
      <c r="H996" s="43" t="b">
        <v>0</v>
      </c>
      <c r="I996" s="43"/>
      <c r="M996" s="48" t="s">
        <v>1248</v>
      </c>
      <c r="N996" s="48">
        <v>17088572006</v>
      </c>
      <c r="O996" s="48">
        <v>17088569728</v>
      </c>
      <c r="P996" s="48" t="s">
        <v>132</v>
      </c>
      <c r="Q996" s="49" t="s">
        <v>1248</v>
      </c>
      <c r="R996" s="49">
        <v>17083128049</v>
      </c>
      <c r="S996" s="49">
        <v>17083129124</v>
      </c>
      <c r="T996" s="49" t="s">
        <v>132</v>
      </c>
      <c r="U996" s="50" t="s">
        <v>1248</v>
      </c>
      <c r="V996" s="50">
        <v>17083128049</v>
      </c>
      <c r="W996" s="50">
        <v>17083129124</v>
      </c>
      <c r="X996" s="50" t="s">
        <v>132</v>
      </c>
      <c r="Y996" s="50"/>
    </row>
    <row r="997" spans="1:25" x14ac:dyDescent="0.25">
      <c r="A997" s="25" t="s">
        <v>115</v>
      </c>
      <c r="B997" t="b">
        <v>0</v>
      </c>
      <c r="C997" s="43" t="s">
        <v>1249</v>
      </c>
      <c r="D997" s="43">
        <v>319848</v>
      </c>
      <c r="E997" s="43">
        <v>299909</v>
      </c>
      <c r="F997" s="43" t="s">
        <v>117</v>
      </c>
      <c r="G997" s="43" t="b">
        <v>0</v>
      </c>
      <c r="H997" s="43" t="b">
        <v>0</v>
      </c>
      <c r="I997" s="43"/>
      <c r="M997" s="48" t="s">
        <v>1249</v>
      </c>
      <c r="N997" s="48">
        <v>17088571562</v>
      </c>
      <c r="O997" s="48">
        <v>17088568939</v>
      </c>
      <c r="P997" s="48" t="s">
        <v>117</v>
      </c>
      <c r="Q997" s="49" t="s">
        <v>1249</v>
      </c>
      <c r="R997" s="49">
        <v>17083126526</v>
      </c>
      <c r="S997" s="49">
        <v>17083123631</v>
      </c>
      <c r="T997" s="49" t="s">
        <v>117</v>
      </c>
      <c r="U997" s="50" t="s">
        <v>1249</v>
      </c>
      <c r="V997" s="50">
        <v>17083126526</v>
      </c>
      <c r="W997" s="50">
        <v>17083123631</v>
      </c>
      <c r="X997" s="50" t="s">
        <v>117</v>
      </c>
      <c r="Y997" s="50"/>
    </row>
    <row r="998" spans="1:25" x14ac:dyDescent="0.25">
      <c r="A998" s="25" t="b">
        <v>1</v>
      </c>
      <c r="B998" t="b">
        <v>0</v>
      </c>
      <c r="C998" s="43" t="s">
        <v>1250</v>
      </c>
      <c r="D998" s="43">
        <v>321896</v>
      </c>
      <c r="E998" s="43">
        <v>302793</v>
      </c>
      <c r="F998" s="43" t="s">
        <v>173</v>
      </c>
      <c r="G998" s="43" t="b">
        <v>0</v>
      </c>
      <c r="H998" s="43" t="b">
        <v>0</v>
      </c>
      <c r="I998" s="43"/>
      <c r="J998" s="45" t="s">
        <v>1250</v>
      </c>
      <c r="K998" s="46">
        <v>302793</v>
      </c>
      <c r="M998" s="48" t="s">
        <v>1250</v>
      </c>
      <c r="N998" s="48">
        <v>17088571806</v>
      </c>
      <c r="O998" s="48">
        <v>17088560092</v>
      </c>
      <c r="P998" s="48" t="s">
        <v>173</v>
      </c>
      <c r="Q998" s="49" t="s">
        <v>1250</v>
      </c>
      <c r="R998" s="49">
        <v>17083128069</v>
      </c>
      <c r="S998" s="49">
        <v>17083091386</v>
      </c>
      <c r="T998" s="49" t="s">
        <v>173</v>
      </c>
      <c r="U998" s="50" t="s">
        <v>1250</v>
      </c>
      <c r="V998" s="50">
        <v>17083128069</v>
      </c>
      <c r="W998" s="50">
        <v>17083091386</v>
      </c>
      <c r="X998" s="50" t="s">
        <v>173</v>
      </c>
      <c r="Y998" s="50"/>
    </row>
    <row r="999" spans="1:25" x14ac:dyDescent="0.25">
      <c r="A999" s="25" t="b">
        <v>1</v>
      </c>
      <c r="B999" t="b">
        <v>0</v>
      </c>
      <c r="C999" s="43" t="s">
        <v>1251</v>
      </c>
      <c r="D999" s="43">
        <v>320872</v>
      </c>
      <c r="E999" s="43">
        <v>302985</v>
      </c>
      <c r="F999" s="43" t="s">
        <v>173</v>
      </c>
      <c r="G999" s="43" t="b">
        <v>0</v>
      </c>
      <c r="H999" s="43" t="b">
        <v>0</v>
      </c>
      <c r="I999" s="43"/>
      <c r="J999" s="45" t="s">
        <v>1251</v>
      </c>
      <c r="K999" s="46">
        <v>302985</v>
      </c>
      <c r="M999" s="48" t="s">
        <v>1251</v>
      </c>
      <c r="N999" s="48">
        <v>17088570014</v>
      </c>
      <c r="O999" s="48">
        <v>17088557884</v>
      </c>
      <c r="P999" s="48" t="s">
        <v>173</v>
      </c>
      <c r="Q999" s="49" t="s">
        <v>1251</v>
      </c>
      <c r="R999" s="49">
        <v>17083128837</v>
      </c>
      <c r="S999" s="49">
        <v>17083092602</v>
      </c>
      <c r="T999" s="49" t="s">
        <v>173</v>
      </c>
      <c r="U999" s="50" t="s">
        <v>1251</v>
      </c>
      <c r="V999" s="50">
        <v>17083128837</v>
      </c>
      <c r="W999" s="50">
        <v>17083092602</v>
      </c>
      <c r="X999" s="50" t="s">
        <v>173</v>
      </c>
      <c r="Y999" s="50"/>
    </row>
    <row r="1000" spans="1:25" x14ac:dyDescent="0.25">
      <c r="A1000" s="25" t="s">
        <v>115</v>
      </c>
      <c r="B1000" t="b">
        <v>0</v>
      </c>
      <c r="C1000" s="43" t="s">
        <v>1252</v>
      </c>
      <c r="D1000" s="43">
        <v>322920</v>
      </c>
      <c r="E1000" s="43">
        <v>300101</v>
      </c>
      <c r="F1000" s="43" t="s">
        <v>132</v>
      </c>
      <c r="G1000" s="43" t="b">
        <v>0</v>
      </c>
      <c r="H1000" s="43" t="b">
        <v>0</v>
      </c>
      <c r="I1000" s="43"/>
      <c r="M1000" s="48" t="s">
        <v>1252</v>
      </c>
      <c r="N1000" s="48">
        <v>17088571818</v>
      </c>
      <c r="O1000" s="48">
        <v>17088567403</v>
      </c>
      <c r="P1000" s="48" t="s">
        <v>132</v>
      </c>
      <c r="Q1000" s="49" t="s">
        <v>1252</v>
      </c>
      <c r="R1000" s="49">
        <v>17083129342</v>
      </c>
      <c r="S1000" s="49">
        <v>17083122095</v>
      </c>
      <c r="T1000" s="49" t="s">
        <v>132</v>
      </c>
      <c r="U1000" s="50" t="s">
        <v>1252</v>
      </c>
      <c r="V1000" s="50">
        <v>17083129342</v>
      </c>
      <c r="W1000" s="50">
        <v>17083122095</v>
      </c>
      <c r="X1000" s="50" t="s">
        <v>132</v>
      </c>
      <c r="Y1000" s="50"/>
    </row>
    <row r="1001" spans="1:25" x14ac:dyDescent="0.25">
      <c r="A1001" s="25" t="s">
        <v>248</v>
      </c>
      <c r="B1001" t="b">
        <v>0</v>
      </c>
      <c r="C1001" s="43" t="s">
        <v>1253</v>
      </c>
      <c r="D1001" s="43">
        <v>320360</v>
      </c>
      <c r="E1001" s="43">
        <v>302981</v>
      </c>
      <c r="F1001" s="43" t="s">
        <v>173</v>
      </c>
      <c r="G1001" s="43" t="b">
        <v>0</v>
      </c>
      <c r="H1001" s="43" t="b">
        <v>0</v>
      </c>
      <c r="I1001" s="43"/>
      <c r="J1001" s="45" t="s">
        <v>1253</v>
      </c>
      <c r="K1001" s="46">
        <v>302981</v>
      </c>
      <c r="M1001" s="48" t="s">
        <v>1253</v>
      </c>
      <c r="N1001" s="48">
        <v>17088569770</v>
      </c>
      <c r="O1001" s="48">
        <v>17088565867</v>
      </c>
      <c r="P1001" s="48" t="s">
        <v>173</v>
      </c>
      <c r="Q1001" s="49" t="s">
        <v>1253</v>
      </c>
      <c r="R1001" s="49">
        <v>17083127294</v>
      </c>
      <c r="S1001" s="49">
        <v>17083125167</v>
      </c>
      <c r="T1001" s="49" t="s">
        <v>173</v>
      </c>
      <c r="U1001" s="50" t="s">
        <v>1253</v>
      </c>
      <c r="V1001" s="50">
        <v>17083127294</v>
      </c>
      <c r="W1001" s="50">
        <v>17083125167</v>
      </c>
      <c r="X1001" s="50" t="s">
        <v>173</v>
      </c>
      <c r="Y1001" s="50"/>
    </row>
    <row r="1002" spans="1:25" x14ac:dyDescent="0.25">
      <c r="A1002" s="25" t="s">
        <v>115</v>
      </c>
      <c r="B1002" t="b">
        <v>0</v>
      </c>
      <c r="C1002" s="43" t="s">
        <v>1254</v>
      </c>
      <c r="D1002" s="43">
        <v>322408</v>
      </c>
      <c r="E1002" s="43">
        <v>300521</v>
      </c>
      <c r="F1002" s="43" t="s">
        <v>132</v>
      </c>
      <c r="G1002" s="43" t="b">
        <v>0</v>
      </c>
      <c r="H1002" s="43" t="b">
        <v>0</v>
      </c>
      <c r="I1002" s="43"/>
      <c r="M1002" s="48" t="s">
        <v>1254</v>
      </c>
      <c r="N1002" s="48">
        <v>17088569958</v>
      </c>
      <c r="O1002" s="48">
        <v>17088571264</v>
      </c>
      <c r="P1002" s="48" t="s">
        <v>132</v>
      </c>
      <c r="Q1002" s="49" t="s">
        <v>1254</v>
      </c>
      <c r="R1002" s="49">
        <v>17083126001</v>
      </c>
      <c r="S1002" s="49">
        <v>17083127972</v>
      </c>
      <c r="T1002" s="49" t="s">
        <v>132</v>
      </c>
      <c r="U1002" s="50" t="s">
        <v>1254</v>
      </c>
      <c r="V1002" s="50">
        <v>17083126001</v>
      </c>
      <c r="W1002" s="50">
        <v>17083127972</v>
      </c>
      <c r="X1002" s="50" t="s">
        <v>132</v>
      </c>
      <c r="Y1002" s="50"/>
    </row>
    <row r="1003" spans="1:25" x14ac:dyDescent="0.25">
      <c r="A1003" s="25" t="b">
        <v>1</v>
      </c>
      <c r="B1003" t="b">
        <v>0</v>
      </c>
      <c r="C1003" s="43" t="s">
        <v>1255</v>
      </c>
      <c r="D1003" s="43">
        <v>321384</v>
      </c>
      <c r="E1003" s="43">
        <v>301465</v>
      </c>
      <c r="F1003" s="43" t="s">
        <v>173</v>
      </c>
      <c r="G1003" s="43" t="b">
        <v>0</v>
      </c>
      <c r="H1003" s="43" t="b">
        <v>0</v>
      </c>
      <c r="I1003" s="43"/>
      <c r="J1003" s="45" t="s">
        <v>1255</v>
      </c>
      <c r="K1003" s="46">
        <v>301465</v>
      </c>
      <c r="M1003" s="48" t="s">
        <v>1255</v>
      </c>
      <c r="N1003" s="48">
        <v>17088571558</v>
      </c>
      <c r="O1003" s="48">
        <v>17088570496</v>
      </c>
      <c r="P1003" s="48" t="s">
        <v>173</v>
      </c>
      <c r="Q1003" s="49" t="s">
        <v>1255</v>
      </c>
      <c r="R1003" s="49">
        <v>17083128753</v>
      </c>
      <c r="S1003" s="49">
        <v>17083128356</v>
      </c>
      <c r="T1003" s="49" t="s">
        <v>173</v>
      </c>
      <c r="U1003" s="50" t="s">
        <v>1255</v>
      </c>
      <c r="V1003" s="50">
        <v>17083128753</v>
      </c>
      <c r="W1003" s="50">
        <v>17083128356</v>
      </c>
      <c r="X1003" s="50" t="s">
        <v>173</v>
      </c>
      <c r="Y1003" s="50"/>
    </row>
    <row r="1004" spans="1:25" x14ac:dyDescent="0.25">
      <c r="A1004" s="25" t="b">
        <v>1</v>
      </c>
      <c r="B1004" t="b">
        <v>0</v>
      </c>
      <c r="C1004" s="43" t="s">
        <v>1256</v>
      </c>
      <c r="D1004" s="43">
        <v>323432</v>
      </c>
      <c r="E1004" s="43">
        <v>301641</v>
      </c>
      <c r="F1004" s="43" t="s">
        <v>173</v>
      </c>
      <c r="G1004" s="43" t="b">
        <v>0</v>
      </c>
      <c r="H1004" s="43" t="b">
        <v>0</v>
      </c>
      <c r="I1004" s="43"/>
      <c r="J1004" s="45" t="s">
        <v>1256</v>
      </c>
      <c r="K1004" s="46">
        <v>301641</v>
      </c>
      <c r="M1004" s="48" t="s">
        <v>1256</v>
      </c>
      <c r="N1004" s="48">
        <v>17088571166</v>
      </c>
      <c r="O1004" s="48">
        <v>17088558652</v>
      </c>
      <c r="P1004" s="48" t="s">
        <v>173</v>
      </c>
      <c r="Q1004" s="49" t="s">
        <v>1256</v>
      </c>
      <c r="R1004" s="49">
        <v>17083129593</v>
      </c>
      <c r="S1004" s="49">
        <v>17083091066</v>
      </c>
      <c r="T1004" s="49" t="s">
        <v>173</v>
      </c>
      <c r="U1004" s="50" t="s">
        <v>1256</v>
      </c>
      <c r="V1004" s="50">
        <v>17083129593</v>
      </c>
      <c r="W1004" s="50">
        <v>17083091066</v>
      </c>
      <c r="X1004" s="50" t="s">
        <v>173</v>
      </c>
      <c r="Y1004" s="50"/>
    </row>
    <row r="1005" spans="1:25" x14ac:dyDescent="0.25">
      <c r="A1005" s="25" t="s">
        <v>115</v>
      </c>
      <c r="B1005" t="b">
        <v>0</v>
      </c>
      <c r="C1005" s="43" t="s">
        <v>1257</v>
      </c>
      <c r="D1005" s="43">
        <v>319720</v>
      </c>
      <c r="E1005" s="43">
        <v>300713</v>
      </c>
      <c r="F1005" s="43" t="s">
        <v>123</v>
      </c>
      <c r="G1005" s="43" t="b">
        <v>0</v>
      </c>
      <c r="H1005" s="43" t="b">
        <v>0</v>
      </c>
      <c r="I1005" s="43"/>
      <c r="M1005" s="48" t="s">
        <v>1257</v>
      </c>
      <c r="N1005" s="48">
        <v>17088569630</v>
      </c>
      <c r="O1005" s="48">
        <v>17088557468</v>
      </c>
      <c r="P1005" s="48" t="s">
        <v>123</v>
      </c>
      <c r="Q1005" s="49" t="s">
        <v>1257</v>
      </c>
      <c r="R1005" s="49">
        <v>17083126009</v>
      </c>
      <c r="S1005" s="49">
        <v>17083090650</v>
      </c>
      <c r="T1005" s="49" t="s">
        <v>123</v>
      </c>
      <c r="U1005" s="50" t="s">
        <v>1257</v>
      </c>
      <c r="V1005" s="50">
        <v>17083126009</v>
      </c>
      <c r="W1005" s="50">
        <v>17083090650</v>
      </c>
      <c r="X1005" s="50" t="s">
        <v>123</v>
      </c>
      <c r="Y1005" s="50"/>
    </row>
    <row r="1006" spans="1:25" x14ac:dyDescent="0.25">
      <c r="A1006" s="25" t="s">
        <v>115</v>
      </c>
      <c r="B1006" t="b">
        <v>0</v>
      </c>
      <c r="C1006" s="43" t="s">
        <v>1258</v>
      </c>
      <c r="D1006" s="43">
        <v>321768</v>
      </c>
      <c r="E1006" s="43">
        <v>300489</v>
      </c>
      <c r="F1006" s="43" t="s">
        <v>125</v>
      </c>
      <c r="G1006" s="43" t="b">
        <v>0</v>
      </c>
      <c r="H1006" s="43" t="b">
        <v>0</v>
      </c>
      <c r="I1006" s="43" t="s">
        <v>126</v>
      </c>
      <c r="M1006" s="48" t="s">
        <v>1258</v>
      </c>
      <c r="N1006" s="48">
        <v>17088572190</v>
      </c>
      <c r="O1006" s="48">
        <v>17088560860</v>
      </c>
      <c r="P1006" s="48" t="s">
        <v>125</v>
      </c>
      <c r="Q1006" s="49" t="s">
        <v>1258</v>
      </c>
      <c r="R1006" s="49">
        <v>17083127545</v>
      </c>
      <c r="S1006" s="49">
        <v>17083092154</v>
      </c>
      <c r="T1006" s="49" t="s">
        <v>125</v>
      </c>
      <c r="U1006" s="50" t="s">
        <v>1258</v>
      </c>
      <c r="V1006" s="50">
        <v>17083127545</v>
      </c>
      <c r="W1006" s="50">
        <v>17083092154</v>
      </c>
      <c r="X1006" s="50" t="s">
        <v>125</v>
      </c>
      <c r="Y1006" s="50"/>
    </row>
    <row r="1007" spans="1:25" x14ac:dyDescent="0.25">
      <c r="A1007" s="25" t="s">
        <v>115</v>
      </c>
      <c r="B1007" t="b">
        <v>0</v>
      </c>
      <c r="C1007" s="43" t="s">
        <v>1259</v>
      </c>
      <c r="D1007" s="43">
        <v>320744</v>
      </c>
      <c r="E1007" s="43">
        <v>302105</v>
      </c>
      <c r="F1007" s="43" t="s">
        <v>132</v>
      </c>
      <c r="G1007" s="43" t="b">
        <v>0</v>
      </c>
      <c r="H1007" s="43" t="b">
        <v>0</v>
      </c>
      <c r="I1007" s="43"/>
      <c r="M1007" s="48" t="s">
        <v>1259</v>
      </c>
      <c r="N1007" s="48">
        <v>17088569510</v>
      </c>
      <c r="O1007" s="48">
        <v>17088572032</v>
      </c>
      <c r="P1007" s="48" t="s">
        <v>132</v>
      </c>
      <c r="Q1007" s="49" t="s">
        <v>1259</v>
      </c>
      <c r="R1007" s="49">
        <v>17083126705</v>
      </c>
      <c r="S1007" s="49">
        <v>17083126052</v>
      </c>
      <c r="T1007" s="49" t="s">
        <v>132</v>
      </c>
      <c r="U1007" s="50" t="s">
        <v>1259</v>
      </c>
      <c r="V1007" s="50">
        <v>17083126705</v>
      </c>
      <c r="W1007" s="50">
        <v>17083126052</v>
      </c>
      <c r="X1007" s="50" t="s">
        <v>132</v>
      </c>
      <c r="Y1007" s="50"/>
    </row>
    <row r="1008" spans="1:25" x14ac:dyDescent="0.25">
      <c r="A1008" s="25" t="s">
        <v>248</v>
      </c>
      <c r="B1008" t="b">
        <v>0</v>
      </c>
      <c r="C1008" s="43" t="s">
        <v>1260</v>
      </c>
      <c r="D1008" s="43">
        <v>16044231642</v>
      </c>
      <c r="E1008" s="43">
        <v>16044230106</v>
      </c>
      <c r="F1008" s="43" t="s">
        <v>173</v>
      </c>
      <c r="G1008" s="43" t="b">
        <v>0</v>
      </c>
      <c r="H1008" s="43" t="b">
        <v>0</v>
      </c>
      <c r="I1008" s="43"/>
      <c r="J1008" s="45" t="s">
        <v>1260</v>
      </c>
      <c r="K1008" s="46">
        <v>16044230106</v>
      </c>
      <c r="M1008" s="48" t="s">
        <v>1260</v>
      </c>
      <c r="N1008" s="48">
        <v>17088571242</v>
      </c>
      <c r="O1008" s="48">
        <v>17088568923</v>
      </c>
      <c r="P1008" s="48" t="s">
        <v>173</v>
      </c>
      <c r="Q1008" s="49" t="s">
        <v>1260</v>
      </c>
      <c r="R1008" s="49">
        <v>17083129089</v>
      </c>
      <c r="S1008" s="49">
        <v>17083124639</v>
      </c>
      <c r="T1008" s="49" t="s">
        <v>173</v>
      </c>
      <c r="U1008" s="50" t="s">
        <v>1260</v>
      </c>
      <c r="V1008" s="50">
        <v>17083129089</v>
      </c>
      <c r="W1008" s="50">
        <v>17083124639</v>
      </c>
      <c r="X1008" s="50" t="s">
        <v>173</v>
      </c>
      <c r="Y1008" s="50"/>
    </row>
    <row r="1009" spans="1:25" x14ac:dyDescent="0.25">
      <c r="A1009" s="25" t="s">
        <v>248</v>
      </c>
      <c r="B1009" t="b">
        <v>0</v>
      </c>
      <c r="C1009" s="43" t="s">
        <v>1261</v>
      </c>
      <c r="D1009" s="43">
        <v>16044230618</v>
      </c>
      <c r="E1009" s="43">
        <v>16044229338</v>
      </c>
      <c r="F1009" s="43" t="s">
        <v>173</v>
      </c>
      <c r="G1009" s="43" t="b">
        <v>0</v>
      </c>
      <c r="H1009" s="43" t="b">
        <v>0</v>
      </c>
      <c r="I1009" s="43"/>
      <c r="J1009" s="45" t="s">
        <v>1261</v>
      </c>
      <c r="K1009" s="54">
        <v>16044229338</v>
      </c>
      <c r="M1009" s="48" t="s">
        <v>1261</v>
      </c>
      <c r="N1009" s="48">
        <v>17088569678</v>
      </c>
      <c r="O1009" s="48">
        <v>17088562707</v>
      </c>
      <c r="P1009" s="48" t="s">
        <v>173</v>
      </c>
      <c r="Q1009" s="49" t="s">
        <v>1261</v>
      </c>
      <c r="R1009" s="49">
        <v>17083128569</v>
      </c>
      <c r="S1009" s="49">
        <v>17083123520</v>
      </c>
      <c r="T1009" s="49" t="s">
        <v>173</v>
      </c>
      <c r="U1009" s="50" t="s">
        <v>1261</v>
      </c>
      <c r="V1009" s="50">
        <v>17083128569</v>
      </c>
      <c r="W1009" s="50">
        <v>17083123520</v>
      </c>
      <c r="X1009" s="50" t="s">
        <v>173</v>
      </c>
      <c r="Y1009" s="50"/>
    </row>
    <row r="1010" spans="1:25" x14ac:dyDescent="0.25">
      <c r="A1010" s="25" t="s">
        <v>248</v>
      </c>
      <c r="B1010" t="b">
        <v>0</v>
      </c>
      <c r="C1010" s="43" t="s">
        <v>1262</v>
      </c>
      <c r="D1010" s="43">
        <v>16044232666</v>
      </c>
      <c r="E1010" s="43">
        <v>16044232410</v>
      </c>
      <c r="F1010" s="43" t="s">
        <v>173</v>
      </c>
      <c r="G1010" s="43" t="b">
        <v>0</v>
      </c>
      <c r="H1010" s="43" t="b">
        <v>0</v>
      </c>
      <c r="I1010" s="43"/>
      <c r="J1010" s="45" t="s">
        <v>1262</v>
      </c>
      <c r="K1010" s="46">
        <v>16044232410</v>
      </c>
      <c r="M1010" s="48" t="s">
        <v>1262</v>
      </c>
      <c r="N1010" s="48">
        <v>17088570414</v>
      </c>
      <c r="O1010" s="48">
        <v>17088560266</v>
      </c>
      <c r="P1010" s="48" t="s">
        <v>173</v>
      </c>
      <c r="Q1010" s="49" t="s">
        <v>1262</v>
      </c>
      <c r="R1010" s="49">
        <v>17083126405</v>
      </c>
      <c r="S1010" s="49">
        <v>17083125056</v>
      </c>
      <c r="T1010" s="49" t="s">
        <v>173</v>
      </c>
      <c r="U1010" s="50" t="s">
        <v>1262</v>
      </c>
      <c r="V1010" s="50">
        <v>17083126405</v>
      </c>
      <c r="W1010" s="50">
        <v>17083125056</v>
      </c>
      <c r="X1010" s="50" t="s">
        <v>173</v>
      </c>
      <c r="Y1010" s="50"/>
    </row>
    <row r="1011" spans="1:25" x14ac:dyDescent="0.25">
      <c r="A1011" s="25" t="s">
        <v>248</v>
      </c>
      <c r="B1011" t="b">
        <v>0</v>
      </c>
      <c r="C1011" s="43" t="s">
        <v>1263</v>
      </c>
      <c r="D1011" s="43">
        <v>16044228666</v>
      </c>
      <c r="E1011" s="43">
        <v>16044230874</v>
      </c>
      <c r="F1011" s="43" t="s">
        <v>173</v>
      </c>
      <c r="G1011" s="43" t="b">
        <v>0</v>
      </c>
      <c r="H1011" s="43" t="b">
        <v>0</v>
      </c>
      <c r="I1011" s="43"/>
      <c r="J1011" s="45" t="s">
        <v>1263</v>
      </c>
      <c r="K1011" s="46">
        <v>16044230874</v>
      </c>
      <c r="M1011" s="48" t="s">
        <v>1263</v>
      </c>
      <c r="N1011" s="48">
        <v>17088570158</v>
      </c>
      <c r="O1011" s="48">
        <v>17088562827</v>
      </c>
      <c r="P1011" s="48" t="s">
        <v>173</v>
      </c>
      <c r="Q1011" s="49" t="s">
        <v>1263</v>
      </c>
      <c r="R1011" s="49">
        <v>17083127877</v>
      </c>
      <c r="S1011" s="49">
        <v>17083122384</v>
      </c>
      <c r="T1011" s="49" t="s">
        <v>173</v>
      </c>
      <c r="U1011" s="50" t="s">
        <v>1263</v>
      </c>
      <c r="V1011" s="50">
        <v>17083127877</v>
      </c>
      <c r="W1011" s="50">
        <v>17083122384</v>
      </c>
      <c r="X1011" s="50" t="s">
        <v>173</v>
      </c>
      <c r="Y1011" s="50"/>
    </row>
    <row r="1012" spans="1:25" x14ac:dyDescent="0.25">
      <c r="A1012" s="25" t="s">
        <v>248</v>
      </c>
      <c r="B1012" t="b">
        <v>0</v>
      </c>
      <c r="C1012" s="43" t="s">
        <v>1264</v>
      </c>
      <c r="D1012" s="43">
        <v>16044230714</v>
      </c>
      <c r="E1012" s="43">
        <v>16044230490</v>
      </c>
      <c r="F1012" s="43" t="s">
        <v>173</v>
      </c>
      <c r="G1012" s="43" t="b">
        <v>0</v>
      </c>
      <c r="H1012" s="43" t="b">
        <v>0</v>
      </c>
      <c r="I1012" s="43"/>
      <c r="J1012" s="45" t="s">
        <v>1264</v>
      </c>
      <c r="K1012" s="46">
        <v>16044230490</v>
      </c>
      <c r="M1012" s="48" t="s">
        <v>1264</v>
      </c>
      <c r="N1012" s="48">
        <v>17088570862</v>
      </c>
      <c r="O1012" s="48">
        <v>17088562651</v>
      </c>
      <c r="P1012" s="48" t="s">
        <v>173</v>
      </c>
      <c r="Q1012" s="49" t="s">
        <v>1264</v>
      </c>
      <c r="R1012" s="49">
        <v>17083129058</v>
      </c>
      <c r="S1012" s="49">
        <v>17083123368</v>
      </c>
      <c r="T1012" s="49" t="s">
        <v>173</v>
      </c>
      <c r="U1012" s="50" t="s">
        <v>1264</v>
      </c>
      <c r="V1012" s="50">
        <v>17083129058</v>
      </c>
      <c r="W1012" s="50">
        <v>17083123368</v>
      </c>
      <c r="X1012" s="50" t="s">
        <v>173</v>
      </c>
      <c r="Y1012" s="50"/>
    </row>
    <row r="1013" spans="1:25" x14ac:dyDescent="0.25">
      <c r="A1013" s="25" t="b">
        <v>1</v>
      </c>
      <c r="B1013" t="b">
        <v>0</v>
      </c>
      <c r="C1013" s="43" t="s">
        <v>1265</v>
      </c>
      <c r="D1013" s="43">
        <v>25471972897</v>
      </c>
      <c r="E1013" s="43">
        <v>25471973569</v>
      </c>
      <c r="F1013" s="43" t="s">
        <v>173</v>
      </c>
      <c r="G1013" s="43" t="b">
        <v>0</v>
      </c>
      <c r="H1013" s="43" t="b">
        <v>0</v>
      </c>
      <c r="I1013" s="43"/>
      <c r="J1013" s="45" t="s">
        <v>1266</v>
      </c>
      <c r="K1013" s="46">
        <v>25471973569</v>
      </c>
      <c r="M1013" s="48" t="s">
        <v>1265</v>
      </c>
      <c r="N1013" s="48">
        <v>17088570100</v>
      </c>
      <c r="O1013" s="48">
        <v>17088567244</v>
      </c>
      <c r="P1013" s="48" t="s">
        <v>173</v>
      </c>
      <c r="Q1013" s="49" t="s">
        <v>1265</v>
      </c>
      <c r="R1013" s="49">
        <v>17086204164</v>
      </c>
      <c r="S1013" s="49">
        <v>17084621433</v>
      </c>
      <c r="T1013" s="49" t="s">
        <v>173</v>
      </c>
      <c r="U1013" s="50" t="s">
        <v>1265</v>
      </c>
      <c r="V1013" s="50">
        <v>17102547693</v>
      </c>
      <c r="W1013" s="50">
        <v>17101205047</v>
      </c>
      <c r="X1013" s="50" t="s">
        <v>173</v>
      </c>
      <c r="Y1013" s="50"/>
    </row>
    <row r="1014" spans="1:25" x14ac:dyDescent="0.25">
      <c r="A1014" s="25" t="b">
        <v>1</v>
      </c>
      <c r="B1014" t="b">
        <v>0</v>
      </c>
      <c r="C1014" s="43" t="s">
        <v>1267</v>
      </c>
      <c r="D1014" s="43">
        <v>25471974945</v>
      </c>
      <c r="E1014" s="43">
        <v>25471974337</v>
      </c>
      <c r="F1014" s="43" t="s">
        <v>173</v>
      </c>
      <c r="G1014" s="43" t="b">
        <v>0</v>
      </c>
      <c r="H1014" s="43" t="b">
        <v>0</v>
      </c>
      <c r="I1014" s="43"/>
      <c r="J1014" s="45" t="s">
        <v>1267</v>
      </c>
      <c r="K1014" s="46">
        <v>25471974337</v>
      </c>
      <c r="M1014" s="48" t="s">
        <v>1267</v>
      </c>
      <c r="N1014" s="48">
        <v>17088573132</v>
      </c>
      <c r="O1014" s="48">
        <v>17088565708</v>
      </c>
      <c r="P1014" s="48" t="s">
        <v>173</v>
      </c>
      <c r="Q1014" s="49" t="s">
        <v>1267</v>
      </c>
      <c r="R1014" s="49">
        <v>17086205444</v>
      </c>
      <c r="S1014" s="49">
        <v>17084621829</v>
      </c>
      <c r="T1014" s="49" t="s">
        <v>173</v>
      </c>
      <c r="U1014" s="50" t="s">
        <v>1267</v>
      </c>
      <c r="V1014" s="50">
        <v>17102548205</v>
      </c>
      <c r="W1014" s="50">
        <v>17101205463</v>
      </c>
      <c r="X1014" s="50" t="s">
        <v>173</v>
      </c>
      <c r="Y1014" s="50"/>
    </row>
    <row r="1015" spans="1:25" x14ac:dyDescent="0.25">
      <c r="A1015" s="25" t="b">
        <v>1</v>
      </c>
      <c r="B1015" t="b">
        <v>0</v>
      </c>
      <c r="C1015" s="43" t="s">
        <v>1268</v>
      </c>
      <c r="D1015" s="43">
        <v>25471971617</v>
      </c>
      <c r="E1015" s="43">
        <v>25471971361</v>
      </c>
      <c r="F1015" s="43" t="s">
        <v>173</v>
      </c>
      <c r="G1015" s="43" t="b">
        <v>0</v>
      </c>
      <c r="H1015" s="43" t="b">
        <v>0</v>
      </c>
      <c r="I1015" s="43"/>
      <c r="J1015" s="45" t="s">
        <v>1268</v>
      </c>
      <c r="K1015" s="46">
        <v>25471971361</v>
      </c>
      <c r="M1015" s="48" t="s">
        <v>1268</v>
      </c>
      <c r="N1015" s="48">
        <v>17088573030</v>
      </c>
      <c r="O1015" s="48">
        <v>17088559816</v>
      </c>
      <c r="P1015" s="48" t="s">
        <v>173</v>
      </c>
      <c r="Q1015" s="49" t="s">
        <v>1268</v>
      </c>
      <c r="R1015" s="49">
        <v>17086202116</v>
      </c>
      <c r="S1015" s="49">
        <v>17084622341</v>
      </c>
      <c r="T1015" s="49" t="s">
        <v>173</v>
      </c>
      <c r="U1015" s="50" t="s">
        <v>1268</v>
      </c>
      <c r="V1015" s="50">
        <v>17102545645</v>
      </c>
      <c r="W1015" s="50">
        <v>17101204535</v>
      </c>
      <c r="X1015" s="50" t="s">
        <v>173</v>
      </c>
      <c r="Y1015" s="50"/>
    </row>
    <row r="1016" spans="1:25" x14ac:dyDescent="0.25">
      <c r="A1016" s="25" t="s">
        <v>115</v>
      </c>
      <c r="B1016" t="b">
        <v>0</v>
      </c>
      <c r="C1016" s="43" t="s">
        <v>1269</v>
      </c>
      <c r="D1016" s="43">
        <v>26258278377</v>
      </c>
      <c r="E1016" s="43">
        <v>26258279081</v>
      </c>
      <c r="F1016" s="43" t="s">
        <v>186</v>
      </c>
      <c r="G1016" s="43" t="b">
        <v>0</v>
      </c>
      <c r="H1016" s="43" t="b">
        <v>0</v>
      </c>
      <c r="I1016" s="43"/>
      <c r="M1016" s="48" t="s">
        <v>1269</v>
      </c>
      <c r="N1016" s="48">
        <v>17088572742</v>
      </c>
      <c r="O1016" s="48">
        <v>17088572768</v>
      </c>
      <c r="P1016" s="48" t="s">
        <v>186</v>
      </c>
      <c r="Q1016" s="49" t="s">
        <v>1269</v>
      </c>
      <c r="R1016" s="49">
        <v>17083126193</v>
      </c>
      <c r="S1016" s="49">
        <v>17083127444</v>
      </c>
      <c r="T1016" s="49" t="s">
        <v>186</v>
      </c>
      <c r="U1016" s="50" t="s">
        <v>1269</v>
      </c>
      <c r="V1016" s="50">
        <v>17083126193</v>
      </c>
      <c r="W1016" s="50">
        <v>17083127444</v>
      </c>
      <c r="X1016" s="50" t="s">
        <v>186</v>
      </c>
      <c r="Y1016" s="50"/>
    </row>
    <row r="1017" spans="1:25" x14ac:dyDescent="0.25">
      <c r="A1017" s="25" t="s">
        <v>115</v>
      </c>
      <c r="B1017" t="b">
        <v>0</v>
      </c>
      <c r="C1017" s="43" t="s">
        <v>1270</v>
      </c>
      <c r="D1017" s="43">
        <v>26258280425</v>
      </c>
      <c r="E1017" s="43">
        <v>26258276777</v>
      </c>
      <c r="F1017" s="43" t="s">
        <v>186</v>
      </c>
      <c r="G1017" s="43" t="b">
        <v>0</v>
      </c>
      <c r="H1017" s="43" t="b">
        <v>0</v>
      </c>
      <c r="I1017" s="43"/>
      <c r="M1017" s="48" t="s">
        <v>1270</v>
      </c>
      <c r="N1017" s="48">
        <v>17088571462</v>
      </c>
      <c r="O1017" s="48">
        <v>17088569696</v>
      </c>
      <c r="P1017" s="48" t="s">
        <v>186</v>
      </c>
      <c r="Q1017" s="49" t="s">
        <v>1270</v>
      </c>
      <c r="R1017" s="49">
        <v>17083129841</v>
      </c>
      <c r="S1017" s="49">
        <v>17083129748</v>
      </c>
      <c r="T1017" s="49" t="s">
        <v>186</v>
      </c>
      <c r="U1017" s="50" t="s">
        <v>1270</v>
      </c>
      <c r="V1017" s="50">
        <v>17083129841</v>
      </c>
      <c r="W1017" s="50">
        <v>17083129748</v>
      </c>
      <c r="X1017" s="50" t="s">
        <v>186</v>
      </c>
      <c r="Y1017" s="50"/>
    </row>
    <row r="1018" spans="1:25" x14ac:dyDescent="0.25">
      <c r="A1018" s="25" t="s">
        <v>115</v>
      </c>
      <c r="B1018" t="b">
        <v>0</v>
      </c>
      <c r="C1018" s="43" t="s">
        <v>1271</v>
      </c>
      <c r="D1018" s="43">
        <v>26258276377</v>
      </c>
      <c r="E1018" s="43">
        <v>26258279849</v>
      </c>
      <c r="F1018" s="43" t="s">
        <v>186</v>
      </c>
      <c r="G1018" s="43" t="b">
        <v>0</v>
      </c>
      <c r="H1018" s="43" t="b">
        <v>0</v>
      </c>
      <c r="I1018" s="43"/>
      <c r="M1018" s="48" t="s">
        <v>1271</v>
      </c>
      <c r="N1018" s="48">
        <v>17088572454</v>
      </c>
      <c r="O1018" s="48">
        <v>17088572000</v>
      </c>
      <c r="P1018" s="48" t="s">
        <v>186</v>
      </c>
      <c r="Q1018" s="49" t="s">
        <v>1271</v>
      </c>
      <c r="R1018" s="49">
        <v>17083127793</v>
      </c>
      <c r="S1018" s="49">
        <v>17083126676</v>
      </c>
      <c r="T1018" s="49" t="s">
        <v>186</v>
      </c>
      <c r="U1018" s="50" t="s">
        <v>1271</v>
      </c>
      <c r="V1018" s="50">
        <v>17083127793</v>
      </c>
      <c r="W1018" s="50">
        <v>17083126676</v>
      </c>
      <c r="X1018" s="50" t="s">
        <v>186</v>
      </c>
      <c r="Y1018" s="50"/>
    </row>
    <row r="1019" spans="1:25" x14ac:dyDescent="0.25">
      <c r="A1019" s="25" t="s">
        <v>115</v>
      </c>
      <c r="B1019" t="b">
        <v>0</v>
      </c>
      <c r="C1019" s="43" t="s">
        <v>1272</v>
      </c>
      <c r="D1019" s="43">
        <v>26258278425</v>
      </c>
      <c r="E1019" s="43">
        <v>26258278313</v>
      </c>
      <c r="F1019" s="43" t="s">
        <v>186</v>
      </c>
      <c r="G1019" s="43" t="b">
        <v>0</v>
      </c>
      <c r="H1019" s="43" t="b">
        <v>0</v>
      </c>
      <c r="I1019" s="43"/>
      <c r="M1019" s="48" t="s">
        <v>1272</v>
      </c>
      <c r="N1019" s="48">
        <v>17088573126</v>
      </c>
      <c r="O1019" s="48">
        <v>17088570464</v>
      </c>
      <c r="P1019" s="48" t="s">
        <v>186</v>
      </c>
      <c r="Q1019" s="49" t="s">
        <v>1272</v>
      </c>
      <c r="R1019" s="49">
        <v>17083129521</v>
      </c>
      <c r="S1019" s="49">
        <v>17083128212</v>
      </c>
      <c r="T1019" s="49" t="s">
        <v>186</v>
      </c>
      <c r="U1019" s="50" t="s">
        <v>1272</v>
      </c>
      <c r="V1019" s="50">
        <v>17083129521</v>
      </c>
      <c r="W1019" s="50">
        <v>17083128212</v>
      </c>
      <c r="X1019" s="50" t="s">
        <v>186</v>
      </c>
      <c r="Y1019" s="50"/>
    </row>
    <row r="1020" spans="1:25" x14ac:dyDescent="0.25">
      <c r="A1020" s="25" t="s">
        <v>115</v>
      </c>
      <c r="B1020" t="b">
        <v>0</v>
      </c>
      <c r="C1020" s="43" t="s">
        <v>1273</v>
      </c>
      <c r="D1020" s="43">
        <v>26258277401</v>
      </c>
      <c r="E1020" s="43">
        <v>26258278505</v>
      </c>
      <c r="F1020" s="43" t="s">
        <v>186</v>
      </c>
      <c r="G1020" s="43" t="b">
        <v>0</v>
      </c>
      <c r="H1020" s="43" t="b">
        <v>0</v>
      </c>
      <c r="I1020" s="43"/>
      <c r="M1020" s="48" t="s">
        <v>1273</v>
      </c>
      <c r="N1020" s="48">
        <v>17088569702</v>
      </c>
      <c r="O1020" s="48">
        <v>17088558280</v>
      </c>
      <c r="P1020" s="48" t="s">
        <v>186</v>
      </c>
      <c r="Q1020" s="49" t="s">
        <v>1273</v>
      </c>
      <c r="R1020" s="49">
        <v>17083128489</v>
      </c>
      <c r="S1020" s="49">
        <v>17083091484</v>
      </c>
      <c r="T1020" s="49" t="s">
        <v>186</v>
      </c>
      <c r="U1020" s="50" t="s">
        <v>1273</v>
      </c>
      <c r="V1020" s="50">
        <v>17083128489</v>
      </c>
      <c r="W1020" s="50">
        <v>17083091484</v>
      </c>
      <c r="X1020" s="50" t="s">
        <v>186</v>
      </c>
      <c r="Y1020" s="50"/>
    </row>
    <row r="1021" spans="1:25" x14ac:dyDescent="0.25">
      <c r="A1021" s="25" t="s">
        <v>115</v>
      </c>
      <c r="B1021" t="b">
        <v>0</v>
      </c>
      <c r="C1021" s="43" t="s">
        <v>1274</v>
      </c>
      <c r="D1021" s="43">
        <v>26258279449</v>
      </c>
      <c r="E1021" s="43">
        <v>26258276969</v>
      </c>
      <c r="F1021" s="43" t="s">
        <v>117</v>
      </c>
      <c r="G1021" s="43" t="b">
        <v>0</v>
      </c>
      <c r="H1021" s="43" t="b">
        <v>0</v>
      </c>
      <c r="I1021" s="43"/>
      <c r="M1021" s="48" t="s">
        <v>1274</v>
      </c>
      <c r="N1021" s="48">
        <v>17088572334</v>
      </c>
      <c r="O1021" s="48">
        <v>17088559810</v>
      </c>
      <c r="P1021" s="48" t="s">
        <v>117</v>
      </c>
      <c r="Q1021" s="49" t="s">
        <v>1274</v>
      </c>
      <c r="R1021" s="49">
        <v>17083129605</v>
      </c>
      <c r="S1021" s="49">
        <v>17083091110</v>
      </c>
      <c r="T1021" s="49" t="s">
        <v>117</v>
      </c>
      <c r="U1021" s="50" t="s">
        <v>1274</v>
      </c>
      <c r="V1021" s="50">
        <v>17083129605</v>
      </c>
      <c r="W1021" s="50">
        <v>17083091110</v>
      </c>
      <c r="X1021" s="50" t="s">
        <v>117</v>
      </c>
      <c r="Y1021" s="50"/>
    </row>
    <row r="1022" spans="1:25" x14ac:dyDescent="0.25">
      <c r="A1022" s="25" t="s">
        <v>115</v>
      </c>
      <c r="B1022" t="b">
        <v>0</v>
      </c>
      <c r="C1022" s="43" t="s">
        <v>1275</v>
      </c>
      <c r="D1022" s="43">
        <v>26258276889</v>
      </c>
      <c r="E1022" s="43">
        <v>26258278761</v>
      </c>
      <c r="F1022" s="43" t="s">
        <v>117</v>
      </c>
      <c r="G1022" s="43" t="b">
        <v>0</v>
      </c>
      <c r="H1022" s="43" t="b">
        <v>0</v>
      </c>
      <c r="I1022" s="43"/>
      <c r="M1022" s="48" t="s">
        <v>1275</v>
      </c>
      <c r="N1022" s="48">
        <v>17088570286</v>
      </c>
      <c r="O1022" s="48">
        <v>17088557250</v>
      </c>
      <c r="P1022" s="48" t="s">
        <v>117</v>
      </c>
      <c r="Q1022" s="49" t="s">
        <v>1275</v>
      </c>
      <c r="R1022" s="49">
        <v>17083126649</v>
      </c>
      <c r="S1022" s="49">
        <v>17083089702</v>
      </c>
      <c r="T1022" s="49" t="s">
        <v>117</v>
      </c>
      <c r="U1022" s="50" t="s">
        <v>1275</v>
      </c>
      <c r="V1022" s="50">
        <v>17083126649</v>
      </c>
      <c r="W1022" s="50">
        <v>17083089702</v>
      </c>
      <c r="X1022" s="50" t="s">
        <v>117</v>
      </c>
      <c r="Y1022" s="50"/>
    </row>
    <row r="1023" spans="1:25" x14ac:dyDescent="0.25">
      <c r="A1023" s="25" t="s">
        <v>115</v>
      </c>
      <c r="B1023" t="b">
        <v>0</v>
      </c>
      <c r="C1023" s="43" t="s">
        <v>1276</v>
      </c>
      <c r="D1023" s="43">
        <v>26258278937</v>
      </c>
      <c r="E1023" s="43">
        <v>26258278249</v>
      </c>
      <c r="F1023" s="43" t="s">
        <v>117</v>
      </c>
      <c r="G1023" s="43" t="b">
        <v>0</v>
      </c>
      <c r="H1023" s="43" t="b">
        <v>0</v>
      </c>
      <c r="I1023" s="43"/>
      <c r="M1023" s="48" t="s">
        <v>1276</v>
      </c>
      <c r="N1023" s="48">
        <v>17088572014</v>
      </c>
      <c r="O1023" s="48">
        <v>17088560450</v>
      </c>
      <c r="P1023" s="48" t="s">
        <v>117</v>
      </c>
      <c r="Q1023" s="49" t="s">
        <v>1276</v>
      </c>
      <c r="R1023" s="49">
        <v>17083128325</v>
      </c>
      <c r="S1023" s="49">
        <v>17083092518</v>
      </c>
      <c r="T1023" s="49" t="s">
        <v>117</v>
      </c>
      <c r="U1023" s="50" t="s">
        <v>1276</v>
      </c>
      <c r="V1023" s="50">
        <v>17083128325</v>
      </c>
      <c r="W1023" s="50">
        <v>17083092518</v>
      </c>
      <c r="X1023" s="50" t="s">
        <v>117</v>
      </c>
      <c r="Y1023" s="50"/>
    </row>
    <row r="1024" spans="1:25" x14ac:dyDescent="0.25">
      <c r="A1024" s="25" t="s">
        <v>115</v>
      </c>
      <c r="B1024" t="b">
        <v>0</v>
      </c>
      <c r="C1024" s="43" t="s">
        <v>1277</v>
      </c>
      <c r="D1024" s="43">
        <v>26258277913</v>
      </c>
      <c r="E1024" s="43">
        <v>26258279657</v>
      </c>
      <c r="F1024" s="43" t="s">
        <v>117</v>
      </c>
      <c r="G1024" s="43" t="b">
        <v>0</v>
      </c>
      <c r="H1024" s="43" t="b">
        <v>0</v>
      </c>
      <c r="I1024" s="43"/>
      <c r="M1024" s="48" t="s">
        <v>1277</v>
      </c>
      <c r="N1024" s="48">
        <v>17088572846</v>
      </c>
      <c r="O1024" s="48">
        <v>17088558658</v>
      </c>
      <c r="P1024" s="48" t="s">
        <v>117</v>
      </c>
      <c r="Q1024" s="49" t="s">
        <v>1277</v>
      </c>
      <c r="R1024" s="49">
        <v>17083128313</v>
      </c>
      <c r="S1024" s="49">
        <v>17083089958</v>
      </c>
      <c r="T1024" s="49" t="s">
        <v>117</v>
      </c>
      <c r="U1024" s="50" t="s">
        <v>1277</v>
      </c>
      <c r="V1024" s="50">
        <v>17083128313</v>
      </c>
      <c r="W1024" s="50">
        <v>17083089958</v>
      </c>
      <c r="X1024" s="50" t="s">
        <v>117</v>
      </c>
      <c r="Y1024" s="50"/>
    </row>
    <row r="1025" spans="1:25" x14ac:dyDescent="0.25">
      <c r="A1025" s="25" t="s">
        <v>115</v>
      </c>
      <c r="B1025" t="b">
        <v>0</v>
      </c>
      <c r="C1025" s="43" t="s">
        <v>1278</v>
      </c>
      <c r="D1025" s="43">
        <v>26258279961</v>
      </c>
      <c r="E1025" s="43">
        <v>26258276841</v>
      </c>
      <c r="F1025" s="43" t="s">
        <v>117</v>
      </c>
      <c r="G1025" s="43" t="b">
        <v>0</v>
      </c>
      <c r="H1025" s="43" t="b">
        <v>0</v>
      </c>
      <c r="I1025" s="43"/>
      <c r="M1025" s="48" t="s">
        <v>1278</v>
      </c>
      <c r="N1025" s="48">
        <v>17088570350</v>
      </c>
      <c r="O1025" s="48">
        <v>17088559410</v>
      </c>
      <c r="P1025" s="48" t="s">
        <v>117</v>
      </c>
      <c r="Q1025" s="49" t="s">
        <v>1278</v>
      </c>
      <c r="R1025" s="49">
        <v>17083127109</v>
      </c>
      <c r="S1025" s="49">
        <v>17083120895</v>
      </c>
      <c r="T1025" s="49" t="s">
        <v>117</v>
      </c>
      <c r="U1025" s="50" t="s">
        <v>1278</v>
      </c>
      <c r="V1025" s="50">
        <v>17083127109</v>
      </c>
      <c r="W1025" s="50">
        <v>17083120895</v>
      </c>
      <c r="X1025" s="50" t="s">
        <v>117</v>
      </c>
      <c r="Y1025" s="50"/>
    </row>
    <row r="1026" spans="1:25" x14ac:dyDescent="0.25">
      <c r="A1026" s="25" t="s">
        <v>115</v>
      </c>
      <c r="B1026" t="b">
        <v>0</v>
      </c>
      <c r="C1026" s="43" t="s">
        <v>1279</v>
      </c>
      <c r="D1026" s="43">
        <v>28137289027</v>
      </c>
      <c r="E1026" s="43">
        <v>28137291331</v>
      </c>
      <c r="F1026" s="43" t="s">
        <v>123</v>
      </c>
      <c r="G1026" s="43" t="b">
        <v>0</v>
      </c>
      <c r="H1026" s="43" t="b">
        <v>0</v>
      </c>
      <c r="I1026" s="43"/>
      <c r="M1026" s="48" t="s">
        <v>1279</v>
      </c>
      <c r="N1026" s="48">
        <v>17088571073</v>
      </c>
      <c r="O1026" s="48">
        <v>17088561515</v>
      </c>
      <c r="P1026" s="48" t="s">
        <v>123</v>
      </c>
      <c r="Q1026" s="49" t="s">
        <v>1279</v>
      </c>
      <c r="R1026" s="49">
        <v>17083129266</v>
      </c>
      <c r="S1026" s="49">
        <v>17083122184</v>
      </c>
      <c r="T1026" s="49" t="s">
        <v>123</v>
      </c>
      <c r="U1026" s="50" t="s">
        <v>1279</v>
      </c>
      <c r="V1026" s="50">
        <v>17083129266</v>
      </c>
      <c r="W1026" s="50">
        <v>17083122184</v>
      </c>
      <c r="X1026" s="50" t="s">
        <v>123</v>
      </c>
      <c r="Y1026" s="50"/>
    </row>
    <row r="1027" spans="1:25" x14ac:dyDescent="0.25">
      <c r="A1027" s="25" t="s">
        <v>115</v>
      </c>
      <c r="B1027" t="b">
        <v>0</v>
      </c>
      <c r="C1027" s="43" t="s">
        <v>1280</v>
      </c>
      <c r="D1027" s="43">
        <v>29843321859</v>
      </c>
      <c r="E1027" s="43">
        <v>29843322333</v>
      </c>
      <c r="F1027" s="43" t="s">
        <v>1120</v>
      </c>
      <c r="G1027" s="43" t="b">
        <v>1</v>
      </c>
      <c r="H1027" s="43" t="b">
        <v>0</v>
      </c>
      <c r="I1027" s="43"/>
      <c r="M1027" s="48" t="s">
        <v>1280</v>
      </c>
      <c r="N1027" s="48">
        <v>17090490333</v>
      </c>
      <c r="O1027" s="48">
        <v>17090490093</v>
      </c>
      <c r="P1027" s="48" t="s">
        <v>1120</v>
      </c>
      <c r="Q1027" s="49" t="s">
        <v>1280</v>
      </c>
      <c r="R1027" s="49">
        <v>17083645933</v>
      </c>
      <c r="S1027" s="49">
        <v>17083645645</v>
      </c>
      <c r="T1027" s="49" t="s">
        <v>1120</v>
      </c>
      <c r="U1027" s="50" t="s">
        <v>1280</v>
      </c>
      <c r="V1027" s="50">
        <v>17083645933</v>
      </c>
      <c r="W1027" s="50">
        <v>17083645645</v>
      </c>
      <c r="X1027" s="50" t="s">
        <v>1120</v>
      </c>
      <c r="Y1027" s="50">
        <v>130408</v>
      </c>
    </row>
    <row r="1028" spans="1:25" x14ac:dyDescent="0.25">
      <c r="A1028" s="25" t="s">
        <v>115</v>
      </c>
      <c r="B1028" t="b">
        <v>0</v>
      </c>
      <c r="C1028" s="43" t="s">
        <v>1281</v>
      </c>
      <c r="D1028" s="43">
        <v>29843323907</v>
      </c>
      <c r="E1028" s="43">
        <v>29843322845</v>
      </c>
      <c r="F1028" s="43" t="s">
        <v>1120</v>
      </c>
      <c r="G1028" s="43" t="b">
        <v>1</v>
      </c>
      <c r="H1028" s="43" t="b">
        <v>0</v>
      </c>
      <c r="I1028" s="43" t="s">
        <v>126</v>
      </c>
      <c r="M1028" s="48" t="s">
        <v>1281</v>
      </c>
      <c r="N1028" s="48">
        <v>17090486333</v>
      </c>
      <c r="O1028" s="48">
        <v>17090489837</v>
      </c>
      <c r="P1028" s="48" t="s">
        <v>1120</v>
      </c>
      <c r="Q1028" s="49" t="s">
        <v>1281</v>
      </c>
      <c r="R1028" s="49">
        <v>17083641885</v>
      </c>
      <c r="S1028" s="49">
        <v>17083645389</v>
      </c>
      <c r="T1028" s="49" t="s">
        <v>1120</v>
      </c>
      <c r="U1028" s="50" t="s">
        <v>1281</v>
      </c>
      <c r="V1028" s="50">
        <v>17083641885</v>
      </c>
      <c r="W1028" s="50">
        <v>17083645389</v>
      </c>
      <c r="X1028" s="50" t="s">
        <v>1120</v>
      </c>
      <c r="Y1028" s="50">
        <v>130417</v>
      </c>
    </row>
    <row r="1029" spans="1:25" x14ac:dyDescent="0.25">
      <c r="A1029" s="25" t="s">
        <v>115</v>
      </c>
      <c r="B1029" t="b">
        <v>0</v>
      </c>
      <c r="C1029" s="43" t="s">
        <v>1282</v>
      </c>
      <c r="D1029" s="43">
        <v>29843321347</v>
      </c>
      <c r="E1029" s="43">
        <v>29843322589</v>
      </c>
      <c r="F1029" s="43" t="s">
        <v>1120</v>
      </c>
      <c r="G1029" s="43" t="b">
        <v>1</v>
      </c>
      <c r="H1029" s="43" t="b">
        <v>0</v>
      </c>
      <c r="I1029" s="43" t="s">
        <v>126</v>
      </c>
      <c r="M1029" s="48" t="s">
        <v>1282</v>
      </c>
      <c r="N1029" s="48">
        <v>17090488381</v>
      </c>
      <c r="O1029" s="48">
        <v>17090489581</v>
      </c>
      <c r="P1029" s="48" t="s">
        <v>1120</v>
      </c>
      <c r="Q1029" s="49" t="s">
        <v>1282</v>
      </c>
      <c r="R1029" s="49">
        <v>17083643933</v>
      </c>
      <c r="S1029" s="49">
        <v>17083645133</v>
      </c>
      <c r="T1029" s="49" t="s">
        <v>1120</v>
      </c>
      <c r="U1029" s="50" t="s">
        <v>1282</v>
      </c>
      <c r="V1029" s="50">
        <v>17083643933</v>
      </c>
      <c r="W1029" s="50">
        <v>17083645133</v>
      </c>
      <c r="X1029" s="50" t="s">
        <v>1120</v>
      </c>
      <c r="Y1029" s="50">
        <v>130412</v>
      </c>
    </row>
    <row r="1030" spans="1:25" x14ac:dyDescent="0.25">
      <c r="A1030" s="25" t="s">
        <v>115</v>
      </c>
      <c r="B1030" t="b">
        <v>0</v>
      </c>
      <c r="C1030" s="43" t="s">
        <v>1283</v>
      </c>
      <c r="D1030" s="43">
        <v>29843323395</v>
      </c>
      <c r="E1030" s="43">
        <v>29843321917</v>
      </c>
      <c r="F1030" s="43" t="s">
        <v>1120</v>
      </c>
      <c r="G1030" s="43" t="b">
        <v>1</v>
      </c>
      <c r="H1030" s="43" t="b">
        <v>0</v>
      </c>
      <c r="I1030" s="43" t="s">
        <v>126</v>
      </c>
      <c r="M1030" s="48" t="s">
        <v>1283</v>
      </c>
      <c r="N1030" s="48">
        <v>17090487357</v>
      </c>
      <c r="O1030" s="48">
        <v>17090490349</v>
      </c>
      <c r="P1030" s="48" t="s">
        <v>1120</v>
      </c>
      <c r="Q1030" s="49" t="s">
        <v>1283</v>
      </c>
      <c r="R1030" s="49">
        <v>17083642909</v>
      </c>
      <c r="S1030" s="49">
        <v>17083645901</v>
      </c>
      <c r="T1030" s="49" t="s">
        <v>1120</v>
      </c>
      <c r="U1030" s="50" t="s">
        <v>1283</v>
      </c>
      <c r="V1030" s="50">
        <v>17083642909</v>
      </c>
      <c r="W1030" s="50">
        <v>17083645901</v>
      </c>
      <c r="X1030" s="50" t="s">
        <v>1120</v>
      </c>
      <c r="Y1030" s="50">
        <v>130401</v>
      </c>
    </row>
    <row r="1031" spans="1:25" x14ac:dyDescent="0.25">
      <c r="A1031" s="25" t="s">
        <v>115</v>
      </c>
      <c r="B1031" t="b">
        <v>0</v>
      </c>
      <c r="C1031" s="43" t="s">
        <v>1284</v>
      </c>
      <c r="D1031" s="43">
        <v>29843322371</v>
      </c>
      <c r="E1031" s="43">
        <v>29843322429</v>
      </c>
      <c r="F1031" s="43" t="s">
        <v>1120</v>
      </c>
      <c r="G1031" s="43" t="b">
        <v>0</v>
      </c>
      <c r="H1031" s="43" t="b">
        <v>0</v>
      </c>
      <c r="I1031" s="43"/>
      <c r="M1031" s="48" t="s">
        <v>1284</v>
      </c>
      <c r="N1031" s="48">
        <v>17090489405</v>
      </c>
      <c r="O1031" s="48">
        <v>17090489373</v>
      </c>
      <c r="P1031" s="48" t="s">
        <v>1120</v>
      </c>
      <c r="Q1031" s="49" t="s">
        <v>1284</v>
      </c>
      <c r="R1031" s="49">
        <v>17083644957</v>
      </c>
      <c r="S1031" s="49">
        <v>17083644973</v>
      </c>
      <c r="T1031" s="49" t="s">
        <v>1120</v>
      </c>
      <c r="U1031" s="50" t="s">
        <v>1284</v>
      </c>
      <c r="V1031" s="50">
        <v>17083644957</v>
      </c>
      <c r="W1031" s="50">
        <v>17083644973</v>
      </c>
      <c r="X1031" s="50" t="s">
        <v>1120</v>
      </c>
      <c r="Y1031" s="50"/>
    </row>
    <row r="1032" spans="1:25" x14ac:dyDescent="0.25">
      <c r="A1032" s="25" t="s">
        <v>115</v>
      </c>
      <c r="B1032" t="b">
        <v>0</v>
      </c>
      <c r="C1032" s="43" t="s">
        <v>1285</v>
      </c>
      <c r="D1032" s="43">
        <v>29843324419</v>
      </c>
      <c r="E1032" s="43">
        <v>29843322173</v>
      </c>
      <c r="F1032" s="43" t="s">
        <v>1120</v>
      </c>
      <c r="G1032" s="43" t="b">
        <v>1</v>
      </c>
      <c r="H1032" s="43" t="b">
        <v>0</v>
      </c>
      <c r="I1032" s="43" t="s">
        <v>126</v>
      </c>
      <c r="M1032" s="48" t="s">
        <v>1285</v>
      </c>
      <c r="N1032" s="48">
        <v>17090486845</v>
      </c>
      <c r="O1032" s="48">
        <v>17090489885</v>
      </c>
      <c r="P1032" s="48" t="s">
        <v>1120</v>
      </c>
      <c r="Q1032" s="49" t="s">
        <v>1285</v>
      </c>
      <c r="R1032" s="49">
        <v>17083642397</v>
      </c>
      <c r="S1032" s="49">
        <v>17083645485</v>
      </c>
      <c r="T1032" s="49" t="s">
        <v>1120</v>
      </c>
      <c r="U1032" s="50" t="s">
        <v>1285</v>
      </c>
      <c r="V1032" s="50">
        <v>17083642397</v>
      </c>
      <c r="W1032" s="50">
        <v>17083645485</v>
      </c>
      <c r="X1032" s="50" t="s">
        <v>1120</v>
      </c>
      <c r="Y1032" s="50">
        <v>130405</v>
      </c>
    </row>
    <row r="1033" spans="1:25" x14ac:dyDescent="0.25">
      <c r="A1033" s="25" t="s">
        <v>115</v>
      </c>
      <c r="B1033" t="b">
        <v>0</v>
      </c>
      <c r="C1033" s="43" t="s">
        <v>1286</v>
      </c>
      <c r="D1033" s="43">
        <v>29843321091</v>
      </c>
      <c r="E1033" s="43">
        <v>29843322685</v>
      </c>
      <c r="F1033" s="43" t="s">
        <v>1120</v>
      </c>
      <c r="G1033" s="43" t="b">
        <v>1</v>
      </c>
      <c r="H1033" s="43" t="b">
        <v>0</v>
      </c>
      <c r="I1033" s="43"/>
      <c r="M1033" s="48" t="s">
        <v>1286</v>
      </c>
      <c r="N1033" s="48">
        <v>17090488893</v>
      </c>
      <c r="O1033" s="48">
        <v>17090489629</v>
      </c>
      <c r="P1033" s="48" t="s">
        <v>1120</v>
      </c>
      <c r="Q1033" s="49" t="s">
        <v>1286</v>
      </c>
      <c r="R1033" s="49">
        <v>17083644445</v>
      </c>
      <c r="S1033" s="49">
        <v>17083645229</v>
      </c>
      <c r="T1033" s="49" t="s">
        <v>1120</v>
      </c>
      <c r="U1033" s="50" t="s">
        <v>1286</v>
      </c>
      <c r="V1033" s="50">
        <v>17083644445</v>
      </c>
      <c r="W1033" s="50">
        <v>17083645229</v>
      </c>
      <c r="X1033" s="50" t="s">
        <v>1120</v>
      </c>
      <c r="Y1033" s="50">
        <v>130414</v>
      </c>
    </row>
    <row r="1034" spans="1:25" x14ac:dyDescent="0.25">
      <c r="A1034" s="25" t="s">
        <v>115</v>
      </c>
      <c r="B1034" t="b">
        <v>0</v>
      </c>
      <c r="C1034" s="43" t="s">
        <v>1287</v>
      </c>
      <c r="D1034" s="43">
        <v>29843323139</v>
      </c>
      <c r="E1034" s="43">
        <v>29843322045</v>
      </c>
      <c r="F1034" s="43" t="s">
        <v>1120</v>
      </c>
      <c r="G1034" s="43" t="b">
        <v>1</v>
      </c>
      <c r="H1034" s="43" t="b">
        <v>0</v>
      </c>
      <c r="I1034" s="43" t="s">
        <v>126</v>
      </c>
      <c r="M1034" s="48" t="s">
        <v>1287</v>
      </c>
      <c r="N1034" s="48">
        <v>17090487869</v>
      </c>
      <c r="O1034" s="48">
        <v>17090490141</v>
      </c>
      <c r="P1034" s="48" t="s">
        <v>1120</v>
      </c>
      <c r="Q1034" s="49" t="s">
        <v>1287</v>
      </c>
      <c r="R1034" s="49">
        <v>17083643421</v>
      </c>
      <c r="S1034" s="49">
        <v>17083645741</v>
      </c>
      <c r="T1034" s="49" t="s">
        <v>1120</v>
      </c>
      <c r="U1034" s="50" t="s">
        <v>1287</v>
      </c>
      <c r="V1034" s="50">
        <v>17083643421</v>
      </c>
      <c r="W1034" s="50">
        <v>17083645741</v>
      </c>
      <c r="X1034" s="50" t="s">
        <v>1120</v>
      </c>
      <c r="Y1034" s="50">
        <v>130403</v>
      </c>
    </row>
    <row r="1035" spans="1:25" x14ac:dyDescent="0.25">
      <c r="A1035" s="25" t="s">
        <v>115</v>
      </c>
      <c r="B1035" t="b">
        <v>0</v>
      </c>
      <c r="C1035" s="43" t="s">
        <v>1288</v>
      </c>
      <c r="D1035" s="43">
        <v>29843322115</v>
      </c>
      <c r="E1035" s="43">
        <v>29843322557</v>
      </c>
      <c r="F1035" s="43" t="s">
        <v>1120</v>
      </c>
      <c r="G1035" s="43" t="b">
        <v>1</v>
      </c>
      <c r="H1035" s="43" t="b">
        <v>0</v>
      </c>
      <c r="I1035" s="43" t="s">
        <v>126</v>
      </c>
      <c r="M1035" s="48" t="s">
        <v>1288</v>
      </c>
      <c r="N1035" s="48">
        <v>17090489917</v>
      </c>
      <c r="O1035" s="48">
        <v>17090489501</v>
      </c>
      <c r="P1035" s="48" t="s">
        <v>1120</v>
      </c>
      <c r="Q1035" s="49" t="s">
        <v>1288</v>
      </c>
      <c r="R1035" s="49">
        <v>17083645469</v>
      </c>
      <c r="S1035" s="49">
        <v>17083645101</v>
      </c>
      <c r="T1035" s="49" t="s">
        <v>1120</v>
      </c>
      <c r="U1035" s="50" t="s">
        <v>1288</v>
      </c>
      <c r="V1035" s="50">
        <v>17083645469</v>
      </c>
      <c r="W1035" s="50">
        <v>17083645101</v>
      </c>
      <c r="X1035" s="50" t="s">
        <v>1120</v>
      </c>
      <c r="Y1035" s="50">
        <v>130411</v>
      </c>
    </row>
    <row r="1036" spans="1:25" x14ac:dyDescent="0.25">
      <c r="A1036" s="25" t="s">
        <v>115</v>
      </c>
      <c r="B1036" t="b">
        <v>0</v>
      </c>
      <c r="C1036" s="43" t="s">
        <v>1289</v>
      </c>
      <c r="D1036" s="43">
        <v>29843324163</v>
      </c>
      <c r="E1036" s="43">
        <v>29843322813</v>
      </c>
      <c r="F1036" s="43" t="s">
        <v>1120</v>
      </c>
      <c r="G1036" s="43" t="b">
        <v>1</v>
      </c>
      <c r="H1036" s="43" t="b">
        <v>0</v>
      </c>
      <c r="I1036" s="43" t="s">
        <v>126</v>
      </c>
      <c r="M1036" s="48" t="s">
        <v>1289</v>
      </c>
      <c r="N1036" s="48">
        <v>17090486589</v>
      </c>
      <c r="O1036" s="48">
        <v>17090489757</v>
      </c>
      <c r="P1036" s="48" t="s">
        <v>1120</v>
      </c>
      <c r="Q1036" s="49" t="s">
        <v>1289</v>
      </c>
      <c r="R1036" s="49">
        <v>17083642141</v>
      </c>
      <c r="S1036" s="49">
        <v>17083645357</v>
      </c>
      <c r="T1036" s="49" t="s">
        <v>1120</v>
      </c>
      <c r="U1036" s="50" t="s">
        <v>1289</v>
      </c>
      <c r="V1036" s="50">
        <v>17083642141</v>
      </c>
      <c r="W1036" s="50">
        <v>17083645357</v>
      </c>
      <c r="X1036" s="50" t="s">
        <v>1120</v>
      </c>
      <c r="Y1036" s="50">
        <v>130416</v>
      </c>
    </row>
    <row r="1037" spans="1:25" x14ac:dyDescent="0.25">
      <c r="A1037" s="25" t="s">
        <v>115</v>
      </c>
      <c r="B1037" t="b">
        <v>0</v>
      </c>
      <c r="C1037" s="43" t="s">
        <v>1290</v>
      </c>
      <c r="D1037" s="43">
        <v>29843321603</v>
      </c>
      <c r="E1037" s="43">
        <v>29843322301</v>
      </c>
      <c r="F1037" s="43" t="s">
        <v>1120</v>
      </c>
      <c r="G1037" s="43" t="b">
        <v>1</v>
      </c>
      <c r="H1037" s="43" t="b">
        <v>0</v>
      </c>
      <c r="I1037" s="43" t="s">
        <v>126</v>
      </c>
      <c r="M1037" s="48" t="s">
        <v>1290</v>
      </c>
      <c r="N1037" s="48">
        <v>17090488637</v>
      </c>
      <c r="O1037" s="48">
        <v>17090490013</v>
      </c>
      <c r="P1037" s="48" t="s">
        <v>1120</v>
      </c>
      <c r="Q1037" s="49" t="s">
        <v>1290</v>
      </c>
      <c r="R1037" s="49">
        <v>17083644189</v>
      </c>
      <c r="S1037" s="49">
        <v>17083645613</v>
      </c>
      <c r="T1037" s="49" t="s">
        <v>1120</v>
      </c>
      <c r="U1037" s="50" t="s">
        <v>1290</v>
      </c>
      <c r="V1037" s="50">
        <v>17083644189</v>
      </c>
      <c r="W1037" s="50">
        <v>17083645613</v>
      </c>
      <c r="X1037" s="50" t="s">
        <v>1120</v>
      </c>
      <c r="Y1037" s="50">
        <v>130407</v>
      </c>
    </row>
    <row r="1038" spans="1:25" x14ac:dyDescent="0.25">
      <c r="A1038" s="25" t="s">
        <v>115</v>
      </c>
      <c r="B1038" t="b">
        <v>0</v>
      </c>
      <c r="C1038" s="43" t="s">
        <v>1291</v>
      </c>
      <c r="D1038" s="43">
        <v>29843323651</v>
      </c>
      <c r="E1038" s="43">
        <v>29843321981</v>
      </c>
      <c r="F1038" s="43" t="s">
        <v>1120</v>
      </c>
      <c r="G1038" s="43" t="b">
        <v>1</v>
      </c>
      <c r="H1038" s="43" t="b">
        <v>0</v>
      </c>
      <c r="I1038" s="43" t="s">
        <v>126</v>
      </c>
      <c r="M1038" s="48" t="s">
        <v>1291</v>
      </c>
      <c r="N1038" s="48">
        <v>17090487613</v>
      </c>
      <c r="O1038" s="48">
        <v>17090490269</v>
      </c>
      <c r="P1038" s="48" t="s">
        <v>1120</v>
      </c>
      <c r="Q1038" s="49" t="s">
        <v>1291</v>
      </c>
      <c r="R1038" s="49">
        <v>17083643165</v>
      </c>
      <c r="S1038" s="49">
        <v>17083645869</v>
      </c>
      <c r="T1038" s="49" t="s">
        <v>1120</v>
      </c>
      <c r="U1038" s="50" t="s">
        <v>1291</v>
      </c>
      <c r="V1038" s="50">
        <v>17083643165</v>
      </c>
      <c r="W1038" s="50">
        <v>17083645869</v>
      </c>
      <c r="X1038" s="50" t="s">
        <v>1120</v>
      </c>
      <c r="Y1038" s="50">
        <v>130402</v>
      </c>
    </row>
    <row r="1039" spans="1:25" x14ac:dyDescent="0.25">
      <c r="A1039" s="25" t="s">
        <v>115</v>
      </c>
      <c r="B1039" t="b">
        <v>0</v>
      </c>
      <c r="C1039" s="43" t="s">
        <v>1292</v>
      </c>
      <c r="D1039" s="43">
        <v>29843322627</v>
      </c>
      <c r="E1039" s="43">
        <v>29843322493</v>
      </c>
      <c r="F1039" s="43" t="s">
        <v>1120</v>
      </c>
      <c r="G1039" s="43" t="b">
        <v>1</v>
      </c>
      <c r="H1039" s="43" t="b">
        <v>0</v>
      </c>
      <c r="I1039" s="43"/>
      <c r="M1039" s="48" t="s">
        <v>1292</v>
      </c>
      <c r="N1039" s="48">
        <v>17090489661</v>
      </c>
      <c r="O1039" s="48">
        <v>17090489437</v>
      </c>
      <c r="P1039" s="48" t="s">
        <v>1120</v>
      </c>
      <c r="Q1039" s="49" t="s">
        <v>1292</v>
      </c>
      <c r="R1039" s="49">
        <v>17083645213</v>
      </c>
      <c r="S1039" s="49">
        <v>17083645037</v>
      </c>
      <c r="T1039" s="49" t="s">
        <v>1120</v>
      </c>
      <c r="U1039" s="50" t="s">
        <v>1292</v>
      </c>
      <c r="V1039" s="50">
        <v>17083645213</v>
      </c>
      <c r="W1039" s="50">
        <v>17083645037</v>
      </c>
      <c r="X1039" s="50" t="s">
        <v>1120</v>
      </c>
      <c r="Y1039" s="50">
        <v>130410</v>
      </c>
    </row>
    <row r="1040" spans="1:25" x14ac:dyDescent="0.25">
      <c r="A1040" s="25" t="s">
        <v>115</v>
      </c>
      <c r="B1040" t="b">
        <v>0</v>
      </c>
      <c r="C1040" s="43" t="s">
        <v>1293</v>
      </c>
      <c r="D1040" s="43">
        <v>29843324675</v>
      </c>
      <c r="E1040" s="43">
        <v>29843322237</v>
      </c>
      <c r="F1040" s="43" t="s">
        <v>1120</v>
      </c>
      <c r="G1040" s="43" t="b">
        <v>1</v>
      </c>
      <c r="H1040" s="43" t="b">
        <v>0</v>
      </c>
      <c r="I1040" s="43"/>
      <c r="M1040" s="48" t="s">
        <v>1293</v>
      </c>
      <c r="N1040" s="48">
        <v>17090487101</v>
      </c>
      <c r="O1040" s="48">
        <v>17090489949</v>
      </c>
      <c r="P1040" s="48" t="s">
        <v>1120</v>
      </c>
      <c r="Q1040" s="49" t="s">
        <v>1293</v>
      </c>
      <c r="R1040" s="49">
        <v>17083642653</v>
      </c>
      <c r="S1040" s="49">
        <v>17083645549</v>
      </c>
      <c r="T1040" s="49" t="s">
        <v>1120</v>
      </c>
      <c r="U1040" s="50" t="s">
        <v>1293</v>
      </c>
      <c r="V1040" s="50">
        <v>17083642653</v>
      </c>
      <c r="W1040" s="50">
        <v>17083645549</v>
      </c>
      <c r="X1040" s="50" t="s">
        <v>1120</v>
      </c>
      <c r="Y1040" s="50">
        <v>130406</v>
      </c>
    </row>
    <row r="1041" spans="1:25" x14ac:dyDescent="0.25">
      <c r="A1041" s="25" t="s">
        <v>115</v>
      </c>
      <c r="B1041" t="b">
        <v>0</v>
      </c>
      <c r="C1041" s="43" t="s">
        <v>1294</v>
      </c>
      <c r="D1041" s="43">
        <v>29843320963</v>
      </c>
      <c r="E1041" s="43">
        <v>29843322749</v>
      </c>
      <c r="F1041" s="43" t="s">
        <v>1120</v>
      </c>
      <c r="G1041" s="43" t="b">
        <v>1</v>
      </c>
      <c r="H1041" s="43" t="b">
        <v>0</v>
      </c>
      <c r="I1041" s="43"/>
      <c r="M1041" s="48" t="s">
        <v>1294</v>
      </c>
      <c r="N1041" s="48">
        <v>17090489149</v>
      </c>
      <c r="O1041" s="48">
        <v>17090489693</v>
      </c>
      <c r="P1041" s="48" t="s">
        <v>1120</v>
      </c>
      <c r="Q1041" s="49" t="s">
        <v>1294</v>
      </c>
      <c r="R1041" s="49">
        <v>17083644701</v>
      </c>
      <c r="S1041" s="49">
        <v>17083645293</v>
      </c>
      <c r="T1041" s="49" t="s">
        <v>1120</v>
      </c>
      <c r="U1041" s="50" t="s">
        <v>1294</v>
      </c>
      <c r="V1041" s="50">
        <v>17083644701</v>
      </c>
      <c r="W1041" s="50">
        <v>17083645293</v>
      </c>
      <c r="X1041" s="50" t="s">
        <v>1120</v>
      </c>
      <c r="Y1041" s="50">
        <v>130415</v>
      </c>
    </row>
    <row r="1042" spans="1:25" x14ac:dyDescent="0.25">
      <c r="A1042" s="25" t="s">
        <v>115</v>
      </c>
      <c r="B1042" t="b">
        <v>0</v>
      </c>
      <c r="C1042" s="43" t="s">
        <v>1295</v>
      </c>
      <c r="D1042" s="43">
        <v>29843323011</v>
      </c>
      <c r="E1042" s="43">
        <v>29843322109</v>
      </c>
      <c r="F1042" s="43" t="s">
        <v>1120</v>
      </c>
      <c r="G1042" s="43" t="b">
        <v>1</v>
      </c>
      <c r="H1042" s="43" t="b">
        <v>0</v>
      </c>
      <c r="I1042" s="43" t="s">
        <v>126</v>
      </c>
      <c r="M1042" s="48" t="s">
        <v>1295</v>
      </c>
      <c r="N1042" s="48">
        <v>17090488125</v>
      </c>
      <c r="O1042" s="48">
        <v>17090490205</v>
      </c>
      <c r="P1042" s="48" t="s">
        <v>1120</v>
      </c>
      <c r="Q1042" s="49" t="s">
        <v>1295</v>
      </c>
      <c r="R1042" s="49">
        <v>17083643677</v>
      </c>
      <c r="S1042" s="49">
        <v>17083645805</v>
      </c>
      <c r="T1042" s="49" t="s">
        <v>1120</v>
      </c>
      <c r="U1042" s="50" t="s">
        <v>1295</v>
      </c>
      <c r="V1042" s="50">
        <v>17083643677</v>
      </c>
      <c r="W1042" s="50">
        <v>17083645805</v>
      </c>
      <c r="X1042" s="50" t="s">
        <v>1120</v>
      </c>
      <c r="Y1042" s="50">
        <v>130404</v>
      </c>
    </row>
    <row r="1043" spans="1:25" x14ac:dyDescent="0.25">
      <c r="A1043" s="25" t="s">
        <v>115</v>
      </c>
      <c r="B1043" t="b">
        <v>0</v>
      </c>
      <c r="C1043" s="43" t="s">
        <v>1296</v>
      </c>
      <c r="D1043" s="43">
        <v>29843321987</v>
      </c>
      <c r="E1043" s="43">
        <v>29843322621</v>
      </c>
      <c r="F1043" s="43" t="s">
        <v>1120</v>
      </c>
      <c r="G1043" s="43" t="b">
        <v>1</v>
      </c>
      <c r="H1043" s="43" t="b">
        <v>0</v>
      </c>
      <c r="I1043" s="43" t="s">
        <v>126</v>
      </c>
      <c r="M1043" s="48" t="s">
        <v>1296</v>
      </c>
      <c r="N1043" s="48">
        <v>17090490173</v>
      </c>
      <c r="O1043" s="48">
        <v>17090489565</v>
      </c>
      <c r="P1043" s="48" t="s">
        <v>1120</v>
      </c>
      <c r="Q1043" s="49" t="s">
        <v>1296</v>
      </c>
      <c r="R1043" s="49">
        <v>17083645725</v>
      </c>
      <c r="S1043" s="49">
        <v>17083645165</v>
      </c>
      <c r="T1043" s="49" t="s">
        <v>1120</v>
      </c>
      <c r="U1043" s="50" t="s">
        <v>1296</v>
      </c>
      <c r="V1043" s="50">
        <v>17083645725</v>
      </c>
      <c r="W1043" s="50">
        <v>17083645165</v>
      </c>
      <c r="X1043" s="50" t="s">
        <v>1120</v>
      </c>
      <c r="Y1043" s="50">
        <v>130413</v>
      </c>
    </row>
    <row r="1044" spans="1:25" x14ac:dyDescent="0.25">
      <c r="A1044" s="25" t="s">
        <v>115</v>
      </c>
      <c r="B1044" t="b">
        <v>0</v>
      </c>
      <c r="C1044" s="43" t="s">
        <v>1297</v>
      </c>
      <c r="D1044" s="43">
        <v>29843324035</v>
      </c>
      <c r="E1044" s="43">
        <v>29843322365</v>
      </c>
      <c r="F1044" s="43" t="s">
        <v>1120</v>
      </c>
      <c r="G1044" s="43" t="b">
        <v>1</v>
      </c>
      <c r="H1044" s="43" t="b">
        <v>0</v>
      </c>
      <c r="I1044" s="43" t="s">
        <v>126</v>
      </c>
      <c r="M1044" s="48" t="s">
        <v>1297</v>
      </c>
      <c r="N1044" s="48">
        <v>17090486461</v>
      </c>
      <c r="O1044" s="48">
        <v>17090490077</v>
      </c>
      <c r="P1044" s="48" t="s">
        <v>1120</v>
      </c>
      <c r="Q1044" s="49" t="s">
        <v>1297</v>
      </c>
      <c r="R1044" s="49">
        <v>17083642013</v>
      </c>
      <c r="S1044" s="49">
        <v>17083645677</v>
      </c>
      <c r="T1044" s="49" t="s">
        <v>1120</v>
      </c>
      <c r="U1044" s="50" t="s">
        <v>1297</v>
      </c>
      <c r="V1044" s="50">
        <v>17083642013</v>
      </c>
      <c r="W1044" s="50">
        <v>17083645677</v>
      </c>
      <c r="X1044" s="50" t="s">
        <v>1120</v>
      </c>
      <c r="Y1044" s="50">
        <v>130409</v>
      </c>
    </row>
    <row r="1045" spans="1:25" x14ac:dyDescent="0.25">
      <c r="A1045" s="25" t="s">
        <v>115</v>
      </c>
      <c r="B1045" t="b">
        <v>0</v>
      </c>
      <c r="C1045" s="43" t="s">
        <v>1298</v>
      </c>
      <c r="D1045" s="43">
        <v>29843321475</v>
      </c>
      <c r="E1045" s="43">
        <v>29843322877</v>
      </c>
      <c r="F1045" s="43" t="s">
        <v>1120</v>
      </c>
      <c r="G1045" s="43" t="b">
        <v>1</v>
      </c>
      <c r="H1045" s="43" t="b">
        <v>0</v>
      </c>
      <c r="I1045" s="43"/>
      <c r="M1045" s="48" t="s">
        <v>1298</v>
      </c>
      <c r="N1045" s="48">
        <v>17090488509</v>
      </c>
      <c r="O1045" s="48">
        <v>17090489821</v>
      </c>
      <c r="P1045" s="48" t="s">
        <v>1120</v>
      </c>
      <c r="Q1045" s="49" t="s">
        <v>1298</v>
      </c>
      <c r="R1045" s="49">
        <v>17083644061</v>
      </c>
      <c r="S1045" s="49">
        <v>17083645421</v>
      </c>
      <c r="T1045" s="49" t="s">
        <v>1120</v>
      </c>
      <c r="U1045" s="50" t="s">
        <v>1298</v>
      </c>
      <c r="V1045" s="50">
        <v>17083644061</v>
      </c>
      <c r="W1045" s="50">
        <v>17083645421</v>
      </c>
      <c r="X1045" s="50" t="s">
        <v>1120</v>
      </c>
      <c r="Y1045" s="50">
        <v>130418</v>
      </c>
    </row>
    <row r="1046" spans="1:25" x14ac:dyDescent="0.25">
      <c r="A1046" s="25" t="s">
        <v>115</v>
      </c>
      <c r="B1046" t="b">
        <v>0</v>
      </c>
      <c r="C1046" s="43" t="s">
        <v>1299</v>
      </c>
      <c r="D1046" s="43">
        <v>30075742299</v>
      </c>
      <c r="E1046" s="43">
        <v>30075742875</v>
      </c>
      <c r="F1046" s="43" t="s">
        <v>125</v>
      </c>
      <c r="G1046" s="43" t="b">
        <v>1</v>
      </c>
      <c r="H1046" s="43" t="b">
        <v>0</v>
      </c>
      <c r="I1046" s="43" t="s">
        <v>126</v>
      </c>
      <c r="M1046" s="48" t="s">
        <v>1299</v>
      </c>
      <c r="N1046" s="48">
        <v>17089813340</v>
      </c>
      <c r="O1046" s="48">
        <v>17089812636</v>
      </c>
      <c r="P1046" s="48" t="s">
        <v>125</v>
      </c>
      <c r="Q1046" s="49"/>
      <c r="R1046" s="49"/>
      <c r="S1046" s="49"/>
      <c r="T1046" s="49"/>
      <c r="U1046" s="50"/>
      <c r="V1046" s="50"/>
      <c r="W1046" s="50"/>
      <c r="X1046" s="50"/>
      <c r="Y1046" s="50"/>
    </row>
    <row r="1047" spans="1:25" x14ac:dyDescent="0.25">
      <c r="A1047" s="25" t="s">
        <v>115</v>
      </c>
      <c r="B1047" t="b">
        <v>0</v>
      </c>
      <c r="C1047" s="43" t="s">
        <v>1300</v>
      </c>
      <c r="D1047" s="43">
        <v>30075741275</v>
      </c>
      <c r="E1047" s="43">
        <v>30075740571</v>
      </c>
      <c r="F1047" s="43" t="s">
        <v>125</v>
      </c>
      <c r="G1047" s="43" t="b">
        <v>1</v>
      </c>
      <c r="H1047" s="43" t="b">
        <v>0</v>
      </c>
      <c r="I1047" s="43" t="s">
        <v>126</v>
      </c>
      <c r="M1047" s="48" t="s">
        <v>1300</v>
      </c>
      <c r="N1047" s="48">
        <v>17089812316</v>
      </c>
      <c r="O1047" s="48">
        <v>17089814172</v>
      </c>
      <c r="P1047" s="48" t="s">
        <v>125</v>
      </c>
      <c r="Q1047" s="49"/>
      <c r="R1047" s="49"/>
      <c r="S1047" s="49"/>
      <c r="T1047" s="49"/>
      <c r="U1047" s="50"/>
      <c r="V1047" s="50"/>
      <c r="W1047" s="50"/>
      <c r="X1047" s="50"/>
      <c r="Y1047" s="50"/>
    </row>
    <row r="1048" spans="1:25" x14ac:dyDescent="0.25">
      <c r="A1048" s="25" t="s">
        <v>115</v>
      </c>
      <c r="B1048" t="b">
        <v>0</v>
      </c>
      <c r="C1048" s="43" t="s">
        <v>1301</v>
      </c>
      <c r="D1048" s="43">
        <v>30075743323</v>
      </c>
      <c r="E1048" s="43">
        <v>30075743643</v>
      </c>
      <c r="F1048" s="43" t="s">
        <v>125</v>
      </c>
      <c r="G1048" s="43" t="b">
        <v>1</v>
      </c>
      <c r="H1048" s="43" t="b">
        <v>0</v>
      </c>
      <c r="I1048" s="43" t="s">
        <v>126</v>
      </c>
      <c r="M1048" s="48" t="s">
        <v>1301</v>
      </c>
      <c r="N1048" s="48">
        <v>17089814364</v>
      </c>
      <c r="O1048" s="48">
        <v>17089813404</v>
      </c>
      <c r="P1048" s="48" t="s">
        <v>125</v>
      </c>
      <c r="Q1048" s="49"/>
      <c r="R1048" s="49"/>
      <c r="S1048" s="49"/>
      <c r="T1048" s="49"/>
      <c r="U1048" s="50"/>
      <c r="V1048" s="50"/>
      <c r="W1048" s="50"/>
      <c r="X1048" s="50"/>
      <c r="Y1048" s="50"/>
    </row>
    <row r="1049" spans="1:25" x14ac:dyDescent="0.25">
      <c r="A1049" s="25" t="s">
        <v>115</v>
      </c>
      <c r="B1049" t="b">
        <v>0</v>
      </c>
      <c r="C1049" s="43" t="s">
        <v>1302</v>
      </c>
      <c r="D1049" s="43">
        <v>30075740763</v>
      </c>
      <c r="E1049" s="43">
        <v>30075742107</v>
      </c>
      <c r="F1049" s="43" t="s">
        <v>125</v>
      </c>
      <c r="G1049" s="43" t="b">
        <v>1</v>
      </c>
      <c r="H1049" s="43" t="b">
        <v>0</v>
      </c>
      <c r="I1049" s="43" t="s">
        <v>126</v>
      </c>
      <c r="M1049" s="48" t="s">
        <v>1302</v>
      </c>
      <c r="N1049" s="48">
        <v>17089810652</v>
      </c>
      <c r="O1049" s="48">
        <v>17089813596</v>
      </c>
      <c r="P1049" s="48" t="s">
        <v>125</v>
      </c>
      <c r="Q1049" s="49"/>
      <c r="R1049" s="49"/>
      <c r="S1049" s="49"/>
      <c r="T1049" s="49"/>
      <c r="U1049" s="50"/>
      <c r="V1049" s="50"/>
      <c r="W1049" s="50"/>
      <c r="X1049" s="50"/>
      <c r="Y1049" s="50"/>
    </row>
    <row r="1050" spans="1:25" x14ac:dyDescent="0.25">
      <c r="A1050" s="25" t="s">
        <v>115</v>
      </c>
      <c r="B1050" t="b">
        <v>0</v>
      </c>
      <c r="C1050" s="43" t="s">
        <v>1303</v>
      </c>
      <c r="D1050" s="43">
        <v>30075742811</v>
      </c>
      <c r="E1050" s="43">
        <v>30075742491</v>
      </c>
      <c r="F1050" s="43" t="s">
        <v>132</v>
      </c>
      <c r="G1050" s="43" t="b">
        <v>0</v>
      </c>
      <c r="H1050" s="43" t="b">
        <v>0</v>
      </c>
      <c r="I1050" s="43"/>
      <c r="M1050" s="48" t="s">
        <v>1303</v>
      </c>
      <c r="N1050" s="48">
        <v>17089812828</v>
      </c>
      <c r="O1050" s="48">
        <v>17089811100</v>
      </c>
      <c r="P1050" s="48" t="s">
        <v>132</v>
      </c>
      <c r="Q1050" s="49"/>
      <c r="R1050" s="49"/>
      <c r="S1050" s="49"/>
      <c r="T1050" s="49"/>
      <c r="U1050" s="50"/>
      <c r="V1050" s="50"/>
      <c r="W1050" s="50"/>
      <c r="X1050" s="50"/>
      <c r="Y1050" s="50"/>
    </row>
    <row r="1051" spans="1:25" x14ac:dyDescent="0.25">
      <c r="A1051" s="25" t="s">
        <v>115</v>
      </c>
      <c r="B1051" t="b">
        <v>0</v>
      </c>
      <c r="C1051" s="43" t="s">
        <v>1304</v>
      </c>
      <c r="D1051" s="43">
        <v>30075741787</v>
      </c>
      <c r="E1051" s="43">
        <v>30075740955</v>
      </c>
      <c r="F1051" s="43" t="s">
        <v>132</v>
      </c>
      <c r="G1051" s="43" t="b">
        <v>0</v>
      </c>
      <c r="H1051" s="43" t="b">
        <v>0</v>
      </c>
      <c r="I1051" s="43"/>
      <c r="M1051" s="48" t="s">
        <v>1304</v>
      </c>
      <c r="N1051" s="48">
        <v>17089811804</v>
      </c>
      <c r="O1051" s="48">
        <v>17089811868</v>
      </c>
      <c r="P1051" s="48" t="s">
        <v>132</v>
      </c>
      <c r="Q1051" s="49"/>
      <c r="R1051" s="49"/>
      <c r="S1051" s="49"/>
      <c r="T1051" s="49"/>
      <c r="U1051" s="50"/>
      <c r="V1051" s="50"/>
      <c r="W1051" s="50"/>
      <c r="X1051" s="50"/>
      <c r="Y1051" s="50"/>
    </row>
    <row r="1052" spans="1:25" x14ac:dyDescent="0.25">
      <c r="A1052" s="25" t="s">
        <v>115</v>
      </c>
      <c r="B1052" t="b">
        <v>0</v>
      </c>
      <c r="C1052" s="43" t="s">
        <v>1305</v>
      </c>
      <c r="D1052" s="43">
        <v>30075743835</v>
      </c>
      <c r="E1052" s="43">
        <v>30075744027</v>
      </c>
      <c r="F1052" s="43" t="s">
        <v>132</v>
      </c>
      <c r="G1052" s="43" t="b">
        <v>0</v>
      </c>
      <c r="H1052" s="43" t="b">
        <v>0</v>
      </c>
      <c r="I1052" s="43"/>
      <c r="M1052" s="48" t="s">
        <v>1305</v>
      </c>
      <c r="N1052" s="48">
        <v>17089813852</v>
      </c>
      <c r="O1052" s="48">
        <v>17089810524</v>
      </c>
      <c r="P1052" s="48" t="s">
        <v>132</v>
      </c>
      <c r="Q1052" s="49"/>
      <c r="R1052" s="49"/>
      <c r="S1052" s="49"/>
      <c r="T1052" s="49"/>
      <c r="U1052" s="50"/>
      <c r="V1052" s="50"/>
      <c r="W1052" s="50"/>
      <c r="X1052" s="50"/>
      <c r="Y1052" s="50"/>
    </row>
    <row r="1053" spans="1:25" x14ac:dyDescent="0.25">
      <c r="A1053" s="25" t="s">
        <v>115</v>
      </c>
      <c r="B1053" t="b">
        <v>0</v>
      </c>
      <c r="C1053" s="43" t="s">
        <v>1306</v>
      </c>
      <c r="D1053" s="43">
        <v>30075740507</v>
      </c>
      <c r="E1053" s="43">
        <v>30075741339</v>
      </c>
      <c r="F1053" s="43" t="s">
        <v>132</v>
      </c>
      <c r="G1053" s="43" t="b">
        <v>0</v>
      </c>
      <c r="H1053" s="43" t="b">
        <v>0</v>
      </c>
      <c r="I1053" s="43"/>
      <c r="M1053" s="48" t="s">
        <v>1306</v>
      </c>
      <c r="N1053" s="48">
        <v>17089822870</v>
      </c>
      <c r="O1053" s="48">
        <v>17089812060</v>
      </c>
      <c r="P1053" s="48" t="s">
        <v>132</v>
      </c>
      <c r="Q1053" s="49"/>
      <c r="R1053" s="49"/>
      <c r="S1053" s="49"/>
      <c r="T1053" s="49"/>
      <c r="U1053" s="50"/>
      <c r="V1053" s="50"/>
      <c r="W1053" s="50"/>
      <c r="X1053" s="50"/>
      <c r="Y1053" s="50"/>
    </row>
    <row r="1054" spans="1:25" x14ac:dyDescent="0.25">
      <c r="A1054" s="25" t="s">
        <v>115</v>
      </c>
      <c r="B1054" t="b">
        <v>0</v>
      </c>
      <c r="C1054" s="43" t="s">
        <v>1307</v>
      </c>
      <c r="D1054" s="43">
        <v>39941330619</v>
      </c>
      <c r="E1054" s="43">
        <v>39941329467</v>
      </c>
      <c r="F1054" s="43" t="s">
        <v>125</v>
      </c>
      <c r="G1054" s="43" t="b">
        <v>0</v>
      </c>
      <c r="H1054" s="43" t="b">
        <v>0</v>
      </c>
      <c r="I1054" s="43" t="s">
        <v>126</v>
      </c>
      <c r="M1054" s="48"/>
      <c r="N1054" s="48"/>
      <c r="O1054" s="48"/>
      <c r="P1054" s="48"/>
      <c r="Q1054" s="49" t="s">
        <v>1307</v>
      </c>
      <c r="R1054" s="49">
        <v>17086205562</v>
      </c>
      <c r="S1054" s="49">
        <v>17085070449</v>
      </c>
      <c r="T1054" s="49" t="s">
        <v>125</v>
      </c>
      <c r="U1054" s="50"/>
      <c r="V1054" s="50"/>
      <c r="W1054" s="50"/>
      <c r="X1054" s="50"/>
      <c r="Y1054" s="50"/>
    </row>
    <row r="1055" spans="1:25" x14ac:dyDescent="0.25">
      <c r="A1055" s="25" t="s">
        <v>115</v>
      </c>
      <c r="B1055" t="b">
        <v>0</v>
      </c>
      <c r="C1055" s="43" t="s">
        <v>1308</v>
      </c>
      <c r="D1055" s="43">
        <v>39941332667</v>
      </c>
      <c r="E1055" s="43">
        <v>39941332539</v>
      </c>
      <c r="F1055" s="43" t="s">
        <v>125</v>
      </c>
      <c r="G1055" s="43" t="b">
        <v>1</v>
      </c>
      <c r="H1055" s="43" t="b">
        <v>0</v>
      </c>
      <c r="I1055" s="43" t="s">
        <v>126</v>
      </c>
      <c r="M1055" s="48"/>
      <c r="N1055" s="48"/>
      <c r="O1055" s="48"/>
      <c r="P1055" s="48"/>
      <c r="Q1055" s="49" t="s">
        <v>1308</v>
      </c>
      <c r="R1055" s="49">
        <v>17086202234</v>
      </c>
      <c r="S1055" s="49">
        <v>17085067633</v>
      </c>
      <c r="T1055" s="49" t="s">
        <v>125</v>
      </c>
      <c r="U1055" s="50"/>
      <c r="V1055" s="50"/>
      <c r="W1055" s="50"/>
      <c r="X1055" s="50"/>
      <c r="Y1055" s="50"/>
    </row>
    <row r="1056" spans="1:25" x14ac:dyDescent="0.25">
      <c r="A1056" s="25" t="s">
        <v>115</v>
      </c>
      <c r="B1056" t="b">
        <v>0</v>
      </c>
      <c r="C1056" s="43" t="s">
        <v>1309</v>
      </c>
      <c r="D1056" s="43">
        <v>39941329339</v>
      </c>
      <c r="E1056" s="43">
        <v>39941330235</v>
      </c>
      <c r="F1056" s="43" t="s">
        <v>125</v>
      </c>
      <c r="G1056" s="43" t="b">
        <v>1</v>
      </c>
      <c r="H1056" s="43" t="b">
        <v>0</v>
      </c>
      <c r="I1056" s="43" t="s">
        <v>126</v>
      </c>
      <c r="M1056" s="48"/>
      <c r="N1056" s="48"/>
      <c r="O1056" s="48"/>
      <c r="P1056" s="48"/>
      <c r="Q1056" s="49" t="s">
        <v>1309</v>
      </c>
      <c r="R1056" s="49">
        <v>17086204282</v>
      </c>
      <c r="S1056" s="49">
        <v>17085069169</v>
      </c>
      <c r="T1056" s="49" t="s">
        <v>125</v>
      </c>
      <c r="U1056" s="50"/>
      <c r="V1056" s="50"/>
      <c r="W1056" s="50"/>
      <c r="X1056" s="50"/>
      <c r="Y1056" s="50"/>
    </row>
    <row r="1057" spans="1:29" x14ac:dyDescent="0.25">
      <c r="A1057" s="25" t="s">
        <v>115</v>
      </c>
      <c r="B1057" t="b">
        <v>0</v>
      </c>
      <c r="C1057" s="43" t="s">
        <v>1310</v>
      </c>
      <c r="D1057" s="43">
        <v>364708968906</v>
      </c>
      <c r="E1057" s="43">
        <v>364708967242</v>
      </c>
      <c r="F1057" s="43" t="s">
        <v>1120</v>
      </c>
      <c r="G1057" s="43" t="b">
        <v>0</v>
      </c>
      <c r="H1057" s="43" t="b">
        <v>0</v>
      </c>
      <c r="I1057" s="43" t="s">
        <v>126</v>
      </c>
      <c r="M1057" s="48" t="s">
        <v>1310</v>
      </c>
      <c r="N1057" s="48">
        <v>17100665503</v>
      </c>
      <c r="O1057" s="48">
        <v>17100668447</v>
      </c>
      <c r="P1057" s="48" t="s">
        <v>1120</v>
      </c>
      <c r="Q1057" s="49"/>
      <c r="R1057" s="49"/>
      <c r="S1057" s="49"/>
      <c r="T1057" s="49"/>
      <c r="U1057" s="50" t="s">
        <v>1310</v>
      </c>
      <c r="V1057" s="50">
        <v>17102546957</v>
      </c>
      <c r="W1057" s="50">
        <v>17101191944</v>
      </c>
      <c r="X1057" s="50" t="s">
        <v>1120</v>
      </c>
      <c r="Y1057" s="50"/>
    </row>
    <row r="1058" spans="1:29" x14ac:dyDescent="0.25">
      <c r="A1058" s="25" t="s">
        <v>115</v>
      </c>
      <c r="B1058" t="b">
        <v>0</v>
      </c>
      <c r="C1058" s="43" t="s">
        <v>1311</v>
      </c>
      <c r="D1058" s="43">
        <v>364708967882</v>
      </c>
      <c r="E1058" s="43">
        <v>364708970314</v>
      </c>
      <c r="F1058" s="43" t="s">
        <v>1120</v>
      </c>
      <c r="G1058" s="43" t="b">
        <v>0</v>
      </c>
      <c r="H1058" s="43" t="b">
        <v>0</v>
      </c>
      <c r="I1058" s="43" t="s">
        <v>126</v>
      </c>
      <c r="M1058" s="48" t="s">
        <v>1311</v>
      </c>
      <c r="N1058" s="48">
        <v>17100667551</v>
      </c>
      <c r="O1058" s="48">
        <v>17100666143</v>
      </c>
      <c r="P1058" s="48" t="s">
        <v>1120</v>
      </c>
      <c r="Q1058" s="49"/>
      <c r="R1058" s="49"/>
      <c r="S1058" s="49"/>
      <c r="T1058" s="49"/>
      <c r="U1058" s="50" t="s">
        <v>1311</v>
      </c>
      <c r="V1058" s="50">
        <v>17102545933</v>
      </c>
      <c r="W1058" s="50">
        <v>17101189256</v>
      </c>
      <c r="X1058" s="50" t="s">
        <v>1120</v>
      </c>
      <c r="Y1058" s="50"/>
    </row>
    <row r="1059" spans="1:29" x14ac:dyDescent="0.25">
      <c r="A1059" s="25" t="s">
        <v>115</v>
      </c>
      <c r="B1059" t="b">
        <v>0</v>
      </c>
      <c r="C1059" s="43" t="s">
        <v>1312</v>
      </c>
      <c r="D1059" s="43">
        <v>370015690598</v>
      </c>
      <c r="E1059" s="43">
        <v>370015687718</v>
      </c>
      <c r="F1059" s="43" t="s">
        <v>125</v>
      </c>
      <c r="G1059" s="43" t="b">
        <v>0</v>
      </c>
      <c r="H1059" s="43" t="b">
        <v>1</v>
      </c>
      <c r="I1059" s="43"/>
      <c r="J1059" s="45" t="s">
        <v>1312</v>
      </c>
      <c r="K1059" s="46">
        <v>370015687718</v>
      </c>
      <c r="L1059" s="47">
        <v>990000436</v>
      </c>
      <c r="M1059" s="48"/>
      <c r="N1059" s="48"/>
      <c r="O1059" s="48"/>
      <c r="P1059" s="48"/>
      <c r="Q1059" s="49" t="s">
        <v>1312</v>
      </c>
      <c r="R1059" s="49">
        <v>17087058523</v>
      </c>
      <c r="S1059" s="49">
        <v>17087061739</v>
      </c>
      <c r="T1059" s="49" t="s">
        <v>125</v>
      </c>
      <c r="U1059" s="50" t="s">
        <v>1312</v>
      </c>
      <c r="V1059" s="50">
        <v>17091812156</v>
      </c>
      <c r="W1059" s="50">
        <v>17091809372</v>
      </c>
      <c r="X1059" s="50" t="s">
        <v>125</v>
      </c>
      <c r="Y1059" s="50"/>
      <c r="Z1059" s="51" t="s">
        <v>1313</v>
      </c>
      <c r="AA1059" s="51" t="s">
        <v>189</v>
      </c>
      <c r="AB1059" s="51">
        <v>20798</v>
      </c>
      <c r="AC1059" s="51">
        <v>24750</v>
      </c>
    </row>
    <row r="1060" spans="1:29" x14ac:dyDescent="0.25">
      <c r="A1060" s="25" t="s">
        <v>115</v>
      </c>
      <c r="B1060" t="b">
        <v>0</v>
      </c>
      <c r="C1060" s="43" t="s">
        <v>1314</v>
      </c>
      <c r="D1060" s="43">
        <v>368598215894</v>
      </c>
      <c r="E1060" s="43">
        <v>368598213206</v>
      </c>
      <c r="F1060" s="43" t="s">
        <v>186</v>
      </c>
      <c r="G1060" s="43" t="b">
        <v>0</v>
      </c>
      <c r="H1060" s="43" t="b">
        <v>1</v>
      </c>
      <c r="I1060" s="43"/>
      <c r="J1060" s="45" t="s">
        <v>1314</v>
      </c>
      <c r="K1060" s="46">
        <v>368598213206</v>
      </c>
      <c r="L1060" s="47">
        <v>990000482</v>
      </c>
      <c r="M1060" s="48"/>
      <c r="N1060" s="48"/>
      <c r="O1060" s="48"/>
      <c r="P1060" s="48"/>
      <c r="Q1060" s="49" t="s">
        <v>1314</v>
      </c>
      <c r="R1060" s="49">
        <v>17086534028</v>
      </c>
      <c r="S1060" s="49">
        <v>17086535948</v>
      </c>
      <c r="T1060" s="49" t="s">
        <v>186</v>
      </c>
      <c r="U1060" s="50" t="s">
        <v>1314</v>
      </c>
      <c r="V1060" s="50">
        <v>17102545037</v>
      </c>
      <c r="W1060" s="50">
        <v>17102546677</v>
      </c>
      <c r="X1060" s="50" t="s">
        <v>186</v>
      </c>
      <c r="Y1060" s="50"/>
      <c r="Z1060" s="51" t="s">
        <v>1315</v>
      </c>
      <c r="AA1060" s="51" t="s">
        <v>192</v>
      </c>
      <c r="AB1060" s="51">
        <v>30861</v>
      </c>
      <c r="AC1060" s="51">
        <v>36725</v>
      </c>
    </row>
    <row r="1061" spans="1:29" x14ac:dyDescent="0.25">
      <c r="A1061" s="25" t="s">
        <v>115</v>
      </c>
      <c r="B1061" t="b">
        <v>0</v>
      </c>
      <c r="C1061" s="43" t="s">
        <v>1316</v>
      </c>
      <c r="D1061" s="43">
        <v>368598213334</v>
      </c>
      <c r="E1061" s="43">
        <v>368598216278</v>
      </c>
      <c r="F1061" s="43" t="s">
        <v>132</v>
      </c>
      <c r="G1061" s="43" t="b">
        <v>0</v>
      </c>
      <c r="H1061" s="43" t="b">
        <v>1</v>
      </c>
      <c r="I1061" s="43"/>
      <c r="J1061" s="45" t="s">
        <v>1316</v>
      </c>
      <c r="K1061" s="46">
        <v>368598216278</v>
      </c>
      <c r="L1061" s="47">
        <v>990000484</v>
      </c>
      <c r="M1061" s="48"/>
      <c r="N1061" s="48"/>
      <c r="O1061" s="48"/>
      <c r="P1061" s="48"/>
      <c r="Q1061" s="49" t="s">
        <v>1316</v>
      </c>
      <c r="R1061" s="49">
        <v>17086536076</v>
      </c>
      <c r="S1061" s="49">
        <v>17086534412</v>
      </c>
      <c r="T1061" s="49" t="s">
        <v>132</v>
      </c>
      <c r="U1061" s="50"/>
      <c r="V1061" s="50"/>
      <c r="W1061" s="50"/>
      <c r="X1061" s="50"/>
      <c r="Y1061" s="50"/>
      <c r="Z1061" s="51" t="s">
        <v>1317</v>
      </c>
      <c r="AA1061" s="51" t="s">
        <v>187</v>
      </c>
      <c r="AB1061" s="51">
        <v>950</v>
      </c>
      <c r="AC1061" s="51">
        <v>1130</v>
      </c>
    </row>
    <row r="1062" spans="1:29" x14ac:dyDescent="0.25">
      <c r="A1062" s="25" t="s">
        <v>115</v>
      </c>
      <c r="B1062" t="b">
        <v>0</v>
      </c>
      <c r="C1062" s="43" t="s">
        <v>1318</v>
      </c>
      <c r="D1062" s="43">
        <v>368598215382</v>
      </c>
      <c r="E1062" s="43">
        <v>368598214742</v>
      </c>
      <c r="F1062" s="43" t="s">
        <v>125</v>
      </c>
      <c r="G1062" s="43" t="b">
        <v>0</v>
      </c>
      <c r="H1062" s="43" t="b">
        <v>1</v>
      </c>
      <c r="I1062" s="43"/>
      <c r="J1062" s="45" t="s">
        <v>1318</v>
      </c>
      <c r="K1062" s="46">
        <v>368598214742</v>
      </c>
      <c r="L1062" s="47">
        <v>990000483</v>
      </c>
      <c r="M1062" s="48"/>
      <c r="N1062" s="48"/>
      <c r="O1062" s="48"/>
      <c r="P1062" s="48"/>
      <c r="Q1062" s="49" t="s">
        <v>1318</v>
      </c>
      <c r="R1062" s="49">
        <v>17086535052</v>
      </c>
      <c r="S1062" s="49">
        <v>17086535180</v>
      </c>
      <c r="T1062" s="49" t="s">
        <v>125</v>
      </c>
      <c r="U1062" s="50"/>
      <c r="V1062" s="50"/>
      <c r="W1062" s="50"/>
      <c r="X1062" s="50"/>
      <c r="Y1062" s="50"/>
      <c r="Z1062" s="51" t="s">
        <v>1319</v>
      </c>
      <c r="AA1062" s="51" t="s">
        <v>189</v>
      </c>
      <c r="AB1062" s="51">
        <v>15668</v>
      </c>
      <c r="AC1062" s="51">
        <v>18645</v>
      </c>
    </row>
    <row r="1063" spans="1:29" x14ac:dyDescent="0.25">
      <c r="A1063" s="25" t="s">
        <v>115</v>
      </c>
      <c r="B1063" t="b">
        <v>0</v>
      </c>
      <c r="C1063" s="43" t="s">
        <v>1320</v>
      </c>
      <c r="D1063" s="43">
        <v>368598214358</v>
      </c>
      <c r="E1063" s="43">
        <v>368598215654</v>
      </c>
      <c r="F1063" s="43" t="s">
        <v>125</v>
      </c>
      <c r="G1063" s="43" t="b">
        <v>0</v>
      </c>
      <c r="H1063" s="43" t="b">
        <v>1</v>
      </c>
      <c r="I1063" s="43"/>
      <c r="M1063" s="48"/>
      <c r="N1063" s="48"/>
      <c r="O1063" s="48"/>
      <c r="P1063" s="48"/>
      <c r="Q1063" s="49" t="s">
        <v>1320</v>
      </c>
      <c r="R1063" s="49">
        <v>17086537100</v>
      </c>
      <c r="S1063" s="49">
        <v>17086534772</v>
      </c>
      <c r="T1063" s="49" t="s">
        <v>125</v>
      </c>
      <c r="U1063" s="50" t="s">
        <v>1320</v>
      </c>
      <c r="V1063" s="50">
        <v>17102547981</v>
      </c>
      <c r="W1063" s="50">
        <v>17101192520</v>
      </c>
      <c r="X1063" s="50" t="s">
        <v>125</v>
      </c>
      <c r="Y1063" s="50"/>
      <c r="Z1063" s="51" t="s">
        <v>1320</v>
      </c>
      <c r="AA1063" s="51" t="s">
        <v>189</v>
      </c>
      <c r="AB1063" s="51">
        <v>20798</v>
      </c>
      <c r="AC1063" s="51">
        <v>24750</v>
      </c>
    </row>
    <row r="1064" spans="1:29" x14ac:dyDescent="0.25">
      <c r="A1064" s="25" t="s">
        <v>115</v>
      </c>
      <c r="B1064" t="b">
        <v>0</v>
      </c>
      <c r="C1064" s="43" t="s">
        <v>1321</v>
      </c>
      <c r="D1064" s="43">
        <v>368598216406</v>
      </c>
      <c r="E1064" s="43">
        <v>368598212630</v>
      </c>
      <c r="F1064" s="43" t="s">
        <v>186</v>
      </c>
      <c r="G1064" s="43" t="b">
        <v>0</v>
      </c>
      <c r="H1064" s="43" t="b">
        <v>1</v>
      </c>
      <c r="I1064" s="43"/>
      <c r="M1064" s="48"/>
      <c r="N1064" s="48"/>
      <c r="O1064" s="48"/>
      <c r="P1064" s="48"/>
      <c r="Q1064" s="49" t="s">
        <v>1321</v>
      </c>
      <c r="R1064" s="49">
        <v>17086534540</v>
      </c>
      <c r="S1064" s="49">
        <v>17086536308</v>
      </c>
      <c r="T1064" s="49" t="s">
        <v>186</v>
      </c>
      <c r="U1064" s="50" t="s">
        <v>1321</v>
      </c>
      <c r="V1064" s="50">
        <v>17102545421</v>
      </c>
      <c r="W1064" s="50">
        <v>17101190984</v>
      </c>
      <c r="X1064" s="50" t="s">
        <v>186</v>
      </c>
      <c r="Y1064" s="50"/>
      <c r="Z1064" s="51" t="s">
        <v>1321</v>
      </c>
      <c r="AA1064" s="51" t="s">
        <v>192</v>
      </c>
      <c r="AB1064" s="51">
        <v>40966</v>
      </c>
      <c r="AC1064" s="51">
        <v>48750</v>
      </c>
    </row>
    <row r="1065" spans="1:29" x14ac:dyDescent="0.25">
      <c r="A1065" s="25" t="s">
        <v>115</v>
      </c>
      <c r="B1065" t="b">
        <v>0</v>
      </c>
      <c r="C1065" s="43" t="s">
        <v>1322</v>
      </c>
      <c r="D1065" s="43">
        <v>368598213078</v>
      </c>
      <c r="E1065" s="43">
        <v>368598215702</v>
      </c>
      <c r="F1065" s="43" t="s">
        <v>132</v>
      </c>
      <c r="G1065" s="43" t="b">
        <v>0</v>
      </c>
      <c r="H1065" s="43" t="b">
        <v>1</v>
      </c>
      <c r="I1065" s="43"/>
      <c r="M1065" s="48"/>
      <c r="N1065" s="48"/>
      <c r="O1065" s="48"/>
      <c r="P1065" s="48"/>
      <c r="Q1065" s="49" t="s">
        <v>1322</v>
      </c>
      <c r="R1065" s="49">
        <v>17086536588</v>
      </c>
      <c r="S1065" s="49">
        <v>17086534004</v>
      </c>
      <c r="T1065" s="49" t="s">
        <v>132</v>
      </c>
      <c r="U1065" s="50" t="s">
        <v>1322</v>
      </c>
      <c r="V1065" s="50">
        <v>17102547469</v>
      </c>
      <c r="W1065" s="50">
        <v>17101191368</v>
      </c>
      <c r="X1065" s="50" t="s">
        <v>132</v>
      </c>
      <c r="Y1065" s="50"/>
      <c r="Z1065" s="51" t="s">
        <v>1322</v>
      </c>
      <c r="AA1065" s="51" t="s">
        <v>187</v>
      </c>
      <c r="AB1065" s="51">
        <v>1261</v>
      </c>
      <c r="AC1065" s="51">
        <v>1500</v>
      </c>
    </row>
    <row r="1066" spans="1:29" x14ac:dyDescent="0.25">
      <c r="A1066" s="25" t="s">
        <v>115</v>
      </c>
      <c r="B1066" t="b">
        <v>0</v>
      </c>
      <c r="C1066" s="43" t="s">
        <v>1323</v>
      </c>
      <c r="D1066" s="43">
        <v>368598215126</v>
      </c>
      <c r="E1066" s="43">
        <v>368598214166</v>
      </c>
      <c r="F1066" s="43" t="s">
        <v>125</v>
      </c>
      <c r="G1066" s="43" t="b">
        <v>0</v>
      </c>
      <c r="H1066" s="43" t="b">
        <v>1</v>
      </c>
      <c r="I1066" s="43"/>
      <c r="J1066" s="45" t="s">
        <v>1323</v>
      </c>
      <c r="K1066" s="46">
        <v>368598214166</v>
      </c>
      <c r="L1066" s="47">
        <v>990000473</v>
      </c>
      <c r="M1066" s="48"/>
      <c r="N1066" s="48"/>
      <c r="O1066" s="48"/>
      <c r="P1066" s="48"/>
      <c r="Q1066" s="49" t="s">
        <v>1323</v>
      </c>
      <c r="R1066" s="49">
        <v>17086535564</v>
      </c>
      <c r="S1066" s="49">
        <v>17086537076</v>
      </c>
      <c r="T1066" s="49" t="s">
        <v>125</v>
      </c>
      <c r="U1066" s="50" t="s">
        <v>1323</v>
      </c>
      <c r="V1066" s="50">
        <v>17102546445</v>
      </c>
      <c r="W1066" s="50">
        <v>17101189832</v>
      </c>
      <c r="X1066" s="50" t="s">
        <v>125</v>
      </c>
      <c r="Y1066" s="50"/>
      <c r="Z1066" s="51" t="s">
        <v>1323</v>
      </c>
      <c r="AA1066" s="51" t="s">
        <v>189</v>
      </c>
      <c r="AB1066" s="51">
        <v>23710</v>
      </c>
      <c r="AC1066" s="51">
        <v>28215</v>
      </c>
    </row>
    <row r="1067" spans="1:29" x14ac:dyDescent="0.25">
      <c r="A1067" s="25" t="s">
        <v>115</v>
      </c>
      <c r="B1067" t="b">
        <v>0</v>
      </c>
      <c r="C1067" s="43" t="s">
        <v>1324</v>
      </c>
      <c r="D1067" s="43">
        <v>368598214102</v>
      </c>
      <c r="E1067" s="43">
        <v>368598214934</v>
      </c>
      <c r="F1067" s="43" t="s">
        <v>186</v>
      </c>
      <c r="G1067" s="43" t="b">
        <v>0</v>
      </c>
      <c r="H1067" s="43" t="b">
        <v>1</v>
      </c>
      <c r="I1067" s="43"/>
      <c r="J1067" s="45" t="s">
        <v>1324</v>
      </c>
      <c r="K1067" s="46">
        <v>368598214934</v>
      </c>
      <c r="L1067" s="47">
        <v>990000474</v>
      </c>
      <c r="M1067" s="48"/>
      <c r="N1067" s="48"/>
      <c r="O1067" s="48"/>
      <c r="P1067" s="48"/>
      <c r="Q1067" s="49" t="s">
        <v>1324</v>
      </c>
      <c r="R1067" s="49">
        <v>17086537612</v>
      </c>
      <c r="S1067" s="49">
        <v>17086535540</v>
      </c>
      <c r="T1067" s="49" t="s">
        <v>186</v>
      </c>
      <c r="U1067" s="50" t="s">
        <v>1324</v>
      </c>
      <c r="V1067" s="50">
        <v>17102548493</v>
      </c>
      <c r="W1067" s="50">
        <v>17101192904</v>
      </c>
      <c r="X1067" s="50" t="s">
        <v>186</v>
      </c>
      <c r="Y1067" s="50"/>
      <c r="Z1067" s="51" t="s">
        <v>1324</v>
      </c>
      <c r="AA1067" s="51" t="s">
        <v>192</v>
      </c>
      <c r="AB1067" s="51">
        <v>46702</v>
      </c>
      <c r="AC1067" s="51">
        <v>55575</v>
      </c>
    </row>
    <row r="1068" spans="1:29" x14ac:dyDescent="0.25">
      <c r="A1068" s="25" t="s">
        <v>115</v>
      </c>
      <c r="B1068" t="b">
        <v>0</v>
      </c>
      <c r="C1068" s="43" t="s">
        <v>1325</v>
      </c>
      <c r="D1068" s="43">
        <v>368598216150</v>
      </c>
      <c r="E1068" s="43">
        <v>368598213398</v>
      </c>
      <c r="F1068" s="43" t="s">
        <v>132</v>
      </c>
      <c r="G1068" s="43" t="b">
        <v>0</v>
      </c>
      <c r="H1068" s="43" t="b">
        <v>1</v>
      </c>
      <c r="I1068" s="43"/>
      <c r="J1068" s="45" t="s">
        <v>1325</v>
      </c>
      <c r="K1068" s="46">
        <v>368598213398</v>
      </c>
      <c r="L1068" s="47">
        <v>990000472</v>
      </c>
      <c r="M1068" s="48"/>
      <c r="N1068" s="48"/>
      <c r="O1068" s="48"/>
      <c r="P1068" s="48"/>
      <c r="Q1068" s="49" t="s">
        <v>1325</v>
      </c>
      <c r="R1068" s="49">
        <v>17086533708</v>
      </c>
      <c r="S1068" s="49">
        <v>17086535924</v>
      </c>
      <c r="T1068" s="49" t="s">
        <v>132</v>
      </c>
      <c r="U1068" s="50" t="s">
        <v>1325</v>
      </c>
      <c r="V1068" s="50">
        <v>17102545165</v>
      </c>
      <c r="W1068" s="50">
        <v>17101190600</v>
      </c>
      <c r="X1068" s="50" t="s">
        <v>132</v>
      </c>
      <c r="Y1068" s="50"/>
      <c r="Z1068" s="51" t="s">
        <v>1325</v>
      </c>
      <c r="AA1068" s="51" t="s">
        <v>187</v>
      </c>
      <c r="AB1068" s="51">
        <v>1437</v>
      </c>
      <c r="AC1068" s="51">
        <v>1710</v>
      </c>
    </row>
    <row r="1069" spans="1:29" x14ac:dyDescent="0.25">
      <c r="A1069" s="25" t="s">
        <v>115</v>
      </c>
      <c r="B1069" t="b">
        <v>0</v>
      </c>
      <c r="C1069" s="43" t="s">
        <v>1326</v>
      </c>
      <c r="D1069" s="43">
        <v>368598213590</v>
      </c>
      <c r="E1069" s="43">
        <v>368598216470</v>
      </c>
      <c r="F1069" s="43" t="s">
        <v>125</v>
      </c>
      <c r="G1069" s="43" t="b">
        <v>0</v>
      </c>
      <c r="H1069" s="43" t="b">
        <v>1</v>
      </c>
      <c r="I1069" s="43"/>
      <c r="J1069" s="45" t="s">
        <v>1326</v>
      </c>
      <c r="K1069" s="46">
        <v>368598216470</v>
      </c>
      <c r="L1069" s="47">
        <v>990000477</v>
      </c>
      <c r="M1069" s="48"/>
      <c r="N1069" s="48"/>
      <c r="O1069" s="48"/>
      <c r="P1069" s="48"/>
      <c r="Q1069" s="49" t="s">
        <v>1326</v>
      </c>
      <c r="R1069" s="49">
        <v>17086535756</v>
      </c>
      <c r="S1069" s="49">
        <v>17086534388</v>
      </c>
      <c r="T1069" s="49" t="s">
        <v>125</v>
      </c>
      <c r="U1069" s="50" t="s">
        <v>1326</v>
      </c>
      <c r="V1069" s="50">
        <v>17102547213</v>
      </c>
      <c r="W1069" s="50">
        <v>17101192136</v>
      </c>
      <c r="X1069" s="50" t="s">
        <v>125</v>
      </c>
      <c r="Y1069" s="50"/>
      <c r="Z1069" s="51" t="s">
        <v>1326</v>
      </c>
      <c r="AA1069" s="51" t="s">
        <v>189</v>
      </c>
      <c r="AB1069" s="51">
        <v>34357</v>
      </c>
      <c r="AC1069" s="51">
        <v>40885</v>
      </c>
    </row>
    <row r="1070" spans="1:29" x14ac:dyDescent="0.25">
      <c r="A1070" s="25" t="s">
        <v>115</v>
      </c>
      <c r="B1070" t="b">
        <v>0</v>
      </c>
      <c r="C1070" s="43" t="s">
        <v>1327</v>
      </c>
      <c r="D1070" s="43">
        <v>368598215638</v>
      </c>
      <c r="E1070" s="43">
        <v>368598213782</v>
      </c>
      <c r="F1070" s="43" t="s">
        <v>186</v>
      </c>
      <c r="G1070" s="43" t="b">
        <v>0</v>
      </c>
      <c r="H1070" s="43" t="b">
        <v>1</v>
      </c>
      <c r="I1070" s="43"/>
      <c r="J1070" s="45" t="s">
        <v>1327</v>
      </c>
      <c r="K1070" s="46">
        <v>368598213782</v>
      </c>
      <c r="L1070" s="47">
        <v>990000475</v>
      </c>
      <c r="M1070" s="48"/>
      <c r="N1070" s="48"/>
      <c r="O1070" s="48"/>
      <c r="P1070" s="48"/>
      <c r="Q1070" s="49" t="s">
        <v>1327</v>
      </c>
      <c r="R1070" s="49">
        <v>17086534732</v>
      </c>
      <c r="S1070" s="49">
        <v>17086537460</v>
      </c>
      <c r="T1070" s="49" t="s">
        <v>186</v>
      </c>
      <c r="U1070" s="50" t="s">
        <v>1327</v>
      </c>
      <c r="V1070" s="50">
        <v>17102546189</v>
      </c>
      <c r="W1070" s="50">
        <v>17101189160</v>
      </c>
      <c r="X1070" s="50" t="s">
        <v>186</v>
      </c>
      <c r="Y1070" s="50"/>
      <c r="Z1070" s="51" t="s">
        <v>1327</v>
      </c>
      <c r="AA1070" s="51" t="s">
        <v>192</v>
      </c>
      <c r="AB1070" s="51">
        <v>56643</v>
      </c>
      <c r="AC1070" s="51">
        <v>67405</v>
      </c>
    </row>
    <row r="1071" spans="1:29" x14ac:dyDescent="0.25">
      <c r="A1071" s="25" t="s">
        <v>115</v>
      </c>
      <c r="B1071" t="b">
        <v>0</v>
      </c>
      <c r="C1071" s="43" t="s">
        <v>1328</v>
      </c>
      <c r="D1071" s="43">
        <v>368598214614</v>
      </c>
      <c r="E1071" s="43">
        <v>368598215318</v>
      </c>
      <c r="F1071" s="43" t="s">
        <v>132</v>
      </c>
      <c r="G1071" s="43" t="b">
        <v>0</v>
      </c>
      <c r="H1071" s="43" t="b">
        <v>1</v>
      </c>
      <c r="I1071" s="43"/>
      <c r="J1071" s="45" t="s">
        <v>1328</v>
      </c>
      <c r="K1071" s="46">
        <v>368598215318</v>
      </c>
      <c r="L1071" s="47">
        <v>990000476</v>
      </c>
      <c r="M1071" s="48"/>
      <c r="N1071" s="48"/>
      <c r="O1071" s="48"/>
      <c r="P1071" s="48"/>
      <c r="Q1071" s="49" t="s">
        <v>1328</v>
      </c>
      <c r="R1071" s="49">
        <v>17086536780</v>
      </c>
      <c r="S1071" s="49">
        <v>17086535156</v>
      </c>
      <c r="T1071" s="49" t="s">
        <v>132</v>
      </c>
      <c r="U1071" s="50" t="s">
        <v>1328</v>
      </c>
      <c r="V1071" s="50">
        <v>17102548237</v>
      </c>
      <c r="W1071" s="50">
        <v>17101192232</v>
      </c>
      <c r="X1071" s="50" t="s">
        <v>132</v>
      </c>
      <c r="Y1071" s="50"/>
      <c r="Z1071" s="51" t="s">
        <v>1328</v>
      </c>
      <c r="AA1071" s="51" t="s">
        <v>187</v>
      </c>
      <c r="AB1071" s="51">
        <v>1857</v>
      </c>
      <c r="AC1071" s="51">
        <v>2210</v>
      </c>
    </row>
    <row r="1072" spans="1:29" x14ac:dyDescent="0.25">
      <c r="A1072" s="25" t="s">
        <v>115</v>
      </c>
      <c r="B1072" t="b">
        <v>0</v>
      </c>
      <c r="C1072" s="43" t="s">
        <v>1329</v>
      </c>
      <c r="D1072" s="43">
        <v>368598216662</v>
      </c>
      <c r="E1072" s="43">
        <v>368598213014</v>
      </c>
      <c r="F1072" s="43" t="s">
        <v>125</v>
      </c>
      <c r="G1072" s="43" t="b">
        <v>0</v>
      </c>
      <c r="H1072" s="43" t="b">
        <v>1</v>
      </c>
      <c r="I1072" s="43"/>
      <c r="J1072" s="45" t="s">
        <v>1329</v>
      </c>
      <c r="K1072" s="46">
        <v>368598213014</v>
      </c>
      <c r="L1072" s="47">
        <v>990000478</v>
      </c>
      <c r="M1072" s="48"/>
      <c r="N1072" s="48"/>
      <c r="O1072" s="48"/>
      <c r="P1072" s="48"/>
      <c r="Q1072" s="49" t="s">
        <v>1329</v>
      </c>
      <c r="R1072" s="49">
        <v>17086534220</v>
      </c>
      <c r="S1072" s="49">
        <v>17086536692</v>
      </c>
      <c r="T1072" s="49" t="s">
        <v>125</v>
      </c>
      <c r="U1072" s="50" t="s">
        <v>1329</v>
      </c>
      <c r="V1072" s="50">
        <v>17102545677</v>
      </c>
      <c r="W1072" s="50">
        <v>17101190696</v>
      </c>
      <c r="X1072" s="50" t="s">
        <v>125</v>
      </c>
      <c r="Y1072" s="50"/>
      <c r="Z1072" s="51" t="s">
        <v>1329</v>
      </c>
      <c r="AA1072" s="51" t="s">
        <v>189</v>
      </c>
      <c r="AB1072" s="51">
        <v>42130</v>
      </c>
      <c r="AC1072" s="51">
        <v>50135</v>
      </c>
    </row>
    <row r="1073" spans="1:29" x14ac:dyDescent="0.25">
      <c r="A1073" s="25" t="s">
        <v>115</v>
      </c>
      <c r="B1073" t="b">
        <v>0</v>
      </c>
      <c r="C1073" s="43" t="s">
        <v>1330</v>
      </c>
      <c r="D1073" s="43">
        <v>368598212662</v>
      </c>
      <c r="E1073" s="43">
        <v>368598216086</v>
      </c>
      <c r="F1073" s="43" t="s">
        <v>186</v>
      </c>
      <c r="G1073" s="43" t="b">
        <v>0</v>
      </c>
      <c r="H1073" s="43" t="b">
        <v>1</v>
      </c>
      <c r="I1073" s="43"/>
      <c r="J1073" s="45" t="s">
        <v>1330</v>
      </c>
      <c r="K1073" s="46">
        <v>368598216086</v>
      </c>
      <c r="L1073" s="47">
        <v>990000480</v>
      </c>
      <c r="M1073" s="48"/>
      <c r="N1073" s="48"/>
      <c r="O1073" s="48"/>
      <c r="P1073" s="48"/>
      <c r="Q1073" s="49" t="s">
        <v>1330</v>
      </c>
      <c r="R1073" s="49">
        <v>17086536268</v>
      </c>
      <c r="S1073" s="49">
        <v>17086533644</v>
      </c>
      <c r="T1073" s="49" t="s">
        <v>186</v>
      </c>
      <c r="U1073" s="50" t="s">
        <v>1330</v>
      </c>
      <c r="V1073" s="50">
        <v>17102547725</v>
      </c>
      <c r="W1073" s="50">
        <v>17101191464</v>
      </c>
      <c r="X1073" s="50" t="s">
        <v>186</v>
      </c>
      <c r="Y1073" s="50"/>
      <c r="Z1073" s="51" t="s">
        <v>1330</v>
      </c>
      <c r="AA1073" s="51" t="s">
        <v>192</v>
      </c>
      <c r="AB1073" s="51">
        <v>69458</v>
      </c>
      <c r="AC1073" s="51">
        <v>82655</v>
      </c>
    </row>
    <row r="1074" spans="1:29" x14ac:dyDescent="0.25">
      <c r="A1074" s="25" t="s">
        <v>115</v>
      </c>
      <c r="B1074" t="b">
        <v>0</v>
      </c>
      <c r="C1074" s="43" t="s">
        <v>1331</v>
      </c>
      <c r="D1074" s="43">
        <v>368598214710</v>
      </c>
      <c r="E1074" s="43">
        <v>368598214550</v>
      </c>
      <c r="F1074" s="43" t="s">
        <v>132</v>
      </c>
      <c r="G1074" s="43" t="b">
        <v>0</v>
      </c>
      <c r="H1074" s="43" t="b">
        <v>1</v>
      </c>
      <c r="I1074" s="43"/>
      <c r="J1074" s="45" t="s">
        <v>1331</v>
      </c>
      <c r="K1074" s="46">
        <v>368598214550</v>
      </c>
      <c r="L1074" s="47">
        <v>990000479</v>
      </c>
      <c r="M1074" s="48"/>
      <c r="N1074" s="48"/>
      <c r="O1074" s="48"/>
      <c r="P1074" s="48"/>
      <c r="Q1074" s="49" t="s">
        <v>1331</v>
      </c>
      <c r="R1074" s="49">
        <v>17086535244</v>
      </c>
      <c r="S1074" s="49">
        <v>17086536716</v>
      </c>
      <c r="T1074" s="49" t="s">
        <v>132</v>
      </c>
      <c r="U1074" s="50" t="s">
        <v>1331</v>
      </c>
      <c r="V1074" s="50">
        <v>17102546701</v>
      </c>
      <c r="W1074" s="50">
        <v>17101189928</v>
      </c>
      <c r="X1074" s="50" t="s">
        <v>132</v>
      </c>
      <c r="Y1074" s="50"/>
      <c r="Z1074" s="51" t="s">
        <v>1331</v>
      </c>
      <c r="AA1074" s="51" t="s">
        <v>187</v>
      </c>
      <c r="AB1074" s="51">
        <v>2277</v>
      </c>
      <c r="AC1074" s="51">
        <v>2710</v>
      </c>
    </row>
    <row r="1075" spans="1:29" x14ac:dyDescent="0.25">
      <c r="A1075" s="25" t="s">
        <v>115</v>
      </c>
      <c r="B1075" t="b">
        <v>0</v>
      </c>
      <c r="C1075" s="43" t="s">
        <v>1332</v>
      </c>
      <c r="D1075" s="43">
        <v>370015686886</v>
      </c>
      <c r="E1075" s="43">
        <v>370015689254</v>
      </c>
      <c r="F1075" s="43" t="s">
        <v>186</v>
      </c>
      <c r="G1075" s="43" t="b">
        <v>0</v>
      </c>
      <c r="H1075" s="43" t="b">
        <v>1</v>
      </c>
      <c r="I1075" s="43"/>
      <c r="J1075" s="45" t="s">
        <v>1332</v>
      </c>
      <c r="K1075" s="46">
        <v>370015689254</v>
      </c>
      <c r="L1075" s="47">
        <v>990000437</v>
      </c>
      <c r="M1075" s="48"/>
      <c r="N1075" s="48"/>
      <c r="O1075" s="48"/>
      <c r="P1075" s="48"/>
      <c r="Q1075" s="49" t="s">
        <v>1332</v>
      </c>
      <c r="R1075" s="49">
        <v>17087060571</v>
      </c>
      <c r="S1075" s="49">
        <v>17087059435</v>
      </c>
      <c r="T1075" s="49" t="s">
        <v>186</v>
      </c>
      <c r="U1075" s="50" t="s">
        <v>1332</v>
      </c>
      <c r="V1075" s="50">
        <v>17091811132</v>
      </c>
      <c r="W1075" s="50">
        <v>17091812444</v>
      </c>
      <c r="X1075" s="50" t="s">
        <v>186</v>
      </c>
      <c r="Y1075" s="50"/>
      <c r="Z1075" s="51" t="s">
        <v>1333</v>
      </c>
      <c r="AA1075" s="51" t="s">
        <v>192</v>
      </c>
      <c r="AB1075" s="51">
        <v>40966</v>
      </c>
      <c r="AC1075" s="51">
        <v>48750</v>
      </c>
    </row>
    <row r="1076" spans="1:29" x14ac:dyDescent="0.25">
      <c r="A1076" s="25" t="s">
        <v>115</v>
      </c>
      <c r="B1076" t="b">
        <v>0</v>
      </c>
      <c r="C1076" s="43" t="s">
        <v>1334</v>
      </c>
      <c r="D1076" s="43">
        <v>370015688934</v>
      </c>
      <c r="E1076" s="43">
        <v>370015686950</v>
      </c>
      <c r="F1076" s="43" t="s">
        <v>132</v>
      </c>
      <c r="G1076" s="43" t="b">
        <v>0</v>
      </c>
      <c r="H1076" s="43" t="b">
        <v>1</v>
      </c>
      <c r="I1076" s="43"/>
      <c r="J1076" s="45" t="s">
        <v>1334</v>
      </c>
      <c r="K1076" s="46">
        <v>370015686950</v>
      </c>
      <c r="L1076" s="47">
        <v>990000435</v>
      </c>
      <c r="M1076" s="48"/>
      <c r="N1076" s="48"/>
      <c r="O1076" s="48"/>
      <c r="P1076" s="48"/>
      <c r="Q1076" s="49" t="s">
        <v>1334</v>
      </c>
      <c r="R1076" s="49">
        <v>17087059547</v>
      </c>
      <c r="S1076" s="49">
        <v>17087060971</v>
      </c>
      <c r="T1076" s="49" t="s">
        <v>132</v>
      </c>
      <c r="U1076" s="50" t="s">
        <v>1334</v>
      </c>
      <c r="V1076" s="50">
        <v>17091813180</v>
      </c>
      <c r="W1076" s="50">
        <v>17091810908</v>
      </c>
      <c r="X1076" s="50" t="s">
        <v>132</v>
      </c>
      <c r="Y1076" s="50"/>
      <c r="Z1076" s="51" t="s">
        <v>1335</v>
      </c>
      <c r="AA1076" s="51" t="s">
        <v>187</v>
      </c>
      <c r="AB1076" s="51">
        <v>1261</v>
      </c>
      <c r="AC1076" s="51">
        <v>1500</v>
      </c>
    </row>
    <row r="1077" spans="1:29" x14ac:dyDescent="0.25">
      <c r="A1077" s="25" t="s">
        <v>115</v>
      </c>
      <c r="B1077" t="b">
        <v>0</v>
      </c>
      <c r="C1077" s="43" t="s">
        <v>1336</v>
      </c>
      <c r="D1077" s="43">
        <v>370015687910</v>
      </c>
      <c r="E1077" s="43">
        <v>370015690022</v>
      </c>
      <c r="F1077" s="43" t="s">
        <v>125</v>
      </c>
      <c r="G1077" s="43" t="b">
        <v>0</v>
      </c>
      <c r="H1077" s="43" t="b">
        <v>1</v>
      </c>
      <c r="I1077" s="43"/>
      <c r="J1077" s="45" t="s">
        <v>1336</v>
      </c>
      <c r="K1077" s="46">
        <v>370015690022</v>
      </c>
      <c r="L1077" s="47">
        <v>990000440</v>
      </c>
      <c r="M1077" s="48"/>
      <c r="N1077" s="48"/>
      <c r="O1077" s="48"/>
      <c r="P1077" s="48"/>
      <c r="Q1077" s="49" t="s">
        <v>1336</v>
      </c>
      <c r="R1077" s="49">
        <v>17087061595</v>
      </c>
      <c r="S1077" s="49">
        <v>17087057947</v>
      </c>
      <c r="T1077" s="49" t="s">
        <v>125</v>
      </c>
      <c r="U1077" s="50" t="s">
        <v>1336</v>
      </c>
      <c r="V1077" s="50">
        <v>17091809468</v>
      </c>
      <c r="W1077" s="50">
        <v>17091811676</v>
      </c>
      <c r="X1077" s="50" t="s">
        <v>125</v>
      </c>
      <c r="Y1077" s="50"/>
      <c r="Z1077" s="51" t="s">
        <v>1336</v>
      </c>
      <c r="AA1077" s="51" t="s">
        <v>189</v>
      </c>
      <c r="AB1077" s="51">
        <v>23571</v>
      </c>
      <c r="AC1077" s="51">
        <v>28050</v>
      </c>
    </row>
    <row r="1078" spans="1:29" x14ac:dyDescent="0.25">
      <c r="A1078" s="25" t="s">
        <v>115</v>
      </c>
      <c r="B1078" t="b">
        <v>0</v>
      </c>
      <c r="C1078" s="43" t="s">
        <v>1337</v>
      </c>
      <c r="D1078" s="43">
        <v>370015689958</v>
      </c>
      <c r="E1078" s="43">
        <v>370015688486</v>
      </c>
      <c r="F1078" s="43" t="s">
        <v>186</v>
      </c>
      <c r="G1078" s="43" t="b">
        <v>0</v>
      </c>
      <c r="H1078" s="43" t="b">
        <v>1</v>
      </c>
      <c r="I1078" s="43"/>
      <c r="J1078" s="45" t="s">
        <v>1337</v>
      </c>
      <c r="K1078" s="46">
        <v>370015688486</v>
      </c>
      <c r="L1078" s="47">
        <v>990000438</v>
      </c>
      <c r="M1078" s="48"/>
      <c r="N1078" s="48"/>
      <c r="O1078" s="48"/>
      <c r="P1078" s="48"/>
      <c r="Q1078" s="49" t="s">
        <v>1337</v>
      </c>
      <c r="R1078" s="49">
        <v>17087058267</v>
      </c>
      <c r="S1078" s="49">
        <v>17087061019</v>
      </c>
      <c r="T1078" s="49" t="s">
        <v>186</v>
      </c>
      <c r="U1078" s="50" t="s">
        <v>1337</v>
      </c>
      <c r="V1078" s="50">
        <v>17091811516</v>
      </c>
      <c r="W1078" s="50">
        <v>17091810140</v>
      </c>
      <c r="X1078" s="50" t="s">
        <v>186</v>
      </c>
      <c r="Y1078" s="50"/>
      <c r="Z1078" s="51" t="s">
        <v>1337</v>
      </c>
      <c r="AA1078" s="51" t="s">
        <v>192</v>
      </c>
      <c r="AB1078" s="51">
        <v>46429</v>
      </c>
      <c r="AC1078" s="51">
        <v>55250</v>
      </c>
    </row>
    <row r="1079" spans="1:29" x14ac:dyDescent="0.25">
      <c r="A1079" s="25" t="s">
        <v>115</v>
      </c>
      <c r="B1079" t="b">
        <v>0</v>
      </c>
      <c r="C1079" s="43" t="s">
        <v>1338</v>
      </c>
      <c r="D1079" s="43">
        <v>370015687398</v>
      </c>
      <c r="E1079" s="43">
        <v>370015688870</v>
      </c>
      <c r="F1079" s="43" t="s">
        <v>132</v>
      </c>
      <c r="G1079" s="43" t="b">
        <v>0</v>
      </c>
      <c r="H1079" s="43" t="b">
        <v>1</v>
      </c>
      <c r="I1079" s="43"/>
      <c r="J1079" s="45" t="s">
        <v>1338</v>
      </c>
      <c r="K1079" s="46">
        <v>370015688870</v>
      </c>
      <c r="L1079" s="47">
        <v>990000439</v>
      </c>
      <c r="M1079" s="48"/>
      <c r="N1079" s="48"/>
      <c r="O1079" s="48"/>
      <c r="P1079" s="48"/>
      <c r="Q1079" s="49" t="s">
        <v>1338</v>
      </c>
      <c r="R1079" s="49">
        <v>17087060315</v>
      </c>
      <c r="S1079" s="49">
        <v>17087059483</v>
      </c>
      <c r="T1079" s="49" t="s">
        <v>132</v>
      </c>
      <c r="U1079" s="50" t="s">
        <v>1338</v>
      </c>
      <c r="V1079" s="50">
        <v>17091810492</v>
      </c>
      <c r="W1079" s="50">
        <v>17091813212</v>
      </c>
      <c r="X1079" s="50" t="s">
        <v>132</v>
      </c>
      <c r="Y1079" s="50"/>
      <c r="Z1079" s="51" t="s">
        <v>1338</v>
      </c>
      <c r="AA1079" s="51" t="s">
        <v>187</v>
      </c>
      <c r="AB1079" s="51">
        <v>1429</v>
      </c>
      <c r="AC1079" s="51">
        <v>1700</v>
      </c>
    </row>
    <row r="1080" spans="1:29" x14ac:dyDescent="0.25">
      <c r="A1080" s="25" t="s">
        <v>115</v>
      </c>
      <c r="B1080" t="b">
        <v>0</v>
      </c>
      <c r="C1080" s="43" t="s">
        <v>1339</v>
      </c>
      <c r="D1080" s="43">
        <v>370015689446</v>
      </c>
      <c r="E1080" s="43">
        <v>370015687334</v>
      </c>
      <c r="F1080" s="43" t="s">
        <v>125</v>
      </c>
      <c r="G1080" s="43" t="b">
        <v>0</v>
      </c>
      <c r="H1080" s="43" t="b">
        <v>1</v>
      </c>
      <c r="I1080" s="43"/>
      <c r="J1080" s="45" t="s">
        <v>1339</v>
      </c>
      <c r="K1080" s="46">
        <v>370015687334</v>
      </c>
      <c r="L1080" s="47">
        <v>990000441</v>
      </c>
      <c r="M1080" s="48"/>
      <c r="N1080" s="48"/>
      <c r="O1080" s="48"/>
      <c r="P1080" s="48"/>
      <c r="Q1080" s="49" t="s">
        <v>1339</v>
      </c>
      <c r="R1080" s="49">
        <v>17087059291</v>
      </c>
      <c r="S1080" s="49">
        <v>17087060251</v>
      </c>
      <c r="T1080" s="49" t="s">
        <v>125</v>
      </c>
      <c r="U1080" s="50" t="s">
        <v>1339</v>
      </c>
      <c r="V1080" s="50">
        <v>17091812540</v>
      </c>
      <c r="W1080" s="50">
        <v>17091810524</v>
      </c>
      <c r="X1080" s="50" t="s">
        <v>125</v>
      </c>
      <c r="Y1080" s="50"/>
      <c r="Z1080" s="51" t="s">
        <v>1339</v>
      </c>
      <c r="AA1080" s="51" t="s">
        <v>189</v>
      </c>
      <c r="AB1080" s="51">
        <v>34202</v>
      </c>
      <c r="AC1080" s="51">
        <v>40700</v>
      </c>
    </row>
    <row r="1081" spans="1:29" x14ac:dyDescent="0.25">
      <c r="A1081" s="25" t="s">
        <v>115</v>
      </c>
      <c r="B1081" t="b">
        <v>0</v>
      </c>
      <c r="C1081" s="43" t="s">
        <v>1340</v>
      </c>
      <c r="D1081" s="43">
        <v>370015688422</v>
      </c>
      <c r="E1081" s="43">
        <v>370015690406</v>
      </c>
      <c r="F1081" s="43" t="s">
        <v>186</v>
      </c>
      <c r="G1081" s="43" t="b">
        <v>0</v>
      </c>
      <c r="H1081" s="43" t="b">
        <v>1</v>
      </c>
      <c r="I1081" s="43"/>
      <c r="J1081" s="45" t="s">
        <v>1340</v>
      </c>
      <c r="K1081" s="46">
        <v>370015690406</v>
      </c>
      <c r="L1081" s="47">
        <v>990000443</v>
      </c>
      <c r="M1081" s="48"/>
      <c r="N1081" s="48"/>
      <c r="O1081" s="48"/>
      <c r="P1081" s="48"/>
      <c r="Q1081" s="49" t="s">
        <v>1340</v>
      </c>
      <c r="R1081" s="49">
        <v>17087061339</v>
      </c>
      <c r="S1081" s="49">
        <v>17087058715</v>
      </c>
      <c r="T1081" s="49" t="s">
        <v>186</v>
      </c>
      <c r="U1081" s="50" t="s">
        <v>1340</v>
      </c>
      <c r="V1081" s="50">
        <v>17091809980</v>
      </c>
      <c r="W1081" s="50">
        <v>17091812060</v>
      </c>
      <c r="X1081" s="50" t="s">
        <v>186</v>
      </c>
      <c r="Y1081" s="50"/>
      <c r="Z1081" s="51" t="s">
        <v>1340</v>
      </c>
      <c r="AA1081" s="51" t="s">
        <v>192</v>
      </c>
      <c r="AB1081" s="51">
        <v>56387</v>
      </c>
      <c r="AC1081" s="51">
        <v>67100</v>
      </c>
    </row>
    <row r="1082" spans="1:29" x14ac:dyDescent="0.25">
      <c r="A1082" s="25" t="s">
        <v>115</v>
      </c>
      <c r="B1082" t="b">
        <v>0</v>
      </c>
      <c r="C1082" s="43" t="s">
        <v>1341</v>
      </c>
      <c r="D1082" s="43">
        <v>370015690470</v>
      </c>
      <c r="E1082" s="43">
        <v>370015688102</v>
      </c>
      <c r="F1082" s="43" t="s">
        <v>132</v>
      </c>
      <c r="G1082" s="43" t="b">
        <v>0</v>
      </c>
      <c r="H1082" s="43" t="b">
        <v>1</v>
      </c>
      <c r="I1082" s="43"/>
      <c r="J1082" s="45" t="s">
        <v>1341</v>
      </c>
      <c r="K1082" s="46">
        <v>370015688102</v>
      </c>
      <c r="L1082" s="47">
        <v>990000442</v>
      </c>
      <c r="M1082" s="48"/>
      <c r="N1082" s="48"/>
      <c r="O1082" s="48"/>
      <c r="P1082" s="48"/>
      <c r="Q1082" s="49" t="s">
        <v>1341</v>
      </c>
      <c r="R1082" s="49">
        <v>17087058779</v>
      </c>
      <c r="S1082" s="49">
        <v>17087061787</v>
      </c>
      <c r="T1082" s="49" t="s">
        <v>132</v>
      </c>
      <c r="U1082" s="50" t="s">
        <v>1341</v>
      </c>
      <c r="V1082" s="50">
        <v>17091812028</v>
      </c>
      <c r="W1082" s="50">
        <v>17091809756</v>
      </c>
      <c r="X1082" s="50" t="s">
        <v>132</v>
      </c>
      <c r="Y1082" s="50"/>
      <c r="Z1082" s="51" t="s">
        <v>1341</v>
      </c>
      <c r="AA1082" s="51" t="s">
        <v>187</v>
      </c>
      <c r="AB1082" s="51">
        <v>1849</v>
      </c>
      <c r="AC1082" s="51">
        <v>2200</v>
      </c>
    </row>
    <row r="1083" spans="1:29" x14ac:dyDescent="0.25">
      <c r="A1083" s="25" t="s">
        <v>115</v>
      </c>
      <c r="B1083" t="b">
        <v>0</v>
      </c>
      <c r="C1083" s="43" t="s">
        <v>1342</v>
      </c>
      <c r="D1083" s="43">
        <v>370015687142</v>
      </c>
      <c r="E1083" s="43">
        <v>370015689638</v>
      </c>
      <c r="F1083" s="43" t="s">
        <v>125</v>
      </c>
      <c r="G1083" s="43" t="b">
        <v>0</v>
      </c>
      <c r="H1083" s="43" t="b">
        <v>1</v>
      </c>
      <c r="I1083" s="43"/>
      <c r="J1083" s="45" t="s">
        <v>1342</v>
      </c>
      <c r="K1083" s="46">
        <v>370015689638</v>
      </c>
      <c r="L1083" s="47">
        <v>990000445</v>
      </c>
      <c r="M1083" s="48"/>
      <c r="N1083" s="48"/>
      <c r="O1083" s="48"/>
      <c r="P1083" s="48"/>
      <c r="Q1083" s="49" t="s">
        <v>1342</v>
      </c>
      <c r="R1083" s="49">
        <v>17087060827</v>
      </c>
      <c r="S1083" s="49">
        <v>17087059099</v>
      </c>
      <c r="T1083" s="49" t="s">
        <v>125</v>
      </c>
      <c r="U1083" s="50" t="s">
        <v>1342</v>
      </c>
      <c r="V1083" s="50">
        <v>17091811004</v>
      </c>
      <c r="W1083" s="50">
        <v>17091812828</v>
      </c>
      <c r="X1083" s="50" t="s">
        <v>125</v>
      </c>
      <c r="Y1083" s="50"/>
      <c r="Z1083" s="51" t="s">
        <v>1342</v>
      </c>
      <c r="AA1083" s="51" t="s">
        <v>189</v>
      </c>
      <c r="AB1083" s="51">
        <v>41975</v>
      </c>
      <c r="AC1083" s="51">
        <v>49950</v>
      </c>
    </row>
    <row r="1084" spans="1:29" x14ac:dyDescent="0.25">
      <c r="A1084" s="25" t="s">
        <v>115</v>
      </c>
      <c r="B1084" t="b">
        <v>0</v>
      </c>
      <c r="C1084" s="43" t="s">
        <v>1343</v>
      </c>
      <c r="D1084" s="43">
        <v>370015689190</v>
      </c>
      <c r="E1084" s="43">
        <v>370015686758</v>
      </c>
      <c r="F1084" s="43" t="s">
        <v>186</v>
      </c>
      <c r="G1084" s="43" t="b">
        <v>0</v>
      </c>
      <c r="H1084" s="43" t="b">
        <v>1</v>
      </c>
      <c r="I1084" s="43"/>
      <c r="J1084" s="45" t="s">
        <v>1343</v>
      </c>
      <c r="K1084" s="46">
        <v>370015686758</v>
      </c>
      <c r="L1084" s="47">
        <v>990000444</v>
      </c>
      <c r="M1084" s="48"/>
      <c r="N1084" s="48"/>
      <c r="O1084" s="48"/>
      <c r="P1084" s="48"/>
      <c r="Q1084" s="49" t="s">
        <v>1343</v>
      </c>
      <c r="R1084" s="49">
        <v>17087059803</v>
      </c>
      <c r="S1084" s="49">
        <v>17087060635</v>
      </c>
      <c r="T1084" s="49" t="s">
        <v>186</v>
      </c>
      <c r="U1084" s="50" t="s">
        <v>1343</v>
      </c>
      <c r="V1084" s="50">
        <v>17091813052</v>
      </c>
      <c r="W1084" s="50">
        <v>17091811292</v>
      </c>
      <c r="X1084" s="50" t="s">
        <v>186</v>
      </c>
      <c r="Y1084" s="50"/>
      <c r="Z1084" s="51" t="s">
        <v>1343</v>
      </c>
      <c r="AA1084" s="51" t="s">
        <v>192</v>
      </c>
      <c r="AB1084" s="51">
        <v>69202</v>
      </c>
      <c r="AC1084" s="51">
        <v>82350</v>
      </c>
    </row>
    <row r="1085" spans="1:29" x14ac:dyDescent="0.25">
      <c r="A1085" s="25" t="s">
        <v>115</v>
      </c>
      <c r="B1085" t="b">
        <v>0</v>
      </c>
      <c r="C1085" s="43" t="s">
        <v>1344</v>
      </c>
      <c r="D1085" s="43">
        <v>370015688166</v>
      </c>
      <c r="E1085" s="43">
        <v>370015689830</v>
      </c>
      <c r="F1085" s="43" t="s">
        <v>132</v>
      </c>
      <c r="G1085" s="43" t="b">
        <v>0</v>
      </c>
      <c r="H1085" s="43" t="b">
        <v>1</v>
      </c>
      <c r="I1085" s="43"/>
      <c r="J1085" s="45" t="s">
        <v>1344</v>
      </c>
      <c r="K1085" s="46">
        <v>370015689830</v>
      </c>
      <c r="L1085" s="47">
        <v>990000446</v>
      </c>
      <c r="M1085" s="48"/>
      <c r="N1085" s="48"/>
      <c r="O1085" s="48"/>
      <c r="P1085" s="48"/>
      <c r="Q1085" s="49" t="s">
        <v>1344</v>
      </c>
      <c r="R1085" s="49">
        <v>17087061851</v>
      </c>
      <c r="S1085" s="49">
        <v>17087058331</v>
      </c>
      <c r="T1085" s="49" t="s">
        <v>132</v>
      </c>
      <c r="U1085" s="50" t="s">
        <v>1344</v>
      </c>
      <c r="V1085" s="50">
        <v>17091809724</v>
      </c>
      <c r="W1085" s="50">
        <v>17091811388</v>
      </c>
      <c r="X1085" s="50" t="s">
        <v>132</v>
      </c>
      <c r="Y1085" s="50"/>
      <c r="Z1085" s="51" t="s">
        <v>1344</v>
      </c>
      <c r="AA1085" s="51" t="s">
        <v>187</v>
      </c>
      <c r="AB1085" s="51">
        <v>2269</v>
      </c>
      <c r="AC1085" s="51">
        <v>2700</v>
      </c>
    </row>
    <row r="1086" spans="1:29" x14ac:dyDescent="0.25">
      <c r="A1086" s="25" t="s">
        <v>115</v>
      </c>
      <c r="B1086" t="b">
        <v>0</v>
      </c>
      <c r="C1086" s="43" t="s">
        <v>1345</v>
      </c>
      <c r="D1086" s="43">
        <v>370015690214</v>
      </c>
      <c r="E1086" s="43">
        <v>370015688294</v>
      </c>
      <c r="F1086" s="43" t="s">
        <v>125</v>
      </c>
      <c r="G1086" s="43" t="b">
        <v>0</v>
      </c>
      <c r="H1086" s="43" t="b">
        <v>1</v>
      </c>
      <c r="I1086" s="43"/>
      <c r="J1086" s="45" t="s">
        <v>1345</v>
      </c>
      <c r="K1086" s="46">
        <v>370015688294</v>
      </c>
      <c r="L1086" s="47">
        <v>990000433</v>
      </c>
      <c r="M1086" s="48"/>
      <c r="N1086" s="48"/>
      <c r="O1086" s="48"/>
      <c r="P1086" s="48"/>
      <c r="Q1086" s="49" t="s">
        <v>1345</v>
      </c>
      <c r="R1086" s="49">
        <v>17087058139</v>
      </c>
      <c r="S1086" s="49">
        <v>17087061403</v>
      </c>
      <c r="T1086" s="49" t="s">
        <v>125</v>
      </c>
      <c r="U1086" s="50" t="s">
        <v>1345</v>
      </c>
      <c r="V1086" s="50">
        <v>17091811772</v>
      </c>
      <c r="W1086" s="50">
        <v>17091809852</v>
      </c>
      <c r="X1086" s="50" t="s">
        <v>125</v>
      </c>
      <c r="Y1086" s="50"/>
      <c r="Z1086" s="51" t="s">
        <v>1345</v>
      </c>
      <c r="AA1086" s="51" t="s">
        <v>189</v>
      </c>
      <c r="AB1086" s="51">
        <v>17471</v>
      </c>
      <c r="AC1086" s="51">
        <v>20790</v>
      </c>
    </row>
    <row r="1087" spans="1:29" x14ac:dyDescent="0.25">
      <c r="A1087" s="25" t="s">
        <v>115</v>
      </c>
      <c r="B1087" t="b">
        <v>0</v>
      </c>
      <c r="C1087" s="43" t="s">
        <v>1346</v>
      </c>
      <c r="D1087" s="43">
        <v>370015687654</v>
      </c>
      <c r="E1087" s="43">
        <v>370015689062</v>
      </c>
      <c r="F1087" s="43" t="s">
        <v>186</v>
      </c>
      <c r="G1087" s="43" t="b">
        <v>0</v>
      </c>
      <c r="H1087" s="43" t="b">
        <v>1</v>
      </c>
      <c r="I1087" s="43"/>
      <c r="J1087" s="45" t="s">
        <v>1346</v>
      </c>
      <c r="K1087" s="46">
        <v>370015689062</v>
      </c>
      <c r="L1087" s="47">
        <v>990000434</v>
      </c>
      <c r="M1087" s="48"/>
      <c r="N1087" s="48"/>
      <c r="O1087" s="48"/>
      <c r="P1087" s="48"/>
      <c r="Q1087" s="49" t="s">
        <v>1346</v>
      </c>
      <c r="R1087" s="49">
        <v>17087060187</v>
      </c>
      <c r="S1087" s="49">
        <v>17087059867</v>
      </c>
      <c r="T1087" s="49" t="s">
        <v>186</v>
      </c>
      <c r="U1087" s="50" t="s">
        <v>1346</v>
      </c>
      <c r="V1087" s="50">
        <v>17091810748</v>
      </c>
      <c r="W1087" s="50">
        <v>17091812924</v>
      </c>
      <c r="X1087" s="50" t="s">
        <v>186</v>
      </c>
      <c r="Y1087" s="50"/>
      <c r="Z1087" s="51" t="s">
        <v>1346</v>
      </c>
      <c r="AA1087" s="51" t="s">
        <v>192</v>
      </c>
      <c r="AB1087" s="51">
        <v>34412</v>
      </c>
      <c r="AC1087" s="51">
        <v>40950</v>
      </c>
    </row>
    <row r="1088" spans="1:29" x14ac:dyDescent="0.25">
      <c r="A1088" s="25" t="s">
        <v>115</v>
      </c>
      <c r="B1088" t="b">
        <v>0</v>
      </c>
      <c r="C1088" s="43" t="s">
        <v>1347</v>
      </c>
      <c r="D1088" s="43">
        <v>370015689702</v>
      </c>
      <c r="E1088" s="43">
        <v>370015687526</v>
      </c>
      <c r="F1088" s="43" t="s">
        <v>132</v>
      </c>
      <c r="G1088" s="43" t="b">
        <v>0</v>
      </c>
      <c r="H1088" s="43" t="b">
        <v>1</v>
      </c>
      <c r="I1088" s="43"/>
      <c r="J1088" s="45" t="s">
        <v>1347</v>
      </c>
      <c r="K1088" s="46">
        <v>370015687526</v>
      </c>
      <c r="L1088" s="47">
        <v>990000432</v>
      </c>
      <c r="M1088" s="48"/>
      <c r="N1088" s="48"/>
      <c r="O1088" s="48"/>
      <c r="P1088" s="48"/>
      <c r="Q1088" s="49" t="s">
        <v>1347</v>
      </c>
      <c r="R1088" s="49">
        <v>17087059163</v>
      </c>
      <c r="S1088" s="49">
        <v>17087060059</v>
      </c>
      <c r="T1088" s="49" t="s">
        <v>132</v>
      </c>
      <c r="U1088" s="50" t="s">
        <v>1347</v>
      </c>
      <c r="V1088" s="50">
        <v>17091812796</v>
      </c>
      <c r="W1088" s="50">
        <v>17091810620</v>
      </c>
      <c r="X1088" s="50" t="s">
        <v>132</v>
      </c>
      <c r="Y1088" s="50"/>
      <c r="Z1088" s="51" t="s">
        <v>1347</v>
      </c>
      <c r="AA1088" s="51" t="s">
        <v>187</v>
      </c>
      <c r="AB1088" s="51">
        <v>1059</v>
      </c>
      <c r="AC1088" s="51">
        <v>1260</v>
      </c>
    </row>
    <row r="1089" spans="1:25" x14ac:dyDescent="0.25">
      <c r="A1089" s="25" t="b">
        <v>1</v>
      </c>
      <c r="B1089" t="b">
        <v>0</v>
      </c>
      <c r="C1089" s="43" t="s">
        <v>1348</v>
      </c>
      <c r="D1089" s="43">
        <v>372424055920</v>
      </c>
      <c r="E1089" s="43">
        <v>372424052848</v>
      </c>
      <c r="F1089" s="43" t="s">
        <v>173</v>
      </c>
      <c r="G1089" s="43" t="b">
        <v>0</v>
      </c>
      <c r="H1089" s="43" t="b">
        <v>0</v>
      </c>
      <c r="I1089" s="43"/>
      <c r="J1089" s="45" t="s">
        <v>1349</v>
      </c>
      <c r="K1089" s="46">
        <v>372424052848</v>
      </c>
      <c r="L1089" s="47">
        <v>990000226</v>
      </c>
      <c r="M1089" s="48"/>
      <c r="N1089" s="48"/>
      <c r="O1089" s="48"/>
      <c r="P1089" s="48"/>
      <c r="Q1089" s="49" t="s">
        <v>1348</v>
      </c>
      <c r="R1089" s="49">
        <v>17092211409</v>
      </c>
      <c r="S1089" s="49">
        <v>17092211025</v>
      </c>
      <c r="T1089" s="49" t="s">
        <v>173</v>
      </c>
      <c r="U1089" s="50" t="s">
        <v>1348</v>
      </c>
      <c r="V1089" s="50">
        <v>17094298671</v>
      </c>
      <c r="W1089" s="50">
        <v>17094295599</v>
      </c>
      <c r="X1089" s="50" t="s">
        <v>173</v>
      </c>
      <c r="Y1089" s="50"/>
    </row>
    <row r="1090" spans="1:25" x14ac:dyDescent="0.25">
      <c r="A1090" s="25" t="b">
        <v>1</v>
      </c>
      <c r="B1090" t="b">
        <v>0</v>
      </c>
      <c r="C1090" s="43" t="s">
        <v>1350</v>
      </c>
      <c r="D1090" s="43">
        <v>372424053360</v>
      </c>
      <c r="E1090" s="43">
        <v>372424055728</v>
      </c>
      <c r="F1090" s="43" t="s">
        <v>173</v>
      </c>
      <c r="G1090" s="43" t="b">
        <v>0</v>
      </c>
      <c r="H1090" s="43" t="b">
        <v>0</v>
      </c>
      <c r="I1090" s="43"/>
      <c r="J1090" s="45" t="s">
        <v>1351</v>
      </c>
      <c r="K1090" s="46">
        <v>372424055728</v>
      </c>
      <c r="L1090" s="47">
        <v>990000227</v>
      </c>
      <c r="M1090" s="48"/>
      <c r="N1090" s="48"/>
      <c r="O1090" s="48"/>
      <c r="P1090" s="48"/>
      <c r="Q1090" s="49" t="s">
        <v>1350</v>
      </c>
      <c r="R1090" s="49">
        <v>17092213969</v>
      </c>
      <c r="S1090" s="49">
        <v>17092212817</v>
      </c>
      <c r="T1090" s="49" t="s">
        <v>173</v>
      </c>
      <c r="U1090" s="50" t="s">
        <v>1350</v>
      </c>
      <c r="V1090" s="50">
        <v>17094296111</v>
      </c>
      <c r="W1090" s="50">
        <v>17094298575</v>
      </c>
      <c r="X1090" s="50" t="s">
        <v>173</v>
      </c>
      <c r="Y1090" s="50"/>
    </row>
    <row r="1091" spans="1:25" x14ac:dyDescent="0.25">
      <c r="A1091" s="25" t="s">
        <v>248</v>
      </c>
      <c r="B1091" t="b">
        <v>0</v>
      </c>
      <c r="C1091" s="43" t="s">
        <v>1352</v>
      </c>
      <c r="D1091" s="43">
        <v>372424055408</v>
      </c>
      <c r="E1091" s="43">
        <v>372424056496</v>
      </c>
      <c r="F1091" s="43" t="s">
        <v>173</v>
      </c>
      <c r="G1091" s="43" t="b">
        <v>0</v>
      </c>
      <c r="H1091" s="43" t="b">
        <v>0</v>
      </c>
      <c r="I1091" s="43"/>
      <c r="J1091" s="45" t="s">
        <v>1353</v>
      </c>
      <c r="K1091" s="46">
        <v>372424056496</v>
      </c>
      <c r="L1091" s="47">
        <v>990000228</v>
      </c>
      <c r="M1091" s="48"/>
      <c r="N1091" s="48"/>
      <c r="O1091" s="48"/>
      <c r="P1091" s="48"/>
      <c r="Q1091" s="49" t="s">
        <v>1352</v>
      </c>
      <c r="R1091" s="49">
        <v>17092211537</v>
      </c>
      <c r="S1091" s="49">
        <v>17092213393</v>
      </c>
      <c r="T1091" s="49" t="s">
        <v>173</v>
      </c>
      <c r="U1091" s="50" t="s">
        <v>1352</v>
      </c>
      <c r="V1091" s="50">
        <v>17094298159</v>
      </c>
      <c r="W1091" s="50">
        <v>17094299343</v>
      </c>
      <c r="X1091" s="50" t="s">
        <v>173</v>
      </c>
      <c r="Y1091" s="50"/>
    </row>
    <row r="1092" spans="1:25" x14ac:dyDescent="0.25">
      <c r="A1092" s="25" t="s">
        <v>248</v>
      </c>
      <c r="B1092" t="b">
        <v>0</v>
      </c>
      <c r="C1092" s="43" t="s">
        <v>1354</v>
      </c>
      <c r="D1092" s="43">
        <v>372424054384</v>
      </c>
      <c r="E1092" s="43">
        <v>372424054192</v>
      </c>
      <c r="F1092" s="43" t="s">
        <v>173</v>
      </c>
      <c r="G1092" s="43" t="b">
        <v>0</v>
      </c>
      <c r="H1092" s="43" t="b">
        <v>0</v>
      </c>
      <c r="I1092" s="43"/>
      <c r="J1092" s="45" t="s">
        <v>1355</v>
      </c>
      <c r="K1092" s="46">
        <v>372424054192</v>
      </c>
      <c r="L1092" s="47">
        <v>990000225</v>
      </c>
      <c r="M1092" s="48"/>
      <c r="N1092" s="48"/>
      <c r="O1092" s="48"/>
      <c r="P1092" s="48"/>
      <c r="Q1092" s="49" t="s">
        <v>1354</v>
      </c>
      <c r="R1092" s="49">
        <v>17092213585</v>
      </c>
      <c r="S1092" s="49">
        <v>17092211089</v>
      </c>
      <c r="T1092" s="49" t="s">
        <v>173</v>
      </c>
      <c r="U1092" s="50" t="s">
        <v>1354</v>
      </c>
      <c r="V1092" s="50">
        <v>17094297135</v>
      </c>
      <c r="W1092" s="50">
        <v>17094297039</v>
      </c>
      <c r="X1092" s="50" t="s">
        <v>173</v>
      </c>
      <c r="Y1092" s="50"/>
    </row>
    <row r="1093" spans="1:25" x14ac:dyDescent="0.25">
      <c r="A1093" s="25" t="s">
        <v>248</v>
      </c>
      <c r="B1093" t="b">
        <v>0</v>
      </c>
      <c r="C1093" s="43" t="s">
        <v>1356</v>
      </c>
      <c r="D1093" s="43">
        <v>372424056432</v>
      </c>
      <c r="E1093" s="43">
        <v>372424053552</v>
      </c>
      <c r="F1093" s="43" t="s">
        <v>173</v>
      </c>
      <c r="G1093" s="43" t="b">
        <v>0</v>
      </c>
      <c r="H1093" s="43" t="b">
        <v>0</v>
      </c>
      <c r="I1093" s="43"/>
      <c r="J1093" s="45" t="s">
        <v>1357</v>
      </c>
      <c r="K1093" s="46">
        <v>372424053552</v>
      </c>
      <c r="L1093" s="47">
        <v>990000223</v>
      </c>
      <c r="M1093" s="48"/>
      <c r="N1093" s="48"/>
      <c r="O1093" s="48"/>
      <c r="P1093" s="48"/>
      <c r="Q1093" s="49" t="s">
        <v>1356</v>
      </c>
      <c r="R1093" s="49">
        <v>17092212561</v>
      </c>
      <c r="S1093" s="49">
        <v>17092214161</v>
      </c>
      <c r="T1093" s="49" t="s">
        <v>173</v>
      </c>
      <c r="U1093" s="50" t="s">
        <v>1356</v>
      </c>
      <c r="V1093" s="50">
        <v>17094299183</v>
      </c>
      <c r="W1093" s="50">
        <v>17094296399</v>
      </c>
      <c r="X1093" s="50" t="s">
        <v>173</v>
      </c>
      <c r="Y1093" s="50"/>
    </row>
    <row r="1094" spans="1:25" x14ac:dyDescent="0.25">
      <c r="A1094" s="25" t="s">
        <v>248</v>
      </c>
      <c r="B1094" t="b">
        <v>0</v>
      </c>
      <c r="C1094" s="43" t="s">
        <v>1358</v>
      </c>
      <c r="D1094" s="43">
        <v>372424053104</v>
      </c>
      <c r="E1094" s="43">
        <v>372424056624</v>
      </c>
      <c r="F1094" s="43" t="s">
        <v>173</v>
      </c>
      <c r="G1094" s="43" t="b">
        <v>0</v>
      </c>
      <c r="H1094" s="43" t="b">
        <v>0</v>
      </c>
      <c r="I1094" s="43"/>
      <c r="J1094" s="45" t="s">
        <v>1359</v>
      </c>
      <c r="K1094" s="46">
        <v>372424056624</v>
      </c>
      <c r="L1094" s="47">
        <v>990000224</v>
      </c>
      <c r="M1094" s="48"/>
      <c r="N1094" s="48"/>
      <c r="O1094" s="48"/>
      <c r="P1094" s="48"/>
      <c r="Q1094" s="49" t="s">
        <v>1358</v>
      </c>
      <c r="R1094" s="49">
        <v>17092210897</v>
      </c>
      <c r="S1094" s="49">
        <v>17089108775</v>
      </c>
      <c r="T1094" s="49" t="s">
        <v>173</v>
      </c>
      <c r="U1094" s="50" t="s">
        <v>1358</v>
      </c>
      <c r="V1094" s="50">
        <v>17094295855</v>
      </c>
      <c r="W1094" s="50">
        <v>17094299471</v>
      </c>
      <c r="X1094" s="50" t="s">
        <v>173</v>
      </c>
      <c r="Y1094" s="50"/>
    </row>
    <row r="1095" spans="1:25" x14ac:dyDescent="0.25">
      <c r="A1095" s="25" t="s">
        <v>248</v>
      </c>
      <c r="B1095" t="b">
        <v>0</v>
      </c>
      <c r="C1095" s="43" t="s">
        <v>1360</v>
      </c>
      <c r="D1095" s="43">
        <v>372424055152</v>
      </c>
      <c r="E1095" s="43">
        <v>372424053424</v>
      </c>
      <c r="F1095" s="43" t="s">
        <v>173</v>
      </c>
      <c r="G1095" s="43" t="b">
        <v>0</v>
      </c>
      <c r="H1095" s="43" t="b">
        <v>0</v>
      </c>
      <c r="I1095" s="43"/>
      <c r="J1095" s="45" t="s">
        <v>1361</v>
      </c>
      <c r="K1095" s="46">
        <v>372424053424</v>
      </c>
      <c r="L1095" s="47">
        <v>990000222</v>
      </c>
      <c r="M1095" s="48"/>
      <c r="N1095" s="48"/>
      <c r="O1095" s="48"/>
      <c r="P1095" s="48"/>
      <c r="Q1095" s="49" t="s">
        <v>1360</v>
      </c>
      <c r="R1095" s="49">
        <v>17092212945</v>
      </c>
      <c r="S1095" s="49">
        <v>17092212625</v>
      </c>
      <c r="T1095" s="49" t="s">
        <v>173</v>
      </c>
      <c r="U1095" s="50" t="s">
        <v>1360</v>
      </c>
      <c r="V1095" s="50">
        <v>17094297903</v>
      </c>
      <c r="W1095" s="50">
        <v>17094296271</v>
      </c>
      <c r="X1095" s="50" t="s">
        <v>173</v>
      </c>
      <c r="Y1095" s="50"/>
    </row>
    <row r="1096" spans="1:25" x14ac:dyDescent="0.25">
      <c r="A1096" s="25" t="s">
        <v>115</v>
      </c>
      <c r="B1096" t="b">
        <v>1</v>
      </c>
      <c r="C1096" s="43" t="s">
        <v>1362</v>
      </c>
      <c r="D1096" s="43">
        <v>378251478407</v>
      </c>
      <c r="E1096" s="43">
        <v>378251479175</v>
      </c>
      <c r="F1096" s="43" t="s">
        <v>132</v>
      </c>
      <c r="G1096" s="43" t="b">
        <v>0</v>
      </c>
      <c r="H1096" s="43" t="b">
        <v>0</v>
      </c>
      <c r="I1096" s="43"/>
      <c r="J1096" s="45" t="s">
        <v>1362</v>
      </c>
      <c r="K1096" s="46">
        <v>378251479175</v>
      </c>
      <c r="L1096" s="47">
        <v>990000245</v>
      </c>
      <c r="M1096" s="48"/>
      <c r="N1096" s="48"/>
      <c r="O1096" s="48"/>
      <c r="P1096" s="48"/>
      <c r="Q1096" s="49" t="s">
        <v>1362</v>
      </c>
      <c r="R1096" s="49">
        <v>17091702623</v>
      </c>
      <c r="S1096" s="49">
        <v>17091700319</v>
      </c>
      <c r="T1096" s="49" t="s">
        <v>132</v>
      </c>
      <c r="U1096" s="50" t="s">
        <v>1362</v>
      </c>
      <c r="V1096" s="50">
        <v>17098062029</v>
      </c>
      <c r="W1096" s="50">
        <v>17098060109</v>
      </c>
      <c r="X1096" s="50" t="s">
        <v>132</v>
      </c>
      <c r="Y1096" s="50"/>
    </row>
    <row r="1097" spans="1:25" x14ac:dyDescent="0.25">
      <c r="A1097" s="25" t="s">
        <v>115</v>
      </c>
      <c r="B1097" t="b">
        <v>1</v>
      </c>
      <c r="C1097" s="43" t="s">
        <v>1363</v>
      </c>
      <c r="D1097" s="43">
        <v>378251480455</v>
      </c>
      <c r="E1097" s="43">
        <v>378251477639</v>
      </c>
      <c r="F1097" s="43" t="s">
        <v>186</v>
      </c>
      <c r="G1097" s="43" t="b">
        <v>0</v>
      </c>
      <c r="H1097" s="43" t="b">
        <v>0</v>
      </c>
      <c r="I1097" s="43"/>
      <c r="J1097" s="45" t="s">
        <v>1363</v>
      </c>
      <c r="K1097" s="46">
        <v>378251477639</v>
      </c>
      <c r="L1097" s="47">
        <v>990000244</v>
      </c>
      <c r="M1097" s="48"/>
      <c r="N1097" s="48"/>
      <c r="O1097" s="48"/>
      <c r="P1097" s="48"/>
      <c r="Q1097" s="49" t="s">
        <v>1363</v>
      </c>
      <c r="R1097" s="49">
        <v>17091698911</v>
      </c>
      <c r="S1097" s="49">
        <v>17091701087</v>
      </c>
      <c r="T1097" s="49" t="s">
        <v>186</v>
      </c>
      <c r="U1097" s="50" t="s">
        <v>1363</v>
      </c>
      <c r="V1097" s="50">
        <v>17098061005</v>
      </c>
      <c r="W1097" s="50">
        <v>17098063181</v>
      </c>
      <c r="X1097" s="50" t="s">
        <v>186</v>
      </c>
      <c r="Y1097" s="50"/>
    </row>
    <row r="1098" spans="1:25" x14ac:dyDescent="0.25">
      <c r="A1098" s="25" t="s">
        <v>115</v>
      </c>
      <c r="B1098" t="b">
        <v>1</v>
      </c>
      <c r="C1098" s="43" t="s">
        <v>1364</v>
      </c>
      <c r="D1098" s="43">
        <v>378251477895</v>
      </c>
      <c r="E1098" s="43">
        <v>378251480711</v>
      </c>
      <c r="F1098" s="43" t="s">
        <v>125</v>
      </c>
      <c r="G1098" s="43" t="b">
        <v>1</v>
      </c>
      <c r="H1098" s="43" t="b">
        <v>0</v>
      </c>
      <c r="I1098" s="43"/>
      <c r="M1098" s="48"/>
      <c r="N1098" s="48"/>
      <c r="O1098" s="48"/>
      <c r="P1098" s="48"/>
      <c r="Q1098" s="49" t="s">
        <v>1364</v>
      </c>
      <c r="R1098" s="49">
        <v>17091700959</v>
      </c>
      <c r="S1098" s="49">
        <v>17091699551</v>
      </c>
      <c r="T1098" s="49" t="s">
        <v>125</v>
      </c>
      <c r="U1098" s="50" t="s">
        <v>1364</v>
      </c>
      <c r="V1098" s="50">
        <v>17098063053</v>
      </c>
      <c r="W1098" s="50">
        <v>17098061645</v>
      </c>
      <c r="X1098" s="50" t="s">
        <v>125</v>
      </c>
      <c r="Y1098" s="50">
        <v>120394</v>
      </c>
    </row>
    <row r="1099" spans="1:25" x14ac:dyDescent="0.25">
      <c r="A1099" s="25" t="s">
        <v>115</v>
      </c>
      <c r="B1099" t="b">
        <v>1</v>
      </c>
      <c r="C1099" s="43" t="s">
        <v>1365</v>
      </c>
      <c r="D1099" s="43">
        <v>378313358804</v>
      </c>
      <c r="E1099" s="43">
        <v>378313355348</v>
      </c>
      <c r="F1099" s="43" t="s">
        <v>125</v>
      </c>
      <c r="G1099" s="43" t="b">
        <v>1</v>
      </c>
      <c r="H1099" s="43" t="b">
        <v>0</v>
      </c>
      <c r="I1099" s="43"/>
      <c r="M1099" s="48"/>
      <c r="N1099" s="48"/>
      <c r="O1099" s="48"/>
      <c r="P1099" s="48"/>
      <c r="Q1099" s="49" t="s">
        <v>1365</v>
      </c>
      <c r="R1099" s="49">
        <v>17091488094</v>
      </c>
      <c r="S1099" s="49">
        <v>17091487518</v>
      </c>
      <c r="T1099" s="49" t="s">
        <v>125</v>
      </c>
      <c r="U1099" s="50" t="s">
        <v>1365</v>
      </c>
      <c r="V1099" s="50">
        <v>17098471946</v>
      </c>
      <c r="W1099" s="50">
        <v>17098470770</v>
      </c>
      <c r="X1099" s="50" t="s">
        <v>125</v>
      </c>
      <c r="Y1099" s="50">
        <v>120391</v>
      </c>
    </row>
    <row r="1100" spans="1:25" x14ac:dyDescent="0.25">
      <c r="A1100" s="25" t="s">
        <v>115</v>
      </c>
      <c r="B1100" t="b">
        <v>1</v>
      </c>
      <c r="C1100" s="43" t="s">
        <v>1366</v>
      </c>
      <c r="D1100" s="43">
        <v>378313356244</v>
      </c>
      <c r="E1100" s="43">
        <v>378313358420</v>
      </c>
      <c r="F1100" s="43" t="s">
        <v>125</v>
      </c>
      <c r="G1100" s="43" t="b">
        <v>1</v>
      </c>
      <c r="H1100" s="43" t="b">
        <v>0</v>
      </c>
      <c r="I1100" s="43"/>
      <c r="M1100" s="48"/>
      <c r="N1100" s="48"/>
      <c r="O1100" s="48"/>
      <c r="P1100" s="48"/>
      <c r="Q1100" s="49" t="s">
        <v>1366</v>
      </c>
      <c r="R1100" s="49">
        <v>17091487070</v>
      </c>
      <c r="S1100" s="49">
        <v>17091487902</v>
      </c>
      <c r="T1100" s="49" t="s">
        <v>125</v>
      </c>
      <c r="U1100" s="50" t="s">
        <v>1366</v>
      </c>
      <c r="V1100" s="50">
        <v>17098470922</v>
      </c>
      <c r="W1100" s="50">
        <v>17098472306</v>
      </c>
      <c r="X1100" s="50" t="s">
        <v>125</v>
      </c>
      <c r="Y1100" s="50">
        <v>120392</v>
      </c>
    </row>
    <row r="1101" spans="1:25" x14ac:dyDescent="0.25">
      <c r="A1101" s="25" t="s">
        <v>115</v>
      </c>
      <c r="B1101" t="b">
        <v>0</v>
      </c>
      <c r="C1101" s="43" t="s">
        <v>1367</v>
      </c>
      <c r="D1101" s="43">
        <v>317519</v>
      </c>
      <c r="E1101" s="43">
        <v>301880</v>
      </c>
      <c r="F1101" s="43" t="s">
        <v>123</v>
      </c>
      <c r="G1101" s="43" t="b">
        <v>0</v>
      </c>
      <c r="H1101" s="43" t="b">
        <v>0</v>
      </c>
      <c r="I1101" s="43"/>
      <c r="M1101" s="48" t="s">
        <v>1368</v>
      </c>
      <c r="N1101" s="48">
        <v>17088572542</v>
      </c>
      <c r="O1101" s="48">
        <v>17088564095</v>
      </c>
      <c r="P1101" s="48" t="s">
        <v>123</v>
      </c>
      <c r="Q1101" s="49" t="s">
        <v>1368</v>
      </c>
      <c r="R1101" s="49">
        <v>17083127282</v>
      </c>
      <c r="S1101" s="49">
        <v>17083123692</v>
      </c>
      <c r="T1101" s="49" t="s">
        <v>123</v>
      </c>
      <c r="U1101" s="50" t="s">
        <v>1368</v>
      </c>
      <c r="V1101" s="50">
        <v>17083127282</v>
      </c>
      <c r="W1101" s="50">
        <v>17083123692</v>
      </c>
      <c r="X1101" s="50" t="s">
        <v>123</v>
      </c>
      <c r="Y1101" s="50"/>
    </row>
    <row r="1102" spans="1:25" x14ac:dyDescent="0.25">
      <c r="A1102" s="25" t="s">
        <v>115</v>
      </c>
      <c r="B1102" t="b">
        <v>0</v>
      </c>
      <c r="C1102" s="43" t="s">
        <v>1369</v>
      </c>
      <c r="D1102" s="43">
        <v>316495</v>
      </c>
      <c r="E1102" s="43">
        <v>302312</v>
      </c>
      <c r="F1102" s="43" t="s">
        <v>119</v>
      </c>
      <c r="G1102" s="43" t="b">
        <v>0</v>
      </c>
      <c r="H1102" s="43" t="b">
        <v>0</v>
      </c>
      <c r="I1102" s="43"/>
      <c r="M1102" s="48" t="s">
        <v>1369</v>
      </c>
      <c r="N1102" s="48">
        <v>17088569982</v>
      </c>
      <c r="O1102" s="48">
        <v>17088567680</v>
      </c>
      <c r="P1102" s="48" t="s">
        <v>119</v>
      </c>
      <c r="Q1102" s="49" t="s">
        <v>1369</v>
      </c>
      <c r="R1102" s="49">
        <v>17083129330</v>
      </c>
      <c r="S1102" s="49">
        <v>17083123036</v>
      </c>
      <c r="T1102" s="49" t="s">
        <v>119</v>
      </c>
      <c r="U1102" s="50" t="s">
        <v>1369</v>
      </c>
      <c r="V1102" s="50">
        <v>17083129330</v>
      </c>
      <c r="W1102" s="50">
        <v>17083123036</v>
      </c>
      <c r="X1102" s="50" t="s">
        <v>119</v>
      </c>
      <c r="Y1102" s="50"/>
    </row>
    <row r="1103" spans="1:25" x14ac:dyDescent="0.25">
      <c r="A1103" s="25" t="s">
        <v>115</v>
      </c>
      <c r="B1103" t="b">
        <v>0</v>
      </c>
      <c r="C1103" s="43" t="s">
        <v>1370</v>
      </c>
      <c r="D1103" s="43">
        <v>318543</v>
      </c>
      <c r="E1103" s="43">
        <v>302568</v>
      </c>
      <c r="F1103" s="43" t="s">
        <v>132</v>
      </c>
      <c r="G1103" s="43" t="b">
        <v>0</v>
      </c>
      <c r="H1103" s="43" t="b">
        <v>0</v>
      </c>
      <c r="I1103" s="43"/>
      <c r="M1103" s="48" t="s">
        <v>1370</v>
      </c>
      <c r="N1103" s="48">
        <v>17088570625</v>
      </c>
      <c r="O1103" s="48">
        <v>17088566912</v>
      </c>
      <c r="P1103" s="48" t="s">
        <v>132</v>
      </c>
      <c r="Q1103" s="49" t="s">
        <v>1370</v>
      </c>
      <c r="R1103" s="49">
        <v>17083126410</v>
      </c>
      <c r="S1103" s="49">
        <v>17083125340</v>
      </c>
      <c r="T1103" s="49" t="s">
        <v>132</v>
      </c>
      <c r="U1103" s="50" t="s">
        <v>1370</v>
      </c>
      <c r="V1103" s="50">
        <v>17083126410</v>
      </c>
      <c r="W1103" s="50">
        <v>17083125340</v>
      </c>
      <c r="X1103" s="50" t="s">
        <v>132</v>
      </c>
      <c r="Y1103" s="50"/>
    </row>
    <row r="1104" spans="1:25" x14ac:dyDescent="0.25">
      <c r="A1104" s="25" t="s">
        <v>115</v>
      </c>
      <c r="B1104" t="b">
        <v>0</v>
      </c>
      <c r="C1104" s="43" t="s">
        <v>1371</v>
      </c>
      <c r="D1104" s="43">
        <v>315983</v>
      </c>
      <c r="E1104" s="43">
        <v>300744</v>
      </c>
      <c r="F1104" s="43" t="s">
        <v>132</v>
      </c>
      <c r="G1104" s="43" t="b">
        <v>0</v>
      </c>
      <c r="H1104" s="43" t="b">
        <v>0</v>
      </c>
      <c r="I1104" s="43"/>
      <c r="M1104" s="48" t="s">
        <v>1371</v>
      </c>
      <c r="N1104" s="48">
        <v>17088572862</v>
      </c>
      <c r="O1104" s="48">
        <v>17088567360</v>
      </c>
      <c r="P1104" s="48" t="s">
        <v>132</v>
      </c>
      <c r="Q1104" s="49" t="s">
        <v>1371</v>
      </c>
      <c r="R1104" s="49">
        <v>17083126130</v>
      </c>
      <c r="S1104" s="49">
        <v>17083122908</v>
      </c>
      <c r="T1104" s="49" t="s">
        <v>132</v>
      </c>
      <c r="U1104" s="50" t="s">
        <v>1371</v>
      </c>
      <c r="V1104" s="50">
        <v>17083126130</v>
      </c>
      <c r="W1104" s="50">
        <v>17083122908</v>
      </c>
      <c r="X1104" s="50" t="s">
        <v>132</v>
      </c>
      <c r="Y1104" s="50"/>
    </row>
    <row r="1105" spans="1:25" x14ac:dyDescent="0.25">
      <c r="A1105" s="25" t="s">
        <v>115</v>
      </c>
      <c r="B1105" t="b">
        <v>0</v>
      </c>
      <c r="C1105" s="43" t="s">
        <v>1372</v>
      </c>
      <c r="D1105" s="43">
        <v>318031</v>
      </c>
      <c r="E1105" s="43">
        <v>291312</v>
      </c>
      <c r="F1105" s="43" t="s">
        <v>125</v>
      </c>
      <c r="G1105" s="43" t="b">
        <v>1</v>
      </c>
      <c r="H1105" s="43" t="b">
        <v>0</v>
      </c>
      <c r="I1105" s="43"/>
      <c r="M1105" s="48" t="s">
        <v>1372</v>
      </c>
      <c r="N1105" s="48">
        <v>17088569596</v>
      </c>
      <c r="O1105" s="48">
        <v>17088565978</v>
      </c>
      <c r="P1105" s="48" t="s">
        <v>125</v>
      </c>
      <c r="Q1105" s="49" t="s">
        <v>1372</v>
      </c>
      <c r="R1105" s="49">
        <v>17083129622</v>
      </c>
      <c r="S1105" s="49">
        <v>17083124913</v>
      </c>
      <c r="T1105" s="49" t="s">
        <v>125</v>
      </c>
      <c r="U1105" s="50" t="s">
        <v>1372</v>
      </c>
      <c r="V1105" s="50">
        <v>17083129622</v>
      </c>
      <c r="W1105" s="50">
        <v>17083124913</v>
      </c>
      <c r="X1105" s="50" t="s">
        <v>125</v>
      </c>
      <c r="Y1105" s="50">
        <v>110318</v>
      </c>
    </row>
    <row r="1106" spans="1:25" x14ac:dyDescent="0.25">
      <c r="A1106" s="25" t="s">
        <v>115</v>
      </c>
      <c r="B1106" t="b">
        <v>0</v>
      </c>
      <c r="C1106" s="43" t="s">
        <v>1373</v>
      </c>
      <c r="D1106" s="43">
        <v>317007</v>
      </c>
      <c r="E1106" s="43">
        <v>291120</v>
      </c>
      <c r="F1106" s="43" t="s">
        <v>119</v>
      </c>
      <c r="G1106" s="43" t="b">
        <v>0</v>
      </c>
      <c r="H1106" s="43" t="b">
        <v>0</v>
      </c>
      <c r="I1106" s="43"/>
      <c r="M1106" s="48" t="s">
        <v>1373</v>
      </c>
      <c r="N1106" s="48">
        <v>17088570748</v>
      </c>
      <c r="O1106" s="48">
        <v>17088565690</v>
      </c>
      <c r="P1106" s="48" t="s">
        <v>119</v>
      </c>
      <c r="Q1106" s="49" t="s">
        <v>1373</v>
      </c>
      <c r="R1106" s="49">
        <v>17083127062</v>
      </c>
      <c r="S1106" s="49">
        <v>17083125489</v>
      </c>
      <c r="T1106" s="49" t="s">
        <v>119</v>
      </c>
      <c r="U1106" s="50" t="s">
        <v>1373</v>
      </c>
      <c r="V1106" s="50">
        <v>17083127062</v>
      </c>
      <c r="W1106" s="50">
        <v>17083125489</v>
      </c>
      <c r="X1106" s="50" t="s">
        <v>119</v>
      </c>
      <c r="Y1106" s="50"/>
    </row>
    <row r="1107" spans="1:25" x14ac:dyDescent="0.25">
      <c r="A1107" s="25" t="s">
        <v>115</v>
      </c>
      <c r="B1107" t="b">
        <v>0</v>
      </c>
      <c r="C1107" s="43" t="s">
        <v>1374</v>
      </c>
      <c r="D1107" s="43">
        <v>319055</v>
      </c>
      <c r="E1107" s="43">
        <v>294768</v>
      </c>
      <c r="F1107" s="43" t="s">
        <v>125</v>
      </c>
      <c r="G1107" s="43" t="b">
        <v>0</v>
      </c>
      <c r="H1107" s="43" t="b">
        <v>0</v>
      </c>
      <c r="I1107" s="43"/>
      <c r="M1107" s="48" t="s">
        <v>1374</v>
      </c>
      <c r="N1107" s="48">
        <v>17088571772</v>
      </c>
      <c r="O1107" s="48">
        <v>17088568282</v>
      </c>
      <c r="P1107" s="48" t="s">
        <v>125</v>
      </c>
      <c r="Q1107" s="49" t="s">
        <v>1374</v>
      </c>
      <c r="R1107" s="49">
        <v>17083128086</v>
      </c>
      <c r="S1107" s="49">
        <v>17083122609</v>
      </c>
      <c r="T1107" s="49" t="s">
        <v>125</v>
      </c>
      <c r="U1107" s="50" t="s">
        <v>1374</v>
      </c>
      <c r="V1107" s="50">
        <v>17083128086</v>
      </c>
      <c r="W1107" s="50">
        <v>17083122609</v>
      </c>
      <c r="X1107" s="50" t="s">
        <v>125</v>
      </c>
      <c r="Y1107" s="50"/>
    </row>
    <row r="1108" spans="1:25" x14ac:dyDescent="0.25">
      <c r="A1108" s="25" t="s">
        <v>115</v>
      </c>
      <c r="B1108" t="b">
        <v>0</v>
      </c>
      <c r="C1108" s="43" t="s">
        <v>1375</v>
      </c>
      <c r="D1108" s="43">
        <v>315727</v>
      </c>
      <c r="E1108" s="43">
        <v>300600</v>
      </c>
      <c r="F1108" s="43" t="s">
        <v>123</v>
      </c>
      <c r="G1108" s="43" t="b">
        <v>0</v>
      </c>
      <c r="H1108" s="43" t="b">
        <v>0</v>
      </c>
      <c r="I1108" s="43"/>
      <c r="M1108" s="48" t="s">
        <v>1375</v>
      </c>
      <c r="N1108" s="48">
        <v>17088571262</v>
      </c>
      <c r="O1108" s="48">
        <v>17088564991</v>
      </c>
      <c r="P1108" s="48" t="s">
        <v>123</v>
      </c>
      <c r="Q1108" s="49" t="s">
        <v>1375</v>
      </c>
      <c r="R1108" s="49">
        <v>17083127794</v>
      </c>
      <c r="S1108" s="49">
        <v>17083121948</v>
      </c>
      <c r="T1108" s="49" t="s">
        <v>123</v>
      </c>
      <c r="U1108" s="50" t="s">
        <v>1375</v>
      </c>
      <c r="V1108" s="50">
        <v>17083127794</v>
      </c>
      <c r="W1108" s="50">
        <v>17083121948</v>
      </c>
      <c r="X1108" s="50" t="s">
        <v>123</v>
      </c>
      <c r="Y1108" s="50"/>
    </row>
    <row r="1109" spans="1:25" x14ac:dyDescent="0.25">
      <c r="A1109" s="25" t="s">
        <v>115</v>
      </c>
      <c r="B1109" t="b">
        <v>0</v>
      </c>
      <c r="C1109" s="43" t="s">
        <v>1376</v>
      </c>
      <c r="D1109" s="43">
        <v>317775</v>
      </c>
      <c r="E1109" s="43">
        <v>302120</v>
      </c>
      <c r="F1109" s="43" t="s">
        <v>117</v>
      </c>
      <c r="G1109" s="43" t="b">
        <v>0</v>
      </c>
      <c r="H1109" s="43" t="b">
        <v>0</v>
      </c>
      <c r="I1109" s="43"/>
      <c r="M1109" s="48" t="s">
        <v>1376</v>
      </c>
      <c r="N1109" s="48">
        <v>17088571649</v>
      </c>
      <c r="O1109" s="48">
        <v>17088567168</v>
      </c>
      <c r="P1109" s="48" t="s">
        <v>117</v>
      </c>
      <c r="Q1109" s="49" t="s">
        <v>1376</v>
      </c>
      <c r="R1109" s="49">
        <v>17083128970</v>
      </c>
      <c r="S1109" s="49">
        <v>17083125596</v>
      </c>
      <c r="T1109" s="49" t="s">
        <v>117</v>
      </c>
      <c r="U1109" s="50" t="s">
        <v>1376</v>
      </c>
      <c r="V1109" s="50">
        <v>17083128970</v>
      </c>
      <c r="W1109" s="50">
        <v>17083125596</v>
      </c>
      <c r="X1109" s="50" t="s">
        <v>117</v>
      </c>
      <c r="Y1109" s="50"/>
    </row>
    <row r="1110" spans="1:25" x14ac:dyDescent="0.25">
      <c r="A1110" s="25" t="s">
        <v>115</v>
      </c>
      <c r="B1110" t="b">
        <v>0</v>
      </c>
      <c r="C1110" s="43" t="s">
        <v>1377</v>
      </c>
      <c r="D1110" s="43">
        <v>316751</v>
      </c>
      <c r="E1110" s="43">
        <v>302984</v>
      </c>
      <c r="F1110" s="43" t="s">
        <v>123</v>
      </c>
      <c r="G1110" s="43" t="b">
        <v>0</v>
      </c>
      <c r="H1110" s="43" t="b">
        <v>0</v>
      </c>
      <c r="I1110" s="43" t="s">
        <v>126</v>
      </c>
      <c r="M1110" s="48" t="s">
        <v>1377</v>
      </c>
      <c r="N1110" s="48">
        <v>17088571532</v>
      </c>
      <c r="O1110" s="48">
        <v>17088567268</v>
      </c>
      <c r="P1110" s="48" t="s">
        <v>123</v>
      </c>
      <c r="Q1110" s="49" t="s">
        <v>1377</v>
      </c>
      <c r="R1110" s="49">
        <v>17083126778</v>
      </c>
      <c r="S1110" s="49">
        <v>17083123578</v>
      </c>
      <c r="T1110" s="49" t="s">
        <v>123</v>
      </c>
      <c r="U1110" s="50" t="s">
        <v>1377</v>
      </c>
      <c r="V1110" s="50">
        <v>17083126778</v>
      </c>
      <c r="W1110" s="50">
        <v>17083123578</v>
      </c>
      <c r="X1110" s="50" t="s">
        <v>123</v>
      </c>
      <c r="Y1110" s="50"/>
    </row>
    <row r="1111" spans="1:25" x14ac:dyDescent="0.25">
      <c r="A1111" s="25" t="s">
        <v>248</v>
      </c>
      <c r="B1111" t="b">
        <v>0</v>
      </c>
      <c r="C1111" s="43" t="s">
        <v>1378</v>
      </c>
      <c r="D1111" s="43">
        <v>318799</v>
      </c>
      <c r="E1111" s="43">
        <v>294000</v>
      </c>
      <c r="F1111" s="43" t="s">
        <v>173</v>
      </c>
      <c r="G1111" s="43" t="b">
        <v>0</v>
      </c>
      <c r="H1111" s="43" t="b">
        <v>0</v>
      </c>
      <c r="I1111" s="43"/>
      <c r="J1111" s="45" t="s">
        <v>1378</v>
      </c>
      <c r="K1111" s="46">
        <v>294000</v>
      </c>
      <c r="L1111" s="47">
        <v>990000404</v>
      </c>
      <c r="M1111" s="48" t="s">
        <v>1378</v>
      </c>
      <c r="N1111" s="48">
        <v>17088573308</v>
      </c>
      <c r="O1111" s="48">
        <v>17088568378</v>
      </c>
      <c r="P1111" s="48" t="s">
        <v>173</v>
      </c>
      <c r="Q1111" s="49" t="s">
        <v>1378</v>
      </c>
      <c r="R1111" s="49">
        <v>17083127574</v>
      </c>
      <c r="S1111" s="49">
        <v>17083122801</v>
      </c>
      <c r="T1111" s="49" t="s">
        <v>173</v>
      </c>
      <c r="U1111" s="50" t="s">
        <v>1378</v>
      </c>
      <c r="V1111" s="50">
        <v>17083127574</v>
      </c>
      <c r="W1111" s="50">
        <v>17083122801</v>
      </c>
      <c r="X1111" s="50" t="s">
        <v>173</v>
      </c>
      <c r="Y1111" s="50"/>
    </row>
    <row r="1112" spans="1:25" x14ac:dyDescent="0.25">
      <c r="A1112" s="25" t="s">
        <v>115</v>
      </c>
      <c r="B1112" t="b">
        <v>0</v>
      </c>
      <c r="C1112" s="43" t="s">
        <v>1379</v>
      </c>
      <c r="D1112" s="43">
        <v>316239</v>
      </c>
      <c r="E1112" s="43">
        <v>291976</v>
      </c>
      <c r="F1112" s="43" t="s">
        <v>125</v>
      </c>
      <c r="G1112" s="43" t="b">
        <v>0</v>
      </c>
      <c r="H1112" s="43" t="b">
        <v>0</v>
      </c>
      <c r="I1112" s="43" t="s">
        <v>126</v>
      </c>
      <c r="M1112" s="48" t="s">
        <v>1379</v>
      </c>
      <c r="N1112" s="48">
        <v>17088569724</v>
      </c>
      <c r="O1112" s="48">
        <v>17088566682</v>
      </c>
      <c r="P1112" s="48" t="s">
        <v>125</v>
      </c>
      <c r="Q1112" s="49" t="s">
        <v>1379</v>
      </c>
      <c r="R1112" s="49">
        <v>17083126038</v>
      </c>
      <c r="S1112" s="49">
        <v>17083124177</v>
      </c>
      <c r="T1112" s="49" t="s">
        <v>125</v>
      </c>
      <c r="U1112" s="50" t="s">
        <v>1379</v>
      </c>
      <c r="V1112" s="50">
        <v>17083126038</v>
      </c>
      <c r="W1112" s="50">
        <v>17083124177</v>
      </c>
      <c r="X1112" s="50" t="s">
        <v>125</v>
      </c>
      <c r="Y1112" s="50"/>
    </row>
    <row r="1113" spans="1:25" x14ac:dyDescent="0.25">
      <c r="A1113" s="25" t="s">
        <v>115</v>
      </c>
      <c r="B1113" t="b">
        <v>0</v>
      </c>
      <c r="C1113" s="43" t="s">
        <v>1368</v>
      </c>
      <c r="D1113" s="43">
        <v>318287</v>
      </c>
      <c r="E1113" s="43">
        <v>300216</v>
      </c>
      <c r="F1113" s="43" t="s">
        <v>123</v>
      </c>
      <c r="G1113" s="43" t="b">
        <v>0</v>
      </c>
      <c r="H1113" s="43" t="b">
        <v>0</v>
      </c>
      <c r="I1113" s="43"/>
      <c r="M1113" s="48" t="s">
        <v>1368</v>
      </c>
      <c r="N1113" s="48">
        <v>17088572542</v>
      </c>
      <c r="O1113" s="48">
        <v>17088564095</v>
      </c>
      <c r="P1113" s="48" t="s">
        <v>123</v>
      </c>
      <c r="Q1113" s="49" t="s">
        <v>1368</v>
      </c>
      <c r="R1113" s="49">
        <v>17083127282</v>
      </c>
      <c r="S1113" s="49">
        <v>17083123692</v>
      </c>
      <c r="T1113" s="49" t="s">
        <v>123</v>
      </c>
      <c r="U1113" s="50" t="s">
        <v>1368</v>
      </c>
      <c r="V1113" s="50">
        <v>17083127282</v>
      </c>
      <c r="W1113" s="50">
        <v>17083123692</v>
      </c>
      <c r="X1113" s="50" t="s">
        <v>123</v>
      </c>
      <c r="Y1113" s="50"/>
    </row>
    <row r="1114" spans="1:25" x14ac:dyDescent="0.25">
      <c r="A1114" s="25" t="s">
        <v>115</v>
      </c>
      <c r="B1114" t="b">
        <v>0</v>
      </c>
      <c r="C1114" s="43" t="s">
        <v>1380</v>
      </c>
      <c r="D1114" s="43">
        <v>317263</v>
      </c>
      <c r="E1114" s="43">
        <v>292080</v>
      </c>
      <c r="F1114" s="43" t="s">
        <v>125</v>
      </c>
      <c r="G1114" s="43" t="b">
        <v>1</v>
      </c>
      <c r="H1114" s="43" t="b">
        <v>0</v>
      </c>
      <c r="I1114" s="43"/>
      <c r="M1114" s="48" t="s">
        <v>1380</v>
      </c>
      <c r="N1114" s="48">
        <v>17088569852</v>
      </c>
      <c r="O1114" s="48">
        <v>17088566746</v>
      </c>
      <c r="P1114" s="48" t="s">
        <v>125</v>
      </c>
      <c r="Q1114" s="49" t="s">
        <v>1380</v>
      </c>
      <c r="R1114" s="49">
        <v>17083129750</v>
      </c>
      <c r="S1114" s="49">
        <v>17083124145</v>
      </c>
      <c r="T1114" s="49" t="s">
        <v>125</v>
      </c>
      <c r="U1114" s="50" t="s">
        <v>1380</v>
      </c>
      <c r="V1114" s="50">
        <v>17083129750</v>
      </c>
      <c r="W1114" s="50">
        <v>17083124145</v>
      </c>
      <c r="X1114" s="50" t="s">
        <v>125</v>
      </c>
      <c r="Y1114" s="50">
        <v>110312</v>
      </c>
    </row>
    <row r="1115" spans="1:25" x14ac:dyDescent="0.25">
      <c r="A1115" s="25" t="s">
        <v>115</v>
      </c>
      <c r="B1115" t="b">
        <v>0</v>
      </c>
      <c r="C1115" s="43" t="s">
        <v>1381</v>
      </c>
      <c r="D1115" s="43">
        <v>319311</v>
      </c>
      <c r="E1115" s="43">
        <v>293040</v>
      </c>
      <c r="F1115" s="43" t="s">
        <v>119</v>
      </c>
      <c r="G1115" s="43" t="b">
        <v>0</v>
      </c>
      <c r="H1115" s="43" t="b">
        <v>0</v>
      </c>
      <c r="I1115" s="43"/>
      <c r="M1115" s="48" t="s">
        <v>1381</v>
      </c>
      <c r="N1115" s="48">
        <v>17088570364</v>
      </c>
      <c r="O1115" s="48">
        <v>17088569146</v>
      </c>
      <c r="P1115" s="48" t="s">
        <v>119</v>
      </c>
      <c r="Q1115" s="49" t="s">
        <v>1381</v>
      </c>
      <c r="R1115" s="49">
        <v>17083126358</v>
      </c>
      <c r="S1115" s="49">
        <v>17083123569</v>
      </c>
      <c r="T1115" s="49" t="s">
        <v>119</v>
      </c>
      <c r="U1115" s="50" t="s">
        <v>1381</v>
      </c>
      <c r="V1115" s="50">
        <v>17083126358</v>
      </c>
      <c r="W1115" s="50">
        <v>17083123569</v>
      </c>
      <c r="X1115" s="50" t="s">
        <v>119</v>
      </c>
      <c r="Y1115" s="50"/>
    </row>
    <row r="1116" spans="1:25" x14ac:dyDescent="0.25">
      <c r="A1116" s="25" t="s">
        <v>115</v>
      </c>
      <c r="B1116" t="b">
        <v>0</v>
      </c>
      <c r="C1116" s="43" t="s">
        <v>1382</v>
      </c>
      <c r="D1116" s="43">
        <v>315599</v>
      </c>
      <c r="E1116" s="43">
        <v>294384</v>
      </c>
      <c r="F1116" s="43" t="s">
        <v>119</v>
      </c>
      <c r="G1116" s="43" t="b">
        <v>0</v>
      </c>
      <c r="H1116" s="43" t="b">
        <v>0</v>
      </c>
      <c r="I1116" s="43"/>
      <c r="M1116" s="48" t="s">
        <v>1382</v>
      </c>
      <c r="N1116" s="48">
        <v>17088571260</v>
      </c>
      <c r="O1116" s="48">
        <v>17088569178</v>
      </c>
      <c r="P1116" s="48" t="s">
        <v>119</v>
      </c>
      <c r="Q1116" s="49" t="s">
        <v>1382</v>
      </c>
      <c r="R1116" s="49">
        <v>17083128598</v>
      </c>
      <c r="S1116" s="49">
        <v>17083123505</v>
      </c>
      <c r="T1116" s="49" t="s">
        <v>119</v>
      </c>
      <c r="U1116" s="50" t="s">
        <v>1382</v>
      </c>
      <c r="V1116" s="50">
        <v>17083128598</v>
      </c>
      <c r="W1116" s="50">
        <v>17083123505</v>
      </c>
      <c r="X1116" s="50" t="s">
        <v>119</v>
      </c>
      <c r="Y1116" s="50"/>
    </row>
    <row r="1117" spans="1:25" x14ac:dyDescent="0.25">
      <c r="A1117" s="25" t="s">
        <v>115</v>
      </c>
      <c r="B1117" t="b">
        <v>0</v>
      </c>
      <c r="C1117" s="43" t="s">
        <v>1383</v>
      </c>
      <c r="D1117" s="43">
        <v>317647</v>
      </c>
      <c r="E1117" s="43">
        <v>303064</v>
      </c>
      <c r="F1117" s="43" t="s">
        <v>123</v>
      </c>
      <c r="G1117" s="43" t="b">
        <v>0</v>
      </c>
      <c r="H1117" s="43" t="b">
        <v>0</v>
      </c>
      <c r="I1117" s="43"/>
      <c r="M1117" s="48" t="s">
        <v>1383</v>
      </c>
      <c r="N1117" s="48">
        <v>17088573438</v>
      </c>
      <c r="O1117" s="48">
        <v>17088563199</v>
      </c>
      <c r="P1117" s="48" t="s">
        <v>123</v>
      </c>
      <c r="Q1117" s="49" t="s">
        <v>1383</v>
      </c>
      <c r="R1117" s="49">
        <v>17083128074</v>
      </c>
      <c r="S1117" s="49">
        <v>17083125532</v>
      </c>
      <c r="T1117" s="49" t="s">
        <v>123</v>
      </c>
      <c r="U1117" s="50" t="s">
        <v>1383</v>
      </c>
      <c r="V1117" s="50">
        <v>17083128074</v>
      </c>
      <c r="W1117" s="50">
        <v>17083125532</v>
      </c>
      <c r="X1117" s="50" t="s">
        <v>123</v>
      </c>
      <c r="Y1117" s="50"/>
    </row>
    <row r="1118" spans="1:25" x14ac:dyDescent="0.25">
      <c r="A1118" s="25" t="s">
        <v>115</v>
      </c>
      <c r="B1118" t="b">
        <v>0</v>
      </c>
      <c r="C1118" s="43" t="s">
        <v>1384</v>
      </c>
      <c r="D1118" s="43">
        <v>316623</v>
      </c>
      <c r="E1118" s="43">
        <v>301080</v>
      </c>
      <c r="F1118" s="43" t="s">
        <v>132</v>
      </c>
      <c r="G1118" s="43" t="b">
        <v>0</v>
      </c>
      <c r="H1118" s="43" t="b">
        <v>0</v>
      </c>
      <c r="I1118" s="43"/>
      <c r="M1118" s="48" t="s">
        <v>1384</v>
      </c>
      <c r="N1118" s="48">
        <v>17088571326</v>
      </c>
      <c r="O1118" s="48">
        <v>17088565376</v>
      </c>
      <c r="P1118" s="48" t="s">
        <v>132</v>
      </c>
      <c r="Q1118" s="49" t="s">
        <v>1384</v>
      </c>
      <c r="R1118" s="49">
        <v>17083128690</v>
      </c>
      <c r="S1118" s="49">
        <v>17083123804</v>
      </c>
      <c r="T1118" s="49" t="s">
        <v>132</v>
      </c>
      <c r="U1118" s="50" t="s">
        <v>1384</v>
      </c>
      <c r="V1118" s="50">
        <v>17083128690</v>
      </c>
      <c r="W1118" s="50">
        <v>17083123804</v>
      </c>
      <c r="X1118" s="50" t="s">
        <v>132</v>
      </c>
      <c r="Y1118" s="50"/>
    </row>
    <row r="1119" spans="1:25" x14ac:dyDescent="0.25">
      <c r="A1119" s="25" t="s">
        <v>115</v>
      </c>
      <c r="B1119" t="b">
        <v>0</v>
      </c>
      <c r="C1119" s="43" t="s">
        <v>1385</v>
      </c>
      <c r="D1119" s="43">
        <v>318671</v>
      </c>
      <c r="E1119" s="43">
        <v>299544</v>
      </c>
      <c r="F1119" s="43" t="s">
        <v>119</v>
      </c>
      <c r="G1119" s="43" t="b">
        <v>0</v>
      </c>
      <c r="H1119" s="43" t="b">
        <v>0</v>
      </c>
      <c r="I1119" s="43"/>
      <c r="M1119" s="48" t="s">
        <v>1385</v>
      </c>
      <c r="N1119" s="48">
        <v>17088570494</v>
      </c>
      <c r="O1119" s="48">
        <v>17088568576</v>
      </c>
      <c r="P1119" s="48" t="s">
        <v>119</v>
      </c>
      <c r="Q1119" s="49" t="s">
        <v>1385</v>
      </c>
      <c r="R1119" s="49">
        <v>17083128306</v>
      </c>
      <c r="S1119" s="49">
        <v>17083122588</v>
      </c>
      <c r="T1119" s="49" t="s">
        <v>119</v>
      </c>
      <c r="U1119" s="50" t="s">
        <v>1385</v>
      </c>
      <c r="V1119" s="50">
        <v>17083128306</v>
      </c>
      <c r="W1119" s="50">
        <v>17083122588</v>
      </c>
      <c r="X1119" s="50" t="s">
        <v>119</v>
      </c>
      <c r="Y1119" s="50"/>
    </row>
    <row r="1120" spans="1:25" x14ac:dyDescent="0.25">
      <c r="A1120" s="25" t="s">
        <v>115</v>
      </c>
      <c r="B1120" t="b">
        <v>0</v>
      </c>
      <c r="C1120" s="43" t="s">
        <v>1386</v>
      </c>
      <c r="D1120" s="43">
        <v>316111</v>
      </c>
      <c r="E1120" s="43">
        <v>299864</v>
      </c>
      <c r="F1120" s="43" t="s">
        <v>125</v>
      </c>
      <c r="G1120" s="43" t="b">
        <v>1</v>
      </c>
      <c r="H1120" s="43" t="b">
        <v>0</v>
      </c>
      <c r="I1120" s="43" t="s">
        <v>126</v>
      </c>
      <c r="M1120" s="48" t="s">
        <v>1386</v>
      </c>
      <c r="N1120" s="48">
        <v>17088573182</v>
      </c>
      <c r="O1120" s="48">
        <v>17088565504</v>
      </c>
      <c r="P1120" s="48" t="s">
        <v>125</v>
      </c>
      <c r="Q1120" s="49" t="s">
        <v>1386</v>
      </c>
      <c r="R1120" s="49">
        <v>17083128330</v>
      </c>
      <c r="S1120" s="49">
        <v>17083124124</v>
      </c>
      <c r="T1120" s="49" t="s">
        <v>125</v>
      </c>
      <c r="U1120" s="50" t="s">
        <v>1386</v>
      </c>
      <c r="V1120" s="50">
        <v>17083128330</v>
      </c>
      <c r="W1120" s="50">
        <v>17083124124</v>
      </c>
      <c r="X1120" s="50" t="s">
        <v>125</v>
      </c>
      <c r="Y1120" s="50">
        <v>120348</v>
      </c>
    </row>
    <row r="1121" spans="1:25" x14ac:dyDescent="0.25">
      <c r="A1121" s="25" t="s">
        <v>115</v>
      </c>
      <c r="B1121" t="b">
        <v>0</v>
      </c>
      <c r="C1121" s="43" t="s">
        <v>1387</v>
      </c>
      <c r="D1121" s="43">
        <v>318159</v>
      </c>
      <c r="E1121" s="43">
        <v>292104</v>
      </c>
      <c r="F1121" s="43" t="s">
        <v>119</v>
      </c>
      <c r="G1121" s="43" t="b">
        <v>0</v>
      </c>
      <c r="H1121" s="43" t="b">
        <v>0</v>
      </c>
      <c r="I1121" s="43"/>
      <c r="M1121" s="48" t="s">
        <v>1387</v>
      </c>
      <c r="N1121" s="48">
        <v>17088572924</v>
      </c>
      <c r="O1121" s="48">
        <v>17088565338</v>
      </c>
      <c r="P1121" s="48" t="s">
        <v>119</v>
      </c>
      <c r="Q1121" s="49" t="s">
        <v>1387</v>
      </c>
      <c r="R1121" s="49">
        <v>17083128918</v>
      </c>
      <c r="S1121" s="49">
        <v>17083125713</v>
      </c>
      <c r="T1121" s="49" t="s">
        <v>119</v>
      </c>
      <c r="U1121" s="50" t="s">
        <v>1387</v>
      </c>
      <c r="V1121" s="50">
        <v>17083128918</v>
      </c>
      <c r="W1121" s="50">
        <v>17083125713</v>
      </c>
      <c r="X1121" s="50" t="s">
        <v>119</v>
      </c>
      <c r="Y1121" s="50"/>
    </row>
    <row r="1122" spans="1:25" x14ac:dyDescent="0.25">
      <c r="A1122" s="25" t="s">
        <v>115</v>
      </c>
      <c r="B1122" t="b">
        <v>0</v>
      </c>
      <c r="C1122" s="43" t="s">
        <v>1388</v>
      </c>
      <c r="D1122" s="43">
        <v>317135</v>
      </c>
      <c r="E1122" s="43">
        <v>301032</v>
      </c>
      <c r="F1122" s="43" t="s">
        <v>132</v>
      </c>
      <c r="G1122" s="43" t="b">
        <v>0</v>
      </c>
      <c r="H1122" s="43" t="b">
        <v>0</v>
      </c>
      <c r="I1122" s="43"/>
      <c r="M1122" s="48" t="s">
        <v>1388</v>
      </c>
      <c r="N1122" s="48">
        <v>17088569601</v>
      </c>
      <c r="O1122" s="48">
        <v>17088568448</v>
      </c>
      <c r="P1122" s="48" t="s">
        <v>132</v>
      </c>
      <c r="Q1122" s="49" t="s">
        <v>1388</v>
      </c>
      <c r="R1122" s="49">
        <v>17083126922</v>
      </c>
      <c r="S1122" s="49">
        <v>17083122268</v>
      </c>
      <c r="T1122" s="49" t="s">
        <v>132</v>
      </c>
      <c r="U1122" s="50" t="s">
        <v>1388</v>
      </c>
      <c r="V1122" s="50">
        <v>17083126922</v>
      </c>
      <c r="W1122" s="50">
        <v>17083122268</v>
      </c>
      <c r="X1122" s="50" t="s">
        <v>132</v>
      </c>
      <c r="Y1122" s="50"/>
    </row>
    <row r="1123" spans="1:25" x14ac:dyDescent="0.25">
      <c r="A1123" s="25" t="s">
        <v>115</v>
      </c>
      <c r="B1123" t="b">
        <v>0</v>
      </c>
      <c r="C1123" s="43" t="s">
        <v>1389</v>
      </c>
      <c r="D1123" s="43">
        <v>319183</v>
      </c>
      <c r="E1123" s="43">
        <v>293328</v>
      </c>
      <c r="F1123" s="43" t="s">
        <v>119</v>
      </c>
      <c r="G1123" s="43" t="b">
        <v>0</v>
      </c>
      <c r="H1123" s="43" t="b">
        <v>0</v>
      </c>
      <c r="I1123" s="43"/>
      <c r="J1123" s="45" t="s">
        <v>1389</v>
      </c>
      <c r="K1123" s="46">
        <v>293328</v>
      </c>
      <c r="L1123" s="47">
        <v>990000676</v>
      </c>
      <c r="M1123" s="48" t="s">
        <v>1389</v>
      </c>
      <c r="N1123" s="48">
        <v>17088570876</v>
      </c>
      <c r="O1123" s="48">
        <v>17088567418</v>
      </c>
      <c r="P1123" s="48" t="s">
        <v>119</v>
      </c>
      <c r="Q1123" s="49" t="s">
        <v>1389</v>
      </c>
      <c r="R1123" s="49">
        <v>17083126870</v>
      </c>
      <c r="S1123" s="49">
        <v>17083121673</v>
      </c>
      <c r="T1123" s="49" t="s">
        <v>119</v>
      </c>
      <c r="U1123" s="50" t="s">
        <v>1389</v>
      </c>
      <c r="V1123" s="50">
        <v>17083126870</v>
      </c>
      <c r="W1123" s="50">
        <v>17083121673</v>
      </c>
      <c r="X1123" s="50" t="s">
        <v>119</v>
      </c>
      <c r="Y1123" s="50"/>
    </row>
    <row r="1124" spans="1:25" x14ac:dyDescent="0.25">
      <c r="A1124" s="25" t="s">
        <v>115</v>
      </c>
      <c r="B1124" t="b">
        <v>0</v>
      </c>
      <c r="C1124" s="43" t="s">
        <v>1390</v>
      </c>
      <c r="D1124" s="43">
        <v>315855</v>
      </c>
      <c r="E1124" s="43">
        <v>292424</v>
      </c>
      <c r="F1124" s="43" t="s">
        <v>125</v>
      </c>
      <c r="G1124" s="43" t="b">
        <v>0</v>
      </c>
      <c r="H1124" s="43" t="b">
        <v>0</v>
      </c>
      <c r="I1124" s="43"/>
      <c r="M1124" s="48" t="s">
        <v>1390</v>
      </c>
      <c r="N1124" s="48">
        <v>17088571516</v>
      </c>
      <c r="O1124" s="48">
        <v>17088565402</v>
      </c>
      <c r="P1124" s="48" t="s">
        <v>125</v>
      </c>
      <c r="Q1124" s="49" t="s">
        <v>1390</v>
      </c>
      <c r="R1124" s="49">
        <v>17083127894</v>
      </c>
      <c r="S1124" s="49">
        <v>17083125585</v>
      </c>
      <c r="T1124" s="49" t="s">
        <v>125</v>
      </c>
      <c r="U1124" s="50" t="s">
        <v>1390</v>
      </c>
      <c r="V1124" s="50">
        <v>17083127894</v>
      </c>
      <c r="W1124" s="50">
        <v>17083125585</v>
      </c>
      <c r="X1124" s="50" t="s">
        <v>125</v>
      </c>
      <c r="Y1124" s="50"/>
    </row>
    <row r="1125" spans="1:25" x14ac:dyDescent="0.25">
      <c r="A1125" s="25" t="s">
        <v>115</v>
      </c>
      <c r="B1125" t="b">
        <v>0</v>
      </c>
      <c r="C1125" s="43" t="s">
        <v>1391</v>
      </c>
      <c r="D1125" s="43">
        <v>317903</v>
      </c>
      <c r="E1125" s="43">
        <v>292272</v>
      </c>
      <c r="F1125" s="43" t="s">
        <v>119</v>
      </c>
      <c r="G1125" s="43" t="b">
        <v>0</v>
      </c>
      <c r="H1125" s="43" t="b">
        <v>0</v>
      </c>
      <c r="I1125" s="43"/>
      <c r="M1125" s="48" t="s">
        <v>1391</v>
      </c>
      <c r="N1125" s="48">
        <v>17088573052</v>
      </c>
      <c r="O1125" s="48">
        <v>17088566842</v>
      </c>
      <c r="P1125" s="48" t="s">
        <v>119</v>
      </c>
      <c r="Q1125" s="49" t="s">
        <v>1391</v>
      </c>
      <c r="R1125" s="49">
        <v>17083129366</v>
      </c>
      <c r="S1125" s="49">
        <v>17083124337</v>
      </c>
      <c r="T1125" s="49" t="s">
        <v>119</v>
      </c>
      <c r="U1125" s="50" t="s">
        <v>1391</v>
      </c>
      <c r="V1125" s="50">
        <v>17083129366</v>
      </c>
      <c r="W1125" s="50">
        <v>17083124337</v>
      </c>
      <c r="X1125" s="50" t="s">
        <v>119</v>
      </c>
      <c r="Y1125" s="50"/>
    </row>
    <row r="1126" spans="1:25" x14ac:dyDescent="0.25">
      <c r="A1126" s="25" t="s">
        <v>115</v>
      </c>
      <c r="B1126" t="b">
        <v>0</v>
      </c>
      <c r="C1126" s="43" t="s">
        <v>1392</v>
      </c>
      <c r="D1126" s="43">
        <v>316879</v>
      </c>
      <c r="E1126" s="43">
        <v>300248</v>
      </c>
      <c r="F1126" s="43" t="s">
        <v>125</v>
      </c>
      <c r="G1126" s="43" t="b">
        <v>1</v>
      </c>
      <c r="H1126" s="43" t="b">
        <v>0</v>
      </c>
      <c r="I1126" s="43" t="s">
        <v>126</v>
      </c>
      <c r="M1126" s="48" t="s">
        <v>1392</v>
      </c>
      <c r="N1126" s="48">
        <v>17088570814</v>
      </c>
      <c r="O1126" s="48">
        <v>17088567808</v>
      </c>
      <c r="P1126" s="48" t="s">
        <v>125</v>
      </c>
      <c r="Q1126" s="49" t="s">
        <v>1392</v>
      </c>
      <c r="R1126" s="49">
        <v>17083129458</v>
      </c>
      <c r="S1126" s="49">
        <v>17083123356</v>
      </c>
      <c r="T1126" s="49" t="s">
        <v>125</v>
      </c>
      <c r="U1126" s="50" t="s">
        <v>1392</v>
      </c>
      <c r="V1126" s="50">
        <v>17083129458</v>
      </c>
      <c r="W1126" s="50">
        <v>17083123356</v>
      </c>
      <c r="X1126" s="50" t="s">
        <v>125</v>
      </c>
      <c r="Y1126" s="50">
        <v>120349</v>
      </c>
    </row>
    <row r="1127" spans="1:25" x14ac:dyDescent="0.25">
      <c r="A1127" s="25" t="s">
        <v>115</v>
      </c>
      <c r="B1127" t="b">
        <v>0</v>
      </c>
      <c r="C1127" s="43" t="s">
        <v>1393</v>
      </c>
      <c r="D1127" s="43">
        <v>318927</v>
      </c>
      <c r="E1127" s="43">
        <v>290824</v>
      </c>
      <c r="F1127" s="43" t="s">
        <v>119</v>
      </c>
      <c r="G1127" s="43" t="b">
        <v>0</v>
      </c>
      <c r="H1127" s="43" t="b">
        <v>0</v>
      </c>
      <c r="I1127" s="43"/>
      <c r="M1127" s="48" t="s">
        <v>1393</v>
      </c>
      <c r="N1127" s="48">
        <v>17088571004</v>
      </c>
      <c r="O1127" s="48">
        <v>17088566618</v>
      </c>
      <c r="P1127" s="48" t="s">
        <v>119</v>
      </c>
      <c r="Q1127" s="49" t="s">
        <v>1393</v>
      </c>
      <c r="R1127" s="49">
        <v>17083127318</v>
      </c>
      <c r="S1127" s="49">
        <v>17083124017</v>
      </c>
      <c r="T1127" s="49" t="s">
        <v>119</v>
      </c>
      <c r="U1127" s="50" t="s">
        <v>1393</v>
      </c>
      <c r="V1127" s="50">
        <v>17083127318</v>
      </c>
      <c r="W1127" s="50">
        <v>17083124017</v>
      </c>
      <c r="X1127" s="50" t="s">
        <v>119</v>
      </c>
      <c r="Y1127" s="50"/>
    </row>
    <row r="1128" spans="1:25" x14ac:dyDescent="0.25">
      <c r="A1128" s="25" t="s">
        <v>115</v>
      </c>
      <c r="B1128" t="b">
        <v>0</v>
      </c>
      <c r="C1128" s="43" t="s">
        <v>1394</v>
      </c>
      <c r="D1128" s="43">
        <v>316367</v>
      </c>
      <c r="E1128" s="43">
        <v>293384</v>
      </c>
      <c r="F1128" s="43" t="s">
        <v>119</v>
      </c>
      <c r="G1128" s="43" t="b">
        <v>0</v>
      </c>
      <c r="H1128" s="43" t="b">
        <v>0</v>
      </c>
      <c r="I1128" s="43"/>
      <c r="M1128" s="48" t="s">
        <v>1394</v>
      </c>
      <c r="N1128" s="48">
        <v>17088570108</v>
      </c>
      <c r="O1128" s="48">
        <v>17088567898</v>
      </c>
      <c r="P1128" s="48" t="s">
        <v>119</v>
      </c>
      <c r="Q1128" s="49" t="s">
        <v>1394</v>
      </c>
      <c r="R1128" s="49">
        <v>17083127446</v>
      </c>
      <c r="S1128" s="49">
        <v>17083122225</v>
      </c>
      <c r="T1128" s="49" t="s">
        <v>119</v>
      </c>
      <c r="U1128" s="50" t="s">
        <v>1394</v>
      </c>
      <c r="V1128" s="50">
        <v>17083127446</v>
      </c>
      <c r="W1128" s="50">
        <v>17083122225</v>
      </c>
      <c r="X1128" s="50" t="s">
        <v>119</v>
      </c>
      <c r="Y1128" s="50"/>
    </row>
    <row r="1129" spans="1:25" x14ac:dyDescent="0.25">
      <c r="A1129" s="25" t="s">
        <v>248</v>
      </c>
      <c r="B1129" t="b">
        <v>0</v>
      </c>
      <c r="C1129" s="43" t="s">
        <v>1395</v>
      </c>
      <c r="D1129" s="43">
        <v>318415</v>
      </c>
      <c r="E1129" s="43">
        <v>292464</v>
      </c>
      <c r="F1129" s="43" t="s">
        <v>173</v>
      </c>
      <c r="G1129" s="43" t="b">
        <v>0</v>
      </c>
      <c r="H1129" s="43" t="b">
        <v>0</v>
      </c>
      <c r="I1129" s="43"/>
      <c r="J1129" s="45" t="s">
        <v>1395</v>
      </c>
      <c r="K1129" s="46">
        <v>292464</v>
      </c>
      <c r="L1129" s="47">
        <v>990000410</v>
      </c>
      <c r="M1129" s="48" t="s">
        <v>1395</v>
      </c>
      <c r="N1129" s="48">
        <v>17088571394</v>
      </c>
      <c r="O1129" s="48">
        <v>17088565306</v>
      </c>
      <c r="P1129" s="48" t="s">
        <v>173</v>
      </c>
      <c r="Q1129" s="49" t="s">
        <v>1395</v>
      </c>
      <c r="R1129" s="49">
        <v>17083128150</v>
      </c>
      <c r="S1129" s="49">
        <v>17083125681</v>
      </c>
      <c r="T1129" s="49" t="s">
        <v>173</v>
      </c>
      <c r="U1129" s="50" t="s">
        <v>1395</v>
      </c>
      <c r="V1129" s="50">
        <v>17083128150</v>
      </c>
      <c r="W1129" s="50">
        <v>17083125681</v>
      </c>
      <c r="X1129" s="50" t="s">
        <v>173</v>
      </c>
      <c r="Y1129" s="50"/>
    </row>
    <row r="1130" spans="1:25" x14ac:dyDescent="0.25">
      <c r="A1130" s="25" t="s">
        <v>115</v>
      </c>
      <c r="B1130" t="b">
        <v>1</v>
      </c>
      <c r="C1130" s="43" t="s">
        <v>1396</v>
      </c>
      <c r="D1130" s="43">
        <v>319439</v>
      </c>
      <c r="E1130" s="43">
        <v>293616</v>
      </c>
      <c r="F1130" s="43" t="s">
        <v>125</v>
      </c>
      <c r="G1130" s="43" t="b">
        <v>1</v>
      </c>
      <c r="H1130" s="43" t="b">
        <v>0</v>
      </c>
      <c r="I1130" s="43"/>
      <c r="M1130" s="48" t="s">
        <v>1396</v>
      </c>
      <c r="N1130" s="48">
        <v>17088572284</v>
      </c>
      <c r="O1130" s="48">
        <v>17088569050</v>
      </c>
      <c r="P1130" s="48" t="s">
        <v>125</v>
      </c>
      <c r="Q1130" s="49" t="s">
        <v>1396</v>
      </c>
      <c r="R1130" s="49">
        <v>17083126550</v>
      </c>
      <c r="S1130" s="49">
        <v>17083123377</v>
      </c>
      <c r="T1130" s="49" t="s">
        <v>125</v>
      </c>
      <c r="U1130" s="50" t="s">
        <v>1396</v>
      </c>
      <c r="V1130" s="50">
        <v>17083126550</v>
      </c>
      <c r="W1130" s="50">
        <v>17083123377</v>
      </c>
      <c r="X1130" s="50" t="s">
        <v>125</v>
      </c>
      <c r="Y1130" s="50">
        <v>110315</v>
      </c>
    </row>
    <row r="1131" spans="1:25" x14ac:dyDescent="0.25">
      <c r="A1131" s="25" t="s">
        <v>115</v>
      </c>
      <c r="B1131" t="b">
        <v>0</v>
      </c>
      <c r="C1131" s="43" t="s">
        <v>1397</v>
      </c>
      <c r="D1131" s="43">
        <v>315439</v>
      </c>
      <c r="E1131" s="43">
        <v>294664</v>
      </c>
      <c r="F1131" s="43" t="s">
        <v>186</v>
      </c>
      <c r="G1131" s="43" t="b">
        <v>0</v>
      </c>
      <c r="H1131" s="43" t="b">
        <v>0</v>
      </c>
      <c r="I1131" s="43"/>
      <c r="M1131" s="48" t="s">
        <v>1397</v>
      </c>
      <c r="N1131" s="48">
        <v>17088569346</v>
      </c>
      <c r="O1131" s="48">
        <v>17088568218</v>
      </c>
      <c r="P1131" s="48" t="s">
        <v>186</v>
      </c>
      <c r="Q1131" s="49" t="s">
        <v>1397</v>
      </c>
      <c r="R1131" s="49">
        <v>17083126102</v>
      </c>
      <c r="S1131" s="49">
        <v>17083122641</v>
      </c>
      <c r="T1131" s="49" t="s">
        <v>186</v>
      </c>
      <c r="U1131" s="50" t="s">
        <v>1397</v>
      </c>
      <c r="V1131" s="50">
        <v>17083126102</v>
      </c>
      <c r="W1131" s="50">
        <v>17083122641</v>
      </c>
      <c r="X1131" s="50" t="s">
        <v>186</v>
      </c>
      <c r="Y1131" s="50"/>
    </row>
    <row r="1132" spans="1:25" x14ac:dyDescent="0.25">
      <c r="A1132" s="25" t="s">
        <v>115</v>
      </c>
      <c r="B1132" t="b">
        <v>0</v>
      </c>
      <c r="C1132" s="43" t="s">
        <v>1398</v>
      </c>
      <c r="D1132" s="43">
        <v>317487</v>
      </c>
      <c r="E1132" s="43">
        <v>300484</v>
      </c>
      <c r="F1132" s="43" t="s">
        <v>132</v>
      </c>
      <c r="G1132" s="43" t="b">
        <v>0</v>
      </c>
      <c r="H1132" s="43" t="b">
        <v>0</v>
      </c>
      <c r="I1132" s="43"/>
      <c r="M1132" s="48" t="s">
        <v>1398</v>
      </c>
      <c r="N1132" s="48">
        <v>17088569665</v>
      </c>
      <c r="O1132" s="48">
        <v>17088568840</v>
      </c>
      <c r="P1132" s="48" t="s">
        <v>132</v>
      </c>
      <c r="Q1132" s="49" t="s">
        <v>1398</v>
      </c>
      <c r="R1132" s="49">
        <v>17083127114</v>
      </c>
      <c r="S1132" s="49">
        <v>17083124706</v>
      </c>
      <c r="T1132" s="49" t="s">
        <v>132</v>
      </c>
      <c r="U1132" s="50" t="s">
        <v>1398</v>
      </c>
      <c r="V1132" s="50">
        <v>17083127114</v>
      </c>
      <c r="W1132" s="50">
        <v>17083124706</v>
      </c>
      <c r="X1132" s="50" t="s">
        <v>132</v>
      </c>
      <c r="Y1132" s="50"/>
    </row>
    <row r="1133" spans="1:25" x14ac:dyDescent="0.25">
      <c r="A1133" s="25" t="s">
        <v>115</v>
      </c>
      <c r="B1133" t="b">
        <v>0</v>
      </c>
      <c r="C1133" s="43" t="s">
        <v>1399</v>
      </c>
      <c r="D1133" s="43">
        <v>316463</v>
      </c>
      <c r="E1133" s="43">
        <v>302376</v>
      </c>
      <c r="F1133" s="43" t="s">
        <v>119</v>
      </c>
      <c r="G1133" s="43" t="b">
        <v>0</v>
      </c>
      <c r="H1133" s="43" t="b">
        <v>0</v>
      </c>
      <c r="I1133" s="43"/>
      <c r="M1133" s="48" t="s">
        <v>1399</v>
      </c>
      <c r="N1133" s="48">
        <v>17088572460</v>
      </c>
      <c r="O1133" s="48">
        <v>17088569196</v>
      </c>
      <c r="P1133" s="48" t="s">
        <v>119</v>
      </c>
      <c r="Q1133" s="49" t="s">
        <v>1399</v>
      </c>
      <c r="R1133" s="49">
        <v>17083125830</v>
      </c>
      <c r="S1133" s="49">
        <v>17083123542</v>
      </c>
      <c r="T1133" s="49" t="s">
        <v>119</v>
      </c>
      <c r="U1133" s="50" t="s">
        <v>1399</v>
      </c>
      <c r="V1133" s="50">
        <v>17083125830</v>
      </c>
      <c r="W1133" s="50">
        <v>17083123542</v>
      </c>
      <c r="X1133" s="50" t="s">
        <v>119</v>
      </c>
      <c r="Y1133" s="50"/>
    </row>
    <row r="1134" spans="1:25" x14ac:dyDescent="0.25">
      <c r="A1134" s="25" t="s">
        <v>115</v>
      </c>
      <c r="B1134" t="b">
        <v>0</v>
      </c>
      <c r="C1134" s="43" t="s">
        <v>1400</v>
      </c>
      <c r="D1134" s="43">
        <v>318511</v>
      </c>
      <c r="E1134" s="43">
        <v>299504</v>
      </c>
      <c r="F1134" s="43" t="s">
        <v>125</v>
      </c>
      <c r="G1134" s="43" t="b">
        <v>0</v>
      </c>
      <c r="H1134" s="43" t="b">
        <v>0</v>
      </c>
      <c r="I1134" s="43"/>
      <c r="M1134" s="48" t="s">
        <v>1400</v>
      </c>
      <c r="N1134" s="48">
        <v>17088569666</v>
      </c>
      <c r="O1134" s="48">
        <v>17088565350</v>
      </c>
      <c r="P1134" s="48" t="s">
        <v>125</v>
      </c>
      <c r="Q1134" s="49" t="s">
        <v>1400</v>
      </c>
      <c r="R1134" s="49">
        <v>17083129654</v>
      </c>
      <c r="S1134" s="49">
        <v>17083124841</v>
      </c>
      <c r="T1134" s="49" t="s">
        <v>125</v>
      </c>
      <c r="U1134" s="50" t="s">
        <v>1400</v>
      </c>
      <c r="V1134" s="50">
        <v>17083129654</v>
      </c>
      <c r="W1134" s="50">
        <v>17083124841</v>
      </c>
      <c r="X1134" s="50" t="s">
        <v>125</v>
      </c>
      <c r="Y1134" s="50"/>
    </row>
    <row r="1135" spans="1:25" x14ac:dyDescent="0.25">
      <c r="A1135" s="25" t="s">
        <v>115</v>
      </c>
      <c r="B1135" t="b">
        <v>0</v>
      </c>
      <c r="C1135" s="43" t="s">
        <v>1401</v>
      </c>
      <c r="D1135" s="43">
        <v>315951</v>
      </c>
      <c r="E1135" s="43">
        <v>294728</v>
      </c>
      <c r="F1135" s="43" t="s">
        <v>132</v>
      </c>
      <c r="G1135" s="43" t="b">
        <v>0</v>
      </c>
      <c r="H1135" s="43" t="b">
        <v>0</v>
      </c>
      <c r="I1135" s="43"/>
      <c r="M1135" s="48" t="s">
        <v>1401</v>
      </c>
      <c r="N1135" s="48">
        <v>17088570242</v>
      </c>
      <c r="O1135" s="48">
        <v>17088567894</v>
      </c>
      <c r="P1135" s="48" t="s">
        <v>132</v>
      </c>
      <c r="Q1135" s="49" t="s">
        <v>1401</v>
      </c>
      <c r="R1135" s="49">
        <v>17083129814</v>
      </c>
      <c r="S1135" s="49">
        <v>17083122009</v>
      </c>
      <c r="T1135" s="49" t="s">
        <v>132</v>
      </c>
      <c r="U1135" s="50" t="s">
        <v>1401</v>
      </c>
      <c r="V1135" s="50">
        <v>17083129814</v>
      </c>
      <c r="W1135" s="50">
        <v>17083122009</v>
      </c>
      <c r="X1135" s="50" t="s">
        <v>132</v>
      </c>
      <c r="Y1135" s="50"/>
    </row>
    <row r="1136" spans="1:25" x14ac:dyDescent="0.25">
      <c r="A1136" s="25" t="s">
        <v>115</v>
      </c>
      <c r="B1136" t="b">
        <v>0</v>
      </c>
      <c r="C1136" s="43" t="s">
        <v>1402</v>
      </c>
      <c r="D1136" s="43">
        <v>317999</v>
      </c>
      <c r="E1136" s="43">
        <v>299300</v>
      </c>
      <c r="F1136" s="43" t="s">
        <v>125</v>
      </c>
      <c r="G1136" s="43" t="b">
        <v>0</v>
      </c>
      <c r="H1136" s="43" t="b">
        <v>0</v>
      </c>
      <c r="I1136" s="43" t="s">
        <v>126</v>
      </c>
      <c r="M1136" s="48" t="s">
        <v>1402</v>
      </c>
      <c r="N1136" s="48">
        <v>17088569729</v>
      </c>
      <c r="O1136" s="48">
        <v>17088567304</v>
      </c>
      <c r="P1136" s="48" t="s">
        <v>125</v>
      </c>
      <c r="Q1136" s="49" t="s">
        <v>1402</v>
      </c>
      <c r="R1136" s="49">
        <v>17083129738</v>
      </c>
      <c r="S1136" s="49">
        <v>17083125474</v>
      </c>
      <c r="T1136" s="49" t="s">
        <v>125</v>
      </c>
      <c r="U1136" s="50" t="s">
        <v>1402</v>
      </c>
      <c r="V1136" s="50">
        <v>17083129738</v>
      </c>
      <c r="W1136" s="50">
        <v>17083125474</v>
      </c>
      <c r="X1136" s="50" t="s">
        <v>125</v>
      </c>
      <c r="Y1136" s="50"/>
    </row>
    <row r="1137" spans="1:25" x14ac:dyDescent="0.25">
      <c r="A1137" s="25" t="s">
        <v>115</v>
      </c>
      <c r="B1137" t="b">
        <v>0</v>
      </c>
      <c r="C1137" s="43" t="s">
        <v>1403</v>
      </c>
      <c r="D1137" s="43">
        <v>316975</v>
      </c>
      <c r="E1137" s="43">
        <v>301512</v>
      </c>
      <c r="F1137" s="43" t="s">
        <v>117</v>
      </c>
      <c r="G1137" s="43" t="b">
        <v>0</v>
      </c>
      <c r="H1137" s="43" t="b">
        <v>0</v>
      </c>
      <c r="I1137" s="43"/>
      <c r="M1137" s="48" t="s">
        <v>1403</v>
      </c>
      <c r="N1137" s="48">
        <v>17088570412</v>
      </c>
      <c r="O1137" s="48">
        <v>17088569068</v>
      </c>
      <c r="P1137" s="48" t="s">
        <v>117</v>
      </c>
      <c r="Q1137" s="49" t="s">
        <v>1403</v>
      </c>
      <c r="R1137" s="49">
        <v>17083129734</v>
      </c>
      <c r="S1137" s="49">
        <v>17083123414</v>
      </c>
      <c r="T1137" s="49" t="s">
        <v>117</v>
      </c>
      <c r="U1137" s="50" t="s">
        <v>1403</v>
      </c>
      <c r="V1137" s="50">
        <v>17083129734</v>
      </c>
      <c r="W1137" s="50">
        <v>17083123414</v>
      </c>
      <c r="X1137" s="50" t="s">
        <v>117</v>
      </c>
      <c r="Y1137" s="50"/>
    </row>
    <row r="1138" spans="1:25" x14ac:dyDescent="0.25">
      <c r="A1138" s="25" t="s">
        <v>115</v>
      </c>
      <c r="B1138" t="b">
        <v>0</v>
      </c>
      <c r="C1138" s="43" t="s">
        <v>1404</v>
      </c>
      <c r="D1138" s="43">
        <v>319023</v>
      </c>
      <c r="E1138" s="43">
        <v>300272</v>
      </c>
      <c r="F1138" s="43" t="s">
        <v>125</v>
      </c>
      <c r="G1138" s="43" t="b">
        <v>0</v>
      </c>
      <c r="H1138" s="43" t="b">
        <v>0</v>
      </c>
      <c r="I1138" s="43"/>
      <c r="M1138" s="48" t="s">
        <v>1404</v>
      </c>
      <c r="N1138" s="48">
        <v>17088571138</v>
      </c>
      <c r="O1138" s="48">
        <v>17088566886</v>
      </c>
      <c r="P1138" s="48" t="s">
        <v>125</v>
      </c>
      <c r="Q1138" s="49" t="s">
        <v>1404</v>
      </c>
      <c r="R1138" s="49">
        <v>17083129046</v>
      </c>
      <c r="S1138" s="49">
        <v>17083124073</v>
      </c>
      <c r="T1138" s="49" t="s">
        <v>125</v>
      </c>
      <c r="U1138" s="50" t="s">
        <v>1404</v>
      </c>
      <c r="V1138" s="50">
        <v>17083129046</v>
      </c>
      <c r="W1138" s="50">
        <v>17083124073</v>
      </c>
      <c r="X1138" s="50" t="s">
        <v>125</v>
      </c>
      <c r="Y1138" s="50"/>
    </row>
    <row r="1139" spans="1:25" x14ac:dyDescent="0.25">
      <c r="A1139" s="25" t="s">
        <v>115</v>
      </c>
      <c r="B1139" t="b">
        <v>0</v>
      </c>
      <c r="C1139" s="43" t="s">
        <v>1405</v>
      </c>
      <c r="D1139" s="43">
        <v>315695</v>
      </c>
      <c r="E1139" s="43">
        <v>301424</v>
      </c>
      <c r="F1139" s="43" t="s">
        <v>125</v>
      </c>
      <c r="G1139" s="43" t="b">
        <v>1</v>
      </c>
      <c r="H1139" s="43" t="b">
        <v>0</v>
      </c>
      <c r="I1139" s="43"/>
      <c r="M1139" s="48" t="s">
        <v>1405</v>
      </c>
      <c r="N1139" s="48">
        <v>17088572034</v>
      </c>
      <c r="O1139" s="48">
        <v>17088569190</v>
      </c>
      <c r="P1139" s="48" t="s">
        <v>125</v>
      </c>
      <c r="Q1139" s="49" t="s">
        <v>1405</v>
      </c>
      <c r="R1139" s="49">
        <v>17083126742</v>
      </c>
      <c r="S1139" s="49">
        <v>17083122921</v>
      </c>
      <c r="T1139" s="49" t="s">
        <v>125</v>
      </c>
      <c r="U1139" s="50" t="s">
        <v>1405</v>
      </c>
      <c r="V1139" s="50">
        <v>17083126742</v>
      </c>
      <c r="W1139" s="50">
        <v>17083122921</v>
      </c>
      <c r="X1139" s="50" t="s">
        <v>125</v>
      </c>
      <c r="Y1139" s="50">
        <v>110321</v>
      </c>
    </row>
    <row r="1140" spans="1:25" x14ac:dyDescent="0.25">
      <c r="A1140" s="25" t="s">
        <v>115</v>
      </c>
      <c r="B1140" t="b">
        <v>0</v>
      </c>
      <c r="C1140" s="43" t="s">
        <v>1406</v>
      </c>
      <c r="D1140" s="43">
        <v>317743</v>
      </c>
      <c r="E1140" s="43">
        <v>293576</v>
      </c>
      <c r="F1140" s="43" t="s">
        <v>119</v>
      </c>
      <c r="G1140" s="43" t="b">
        <v>0</v>
      </c>
      <c r="H1140" s="43" t="b">
        <v>0</v>
      </c>
      <c r="I1140" s="43"/>
      <c r="M1140" s="48" t="s">
        <v>1406</v>
      </c>
      <c r="N1140" s="48">
        <v>17088569602</v>
      </c>
      <c r="O1140" s="48">
        <v>17088568214</v>
      </c>
      <c r="P1140" s="48" t="s">
        <v>119</v>
      </c>
      <c r="Q1140" s="49" t="s">
        <v>1406</v>
      </c>
      <c r="R1140" s="49">
        <v>17083128662</v>
      </c>
      <c r="S1140" s="49">
        <v>17083121753</v>
      </c>
      <c r="T1140" s="49" t="s">
        <v>119</v>
      </c>
      <c r="U1140" s="50" t="s">
        <v>1406</v>
      </c>
      <c r="V1140" s="50">
        <v>17083128662</v>
      </c>
      <c r="W1140" s="50">
        <v>17083121753</v>
      </c>
      <c r="X1140" s="50" t="s">
        <v>119</v>
      </c>
      <c r="Y1140" s="50"/>
    </row>
    <row r="1141" spans="1:25" x14ac:dyDescent="0.25">
      <c r="A1141" s="25" t="s">
        <v>115</v>
      </c>
      <c r="B1141" t="b">
        <v>0</v>
      </c>
      <c r="C1141" s="43" t="s">
        <v>1407</v>
      </c>
      <c r="D1141" s="43">
        <v>316719</v>
      </c>
      <c r="E1141" s="43">
        <v>291096</v>
      </c>
      <c r="F1141" s="43" t="s">
        <v>119</v>
      </c>
      <c r="G1141" s="43" t="b">
        <v>0</v>
      </c>
      <c r="H1141" s="43" t="b">
        <v>0</v>
      </c>
      <c r="I1141" s="43"/>
      <c r="M1141" s="48" t="s">
        <v>1407</v>
      </c>
      <c r="N1141" s="48">
        <v>17088572994</v>
      </c>
      <c r="O1141" s="48">
        <v>17088567574</v>
      </c>
      <c r="P1141" s="48" t="s">
        <v>119</v>
      </c>
      <c r="Q1141" s="49" t="s">
        <v>1407</v>
      </c>
      <c r="R1141" s="49">
        <v>17083127606</v>
      </c>
      <c r="S1141" s="49">
        <v>17083122457</v>
      </c>
      <c r="T1141" s="49" t="s">
        <v>119</v>
      </c>
      <c r="U1141" s="50" t="s">
        <v>1407</v>
      </c>
      <c r="V1141" s="50">
        <v>17083127606</v>
      </c>
      <c r="W1141" s="50">
        <v>17083122457</v>
      </c>
      <c r="X1141" s="50" t="s">
        <v>119</v>
      </c>
      <c r="Y1141" s="50"/>
    </row>
    <row r="1142" spans="1:25" x14ac:dyDescent="0.25">
      <c r="A1142" s="25" t="s">
        <v>115</v>
      </c>
      <c r="B1142" t="b">
        <v>0</v>
      </c>
      <c r="C1142" s="43" t="s">
        <v>1408</v>
      </c>
      <c r="D1142" s="43">
        <v>318767</v>
      </c>
      <c r="E1142" s="43">
        <v>301040</v>
      </c>
      <c r="F1142" s="43" t="s">
        <v>125</v>
      </c>
      <c r="G1142" s="43" t="b">
        <v>1</v>
      </c>
      <c r="H1142" s="43" t="b">
        <v>0</v>
      </c>
      <c r="I1142" s="43" t="s">
        <v>126</v>
      </c>
      <c r="M1142" s="48" t="s">
        <v>1408</v>
      </c>
      <c r="N1142" s="48">
        <v>17088570946</v>
      </c>
      <c r="O1142" s="48">
        <v>17088565670</v>
      </c>
      <c r="P1142" s="48" t="s">
        <v>125</v>
      </c>
      <c r="Q1142" s="49" t="s">
        <v>1408</v>
      </c>
      <c r="R1142" s="49">
        <v>17083128630</v>
      </c>
      <c r="S1142" s="49">
        <v>17083125161</v>
      </c>
      <c r="T1142" s="49" t="s">
        <v>125</v>
      </c>
      <c r="U1142" s="50" t="s">
        <v>1408</v>
      </c>
      <c r="V1142" s="50">
        <v>17083128630</v>
      </c>
      <c r="W1142" s="50">
        <v>17083125161</v>
      </c>
      <c r="X1142" s="50" t="s">
        <v>125</v>
      </c>
      <c r="Y1142" s="50">
        <v>120482</v>
      </c>
    </row>
    <row r="1143" spans="1:25" x14ac:dyDescent="0.25">
      <c r="A1143" s="25" t="s">
        <v>115</v>
      </c>
      <c r="B1143" t="b">
        <v>0</v>
      </c>
      <c r="C1143" s="43" t="s">
        <v>1409</v>
      </c>
      <c r="D1143" s="43">
        <v>316207</v>
      </c>
      <c r="E1143" s="43">
        <v>301732</v>
      </c>
      <c r="F1143" s="43" t="s">
        <v>142</v>
      </c>
      <c r="G1143" s="43" t="b">
        <v>0</v>
      </c>
      <c r="H1143" s="43" t="b">
        <v>0</v>
      </c>
      <c r="I1143" s="43"/>
      <c r="M1143" s="48" t="s">
        <v>1409</v>
      </c>
      <c r="N1143" s="48">
        <v>17088571969</v>
      </c>
      <c r="O1143" s="48">
        <v>17088565256</v>
      </c>
      <c r="P1143" s="48" t="s">
        <v>142</v>
      </c>
      <c r="Q1143" s="49" t="s">
        <v>1409</v>
      </c>
      <c r="R1143" s="49">
        <v>17083129418</v>
      </c>
      <c r="S1143" s="49">
        <v>17083123426</v>
      </c>
      <c r="T1143" s="49" t="s">
        <v>142</v>
      </c>
      <c r="U1143" s="50" t="s">
        <v>1409</v>
      </c>
      <c r="V1143" s="50">
        <v>17083129418</v>
      </c>
      <c r="W1143" s="50">
        <v>17083123426</v>
      </c>
      <c r="X1143" s="50" t="s">
        <v>142</v>
      </c>
      <c r="Y1143" s="50"/>
    </row>
    <row r="1144" spans="1:25" x14ac:dyDescent="0.25">
      <c r="A1144" s="25" t="s">
        <v>115</v>
      </c>
      <c r="B1144" t="b">
        <v>0</v>
      </c>
      <c r="C1144" s="43" t="s">
        <v>1410</v>
      </c>
      <c r="D1144" s="43">
        <v>322792</v>
      </c>
      <c r="E1144" s="43">
        <v>300549</v>
      </c>
      <c r="F1144" s="43" t="s">
        <v>123</v>
      </c>
      <c r="G1144" s="43" t="b">
        <v>0</v>
      </c>
      <c r="H1144" s="43" t="b">
        <v>0</v>
      </c>
      <c r="I1144" s="43"/>
      <c r="M1144" s="48" t="s">
        <v>1410</v>
      </c>
      <c r="N1144" s="48">
        <v>17088571306</v>
      </c>
      <c r="O1144" s="48">
        <v>17088566507</v>
      </c>
      <c r="P1144" s="48" t="s">
        <v>123</v>
      </c>
      <c r="Q1144" s="49" t="s">
        <v>1410</v>
      </c>
      <c r="R1144" s="49">
        <v>17083129854</v>
      </c>
      <c r="S1144" s="49">
        <v>17083122031</v>
      </c>
      <c r="T1144" s="49" t="s">
        <v>123</v>
      </c>
      <c r="U1144" s="50" t="s">
        <v>1410</v>
      </c>
      <c r="V1144" s="50">
        <v>17083129854</v>
      </c>
      <c r="W1144" s="50">
        <v>17083122031</v>
      </c>
      <c r="X1144" s="50" t="s">
        <v>123</v>
      </c>
      <c r="Y1144" s="50"/>
    </row>
    <row r="1145" spans="1:25" x14ac:dyDescent="0.25">
      <c r="A1145" s="25" t="s">
        <v>115</v>
      </c>
      <c r="B1145" t="b">
        <v>0</v>
      </c>
      <c r="C1145" s="43" t="s">
        <v>1411</v>
      </c>
      <c r="D1145" s="43">
        <v>320232</v>
      </c>
      <c r="E1145" s="43">
        <v>300837</v>
      </c>
      <c r="F1145" s="43" t="s">
        <v>383</v>
      </c>
      <c r="G1145" s="43" t="b">
        <v>0</v>
      </c>
      <c r="H1145" s="43" t="b">
        <v>0</v>
      </c>
      <c r="I1145" s="43"/>
      <c r="J1145" s="45" t="s">
        <v>1411</v>
      </c>
      <c r="K1145" s="46">
        <v>300837</v>
      </c>
      <c r="L1145" s="47">
        <v>990000671</v>
      </c>
      <c r="M1145" s="48" t="s">
        <v>1411</v>
      </c>
      <c r="N1145" s="48">
        <v>17088573034</v>
      </c>
      <c r="O1145" s="48">
        <v>17088565291</v>
      </c>
      <c r="P1145" s="48" t="s">
        <v>383</v>
      </c>
      <c r="Q1145" s="49" t="s">
        <v>1411</v>
      </c>
      <c r="R1145" s="49">
        <v>17083129345</v>
      </c>
      <c r="S1145" s="49">
        <v>17083125455</v>
      </c>
      <c r="T1145" s="49" t="s">
        <v>383</v>
      </c>
      <c r="U1145" s="50" t="s">
        <v>1411</v>
      </c>
      <c r="V1145" s="50">
        <v>17083129345</v>
      </c>
      <c r="W1145" s="50">
        <v>17083125455</v>
      </c>
      <c r="X1145" s="50" t="s">
        <v>383</v>
      </c>
      <c r="Y1145" s="50"/>
    </row>
    <row r="1146" spans="1:25" x14ac:dyDescent="0.25">
      <c r="A1146" s="25" t="s">
        <v>115</v>
      </c>
      <c r="B1146" t="b">
        <v>0</v>
      </c>
      <c r="C1146" s="43" t="s">
        <v>1412</v>
      </c>
      <c r="D1146" s="43">
        <v>322280</v>
      </c>
      <c r="E1146" s="43">
        <v>302057</v>
      </c>
      <c r="F1146" s="43" t="s">
        <v>132</v>
      </c>
      <c r="G1146" s="43" t="b">
        <v>0</v>
      </c>
      <c r="H1146" s="43" t="b">
        <v>0</v>
      </c>
      <c r="I1146" s="43"/>
      <c r="M1146" s="48" t="s">
        <v>1412</v>
      </c>
      <c r="N1146" s="48">
        <v>17088572902</v>
      </c>
      <c r="O1146" s="48">
        <v>17088572800</v>
      </c>
      <c r="P1146" s="48" t="s">
        <v>132</v>
      </c>
      <c r="Q1146" s="49" t="s">
        <v>1412</v>
      </c>
      <c r="R1146" s="49">
        <v>17083129097</v>
      </c>
      <c r="S1146" s="49">
        <v>17083127588</v>
      </c>
      <c r="T1146" s="49" t="s">
        <v>132</v>
      </c>
      <c r="U1146" s="50" t="s">
        <v>1412</v>
      </c>
      <c r="V1146" s="50">
        <v>17083129097</v>
      </c>
      <c r="W1146" s="50">
        <v>17083127588</v>
      </c>
      <c r="X1146" s="50" t="s">
        <v>132</v>
      </c>
      <c r="Y1146" s="50"/>
    </row>
    <row r="1147" spans="1:25" x14ac:dyDescent="0.25">
      <c r="A1147" s="25" t="b">
        <v>1</v>
      </c>
      <c r="B1147" t="b">
        <v>0</v>
      </c>
      <c r="C1147" s="43" t="s">
        <v>1413</v>
      </c>
      <c r="D1147" s="43">
        <v>321256</v>
      </c>
      <c r="E1147" s="43">
        <v>300105</v>
      </c>
      <c r="F1147" s="43" t="s">
        <v>173</v>
      </c>
      <c r="G1147" s="43" t="b">
        <v>0</v>
      </c>
      <c r="H1147" s="43" t="b">
        <v>0</v>
      </c>
      <c r="I1147" s="43"/>
      <c r="J1147" s="45" t="s">
        <v>1413</v>
      </c>
      <c r="K1147" s="46">
        <v>300105</v>
      </c>
      <c r="M1147" s="48" t="s">
        <v>1413</v>
      </c>
      <c r="N1147" s="48">
        <v>17088571422</v>
      </c>
      <c r="O1147" s="48">
        <v>17088559420</v>
      </c>
      <c r="P1147" s="48" t="s">
        <v>173</v>
      </c>
      <c r="Q1147" s="49" t="s">
        <v>1413</v>
      </c>
      <c r="R1147" s="49">
        <v>17083126137</v>
      </c>
      <c r="S1147" s="49">
        <v>17083089530</v>
      </c>
      <c r="T1147" s="49" t="s">
        <v>173</v>
      </c>
      <c r="U1147" s="50" t="s">
        <v>1413</v>
      </c>
      <c r="V1147" s="50">
        <v>17083126137</v>
      </c>
      <c r="W1147" s="50">
        <v>17083089530</v>
      </c>
      <c r="X1147" s="50" t="s">
        <v>173</v>
      </c>
      <c r="Y1147" s="50"/>
    </row>
    <row r="1148" spans="1:25" x14ac:dyDescent="0.25">
      <c r="A1148" s="25" t="s">
        <v>115</v>
      </c>
      <c r="B1148" t="b">
        <v>0</v>
      </c>
      <c r="C1148" s="43" t="s">
        <v>1414</v>
      </c>
      <c r="D1148" s="43">
        <v>323304</v>
      </c>
      <c r="E1148" s="43">
        <v>301609</v>
      </c>
      <c r="F1148" s="43" t="s">
        <v>123</v>
      </c>
      <c r="G1148" s="43" t="b">
        <v>0</v>
      </c>
      <c r="H1148" s="43" t="b">
        <v>0</v>
      </c>
      <c r="I1148" s="43"/>
      <c r="M1148" s="48" t="s">
        <v>1414</v>
      </c>
      <c r="N1148" s="48">
        <v>17088571486</v>
      </c>
      <c r="O1148" s="48">
        <v>17088559964</v>
      </c>
      <c r="P1148" s="48" t="s">
        <v>123</v>
      </c>
      <c r="Q1148" s="49" t="s">
        <v>1414</v>
      </c>
      <c r="R1148" s="49">
        <v>17083128965</v>
      </c>
      <c r="S1148" s="49">
        <v>17083091258</v>
      </c>
      <c r="T1148" s="49" t="s">
        <v>123</v>
      </c>
      <c r="U1148" s="50" t="s">
        <v>1414</v>
      </c>
      <c r="V1148" s="50">
        <v>17083128965</v>
      </c>
      <c r="W1148" s="50">
        <v>17083091258</v>
      </c>
      <c r="X1148" s="50" t="s">
        <v>123</v>
      </c>
      <c r="Y1148" s="50"/>
    </row>
    <row r="1149" spans="1:25" x14ac:dyDescent="0.25">
      <c r="A1149" s="25" t="s">
        <v>115</v>
      </c>
      <c r="B1149" t="b">
        <v>0</v>
      </c>
      <c r="C1149" s="43" t="s">
        <v>1415</v>
      </c>
      <c r="D1149" s="43">
        <v>319976</v>
      </c>
      <c r="E1149" s="43">
        <v>300329</v>
      </c>
      <c r="F1149" s="43" t="s">
        <v>123</v>
      </c>
      <c r="G1149" s="43" t="b">
        <v>0</v>
      </c>
      <c r="H1149" s="43" t="b">
        <v>0</v>
      </c>
      <c r="I1149" s="43" t="s">
        <v>134</v>
      </c>
      <c r="M1149" s="48" t="s">
        <v>1415</v>
      </c>
      <c r="N1149" s="48">
        <v>17088570142</v>
      </c>
      <c r="O1149" s="48">
        <v>17088557148</v>
      </c>
      <c r="P1149" s="48" t="s">
        <v>123</v>
      </c>
      <c r="Q1149" s="49" t="s">
        <v>1415</v>
      </c>
      <c r="R1149" s="49">
        <v>17083126521</v>
      </c>
      <c r="S1149" s="49">
        <v>17083090906</v>
      </c>
      <c r="T1149" s="49" t="s">
        <v>123</v>
      </c>
      <c r="U1149" s="50" t="s">
        <v>1415</v>
      </c>
      <c r="V1149" s="50">
        <v>17083126521</v>
      </c>
      <c r="W1149" s="50">
        <v>17083090906</v>
      </c>
      <c r="X1149" s="50" t="s">
        <v>123</v>
      </c>
      <c r="Y1149" s="50"/>
    </row>
    <row r="1150" spans="1:25" x14ac:dyDescent="0.25">
      <c r="A1150" s="25" t="s">
        <v>115</v>
      </c>
      <c r="B1150" t="b">
        <v>1</v>
      </c>
      <c r="C1150" s="43" t="s">
        <v>1416</v>
      </c>
      <c r="D1150" s="43">
        <v>322024</v>
      </c>
      <c r="E1150" s="43">
        <v>303089</v>
      </c>
      <c r="F1150" s="43" t="s">
        <v>123</v>
      </c>
      <c r="G1150" s="43" t="b">
        <v>1</v>
      </c>
      <c r="H1150" s="43" t="b">
        <v>0</v>
      </c>
      <c r="I1150" s="43" t="s">
        <v>134</v>
      </c>
      <c r="M1150" s="48" t="s">
        <v>1416</v>
      </c>
      <c r="N1150" s="48">
        <v>17088570270</v>
      </c>
      <c r="O1150" s="48">
        <v>17088557692</v>
      </c>
      <c r="P1150" s="48" t="s">
        <v>123</v>
      </c>
      <c r="Q1150" s="49" t="s">
        <v>1416</v>
      </c>
      <c r="R1150" s="49">
        <v>17083128581</v>
      </c>
      <c r="S1150" s="49">
        <v>17083092986</v>
      </c>
      <c r="T1150" s="49" t="s">
        <v>123</v>
      </c>
      <c r="U1150" s="50" t="s">
        <v>1416</v>
      </c>
      <c r="V1150" s="50">
        <v>17083128581</v>
      </c>
      <c r="W1150" s="50">
        <v>17083092986</v>
      </c>
      <c r="X1150" s="50" t="s">
        <v>123</v>
      </c>
      <c r="Y1150" s="50">
        <v>150053</v>
      </c>
    </row>
    <row r="1151" spans="1:25" x14ac:dyDescent="0.25">
      <c r="A1151" s="25" t="s">
        <v>115</v>
      </c>
      <c r="B1151" t="b">
        <v>0</v>
      </c>
      <c r="C1151" s="43" t="s">
        <v>1417</v>
      </c>
      <c r="D1151" s="43">
        <v>321000</v>
      </c>
      <c r="E1151" s="43">
        <v>299401</v>
      </c>
      <c r="F1151" s="43" t="s">
        <v>117</v>
      </c>
      <c r="G1151" s="43" t="b">
        <v>0</v>
      </c>
      <c r="H1151" s="43" t="b">
        <v>0</v>
      </c>
      <c r="I1151" s="43"/>
      <c r="M1151" s="48" t="s">
        <v>1417</v>
      </c>
      <c r="N1151" s="48">
        <v>17088569758</v>
      </c>
      <c r="O1151" s="48">
        <v>17088560956</v>
      </c>
      <c r="P1151" s="48" t="s">
        <v>117</v>
      </c>
      <c r="Q1151" s="49" t="s">
        <v>1417</v>
      </c>
      <c r="R1151" s="49">
        <v>17083126021</v>
      </c>
      <c r="S1151" s="49">
        <v>17083090298</v>
      </c>
      <c r="T1151" s="49" t="s">
        <v>117</v>
      </c>
      <c r="U1151" s="50" t="s">
        <v>1417</v>
      </c>
      <c r="V1151" s="50">
        <v>17083126021</v>
      </c>
      <c r="W1151" s="50">
        <v>17083090298</v>
      </c>
      <c r="X1151" s="50" t="s">
        <v>117</v>
      </c>
      <c r="Y1151" s="50"/>
    </row>
    <row r="1152" spans="1:25" x14ac:dyDescent="0.25">
      <c r="A1152" s="25" t="s">
        <v>115</v>
      </c>
      <c r="B1152" t="b">
        <v>0</v>
      </c>
      <c r="C1152" s="43" t="s">
        <v>1418</v>
      </c>
      <c r="D1152" s="43">
        <v>323048</v>
      </c>
      <c r="E1152" s="43">
        <v>300645</v>
      </c>
      <c r="F1152" s="43" t="s">
        <v>383</v>
      </c>
      <c r="G1152" s="43" t="b">
        <v>0</v>
      </c>
      <c r="H1152" s="43" t="b">
        <v>0</v>
      </c>
      <c r="I1152" s="43"/>
      <c r="M1152" s="48" t="s">
        <v>1418</v>
      </c>
      <c r="N1152" s="48">
        <v>17088572330</v>
      </c>
      <c r="O1152" s="48">
        <v>17088566475</v>
      </c>
      <c r="P1152" s="48" t="s">
        <v>383</v>
      </c>
      <c r="Q1152" s="49" t="s">
        <v>1418</v>
      </c>
      <c r="R1152" s="49">
        <v>17083127806</v>
      </c>
      <c r="S1152" s="49">
        <v>17083124047</v>
      </c>
      <c r="T1152" s="49" t="s">
        <v>383</v>
      </c>
      <c r="U1152" s="50" t="s">
        <v>1418</v>
      </c>
      <c r="V1152" s="50">
        <v>17083127806</v>
      </c>
      <c r="W1152" s="50">
        <v>17083124047</v>
      </c>
      <c r="X1152" s="50" t="s">
        <v>383</v>
      </c>
      <c r="Y1152" s="50"/>
    </row>
    <row r="1153" spans="1:25" x14ac:dyDescent="0.25">
      <c r="A1153" s="25" t="s">
        <v>115</v>
      </c>
      <c r="B1153" t="b">
        <v>0</v>
      </c>
      <c r="C1153" s="43" t="s">
        <v>1419</v>
      </c>
      <c r="D1153" s="43">
        <v>320488</v>
      </c>
      <c r="E1153" s="43">
        <v>300649</v>
      </c>
      <c r="F1153" s="43" t="s">
        <v>117</v>
      </c>
      <c r="G1153" s="43" t="b">
        <v>0</v>
      </c>
      <c r="H1153" s="43" t="b">
        <v>0</v>
      </c>
      <c r="I1153" s="43"/>
      <c r="M1153" s="48" t="s">
        <v>1419</v>
      </c>
      <c r="N1153" s="48">
        <v>17088570726</v>
      </c>
      <c r="O1153" s="48">
        <v>17088571456</v>
      </c>
      <c r="P1153" s="48" t="s">
        <v>117</v>
      </c>
      <c r="Q1153" s="49" t="s">
        <v>1419</v>
      </c>
      <c r="R1153" s="49">
        <v>17083129585</v>
      </c>
      <c r="S1153" s="49">
        <v>17083126436</v>
      </c>
      <c r="T1153" s="49" t="s">
        <v>117</v>
      </c>
      <c r="U1153" s="50" t="s">
        <v>1419</v>
      </c>
      <c r="V1153" s="50">
        <v>17083129585</v>
      </c>
      <c r="W1153" s="50">
        <v>17083126436</v>
      </c>
      <c r="X1153" s="50" t="s">
        <v>117</v>
      </c>
      <c r="Y1153" s="50"/>
    </row>
    <row r="1154" spans="1:25" x14ac:dyDescent="0.25">
      <c r="A1154" s="25" t="s">
        <v>115</v>
      </c>
      <c r="B1154" t="b">
        <v>0</v>
      </c>
      <c r="C1154" s="43" t="s">
        <v>1420</v>
      </c>
      <c r="D1154" s="43">
        <v>321512</v>
      </c>
      <c r="E1154" s="43">
        <v>299721</v>
      </c>
      <c r="F1154" s="43" t="s">
        <v>125</v>
      </c>
      <c r="G1154" s="43" t="b">
        <v>0</v>
      </c>
      <c r="H1154" s="43" t="b">
        <v>0</v>
      </c>
      <c r="I1154" s="43" t="s">
        <v>126</v>
      </c>
      <c r="M1154" s="48" t="s">
        <v>1420</v>
      </c>
      <c r="N1154" s="48">
        <v>17088569438</v>
      </c>
      <c r="O1154" s="48">
        <v>17088557116</v>
      </c>
      <c r="P1154" s="48" t="s">
        <v>125</v>
      </c>
      <c r="Q1154" s="49" t="s">
        <v>1420</v>
      </c>
      <c r="R1154" s="49">
        <v>17083126917</v>
      </c>
      <c r="S1154" s="49">
        <v>17083089850</v>
      </c>
      <c r="T1154" s="49" t="s">
        <v>125</v>
      </c>
      <c r="U1154" s="50" t="s">
        <v>1420</v>
      </c>
      <c r="V1154" s="50">
        <v>17083126917</v>
      </c>
      <c r="W1154" s="50">
        <v>17083089850</v>
      </c>
      <c r="X1154" s="50" t="s">
        <v>125</v>
      </c>
      <c r="Y1154" s="50"/>
    </row>
    <row r="1155" spans="1:25" x14ac:dyDescent="0.25">
      <c r="A1155" s="25" t="s">
        <v>115</v>
      </c>
      <c r="B1155" t="b">
        <v>0</v>
      </c>
      <c r="C1155" s="43" t="s">
        <v>1421</v>
      </c>
      <c r="D1155" s="43">
        <v>323560</v>
      </c>
      <c r="E1155" s="43">
        <v>301225</v>
      </c>
      <c r="F1155" s="43" t="s">
        <v>123</v>
      </c>
      <c r="G1155" s="43" t="b">
        <v>1</v>
      </c>
      <c r="H1155" s="43" t="b">
        <v>0</v>
      </c>
      <c r="I1155" s="43"/>
      <c r="M1155" s="48" t="s">
        <v>1421</v>
      </c>
      <c r="N1155" s="48">
        <v>17088571886</v>
      </c>
      <c r="O1155" s="48">
        <v>17088560540</v>
      </c>
      <c r="P1155" s="48" t="s">
        <v>123</v>
      </c>
      <c r="Q1155" s="49" t="s">
        <v>1421</v>
      </c>
      <c r="R1155" s="49">
        <v>17083127417</v>
      </c>
      <c r="S1155" s="49">
        <v>17083091418</v>
      </c>
      <c r="T1155" s="49" t="s">
        <v>123</v>
      </c>
      <c r="U1155" s="50" t="s">
        <v>1421</v>
      </c>
      <c r="V1155" s="50">
        <v>17083127417</v>
      </c>
      <c r="W1155" s="50">
        <v>17083091418</v>
      </c>
      <c r="X1155" s="50" t="s">
        <v>123</v>
      </c>
      <c r="Y1155" s="50">
        <v>150172</v>
      </c>
    </row>
    <row r="1156" spans="1:25" x14ac:dyDescent="0.25">
      <c r="A1156" s="25" t="s">
        <v>115</v>
      </c>
      <c r="B1156" t="b">
        <v>0</v>
      </c>
      <c r="C1156" s="43" t="s">
        <v>1422</v>
      </c>
      <c r="D1156" s="43">
        <v>319512</v>
      </c>
      <c r="E1156" s="43">
        <v>302373</v>
      </c>
      <c r="F1156" s="43" t="s">
        <v>123</v>
      </c>
      <c r="G1156" s="43" t="b">
        <v>0</v>
      </c>
      <c r="H1156" s="43" t="b">
        <v>0</v>
      </c>
      <c r="I1156" s="43"/>
      <c r="M1156" s="48" t="s">
        <v>1422</v>
      </c>
      <c r="N1156" s="48">
        <v>17088572522</v>
      </c>
      <c r="O1156" s="48">
        <v>17088568363</v>
      </c>
      <c r="P1156" s="48" t="s">
        <v>123</v>
      </c>
      <c r="Q1156" s="49" t="s">
        <v>1422</v>
      </c>
      <c r="R1156" s="49">
        <v>17083128833</v>
      </c>
      <c r="S1156" s="49">
        <v>17083123151</v>
      </c>
      <c r="T1156" s="49" t="s">
        <v>123</v>
      </c>
      <c r="U1156" s="50" t="s">
        <v>1422</v>
      </c>
      <c r="V1156" s="50">
        <v>17083128833</v>
      </c>
      <c r="W1156" s="50">
        <v>17083123151</v>
      </c>
      <c r="X1156" s="50" t="s">
        <v>123</v>
      </c>
      <c r="Y1156" s="50"/>
    </row>
    <row r="1157" spans="1:25" x14ac:dyDescent="0.25">
      <c r="A1157" s="25" t="s">
        <v>115</v>
      </c>
      <c r="B1157" t="b">
        <v>0</v>
      </c>
      <c r="C1157" s="43" t="s">
        <v>1423</v>
      </c>
      <c r="D1157" s="43">
        <v>321560</v>
      </c>
      <c r="E1157" s="43">
        <v>301221</v>
      </c>
      <c r="F1157" s="43" t="s">
        <v>383</v>
      </c>
      <c r="G1157" s="43" t="b">
        <v>0</v>
      </c>
      <c r="H1157" s="43" t="b">
        <v>0</v>
      </c>
      <c r="I1157" s="43"/>
      <c r="M1157" s="48" t="s">
        <v>1423</v>
      </c>
      <c r="N1157" s="48">
        <v>17088570474</v>
      </c>
      <c r="O1157" s="48">
        <v>17088567755</v>
      </c>
      <c r="P1157" s="48" t="s">
        <v>383</v>
      </c>
      <c r="Q1157" s="49" t="s">
        <v>1423</v>
      </c>
      <c r="R1157" s="49">
        <v>17083126785</v>
      </c>
      <c r="S1157" s="49">
        <v>17083121871</v>
      </c>
      <c r="T1157" s="49" t="s">
        <v>383</v>
      </c>
      <c r="U1157" s="50" t="s">
        <v>1423</v>
      </c>
      <c r="V1157" s="50">
        <v>17083126785</v>
      </c>
      <c r="W1157" s="50">
        <v>17083121871</v>
      </c>
      <c r="X1157" s="50" t="s">
        <v>383</v>
      </c>
      <c r="Y1157" s="50"/>
    </row>
    <row r="1158" spans="1:25" x14ac:dyDescent="0.25">
      <c r="A1158" s="25" t="s">
        <v>115</v>
      </c>
      <c r="B1158" t="b">
        <v>0</v>
      </c>
      <c r="C1158" s="43" t="s">
        <v>1424</v>
      </c>
      <c r="D1158" s="43">
        <v>320536</v>
      </c>
      <c r="E1158" s="43">
        <v>301657</v>
      </c>
      <c r="F1158" s="43" t="s">
        <v>123</v>
      </c>
      <c r="G1158" s="43" t="b">
        <v>0</v>
      </c>
      <c r="H1158" s="43" t="b">
        <v>0</v>
      </c>
      <c r="I1158" s="43"/>
      <c r="M1158" s="48" t="s">
        <v>1424</v>
      </c>
      <c r="N1158" s="48">
        <v>17088573022</v>
      </c>
      <c r="O1158" s="48">
        <v>17088558226</v>
      </c>
      <c r="P1158" s="48" t="s">
        <v>123</v>
      </c>
      <c r="Q1158" s="49" t="s">
        <v>1424</v>
      </c>
      <c r="R1158" s="49">
        <v>17083128197</v>
      </c>
      <c r="S1158" s="49">
        <v>17083119839</v>
      </c>
      <c r="T1158" s="49" t="s">
        <v>123</v>
      </c>
      <c r="U1158" s="50" t="s">
        <v>1424</v>
      </c>
      <c r="V1158" s="50">
        <v>17083128197</v>
      </c>
      <c r="W1158" s="50">
        <v>17083119839</v>
      </c>
      <c r="X1158" s="50" t="s">
        <v>123</v>
      </c>
      <c r="Y1158" s="50"/>
    </row>
    <row r="1159" spans="1:25" x14ac:dyDescent="0.25">
      <c r="A1159" s="25" t="s">
        <v>115</v>
      </c>
      <c r="B1159" t="b">
        <v>0</v>
      </c>
      <c r="C1159" s="43" t="s">
        <v>1425</v>
      </c>
      <c r="D1159" s="43">
        <v>320024</v>
      </c>
      <c r="E1159" s="43">
        <v>299461</v>
      </c>
      <c r="F1159" s="43" t="s">
        <v>123</v>
      </c>
      <c r="G1159" s="43" t="b">
        <v>0</v>
      </c>
      <c r="H1159" s="43" t="b">
        <v>0</v>
      </c>
      <c r="I1159" s="43" t="s">
        <v>134</v>
      </c>
      <c r="M1159" s="48" t="s">
        <v>1425</v>
      </c>
      <c r="N1159" s="48">
        <v>17088571670</v>
      </c>
      <c r="O1159" s="48">
        <v>17088571696</v>
      </c>
      <c r="P1159" s="48" t="s">
        <v>123</v>
      </c>
      <c r="Q1159" s="49" t="s">
        <v>1425</v>
      </c>
      <c r="R1159" s="49">
        <v>17083129737</v>
      </c>
      <c r="S1159" s="49">
        <v>17083127028</v>
      </c>
      <c r="T1159" s="49" t="s">
        <v>123</v>
      </c>
      <c r="U1159" s="50" t="s">
        <v>1425</v>
      </c>
      <c r="V1159" s="50">
        <v>17083129737</v>
      </c>
      <c r="W1159" s="50">
        <v>17083127028</v>
      </c>
      <c r="X1159" s="50" t="s">
        <v>123</v>
      </c>
      <c r="Y1159" s="50"/>
    </row>
    <row r="1160" spans="1:25" x14ac:dyDescent="0.25">
      <c r="A1160" s="25" t="s">
        <v>115</v>
      </c>
      <c r="B1160" t="b">
        <v>0</v>
      </c>
      <c r="C1160" s="43" t="s">
        <v>1426</v>
      </c>
      <c r="D1160" s="43">
        <v>322072</v>
      </c>
      <c r="E1160" s="43">
        <v>300677</v>
      </c>
      <c r="F1160" s="43" t="s">
        <v>132</v>
      </c>
      <c r="G1160" s="43" t="b">
        <v>0</v>
      </c>
      <c r="H1160" s="43" t="b">
        <v>0</v>
      </c>
      <c r="I1160" s="43"/>
      <c r="M1160" s="48" t="s">
        <v>1426</v>
      </c>
      <c r="N1160" s="48">
        <v>17088569558</v>
      </c>
      <c r="O1160" s="48">
        <v>17088570800</v>
      </c>
      <c r="P1160" s="48" t="s">
        <v>132</v>
      </c>
      <c r="Q1160" s="49" t="s">
        <v>1426</v>
      </c>
      <c r="R1160" s="49">
        <v>17083129001</v>
      </c>
      <c r="S1160" s="49">
        <v>17083128844</v>
      </c>
      <c r="T1160" s="49" t="s">
        <v>132</v>
      </c>
      <c r="U1160" s="50" t="s">
        <v>1426</v>
      </c>
      <c r="V1160" s="50">
        <v>17083129001</v>
      </c>
      <c r="W1160" s="50">
        <v>17083128844</v>
      </c>
      <c r="X1160" s="50" t="s">
        <v>132</v>
      </c>
      <c r="Y1160" s="50"/>
    </row>
    <row r="1161" spans="1:25" x14ac:dyDescent="0.25">
      <c r="A1161" s="25" t="s">
        <v>115</v>
      </c>
      <c r="B1161" t="b">
        <v>0</v>
      </c>
      <c r="C1161" s="43" t="s">
        <v>1427</v>
      </c>
      <c r="D1161" s="43">
        <v>321048</v>
      </c>
      <c r="E1161" s="43">
        <v>300249</v>
      </c>
      <c r="F1161" s="43" t="s">
        <v>123</v>
      </c>
      <c r="G1161" s="43" t="b">
        <v>0</v>
      </c>
      <c r="H1161" s="43" t="b">
        <v>0</v>
      </c>
      <c r="I1161" s="43"/>
      <c r="M1161" s="48" t="s">
        <v>1427</v>
      </c>
      <c r="N1161" s="48">
        <v>17088573150</v>
      </c>
      <c r="O1161" s="48">
        <v>17088558610</v>
      </c>
      <c r="P1161" s="48" t="s">
        <v>123</v>
      </c>
      <c r="Q1161" s="49" t="s">
        <v>1427</v>
      </c>
      <c r="R1161" s="49">
        <v>17083128645</v>
      </c>
      <c r="S1161" s="49">
        <v>17083120223</v>
      </c>
      <c r="T1161" s="49" t="s">
        <v>123</v>
      </c>
      <c r="U1161" s="50" t="s">
        <v>1427</v>
      </c>
      <c r="V1161" s="50">
        <v>17083128645</v>
      </c>
      <c r="W1161" s="50">
        <v>17083120223</v>
      </c>
      <c r="X1161" s="50" t="s">
        <v>123</v>
      </c>
      <c r="Y1161" s="50"/>
    </row>
    <row r="1162" spans="1:25" x14ac:dyDescent="0.25">
      <c r="A1162" s="25" t="s">
        <v>115</v>
      </c>
      <c r="B1162" t="b">
        <v>0</v>
      </c>
      <c r="C1162" s="43" t="s">
        <v>1428</v>
      </c>
      <c r="D1162" s="43">
        <v>323096</v>
      </c>
      <c r="E1162" s="43">
        <v>301813</v>
      </c>
      <c r="F1162" s="43" t="s">
        <v>186</v>
      </c>
      <c r="G1162" s="43" t="b">
        <v>0</v>
      </c>
      <c r="H1162" s="43" t="b">
        <v>0</v>
      </c>
      <c r="I1162" s="43"/>
      <c r="M1162" s="48" t="s">
        <v>1428</v>
      </c>
      <c r="N1162" s="48">
        <v>17088572266</v>
      </c>
      <c r="O1162" s="48">
        <v>17088568795</v>
      </c>
      <c r="P1162" s="48" t="s">
        <v>186</v>
      </c>
      <c r="Q1162" s="49" t="s">
        <v>1428</v>
      </c>
      <c r="R1162" s="49">
        <v>17083127041</v>
      </c>
      <c r="S1162" s="49">
        <v>17083123935</v>
      </c>
      <c r="T1162" s="49" t="s">
        <v>186</v>
      </c>
      <c r="U1162" s="50" t="s">
        <v>1428</v>
      </c>
      <c r="V1162" s="50">
        <v>17083127041</v>
      </c>
      <c r="W1162" s="50">
        <v>17083123935</v>
      </c>
      <c r="X1162" s="50" t="s">
        <v>186</v>
      </c>
      <c r="Y1162" s="50"/>
    </row>
    <row r="1163" spans="1:25" x14ac:dyDescent="0.25">
      <c r="A1163" s="25" t="s">
        <v>115</v>
      </c>
      <c r="B1163" t="b">
        <v>0</v>
      </c>
      <c r="C1163" s="43" t="s">
        <v>1429</v>
      </c>
      <c r="D1163" s="43">
        <v>319768</v>
      </c>
      <c r="E1163" s="43">
        <v>302677</v>
      </c>
      <c r="F1163" s="43" t="s">
        <v>117</v>
      </c>
      <c r="G1163" s="43" t="b">
        <v>0</v>
      </c>
      <c r="H1163" s="43" t="b">
        <v>0</v>
      </c>
      <c r="I1163" s="43"/>
      <c r="M1163" s="48" t="s">
        <v>1429</v>
      </c>
      <c r="N1163" s="48">
        <v>17088573418</v>
      </c>
      <c r="O1163" s="48">
        <v>17088565627</v>
      </c>
      <c r="P1163" s="48" t="s">
        <v>117</v>
      </c>
      <c r="Q1163" s="49" t="s">
        <v>1429</v>
      </c>
      <c r="R1163" s="49">
        <v>17083127681</v>
      </c>
      <c r="S1163" s="49">
        <v>17083122623</v>
      </c>
      <c r="T1163" s="49" t="s">
        <v>117</v>
      </c>
      <c r="U1163" s="50" t="s">
        <v>1429</v>
      </c>
      <c r="V1163" s="50">
        <v>17083127681</v>
      </c>
      <c r="W1163" s="50">
        <v>17083122623</v>
      </c>
      <c r="X1163" s="50" t="s">
        <v>117</v>
      </c>
      <c r="Y1163" s="50"/>
    </row>
    <row r="1164" spans="1:25" x14ac:dyDescent="0.25">
      <c r="A1164" s="25" t="s">
        <v>115</v>
      </c>
      <c r="B1164" t="b">
        <v>0</v>
      </c>
      <c r="C1164" s="43" t="s">
        <v>1430</v>
      </c>
      <c r="D1164" s="43">
        <v>321816</v>
      </c>
      <c r="E1164" s="43">
        <v>302965</v>
      </c>
      <c r="F1164" s="43" t="s">
        <v>125</v>
      </c>
      <c r="G1164" s="43" t="b">
        <v>0</v>
      </c>
      <c r="H1164" s="43" t="b">
        <v>0</v>
      </c>
      <c r="I1164" s="43"/>
      <c r="M1164" s="48" t="s">
        <v>1430</v>
      </c>
      <c r="N1164" s="48">
        <v>17088571674</v>
      </c>
      <c r="O1164" s="48">
        <v>17088567355</v>
      </c>
      <c r="P1164" s="48" t="s">
        <v>125</v>
      </c>
      <c r="Q1164" s="49" t="s">
        <v>1430</v>
      </c>
      <c r="R1164" s="49">
        <v>17083127361</v>
      </c>
      <c r="S1164" s="49">
        <v>17083125471</v>
      </c>
      <c r="T1164" s="49" t="s">
        <v>125</v>
      </c>
      <c r="U1164" s="50" t="s">
        <v>1430</v>
      </c>
      <c r="V1164" s="50">
        <v>17083127361</v>
      </c>
      <c r="W1164" s="50">
        <v>17083125471</v>
      </c>
      <c r="X1164" s="50" t="s">
        <v>125</v>
      </c>
      <c r="Y1164" s="50"/>
    </row>
    <row r="1165" spans="1:25" x14ac:dyDescent="0.25">
      <c r="A1165" s="25" t="s">
        <v>115</v>
      </c>
      <c r="B1165" t="b">
        <v>0</v>
      </c>
      <c r="C1165" s="43" t="s">
        <v>1431</v>
      </c>
      <c r="D1165" s="43">
        <v>320792</v>
      </c>
      <c r="E1165" s="43">
        <v>299769</v>
      </c>
      <c r="F1165" s="43" t="s">
        <v>186</v>
      </c>
      <c r="G1165" s="43" t="b">
        <v>0</v>
      </c>
      <c r="H1165" s="43" t="b">
        <v>0</v>
      </c>
      <c r="I1165" s="43"/>
      <c r="M1165" s="48" t="s">
        <v>1431</v>
      </c>
      <c r="N1165" s="48">
        <v>17088569366</v>
      </c>
      <c r="O1165" s="48">
        <v>17088572272</v>
      </c>
      <c r="P1165" s="48" t="s">
        <v>186</v>
      </c>
      <c r="Q1165" s="49" t="s">
        <v>1431</v>
      </c>
      <c r="R1165" s="49">
        <v>17083127433</v>
      </c>
      <c r="S1165" s="49">
        <v>17083127436</v>
      </c>
      <c r="T1165" s="49" t="s">
        <v>186</v>
      </c>
      <c r="U1165" s="50" t="s">
        <v>1431</v>
      </c>
      <c r="V1165" s="50">
        <v>17083127433</v>
      </c>
      <c r="W1165" s="50">
        <v>17083127436</v>
      </c>
      <c r="X1165" s="50" t="s">
        <v>186</v>
      </c>
      <c r="Y1165" s="50"/>
    </row>
    <row r="1166" spans="1:25" x14ac:dyDescent="0.25">
      <c r="A1166" s="25" t="s">
        <v>115</v>
      </c>
      <c r="B1166" t="b">
        <v>0</v>
      </c>
      <c r="C1166" s="43" t="s">
        <v>1432</v>
      </c>
      <c r="D1166" s="43">
        <v>322840</v>
      </c>
      <c r="E1166" s="43">
        <v>300985</v>
      </c>
      <c r="F1166" s="43" t="s">
        <v>186</v>
      </c>
      <c r="G1166" s="43" t="b">
        <v>0</v>
      </c>
      <c r="H1166" s="43" t="b">
        <v>0</v>
      </c>
      <c r="I1166" s="43"/>
      <c r="M1166" s="48" t="s">
        <v>1432</v>
      </c>
      <c r="N1166" s="48">
        <v>17088571798</v>
      </c>
      <c r="O1166" s="48">
        <v>17088571376</v>
      </c>
      <c r="P1166" s="48" t="s">
        <v>186</v>
      </c>
      <c r="Q1166" s="49" t="s">
        <v>1432</v>
      </c>
      <c r="R1166" s="49">
        <v>17083127497</v>
      </c>
      <c r="S1166" s="49">
        <v>17083129420</v>
      </c>
      <c r="T1166" s="49" t="s">
        <v>186</v>
      </c>
      <c r="U1166" s="50" t="s">
        <v>1432</v>
      </c>
      <c r="V1166" s="50">
        <v>17083127497</v>
      </c>
      <c r="W1166" s="50">
        <v>17083129420</v>
      </c>
      <c r="X1166" s="50" t="s">
        <v>186</v>
      </c>
      <c r="Y1166" s="50"/>
    </row>
    <row r="1167" spans="1:25" x14ac:dyDescent="0.25">
      <c r="A1167" s="25" t="s">
        <v>115</v>
      </c>
      <c r="B1167" t="b">
        <v>0</v>
      </c>
      <c r="C1167" s="43" t="s">
        <v>1433</v>
      </c>
      <c r="D1167" s="43">
        <v>320280</v>
      </c>
      <c r="E1167" s="43">
        <v>302521</v>
      </c>
      <c r="F1167" s="43" t="s">
        <v>142</v>
      </c>
      <c r="G1167" s="43" t="b">
        <v>0</v>
      </c>
      <c r="H1167" s="43" t="b">
        <v>0</v>
      </c>
      <c r="I1167" s="43"/>
      <c r="M1167" s="48" t="s">
        <v>1433</v>
      </c>
      <c r="N1167" s="48">
        <v>17088569430</v>
      </c>
      <c r="O1167" s="48">
        <v>17088571400</v>
      </c>
      <c r="P1167" s="48" t="s">
        <v>142</v>
      </c>
      <c r="Q1167" s="49" t="s">
        <v>1433</v>
      </c>
      <c r="R1167" s="49">
        <v>17083129801</v>
      </c>
      <c r="S1167" s="49">
        <v>17083127116</v>
      </c>
      <c r="T1167" s="49" t="s">
        <v>142</v>
      </c>
      <c r="U1167" s="50" t="s">
        <v>1433</v>
      </c>
      <c r="V1167" s="50">
        <v>17083129801</v>
      </c>
      <c r="W1167" s="50">
        <v>17083127116</v>
      </c>
      <c r="X1167" s="50" t="s">
        <v>142</v>
      </c>
      <c r="Y1167" s="50"/>
    </row>
    <row r="1168" spans="1:25" x14ac:dyDescent="0.25">
      <c r="A1168" s="25" t="s">
        <v>115</v>
      </c>
      <c r="B1168" t="b">
        <v>0</v>
      </c>
      <c r="C1168" s="43" t="s">
        <v>1434</v>
      </c>
      <c r="D1168" s="43">
        <v>322328</v>
      </c>
      <c r="E1168" s="43">
        <v>300025</v>
      </c>
      <c r="F1168" s="43" t="s">
        <v>117</v>
      </c>
      <c r="G1168" s="43" t="b">
        <v>0</v>
      </c>
      <c r="H1168" s="43" t="b">
        <v>0</v>
      </c>
      <c r="I1168" s="43"/>
      <c r="M1168" s="48" t="s">
        <v>1434</v>
      </c>
      <c r="N1168" s="48">
        <v>17088571094</v>
      </c>
      <c r="O1168" s="48">
        <v>17088572528</v>
      </c>
      <c r="P1168" s="48" t="s">
        <v>117</v>
      </c>
      <c r="Q1168" s="49" t="s">
        <v>1434</v>
      </c>
      <c r="R1168" s="49">
        <v>17083128233</v>
      </c>
      <c r="S1168" s="49">
        <v>17083126540</v>
      </c>
      <c r="T1168" s="49" t="s">
        <v>117</v>
      </c>
      <c r="U1168" s="50" t="s">
        <v>1434</v>
      </c>
      <c r="V1168" s="50">
        <v>17083128233</v>
      </c>
      <c r="W1168" s="50">
        <v>17083126540</v>
      </c>
      <c r="X1168" s="50" t="s">
        <v>117</v>
      </c>
      <c r="Y1168" s="50"/>
    </row>
    <row r="1169" spans="1:25" x14ac:dyDescent="0.25">
      <c r="A1169" s="25" t="s">
        <v>115</v>
      </c>
      <c r="B1169" t="b">
        <v>0</v>
      </c>
      <c r="C1169" s="43" t="s">
        <v>1435</v>
      </c>
      <c r="D1169" s="43">
        <v>321304</v>
      </c>
      <c r="E1169" s="43">
        <v>301289</v>
      </c>
      <c r="F1169" s="43" t="s">
        <v>119</v>
      </c>
      <c r="G1169" s="43" t="b">
        <v>0</v>
      </c>
      <c r="H1169" s="43" t="b">
        <v>0</v>
      </c>
      <c r="I1169" s="43"/>
      <c r="M1169" s="48" t="s">
        <v>1435</v>
      </c>
      <c r="N1169" s="48">
        <v>17088570206</v>
      </c>
      <c r="O1169" s="48">
        <v>17088560018</v>
      </c>
      <c r="P1169" s="48" t="s">
        <v>119</v>
      </c>
      <c r="Q1169" s="49" t="s">
        <v>1435</v>
      </c>
      <c r="R1169" s="49">
        <v>17083125829</v>
      </c>
      <c r="S1169" s="49">
        <v>17083118559</v>
      </c>
      <c r="T1169" s="49" t="s">
        <v>119</v>
      </c>
      <c r="U1169" s="50" t="s">
        <v>1435</v>
      </c>
      <c r="V1169" s="50">
        <v>17083125829</v>
      </c>
      <c r="W1169" s="50">
        <v>17083118559</v>
      </c>
      <c r="X1169" s="50" t="s">
        <v>119</v>
      </c>
      <c r="Y1169" s="50"/>
    </row>
    <row r="1170" spans="1:25" x14ac:dyDescent="0.25">
      <c r="A1170" s="25" t="b">
        <v>1</v>
      </c>
      <c r="B1170" t="b">
        <v>0</v>
      </c>
      <c r="C1170" s="43" t="s">
        <v>1436</v>
      </c>
      <c r="D1170" s="43">
        <v>323352</v>
      </c>
      <c r="E1170" s="43">
        <v>299929</v>
      </c>
      <c r="F1170" s="43" t="s">
        <v>173</v>
      </c>
      <c r="G1170" s="43" t="b">
        <v>0</v>
      </c>
      <c r="H1170" s="43" t="b">
        <v>0</v>
      </c>
      <c r="I1170" s="43"/>
      <c r="J1170" s="45" t="s">
        <v>1436</v>
      </c>
      <c r="K1170" s="46">
        <v>299929</v>
      </c>
      <c r="L1170" s="47">
        <v>990000418</v>
      </c>
      <c r="M1170" s="48" t="s">
        <v>1436</v>
      </c>
      <c r="N1170" s="48">
        <v>17088572638</v>
      </c>
      <c r="O1170" s="48">
        <v>17088558482</v>
      </c>
      <c r="P1170" s="48" t="s">
        <v>173</v>
      </c>
      <c r="Q1170" s="49" t="s">
        <v>1436</v>
      </c>
      <c r="R1170" s="49">
        <v>17083129413</v>
      </c>
      <c r="S1170" s="49">
        <v>17083120095</v>
      </c>
      <c r="T1170" s="49" t="s">
        <v>173</v>
      </c>
      <c r="U1170" s="50" t="s">
        <v>1436</v>
      </c>
      <c r="V1170" s="50">
        <v>17083129413</v>
      </c>
      <c r="W1170" s="50">
        <v>17083120095</v>
      </c>
      <c r="X1170" s="50" t="s">
        <v>173</v>
      </c>
      <c r="Y1170" s="50"/>
    </row>
    <row r="1171" spans="1:25" x14ac:dyDescent="0.25">
      <c r="A1171" s="25" t="s">
        <v>115</v>
      </c>
      <c r="B1171" t="b">
        <v>0</v>
      </c>
      <c r="C1171" s="43" t="s">
        <v>1437</v>
      </c>
      <c r="D1171" s="43">
        <v>319640</v>
      </c>
      <c r="E1171" s="43">
        <v>303093</v>
      </c>
      <c r="F1171" s="43" t="s">
        <v>383</v>
      </c>
      <c r="G1171" s="43" t="b">
        <v>0</v>
      </c>
      <c r="H1171" s="43" t="b">
        <v>0</v>
      </c>
      <c r="I1171" s="43"/>
      <c r="M1171" s="48" t="s">
        <v>1437</v>
      </c>
      <c r="N1171" s="48">
        <v>17088570858</v>
      </c>
      <c r="O1171" s="48">
        <v>17088568155</v>
      </c>
      <c r="P1171" s="48" t="s">
        <v>383</v>
      </c>
      <c r="Q1171" s="49" t="s">
        <v>1437</v>
      </c>
      <c r="R1171" s="49">
        <v>17083128193</v>
      </c>
      <c r="S1171" s="49">
        <v>17083124831</v>
      </c>
      <c r="T1171" s="49" t="s">
        <v>383</v>
      </c>
      <c r="U1171" s="50" t="s">
        <v>1437</v>
      </c>
      <c r="V1171" s="50">
        <v>17083128193</v>
      </c>
      <c r="W1171" s="50">
        <v>17083124831</v>
      </c>
      <c r="X1171" s="50" t="s">
        <v>383</v>
      </c>
      <c r="Y1171" s="50"/>
    </row>
    <row r="1172" spans="1:25" x14ac:dyDescent="0.25">
      <c r="A1172" s="25" t="s">
        <v>115</v>
      </c>
      <c r="B1172" t="b">
        <v>0</v>
      </c>
      <c r="C1172" s="43" t="s">
        <v>1438</v>
      </c>
      <c r="D1172" s="43">
        <v>321688</v>
      </c>
      <c r="E1172" s="43">
        <v>302213</v>
      </c>
      <c r="F1172" s="43" t="s">
        <v>132</v>
      </c>
      <c r="G1172" s="43" t="b">
        <v>0</v>
      </c>
      <c r="H1172" s="43" t="b">
        <v>0</v>
      </c>
      <c r="I1172" s="43"/>
      <c r="M1172" s="48" t="s">
        <v>1438</v>
      </c>
      <c r="N1172" s="48">
        <v>17088573334</v>
      </c>
      <c r="O1172" s="48">
        <v>17088572336</v>
      </c>
      <c r="P1172" s="48" t="s">
        <v>132</v>
      </c>
      <c r="Q1172" s="49" t="s">
        <v>1438</v>
      </c>
      <c r="R1172" s="49">
        <v>17083127753</v>
      </c>
      <c r="S1172" s="49">
        <v>17083127308</v>
      </c>
      <c r="T1172" s="49" t="s">
        <v>132</v>
      </c>
      <c r="U1172" s="50" t="s">
        <v>1438</v>
      </c>
      <c r="V1172" s="50">
        <v>17083127753</v>
      </c>
      <c r="W1172" s="50">
        <v>17083127308</v>
      </c>
      <c r="X1172" s="50" t="s">
        <v>132</v>
      </c>
      <c r="Y1172" s="50"/>
    </row>
    <row r="1173" spans="1:25" x14ac:dyDescent="0.25">
      <c r="A1173" s="25" t="s">
        <v>115</v>
      </c>
      <c r="B1173" t="b">
        <v>0</v>
      </c>
      <c r="C1173" s="43" t="s">
        <v>1439</v>
      </c>
      <c r="D1173" s="43">
        <v>320664</v>
      </c>
      <c r="E1173" s="43">
        <v>300757</v>
      </c>
      <c r="F1173" s="43" t="s">
        <v>119</v>
      </c>
      <c r="G1173" s="43" t="b">
        <v>0</v>
      </c>
      <c r="H1173" s="43" t="b">
        <v>0</v>
      </c>
      <c r="I1173" s="43"/>
      <c r="M1173" s="48" t="s">
        <v>1439</v>
      </c>
      <c r="N1173" s="48">
        <v>17088570090</v>
      </c>
      <c r="O1173" s="48">
        <v>17088568443</v>
      </c>
      <c r="P1173" s="48" t="s">
        <v>119</v>
      </c>
      <c r="Q1173" s="49" t="s">
        <v>1439</v>
      </c>
      <c r="R1173" s="49">
        <v>17083126913</v>
      </c>
      <c r="S1173" s="49">
        <v>17083125439</v>
      </c>
      <c r="T1173" s="49" t="s">
        <v>119</v>
      </c>
      <c r="U1173" s="50" t="s">
        <v>1439</v>
      </c>
      <c r="V1173" s="50">
        <v>17083126913</v>
      </c>
      <c r="W1173" s="50">
        <v>17083125439</v>
      </c>
      <c r="X1173" s="50" t="s">
        <v>119</v>
      </c>
      <c r="Y1173" s="50"/>
    </row>
    <row r="1174" spans="1:25" x14ac:dyDescent="0.25">
      <c r="A1174" s="25" t="s">
        <v>115</v>
      </c>
      <c r="B1174" t="b">
        <v>0</v>
      </c>
      <c r="C1174" s="43" t="s">
        <v>1440</v>
      </c>
      <c r="D1174" s="43">
        <v>322712</v>
      </c>
      <c r="E1174" s="43">
        <v>299061</v>
      </c>
      <c r="F1174" s="43" t="s">
        <v>117</v>
      </c>
      <c r="G1174" s="43" t="b">
        <v>0</v>
      </c>
      <c r="H1174" s="43" t="b">
        <v>0</v>
      </c>
      <c r="I1174" s="43"/>
      <c r="M1174" s="48" t="s">
        <v>1440</v>
      </c>
      <c r="N1174" s="48">
        <v>17088571882</v>
      </c>
      <c r="O1174" s="48">
        <v>17088568763</v>
      </c>
      <c r="P1174" s="48" t="s">
        <v>117</v>
      </c>
      <c r="Q1174" s="49" t="s">
        <v>1440</v>
      </c>
      <c r="R1174" s="49">
        <v>17083126145</v>
      </c>
      <c r="S1174" s="49">
        <v>17083125567</v>
      </c>
      <c r="T1174" s="49" t="s">
        <v>117</v>
      </c>
      <c r="U1174" s="50" t="s">
        <v>1440</v>
      </c>
      <c r="V1174" s="50">
        <v>17083126145</v>
      </c>
      <c r="W1174" s="50">
        <v>17083125567</v>
      </c>
      <c r="X1174" s="50" t="s">
        <v>117</v>
      </c>
      <c r="Y1174" s="50"/>
    </row>
    <row r="1175" spans="1:25" x14ac:dyDescent="0.25">
      <c r="A1175" s="25" t="s">
        <v>115</v>
      </c>
      <c r="B1175" t="b">
        <v>0</v>
      </c>
      <c r="C1175" s="43" t="s">
        <v>1441</v>
      </c>
      <c r="D1175" s="43">
        <v>320152</v>
      </c>
      <c r="E1175" s="43">
        <v>300277</v>
      </c>
      <c r="F1175" s="43" t="s">
        <v>123</v>
      </c>
      <c r="G1175" s="43" t="b">
        <v>0</v>
      </c>
      <c r="H1175" s="43" t="b">
        <v>0</v>
      </c>
      <c r="I1175" s="43"/>
      <c r="M1175" s="48" t="s">
        <v>1441</v>
      </c>
      <c r="N1175" s="48">
        <v>17088570218</v>
      </c>
      <c r="O1175" s="48">
        <v>17088567259</v>
      </c>
      <c r="P1175" s="48" t="s">
        <v>123</v>
      </c>
      <c r="Q1175" s="49" t="s">
        <v>1441</v>
      </c>
      <c r="R1175" s="49">
        <v>17083128065</v>
      </c>
      <c r="S1175" s="49">
        <v>17083122399</v>
      </c>
      <c r="T1175" s="49" t="s">
        <v>123</v>
      </c>
      <c r="U1175" s="50" t="s">
        <v>1441</v>
      </c>
      <c r="V1175" s="50">
        <v>17083128065</v>
      </c>
      <c r="W1175" s="50">
        <v>17083122399</v>
      </c>
      <c r="X1175" s="50" t="s">
        <v>123</v>
      </c>
      <c r="Y1175" s="50"/>
    </row>
    <row r="1176" spans="1:25" x14ac:dyDescent="0.25">
      <c r="A1176" s="25" t="s">
        <v>115</v>
      </c>
      <c r="B1176" t="b">
        <v>0</v>
      </c>
      <c r="C1176" s="43" t="s">
        <v>1442</v>
      </c>
      <c r="D1176" s="43">
        <v>322200</v>
      </c>
      <c r="E1176" s="43">
        <v>302841</v>
      </c>
      <c r="F1176" s="43" t="s">
        <v>117</v>
      </c>
      <c r="G1176" s="43" t="b">
        <v>0</v>
      </c>
      <c r="H1176" s="43" t="b">
        <v>0</v>
      </c>
      <c r="I1176" s="43"/>
      <c r="M1176" s="48" t="s">
        <v>1442</v>
      </c>
      <c r="N1176" s="48">
        <v>17088569622</v>
      </c>
      <c r="O1176" s="48">
        <v>17088569712</v>
      </c>
      <c r="P1176" s="48" t="s">
        <v>117</v>
      </c>
      <c r="Q1176" s="49" t="s">
        <v>1442</v>
      </c>
      <c r="R1176" s="49">
        <v>17083127689</v>
      </c>
      <c r="S1176" s="49">
        <v>17083127948</v>
      </c>
      <c r="T1176" s="49" t="s">
        <v>117</v>
      </c>
      <c r="U1176" s="50" t="s">
        <v>1442</v>
      </c>
      <c r="V1176" s="50">
        <v>17083127689</v>
      </c>
      <c r="W1176" s="50">
        <v>17083127948</v>
      </c>
      <c r="X1176" s="50" t="s">
        <v>117</v>
      </c>
      <c r="Y1176" s="50"/>
    </row>
    <row r="1177" spans="1:25" x14ac:dyDescent="0.25">
      <c r="A1177" s="25" t="s">
        <v>115</v>
      </c>
      <c r="B1177" t="b">
        <v>0</v>
      </c>
      <c r="C1177" s="43" t="s">
        <v>1443</v>
      </c>
      <c r="D1177" s="43">
        <v>321176</v>
      </c>
      <c r="E1177" s="43">
        <v>299141</v>
      </c>
      <c r="F1177" s="43" t="s">
        <v>132</v>
      </c>
      <c r="G1177" s="43" t="b">
        <v>0</v>
      </c>
      <c r="H1177" s="43" t="b">
        <v>0</v>
      </c>
      <c r="I1177" s="43"/>
      <c r="M1177" s="48" t="s">
        <v>1443</v>
      </c>
      <c r="N1177" s="48">
        <v>17088572950</v>
      </c>
      <c r="O1177" s="48">
        <v>17088569456</v>
      </c>
      <c r="P1177" s="48" t="s">
        <v>132</v>
      </c>
      <c r="Q1177" s="49" t="s">
        <v>1443</v>
      </c>
      <c r="R1177" s="49">
        <v>17083128713</v>
      </c>
      <c r="S1177" s="49">
        <v>17083128076</v>
      </c>
      <c r="T1177" s="49" t="s">
        <v>132</v>
      </c>
      <c r="U1177" s="50" t="s">
        <v>1443</v>
      </c>
      <c r="V1177" s="50">
        <v>17083128713</v>
      </c>
      <c r="W1177" s="50">
        <v>17083128076</v>
      </c>
      <c r="X1177" s="50" t="s">
        <v>132</v>
      </c>
      <c r="Y1177" s="50"/>
    </row>
    <row r="1178" spans="1:25" x14ac:dyDescent="0.25">
      <c r="A1178" s="25" t="s">
        <v>115</v>
      </c>
      <c r="B1178" t="b">
        <v>0</v>
      </c>
      <c r="C1178" s="43" t="s">
        <v>1444</v>
      </c>
      <c r="D1178" s="43">
        <v>323224</v>
      </c>
      <c r="E1178" s="43">
        <v>300665</v>
      </c>
      <c r="F1178" s="43" t="s">
        <v>142</v>
      </c>
      <c r="G1178" s="43" t="b">
        <v>0</v>
      </c>
      <c r="H1178" s="43" t="b">
        <v>0</v>
      </c>
      <c r="I1178" s="43"/>
      <c r="M1178" s="48" t="s">
        <v>1444</v>
      </c>
      <c r="N1178" s="48">
        <v>17088573270</v>
      </c>
      <c r="O1178" s="48">
        <v>17088572912</v>
      </c>
      <c r="P1178" s="48" t="s">
        <v>142</v>
      </c>
      <c r="Q1178" s="49" t="s">
        <v>1444</v>
      </c>
      <c r="R1178" s="49">
        <v>17083126953</v>
      </c>
      <c r="S1178" s="49">
        <v>17083126348</v>
      </c>
      <c r="T1178" s="49" t="s">
        <v>142</v>
      </c>
      <c r="U1178" s="50" t="s">
        <v>1444</v>
      </c>
      <c r="V1178" s="50">
        <v>17083126953</v>
      </c>
      <c r="W1178" s="50">
        <v>17083126348</v>
      </c>
      <c r="X1178" s="50" t="s">
        <v>142</v>
      </c>
      <c r="Y1178" s="50"/>
    </row>
    <row r="1179" spans="1:25" x14ac:dyDescent="0.25">
      <c r="A1179" s="25" t="s">
        <v>115</v>
      </c>
      <c r="B1179" t="b">
        <v>0</v>
      </c>
      <c r="C1179" s="43" t="s">
        <v>1445</v>
      </c>
      <c r="D1179" s="43">
        <v>319896</v>
      </c>
      <c r="E1179" s="43">
        <v>299501</v>
      </c>
      <c r="F1179" s="43" t="s">
        <v>132</v>
      </c>
      <c r="G1179" s="43" t="b">
        <v>0</v>
      </c>
      <c r="H1179" s="43" t="b">
        <v>0</v>
      </c>
      <c r="I1179" s="43"/>
      <c r="M1179" s="48" t="s">
        <v>1445</v>
      </c>
      <c r="N1179" s="48">
        <v>17088570674</v>
      </c>
      <c r="O1179" s="48">
        <v>17088567683</v>
      </c>
      <c r="P1179" s="48" t="s">
        <v>132</v>
      </c>
      <c r="Q1179" s="49" t="s">
        <v>1445</v>
      </c>
      <c r="R1179" s="49">
        <v>17083126558</v>
      </c>
      <c r="S1179" s="49">
        <v>17083121959</v>
      </c>
      <c r="T1179" s="49" t="s">
        <v>132</v>
      </c>
      <c r="U1179" s="50" t="s">
        <v>1445</v>
      </c>
      <c r="V1179" s="50">
        <v>17083126558</v>
      </c>
      <c r="W1179" s="50">
        <v>17083121959</v>
      </c>
      <c r="X1179" s="50" t="s">
        <v>132</v>
      </c>
      <c r="Y1179" s="50"/>
    </row>
    <row r="1180" spans="1:25" x14ac:dyDescent="0.25">
      <c r="A1180" s="25" t="s">
        <v>115</v>
      </c>
      <c r="B1180" t="b">
        <v>0</v>
      </c>
      <c r="C1180" s="43" t="s">
        <v>1446</v>
      </c>
      <c r="D1180" s="43">
        <v>321944</v>
      </c>
      <c r="E1180" s="43">
        <v>301461</v>
      </c>
      <c r="F1180" s="43" t="s">
        <v>117</v>
      </c>
      <c r="G1180" s="43" t="b">
        <v>0</v>
      </c>
      <c r="H1180" s="43" t="b">
        <v>0</v>
      </c>
      <c r="I1180" s="43"/>
      <c r="M1180" s="48" t="s">
        <v>1446</v>
      </c>
      <c r="N1180" s="48">
        <v>17088572650</v>
      </c>
      <c r="O1180" s="48">
        <v>17088567035</v>
      </c>
      <c r="P1180" s="48" t="s">
        <v>117</v>
      </c>
      <c r="Q1180" s="49" t="s">
        <v>1446</v>
      </c>
      <c r="R1180" s="49">
        <v>17083127937</v>
      </c>
      <c r="S1180" s="49">
        <v>17083123071</v>
      </c>
      <c r="T1180" s="49" t="s">
        <v>117</v>
      </c>
      <c r="U1180" s="50" t="s">
        <v>1446</v>
      </c>
      <c r="V1180" s="50">
        <v>17083127937</v>
      </c>
      <c r="W1180" s="50">
        <v>17083123071</v>
      </c>
      <c r="X1180" s="50" t="s">
        <v>117</v>
      </c>
      <c r="Y1180" s="50"/>
    </row>
    <row r="1181" spans="1:25" x14ac:dyDescent="0.25">
      <c r="A1181" s="25" t="s">
        <v>115</v>
      </c>
      <c r="B1181" t="b">
        <v>0</v>
      </c>
      <c r="C1181" s="43" t="s">
        <v>1447</v>
      </c>
      <c r="D1181" s="43">
        <v>320920</v>
      </c>
      <c r="E1181" s="43">
        <v>302549</v>
      </c>
      <c r="F1181" s="43" t="s">
        <v>119</v>
      </c>
      <c r="G1181" s="43" t="b">
        <v>0</v>
      </c>
      <c r="H1181" s="43" t="b">
        <v>0</v>
      </c>
      <c r="I1181" s="43"/>
      <c r="M1181" s="48" t="s">
        <v>1447</v>
      </c>
      <c r="N1181" s="48">
        <v>17088571370</v>
      </c>
      <c r="O1181" s="48">
        <v>17088567227</v>
      </c>
      <c r="P1181" s="48" t="s">
        <v>119</v>
      </c>
      <c r="Q1181" s="49" t="s">
        <v>1447</v>
      </c>
      <c r="R1181" s="49">
        <v>17083128705</v>
      </c>
      <c r="S1181" s="49">
        <v>17083122879</v>
      </c>
      <c r="T1181" s="49" t="s">
        <v>119</v>
      </c>
      <c r="U1181" s="50" t="s">
        <v>1447</v>
      </c>
      <c r="V1181" s="50">
        <v>17083128705</v>
      </c>
      <c r="W1181" s="50">
        <v>17083122879</v>
      </c>
      <c r="X1181" s="50" t="s">
        <v>119</v>
      </c>
      <c r="Y1181" s="50"/>
    </row>
    <row r="1182" spans="1:25" x14ac:dyDescent="0.25">
      <c r="A1182" s="25" t="s">
        <v>115</v>
      </c>
      <c r="B1182" t="b">
        <v>0</v>
      </c>
      <c r="C1182" s="43" t="s">
        <v>1448</v>
      </c>
      <c r="D1182" s="43">
        <v>322968</v>
      </c>
      <c r="E1182" s="43">
        <v>302969</v>
      </c>
      <c r="F1182" s="43" t="s">
        <v>117</v>
      </c>
      <c r="G1182" s="43" t="b">
        <v>0</v>
      </c>
      <c r="H1182" s="43" t="b">
        <v>0</v>
      </c>
      <c r="I1182" s="43"/>
      <c r="M1182" s="48" t="s">
        <v>1448</v>
      </c>
      <c r="N1182" s="48">
        <v>17088571734</v>
      </c>
      <c r="O1182" s="48">
        <v>17088569584</v>
      </c>
      <c r="P1182" s="48" t="s">
        <v>117</v>
      </c>
      <c r="Q1182" s="49" t="s">
        <v>1448</v>
      </c>
      <c r="R1182" s="49">
        <v>17083128105</v>
      </c>
      <c r="S1182" s="49">
        <v>17083128204</v>
      </c>
      <c r="T1182" s="49" t="s">
        <v>117</v>
      </c>
      <c r="U1182" s="50" t="s">
        <v>1448</v>
      </c>
      <c r="V1182" s="50">
        <v>17083128105</v>
      </c>
      <c r="W1182" s="50">
        <v>17083128204</v>
      </c>
      <c r="X1182" s="50" t="s">
        <v>117</v>
      </c>
      <c r="Y1182" s="50"/>
    </row>
    <row r="1183" spans="1:25" x14ac:dyDescent="0.25">
      <c r="A1183" s="25" t="s">
        <v>115</v>
      </c>
      <c r="B1183" t="b">
        <v>0</v>
      </c>
      <c r="C1183" s="43" t="s">
        <v>1449</v>
      </c>
      <c r="D1183" s="43">
        <v>320408</v>
      </c>
      <c r="E1183" s="43">
        <v>301445</v>
      </c>
      <c r="F1183" s="43" t="s">
        <v>132</v>
      </c>
      <c r="G1183" s="43" t="b">
        <v>0</v>
      </c>
      <c r="H1183" s="43" t="b">
        <v>0</v>
      </c>
      <c r="I1183" s="43"/>
      <c r="M1183" s="48" t="s">
        <v>1449</v>
      </c>
      <c r="N1183" s="48">
        <v>17088569494</v>
      </c>
      <c r="O1183" s="48">
        <v>17088573104</v>
      </c>
      <c r="P1183" s="48" t="s">
        <v>132</v>
      </c>
      <c r="Q1183" s="49" t="s">
        <v>1449</v>
      </c>
      <c r="R1183" s="49">
        <v>17083129161</v>
      </c>
      <c r="S1183" s="49">
        <v>17083125772</v>
      </c>
      <c r="T1183" s="49" t="s">
        <v>132</v>
      </c>
      <c r="U1183" s="50" t="s">
        <v>1449</v>
      </c>
      <c r="V1183" s="50">
        <v>17083129161</v>
      </c>
      <c r="W1183" s="50">
        <v>17083125772</v>
      </c>
      <c r="X1183" s="50" t="s">
        <v>132</v>
      </c>
      <c r="Y1183" s="50"/>
    </row>
    <row r="1184" spans="1:25" x14ac:dyDescent="0.25">
      <c r="A1184" s="25" t="s">
        <v>115</v>
      </c>
      <c r="B1184" t="b">
        <v>0</v>
      </c>
      <c r="C1184" s="43" t="s">
        <v>1450</v>
      </c>
      <c r="D1184" s="43">
        <v>322456</v>
      </c>
      <c r="E1184" s="43">
        <v>299897</v>
      </c>
      <c r="F1184" s="43" t="s">
        <v>132</v>
      </c>
      <c r="G1184" s="43" t="b">
        <v>0</v>
      </c>
      <c r="H1184" s="43" t="b">
        <v>0</v>
      </c>
      <c r="I1184" s="43"/>
      <c r="M1184" s="48" t="s">
        <v>1450</v>
      </c>
      <c r="N1184" s="48">
        <v>17088569750</v>
      </c>
      <c r="O1184" s="48">
        <v>17088572144</v>
      </c>
      <c r="P1184" s="48" t="s">
        <v>132</v>
      </c>
      <c r="Q1184" s="49" t="s">
        <v>1450</v>
      </c>
      <c r="R1184" s="49">
        <v>17083128521</v>
      </c>
      <c r="S1184" s="49">
        <v>17083127692</v>
      </c>
      <c r="T1184" s="49" t="s">
        <v>132</v>
      </c>
      <c r="U1184" s="50" t="s">
        <v>1450</v>
      </c>
      <c r="V1184" s="50">
        <v>17083128521</v>
      </c>
      <c r="W1184" s="50">
        <v>17083127692</v>
      </c>
      <c r="X1184" s="50" t="s">
        <v>132</v>
      </c>
      <c r="Y1184" s="50"/>
    </row>
    <row r="1185" spans="1:25" x14ac:dyDescent="0.25">
      <c r="A1185" s="25" t="s">
        <v>115</v>
      </c>
      <c r="B1185" t="b">
        <v>0</v>
      </c>
      <c r="C1185" s="43" t="s">
        <v>1451</v>
      </c>
      <c r="D1185" s="43">
        <v>321432</v>
      </c>
      <c r="E1185" s="43">
        <v>299509</v>
      </c>
      <c r="F1185" s="43" t="s">
        <v>383</v>
      </c>
      <c r="G1185" s="43" t="b">
        <v>0</v>
      </c>
      <c r="H1185" s="43" t="b">
        <v>0</v>
      </c>
      <c r="I1185" s="43"/>
      <c r="M1185" s="48" t="s">
        <v>1451</v>
      </c>
      <c r="N1185" s="48">
        <v>17088573162</v>
      </c>
      <c r="O1185" s="48">
        <v>17088565979</v>
      </c>
      <c r="P1185" s="48" t="s">
        <v>383</v>
      </c>
      <c r="Q1185" s="49" t="s">
        <v>1451</v>
      </c>
      <c r="R1185" s="49">
        <v>17083128449</v>
      </c>
      <c r="S1185" s="49">
        <v>17083123039</v>
      </c>
      <c r="T1185" s="49" t="s">
        <v>383</v>
      </c>
      <c r="U1185" s="50" t="s">
        <v>1451</v>
      </c>
      <c r="V1185" s="50">
        <v>17083128449</v>
      </c>
      <c r="W1185" s="50">
        <v>17083123039</v>
      </c>
      <c r="X1185" s="50" t="s">
        <v>383</v>
      </c>
      <c r="Y1185" s="50"/>
    </row>
    <row r="1186" spans="1:25" x14ac:dyDescent="0.25">
      <c r="A1186" s="25" t="s">
        <v>115</v>
      </c>
      <c r="B1186" t="b">
        <v>0</v>
      </c>
      <c r="C1186" s="43" t="s">
        <v>1452</v>
      </c>
      <c r="D1186" s="43">
        <v>320052</v>
      </c>
      <c r="E1186" s="43">
        <v>302311</v>
      </c>
      <c r="F1186" s="43" t="s">
        <v>125</v>
      </c>
      <c r="G1186" s="43" t="b">
        <v>1</v>
      </c>
      <c r="H1186" s="43" t="b">
        <v>0</v>
      </c>
      <c r="I1186" s="43" t="s">
        <v>126</v>
      </c>
      <c r="M1186" s="48" t="s">
        <v>1452</v>
      </c>
      <c r="N1186" s="48">
        <v>17088571468</v>
      </c>
      <c r="O1186" s="48">
        <v>17088565864</v>
      </c>
      <c r="P1186" s="48" t="s">
        <v>125</v>
      </c>
      <c r="Q1186" s="49" t="s">
        <v>1452</v>
      </c>
      <c r="R1186" s="49">
        <v>17083128762</v>
      </c>
      <c r="S1186" s="49">
        <v>17083125554</v>
      </c>
      <c r="T1186" s="49" t="s">
        <v>125</v>
      </c>
      <c r="U1186" s="50" t="s">
        <v>1452</v>
      </c>
      <c r="V1186" s="50">
        <v>17083128762</v>
      </c>
      <c r="W1186" s="50">
        <v>17083125554</v>
      </c>
      <c r="X1186" s="50" t="s">
        <v>125</v>
      </c>
      <c r="Y1186" s="50">
        <v>120508</v>
      </c>
    </row>
    <row r="1187" spans="1:25" x14ac:dyDescent="0.25">
      <c r="A1187" s="25" t="s">
        <v>115</v>
      </c>
      <c r="B1187" t="b">
        <v>0</v>
      </c>
      <c r="C1187" s="43" t="s">
        <v>1453</v>
      </c>
      <c r="D1187" s="43">
        <v>322100</v>
      </c>
      <c r="E1187" s="43">
        <v>290135</v>
      </c>
      <c r="F1187" s="43" t="s">
        <v>123</v>
      </c>
      <c r="G1187" s="43" t="b">
        <v>0</v>
      </c>
      <c r="H1187" s="43" t="b">
        <v>0</v>
      </c>
      <c r="I1187" s="43" t="s">
        <v>134</v>
      </c>
      <c r="M1187" s="48" t="s">
        <v>1453</v>
      </c>
      <c r="N1187" s="48">
        <v>17088572278</v>
      </c>
      <c r="O1187" s="48">
        <v>17088557410</v>
      </c>
      <c r="P1187" s="48" t="s">
        <v>123</v>
      </c>
      <c r="Q1187" s="49" t="s">
        <v>1453</v>
      </c>
      <c r="R1187" s="49">
        <v>17083126233</v>
      </c>
      <c r="S1187" s="49">
        <v>17083092838</v>
      </c>
      <c r="T1187" s="49" t="s">
        <v>123</v>
      </c>
      <c r="U1187" s="50" t="s">
        <v>1453</v>
      </c>
      <c r="V1187" s="50">
        <v>17083126233</v>
      </c>
      <c r="W1187" s="50">
        <v>17083092838</v>
      </c>
      <c r="X1187" s="50" t="s">
        <v>123</v>
      </c>
      <c r="Y1187" s="50"/>
    </row>
    <row r="1188" spans="1:25" x14ac:dyDescent="0.25">
      <c r="A1188" s="25" t="s">
        <v>115</v>
      </c>
      <c r="B1188" t="b">
        <v>0</v>
      </c>
      <c r="C1188" s="43" t="s">
        <v>1454</v>
      </c>
      <c r="D1188" s="43">
        <v>321076</v>
      </c>
      <c r="E1188" s="43">
        <v>287799</v>
      </c>
      <c r="F1188" s="43" t="s">
        <v>119</v>
      </c>
      <c r="G1188" s="43" t="b">
        <v>0</v>
      </c>
      <c r="H1188" s="43" t="b">
        <v>0</v>
      </c>
      <c r="I1188" s="43"/>
      <c r="M1188" s="48" t="s">
        <v>1454</v>
      </c>
      <c r="N1188" s="48">
        <v>17088570510</v>
      </c>
      <c r="O1188" s="48">
        <v>17088560034</v>
      </c>
      <c r="P1188" s="48" t="s">
        <v>119</v>
      </c>
      <c r="Q1188" s="49" t="s">
        <v>1454</v>
      </c>
      <c r="R1188" s="49">
        <v>17083127929</v>
      </c>
      <c r="S1188" s="49">
        <v>17083089510</v>
      </c>
      <c r="T1188" s="49" t="s">
        <v>119</v>
      </c>
      <c r="U1188" s="50" t="s">
        <v>1454</v>
      </c>
      <c r="V1188" s="50">
        <v>17083127929</v>
      </c>
      <c r="W1188" s="50">
        <v>17083089510</v>
      </c>
      <c r="X1188" s="50" t="s">
        <v>119</v>
      </c>
      <c r="Y1188" s="50"/>
    </row>
    <row r="1189" spans="1:25" x14ac:dyDescent="0.25">
      <c r="A1189" s="25" t="s">
        <v>115</v>
      </c>
      <c r="B1189" t="b">
        <v>0</v>
      </c>
      <c r="C1189" s="43" t="s">
        <v>1455</v>
      </c>
      <c r="D1189" s="43">
        <v>323124</v>
      </c>
      <c r="E1189" s="43">
        <v>289403</v>
      </c>
      <c r="F1189" s="43" t="s">
        <v>186</v>
      </c>
      <c r="G1189" s="43" t="b">
        <v>0</v>
      </c>
      <c r="H1189" s="43" t="b">
        <v>0</v>
      </c>
      <c r="I1189" s="43"/>
      <c r="M1189" s="48" t="s">
        <v>1455</v>
      </c>
      <c r="N1189" s="48">
        <v>17088572286</v>
      </c>
      <c r="O1189" s="48">
        <v>17088562839</v>
      </c>
      <c r="P1189" s="48" t="s">
        <v>186</v>
      </c>
      <c r="Q1189" s="49" t="s">
        <v>1455</v>
      </c>
      <c r="R1189" s="49">
        <v>17083129138</v>
      </c>
      <c r="S1189" s="49">
        <v>17083121860</v>
      </c>
      <c r="T1189" s="49" t="s">
        <v>186</v>
      </c>
      <c r="U1189" s="50" t="s">
        <v>1455</v>
      </c>
      <c r="V1189" s="50">
        <v>17083129138</v>
      </c>
      <c r="W1189" s="50">
        <v>17083121860</v>
      </c>
      <c r="X1189" s="50" t="s">
        <v>186</v>
      </c>
      <c r="Y1189" s="50"/>
    </row>
    <row r="1190" spans="1:25" x14ac:dyDescent="0.25">
      <c r="A1190" s="25" t="s">
        <v>115</v>
      </c>
      <c r="B1190" t="b">
        <v>0</v>
      </c>
      <c r="C1190" s="43" t="s">
        <v>1456</v>
      </c>
      <c r="D1190" s="43">
        <v>319796</v>
      </c>
      <c r="E1190" s="43">
        <v>288527</v>
      </c>
      <c r="F1190" s="43" t="s">
        <v>117</v>
      </c>
      <c r="G1190" s="43" t="b">
        <v>0</v>
      </c>
      <c r="H1190" s="43" t="b">
        <v>0</v>
      </c>
      <c r="I1190" s="43"/>
      <c r="M1190" s="48" t="s">
        <v>1456</v>
      </c>
      <c r="N1190" s="48">
        <v>17088571598</v>
      </c>
      <c r="O1190" s="48">
        <v>17088559370</v>
      </c>
      <c r="P1190" s="48" t="s">
        <v>117</v>
      </c>
      <c r="Q1190" s="49" t="s">
        <v>1456</v>
      </c>
      <c r="R1190" s="49">
        <v>17083126789</v>
      </c>
      <c r="S1190" s="49">
        <v>17083123776</v>
      </c>
      <c r="T1190" s="49" t="s">
        <v>117</v>
      </c>
      <c r="U1190" s="50" t="s">
        <v>1456</v>
      </c>
      <c r="V1190" s="50">
        <v>17083126789</v>
      </c>
      <c r="W1190" s="50">
        <v>17083123776</v>
      </c>
      <c r="X1190" s="50" t="s">
        <v>117</v>
      </c>
      <c r="Y1190" s="50"/>
    </row>
    <row r="1191" spans="1:25" x14ac:dyDescent="0.25">
      <c r="A1191" s="25" t="s">
        <v>115</v>
      </c>
      <c r="B1191" t="b">
        <v>0</v>
      </c>
      <c r="C1191" s="43" t="s">
        <v>1457</v>
      </c>
      <c r="D1191" s="43">
        <v>321844</v>
      </c>
      <c r="E1191" s="43">
        <v>289967</v>
      </c>
      <c r="F1191" s="43" t="s">
        <v>125</v>
      </c>
      <c r="G1191" s="43" t="b">
        <v>0</v>
      </c>
      <c r="H1191" s="43" t="b">
        <v>0</v>
      </c>
      <c r="I1191" s="43" t="s">
        <v>126</v>
      </c>
      <c r="M1191" s="48" t="s">
        <v>1457</v>
      </c>
      <c r="N1191" s="48">
        <v>17088569550</v>
      </c>
      <c r="O1191" s="48">
        <v>17088558322</v>
      </c>
      <c r="P1191" s="48" t="s">
        <v>125</v>
      </c>
      <c r="Q1191" s="49" t="s">
        <v>1457</v>
      </c>
      <c r="R1191" s="49">
        <v>17083127813</v>
      </c>
      <c r="S1191" s="49">
        <v>17083122944</v>
      </c>
      <c r="T1191" s="49" t="s">
        <v>125</v>
      </c>
      <c r="U1191" s="50" t="s">
        <v>1457</v>
      </c>
      <c r="V1191" s="50">
        <v>17083127813</v>
      </c>
      <c r="W1191" s="50">
        <v>17083122944</v>
      </c>
      <c r="X1191" s="50" t="s">
        <v>125</v>
      </c>
      <c r="Y1191" s="50"/>
    </row>
    <row r="1192" spans="1:25" x14ac:dyDescent="0.25">
      <c r="A1192" s="25" t="s">
        <v>115</v>
      </c>
      <c r="B1192" t="b">
        <v>1</v>
      </c>
      <c r="C1192" s="43" t="s">
        <v>1458</v>
      </c>
      <c r="D1192" s="43">
        <v>320820</v>
      </c>
      <c r="E1192" s="43">
        <v>288807</v>
      </c>
      <c r="F1192" s="43" t="s">
        <v>125</v>
      </c>
      <c r="G1192" s="43" t="b">
        <v>1</v>
      </c>
      <c r="H1192" s="43" t="b">
        <v>0</v>
      </c>
      <c r="I1192" s="43" t="s">
        <v>126</v>
      </c>
      <c r="M1192" s="48" t="s">
        <v>1458</v>
      </c>
      <c r="N1192" s="48">
        <v>17088571436</v>
      </c>
      <c r="O1192" s="48">
        <v>17088567684</v>
      </c>
      <c r="P1192" s="48" t="s">
        <v>125</v>
      </c>
      <c r="Q1192" s="49" t="s">
        <v>1458</v>
      </c>
      <c r="R1192" s="49">
        <v>17083127302</v>
      </c>
      <c r="S1192" s="49">
        <v>17083124714</v>
      </c>
      <c r="T1192" s="49" t="s">
        <v>125</v>
      </c>
      <c r="U1192" s="50" t="s">
        <v>1458</v>
      </c>
      <c r="V1192" s="50">
        <v>17083127302</v>
      </c>
      <c r="W1192" s="50">
        <v>17083124714</v>
      </c>
      <c r="X1192" s="50" t="s">
        <v>125</v>
      </c>
      <c r="Y1192" s="50">
        <v>120511</v>
      </c>
    </row>
    <row r="1193" spans="1:25" x14ac:dyDescent="0.25">
      <c r="A1193" s="25" t="s">
        <v>115</v>
      </c>
      <c r="B1193" t="b">
        <v>0</v>
      </c>
      <c r="C1193" s="43" t="s">
        <v>1459</v>
      </c>
      <c r="D1193" s="43">
        <v>322868</v>
      </c>
      <c r="E1193" s="43">
        <v>289671</v>
      </c>
      <c r="F1193" s="43" t="s">
        <v>123</v>
      </c>
      <c r="G1193" s="43" t="b">
        <v>0</v>
      </c>
      <c r="H1193" s="43" t="b">
        <v>0</v>
      </c>
      <c r="I1193" s="43"/>
      <c r="M1193" s="48" t="s">
        <v>1459</v>
      </c>
      <c r="N1193" s="48">
        <v>17088571084</v>
      </c>
      <c r="O1193" s="48">
        <v>17088565828</v>
      </c>
      <c r="P1193" s="48" t="s">
        <v>123</v>
      </c>
      <c r="Q1193" s="49" t="s">
        <v>1459</v>
      </c>
      <c r="R1193" s="49">
        <v>17083129338</v>
      </c>
      <c r="S1193" s="49">
        <v>17083125274</v>
      </c>
      <c r="T1193" s="49" t="s">
        <v>123</v>
      </c>
      <c r="U1193" s="50" t="s">
        <v>1459</v>
      </c>
      <c r="V1193" s="50">
        <v>17083129338</v>
      </c>
      <c r="W1193" s="50">
        <v>17083125274</v>
      </c>
      <c r="X1193" s="50" t="s">
        <v>123</v>
      </c>
      <c r="Y1193" s="50"/>
    </row>
    <row r="1194" spans="1:25" x14ac:dyDescent="0.25">
      <c r="A1194" s="25" t="s">
        <v>115</v>
      </c>
      <c r="B1194" t="b">
        <v>0</v>
      </c>
      <c r="C1194" s="43" t="s">
        <v>1460</v>
      </c>
      <c r="D1194" s="43">
        <v>320308</v>
      </c>
      <c r="E1194" s="43">
        <v>289575</v>
      </c>
      <c r="F1194" s="43" t="s">
        <v>125</v>
      </c>
      <c r="G1194" s="43" t="b">
        <v>0</v>
      </c>
      <c r="H1194" s="43" t="b">
        <v>0</v>
      </c>
      <c r="I1194" s="43" t="s">
        <v>126</v>
      </c>
      <c r="M1194" s="48" t="s">
        <v>1460</v>
      </c>
      <c r="N1194" s="48">
        <v>17088569388</v>
      </c>
      <c r="O1194" s="48">
        <v>17088566788</v>
      </c>
      <c r="P1194" s="48" t="s">
        <v>125</v>
      </c>
      <c r="Q1194" s="49" t="s">
        <v>1460</v>
      </c>
      <c r="R1194" s="49">
        <v>17083128326</v>
      </c>
      <c r="S1194" s="49">
        <v>17083123050</v>
      </c>
      <c r="T1194" s="49" t="s">
        <v>125</v>
      </c>
      <c r="U1194" s="50" t="s">
        <v>1460</v>
      </c>
      <c r="V1194" s="50">
        <v>17083128326</v>
      </c>
      <c r="W1194" s="50">
        <v>17083123050</v>
      </c>
      <c r="X1194" s="50" t="s">
        <v>125</v>
      </c>
      <c r="Y1194" s="50"/>
    </row>
    <row r="1195" spans="1:25" x14ac:dyDescent="0.25">
      <c r="A1195" s="25" t="s">
        <v>115</v>
      </c>
      <c r="B1195" t="b">
        <v>0</v>
      </c>
      <c r="C1195" s="43" t="s">
        <v>1461</v>
      </c>
      <c r="D1195" s="43">
        <v>322356</v>
      </c>
      <c r="E1195" s="43">
        <v>289391</v>
      </c>
      <c r="F1195" s="43" t="s">
        <v>119</v>
      </c>
      <c r="G1195" s="43" t="b">
        <v>0</v>
      </c>
      <c r="H1195" s="43" t="b">
        <v>0</v>
      </c>
      <c r="I1195" s="43"/>
      <c r="M1195" s="48" t="s">
        <v>1461</v>
      </c>
      <c r="N1195" s="48">
        <v>17088573262</v>
      </c>
      <c r="O1195" s="48">
        <v>17088557938</v>
      </c>
      <c r="P1195" s="48" t="s">
        <v>119</v>
      </c>
      <c r="Q1195" s="49" t="s">
        <v>1461</v>
      </c>
      <c r="R1195" s="49">
        <v>17083125765</v>
      </c>
      <c r="S1195" s="49">
        <v>17083122176</v>
      </c>
      <c r="T1195" s="49" t="s">
        <v>119</v>
      </c>
      <c r="U1195" s="50" t="s">
        <v>1461</v>
      </c>
      <c r="V1195" s="50">
        <v>17083125765</v>
      </c>
      <c r="W1195" s="50">
        <v>17083122176</v>
      </c>
      <c r="X1195" s="50" t="s">
        <v>119</v>
      </c>
      <c r="Y1195" s="50"/>
    </row>
    <row r="1196" spans="1:25" x14ac:dyDescent="0.25">
      <c r="A1196" s="25" t="s">
        <v>248</v>
      </c>
      <c r="B1196" t="b">
        <v>0</v>
      </c>
      <c r="C1196" s="43" t="s">
        <v>1462</v>
      </c>
      <c r="D1196" s="43">
        <v>321332</v>
      </c>
      <c r="E1196" s="43">
        <v>288471</v>
      </c>
      <c r="F1196" s="43" t="s">
        <v>173</v>
      </c>
      <c r="G1196" s="43" t="b">
        <v>0</v>
      </c>
      <c r="H1196" s="43" t="b">
        <v>0</v>
      </c>
      <c r="I1196" s="43"/>
      <c r="J1196" s="45" t="s">
        <v>1462</v>
      </c>
      <c r="K1196" s="46">
        <v>288471</v>
      </c>
      <c r="M1196" s="48" t="s">
        <v>1462</v>
      </c>
      <c r="N1196" s="48">
        <v>17088571265</v>
      </c>
      <c r="O1196" s="48">
        <v>17088564943</v>
      </c>
      <c r="P1196" s="48" t="s">
        <v>173</v>
      </c>
      <c r="Q1196" s="49" t="s">
        <v>1462</v>
      </c>
      <c r="R1196" s="49">
        <v>17083128562</v>
      </c>
      <c r="S1196" s="49">
        <v>17083124532</v>
      </c>
      <c r="T1196" s="49" t="s">
        <v>173</v>
      </c>
      <c r="U1196" s="50" t="s">
        <v>1462</v>
      </c>
      <c r="V1196" s="50">
        <v>17083128562</v>
      </c>
      <c r="W1196" s="50">
        <v>17083124532</v>
      </c>
      <c r="X1196" s="50" t="s">
        <v>173</v>
      </c>
      <c r="Y1196" s="50"/>
    </row>
    <row r="1197" spans="1:25" x14ac:dyDescent="0.25">
      <c r="A1197" s="25" t="s">
        <v>115</v>
      </c>
      <c r="B1197" t="b">
        <v>0</v>
      </c>
      <c r="C1197" s="43" t="s">
        <v>1463</v>
      </c>
      <c r="D1197" s="43">
        <v>323380</v>
      </c>
      <c r="E1197" s="43">
        <v>287975</v>
      </c>
      <c r="F1197" s="43" t="s">
        <v>123</v>
      </c>
      <c r="G1197" s="43" t="b">
        <v>0</v>
      </c>
      <c r="H1197" s="43" t="b">
        <v>0</v>
      </c>
      <c r="I1197" s="43"/>
      <c r="M1197" s="48" t="s">
        <v>1463</v>
      </c>
      <c r="N1197" s="48">
        <v>17088571724</v>
      </c>
      <c r="O1197" s="48">
        <v>17088566520</v>
      </c>
      <c r="P1197" s="48" t="s">
        <v>123</v>
      </c>
      <c r="Q1197" s="49" t="s">
        <v>1463</v>
      </c>
      <c r="R1197" s="49">
        <v>17083128698</v>
      </c>
      <c r="S1197" s="49">
        <v>17083123370</v>
      </c>
      <c r="T1197" s="49" t="s">
        <v>123</v>
      </c>
      <c r="U1197" s="50" t="s">
        <v>1463</v>
      </c>
      <c r="V1197" s="50">
        <v>17083128698</v>
      </c>
      <c r="W1197" s="50">
        <v>17083123370</v>
      </c>
      <c r="X1197" s="50" t="s">
        <v>123</v>
      </c>
      <c r="Y1197" s="50"/>
    </row>
    <row r="1198" spans="1:25" x14ac:dyDescent="0.25">
      <c r="A1198" s="25" t="s">
        <v>115</v>
      </c>
      <c r="B1198" t="b">
        <v>0</v>
      </c>
      <c r="C1198" s="43" t="s">
        <v>1464</v>
      </c>
      <c r="D1198" s="43">
        <v>319668</v>
      </c>
      <c r="E1198" s="43">
        <v>288039</v>
      </c>
      <c r="F1198" s="43" t="s">
        <v>125</v>
      </c>
      <c r="G1198" s="43" t="b">
        <v>0</v>
      </c>
      <c r="H1198" s="43" t="b">
        <v>0</v>
      </c>
      <c r="I1198" s="43"/>
      <c r="M1198" s="48" t="s">
        <v>1464</v>
      </c>
      <c r="N1198" s="48">
        <v>17088570828</v>
      </c>
      <c r="O1198" s="48">
        <v>17088567556</v>
      </c>
      <c r="P1198" s="48" t="s">
        <v>125</v>
      </c>
      <c r="Q1198" s="49" t="s">
        <v>1464</v>
      </c>
      <c r="R1198" s="49">
        <v>17083128826</v>
      </c>
      <c r="S1198" s="49">
        <v>17083124586</v>
      </c>
      <c r="T1198" s="49" t="s">
        <v>125</v>
      </c>
      <c r="U1198" s="50" t="s">
        <v>1464</v>
      </c>
      <c r="V1198" s="50">
        <v>17083128826</v>
      </c>
      <c r="W1198" s="50">
        <v>17083124586</v>
      </c>
      <c r="X1198" s="50" t="s">
        <v>125</v>
      </c>
      <c r="Y1198" s="50"/>
    </row>
    <row r="1199" spans="1:25" x14ac:dyDescent="0.25">
      <c r="A1199" s="25" t="s">
        <v>115</v>
      </c>
      <c r="B1199" t="b">
        <v>0</v>
      </c>
      <c r="C1199" s="43" t="s">
        <v>1465</v>
      </c>
      <c r="D1199" s="43">
        <v>321716</v>
      </c>
      <c r="E1199" s="43">
        <v>289511</v>
      </c>
      <c r="F1199" s="43" t="s">
        <v>123</v>
      </c>
      <c r="G1199" s="43" t="b">
        <v>0</v>
      </c>
      <c r="H1199" s="43" t="b">
        <v>0</v>
      </c>
      <c r="I1199" s="43"/>
      <c r="M1199" s="48" t="s">
        <v>1465</v>
      </c>
      <c r="N1199" s="48">
        <v>17088571212</v>
      </c>
      <c r="O1199" s="48">
        <v>17088569208</v>
      </c>
      <c r="P1199" s="48" t="s">
        <v>123</v>
      </c>
      <c r="Q1199" s="49" t="s">
        <v>1465</v>
      </c>
      <c r="R1199" s="49">
        <v>17083127034</v>
      </c>
      <c r="S1199" s="49">
        <v>17083124906</v>
      </c>
      <c r="T1199" s="49" t="s">
        <v>123</v>
      </c>
      <c r="U1199" s="50" t="s">
        <v>1465</v>
      </c>
      <c r="V1199" s="50">
        <v>17083127034</v>
      </c>
      <c r="W1199" s="50">
        <v>17083124906</v>
      </c>
      <c r="X1199" s="50" t="s">
        <v>123</v>
      </c>
      <c r="Y1199" s="50"/>
    </row>
    <row r="1200" spans="1:25" x14ac:dyDescent="0.25">
      <c r="A1200" s="25" t="s">
        <v>115</v>
      </c>
      <c r="B1200" t="b">
        <v>0</v>
      </c>
      <c r="C1200" s="43" t="s">
        <v>1466</v>
      </c>
      <c r="D1200" s="43">
        <v>320692</v>
      </c>
      <c r="E1200" s="43">
        <v>287207</v>
      </c>
      <c r="F1200" s="43" t="s">
        <v>123</v>
      </c>
      <c r="G1200" s="43" t="b">
        <v>0</v>
      </c>
      <c r="H1200" s="43" t="b">
        <v>0</v>
      </c>
      <c r="I1200" s="43"/>
      <c r="M1200" s="48" t="s">
        <v>1466</v>
      </c>
      <c r="N1200" s="48">
        <v>17088572108</v>
      </c>
      <c r="O1200" s="48">
        <v>17088566136</v>
      </c>
      <c r="P1200" s="48" t="s">
        <v>123</v>
      </c>
      <c r="Q1200" s="49" t="s">
        <v>1466</v>
      </c>
      <c r="R1200" s="49">
        <v>17083127290</v>
      </c>
      <c r="S1200" s="49">
        <v>17083121834</v>
      </c>
      <c r="T1200" s="49" t="s">
        <v>123</v>
      </c>
      <c r="U1200" s="50" t="s">
        <v>1466</v>
      </c>
      <c r="V1200" s="50">
        <v>17083127290</v>
      </c>
      <c r="W1200" s="50">
        <v>17083121834</v>
      </c>
      <c r="X1200" s="50" t="s">
        <v>123</v>
      </c>
      <c r="Y1200" s="50"/>
    </row>
    <row r="1201" spans="1:25" x14ac:dyDescent="0.25">
      <c r="A1201" s="25" t="s">
        <v>115</v>
      </c>
      <c r="B1201" t="b">
        <v>0</v>
      </c>
      <c r="C1201" s="43" t="s">
        <v>1467</v>
      </c>
      <c r="D1201" s="43">
        <v>322740</v>
      </c>
      <c r="E1201" s="43">
        <v>289039</v>
      </c>
      <c r="F1201" s="43" t="s">
        <v>383</v>
      </c>
      <c r="G1201" s="43" t="b">
        <v>0</v>
      </c>
      <c r="H1201" s="43" t="b">
        <v>0</v>
      </c>
      <c r="I1201" s="43"/>
      <c r="M1201" s="48" t="s">
        <v>1467</v>
      </c>
      <c r="N1201" s="48">
        <v>17088572366</v>
      </c>
      <c r="O1201" s="48">
        <v>17088558858</v>
      </c>
      <c r="P1201" s="48" t="s">
        <v>383</v>
      </c>
      <c r="Q1201" s="49" t="s">
        <v>1467</v>
      </c>
      <c r="R1201" s="49">
        <v>17083126533</v>
      </c>
      <c r="S1201" s="49">
        <v>17083123264</v>
      </c>
      <c r="T1201" s="49" t="s">
        <v>383</v>
      </c>
      <c r="U1201" s="50" t="s">
        <v>1467</v>
      </c>
      <c r="V1201" s="50">
        <v>17083126533</v>
      </c>
      <c r="W1201" s="50">
        <v>17083123264</v>
      </c>
      <c r="X1201" s="50" t="s">
        <v>383</v>
      </c>
      <c r="Y1201" s="50"/>
    </row>
    <row r="1202" spans="1:25" x14ac:dyDescent="0.25">
      <c r="A1202" s="25" t="s">
        <v>115</v>
      </c>
      <c r="B1202" t="b">
        <v>0</v>
      </c>
      <c r="C1202" s="43" t="s">
        <v>1468</v>
      </c>
      <c r="D1202" s="43">
        <v>320180</v>
      </c>
      <c r="E1202" s="43">
        <v>290511</v>
      </c>
      <c r="F1202" s="43" t="s">
        <v>132</v>
      </c>
      <c r="G1202" s="43" t="b">
        <v>0</v>
      </c>
      <c r="H1202" s="43" t="b">
        <v>0</v>
      </c>
      <c r="I1202" s="43"/>
      <c r="J1202" s="45" t="s">
        <v>1469</v>
      </c>
      <c r="K1202" s="46">
        <v>290511</v>
      </c>
      <c r="L1202" s="47">
        <v>990000570</v>
      </c>
      <c r="M1202" s="48" t="s">
        <v>1468</v>
      </c>
      <c r="N1202" s="48">
        <v>17088569806</v>
      </c>
      <c r="O1202" s="48">
        <v>17088557066</v>
      </c>
      <c r="P1202" s="48" t="s">
        <v>132</v>
      </c>
      <c r="Q1202" s="49" t="s">
        <v>1468</v>
      </c>
      <c r="R1202" s="49">
        <v>17083129349</v>
      </c>
      <c r="S1202" s="49">
        <v>17083122048</v>
      </c>
      <c r="T1202" s="49" t="s">
        <v>132</v>
      </c>
      <c r="U1202" s="50" t="s">
        <v>1468</v>
      </c>
      <c r="V1202" s="50">
        <v>17083129349</v>
      </c>
      <c r="W1202" s="50">
        <v>17083122048</v>
      </c>
      <c r="X1202" s="50" t="s">
        <v>132</v>
      </c>
      <c r="Y1202" s="50"/>
    </row>
    <row r="1203" spans="1:25" x14ac:dyDescent="0.25">
      <c r="A1203" s="25" t="s">
        <v>115</v>
      </c>
      <c r="B1203" t="b">
        <v>0</v>
      </c>
      <c r="C1203" s="43" t="s">
        <v>1470</v>
      </c>
      <c r="D1203" s="43">
        <v>322228</v>
      </c>
      <c r="E1203" s="43">
        <v>289799</v>
      </c>
      <c r="F1203" s="43" t="s">
        <v>119</v>
      </c>
      <c r="G1203" s="43" t="b">
        <v>0</v>
      </c>
      <c r="H1203" s="43" t="b">
        <v>0</v>
      </c>
      <c r="I1203" s="43"/>
      <c r="M1203" s="48" t="s">
        <v>1470</v>
      </c>
      <c r="N1203" s="48">
        <v>17088570060</v>
      </c>
      <c r="O1203" s="48">
        <v>17088567236</v>
      </c>
      <c r="P1203" s="48" t="s">
        <v>119</v>
      </c>
      <c r="Q1203" s="49" t="s">
        <v>1470</v>
      </c>
      <c r="R1203" s="49">
        <v>17083128314</v>
      </c>
      <c r="S1203" s="49">
        <v>17083123802</v>
      </c>
      <c r="T1203" s="49" t="s">
        <v>119</v>
      </c>
      <c r="U1203" s="50" t="s">
        <v>1470</v>
      </c>
      <c r="V1203" s="50">
        <v>17083128314</v>
      </c>
      <c r="W1203" s="50">
        <v>17083123802</v>
      </c>
      <c r="X1203" s="50" t="s">
        <v>119</v>
      </c>
      <c r="Y1203" s="50"/>
    </row>
    <row r="1204" spans="1:25" x14ac:dyDescent="0.25">
      <c r="A1204" s="25" t="s">
        <v>115</v>
      </c>
      <c r="B1204" t="b">
        <v>0</v>
      </c>
      <c r="C1204" s="43" t="s">
        <v>1471</v>
      </c>
      <c r="D1204" s="43">
        <v>321204</v>
      </c>
      <c r="E1204" s="43">
        <v>286983</v>
      </c>
      <c r="F1204" s="43" t="s">
        <v>123</v>
      </c>
      <c r="G1204" s="43" t="b">
        <v>0</v>
      </c>
      <c r="H1204" s="43" t="b">
        <v>0</v>
      </c>
      <c r="I1204" s="43"/>
      <c r="M1204" s="48" t="s">
        <v>1471</v>
      </c>
      <c r="N1204" s="48">
        <v>17088572620</v>
      </c>
      <c r="O1204" s="48">
        <v>17088569028</v>
      </c>
      <c r="P1204" s="48" t="s">
        <v>123</v>
      </c>
      <c r="Q1204" s="49" t="s">
        <v>1471</v>
      </c>
      <c r="R1204" s="49">
        <v>17083126266</v>
      </c>
      <c r="S1204" s="49">
        <v>17083123098</v>
      </c>
      <c r="T1204" s="49" t="s">
        <v>123</v>
      </c>
      <c r="U1204" s="50" t="s">
        <v>1471</v>
      </c>
      <c r="V1204" s="50">
        <v>17083126266</v>
      </c>
      <c r="W1204" s="50">
        <v>17083123098</v>
      </c>
      <c r="X1204" s="50" t="s">
        <v>123</v>
      </c>
      <c r="Y1204" s="50"/>
    </row>
    <row r="1205" spans="1:25" x14ac:dyDescent="0.25">
      <c r="A1205" s="25" t="s">
        <v>115</v>
      </c>
      <c r="B1205" t="b">
        <v>0</v>
      </c>
      <c r="C1205" s="43" t="s">
        <v>1472</v>
      </c>
      <c r="D1205" s="43">
        <v>323252</v>
      </c>
      <c r="E1205" s="43">
        <v>290119</v>
      </c>
      <c r="F1205" s="43" t="s">
        <v>119</v>
      </c>
      <c r="G1205" s="43" t="b">
        <v>0</v>
      </c>
      <c r="H1205" s="43" t="b">
        <v>0</v>
      </c>
      <c r="I1205" s="43"/>
      <c r="M1205" s="48" t="s">
        <v>1472</v>
      </c>
      <c r="N1205" s="48">
        <v>17088570316</v>
      </c>
      <c r="O1205" s="48">
        <v>17088568196</v>
      </c>
      <c r="P1205" s="48" t="s">
        <v>119</v>
      </c>
      <c r="Q1205" s="49" t="s">
        <v>1472</v>
      </c>
      <c r="R1205" s="49">
        <v>17083125766</v>
      </c>
      <c r="S1205" s="49">
        <v>17083121690</v>
      </c>
      <c r="T1205" s="49" t="s">
        <v>119</v>
      </c>
      <c r="U1205" s="50" t="s">
        <v>1472</v>
      </c>
      <c r="V1205" s="50">
        <v>17083125766</v>
      </c>
      <c r="W1205" s="50">
        <v>17083121690</v>
      </c>
      <c r="X1205" s="50" t="s">
        <v>119</v>
      </c>
      <c r="Y1205" s="50"/>
    </row>
    <row r="1206" spans="1:25" x14ac:dyDescent="0.25">
      <c r="A1206" s="25" t="s">
        <v>115</v>
      </c>
      <c r="B1206" t="b">
        <v>0</v>
      </c>
      <c r="C1206" s="43" t="s">
        <v>1473</v>
      </c>
      <c r="D1206" s="43">
        <v>319924</v>
      </c>
      <c r="E1206" s="43">
        <v>289743</v>
      </c>
      <c r="F1206" s="43" t="s">
        <v>123</v>
      </c>
      <c r="G1206" s="43" t="b">
        <v>0</v>
      </c>
      <c r="H1206" s="43" t="b">
        <v>0</v>
      </c>
      <c r="I1206" s="43" t="s">
        <v>126</v>
      </c>
      <c r="M1206" s="48" t="s">
        <v>1473</v>
      </c>
      <c r="N1206" s="48">
        <v>17088573006</v>
      </c>
      <c r="O1206" s="48">
        <v>17088557554</v>
      </c>
      <c r="P1206" s="48" t="s">
        <v>123</v>
      </c>
      <c r="Q1206" s="49" t="s">
        <v>1473</v>
      </c>
      <c r="R1206" s="49">
        <v>17083129081</v>
      </c>
      <c r="S1206" s="49">
        <v>17083121792</v>
      </c>
      <c r="T1206" s="49" t="s">
        <v>123</v>
      </c>
      <c r="U1206" s="50" t="s">
        <v>1473</v>
      </c>
      <c r="V1206" s="50">
        <v>17083129081</v>
      </c>
      <c r="W1206" s="50">
        <v>17083121792</v>
      </c>
      <c r="X1206" s="50" t="s">
        <v>123</v>
      </c>
      <c r="Y1206" s="50"/>
    </row>
    <row r="1207" spans="1:25" x14ac:dyDescent="0.25">
      <c r="A1207" s="25" t="s">
        <v>115</v>
      </c>
      <c r="B1207" t="b">
        <v>0</v>
      </c>
      <c r="C1207" s="43" t="s">
        <v>1474</v>
      </c>
      <c r="D1207" s="43">
        <v>321972</v>
      </c>
      <c r="E1207" s="43">
        <v>290567</v>
      </c>
      <c r="F1207" s="43" t="s">
        <v>123</v>
      </c>
      <c r="G1207" s="43" t="b">
        <v>0</v>
      </c>
      <c r="H1207" s="43" t="b">
        <v>0</v>
      </c>
      <c r="I1207" s="43"/>
      <c r="M1207" s="48" t="s">
        <v>1474</v>
      </c>
      <c r="N1207" s="48">
        <v>17088572236</v>
      </c>
      <c r="O1207" s="48">
        <v>17088565444</v>
      </c>
      <c r="P1207" s="48" t="s">
        <v>123</v>
      </c>
      <c r="Q1207" s="49" t="s">
        <v>1474</v>
      </c>
      <c r="R1207" s="49">
        <v>17083128058</v>
      </c>
      <c r="S1207" s="49">
        <v>17083124890</v>
      </c>
      <c r="T1207" s="49" t="s">
        <v>123</v>
      </c>
      <c r="U1207" s="50" t="s">
        <v>1474</v>
      </c>
      <c r="V1207" s="50">
        <v>17083128058</v>
      </c>
      <c r="W1207" s="50">
        <v>17083124890</v>
      </c>
      <c r="X1207" s="50" t="s">
        <v>123</v>
      </c>
      <c r="Y1207" s="50"/>
    </row>
    <row r="1208" spans="1:25" x14ac:dyDescent="0.25">
      <c r="A1208" s="25" t="s">
        <v>115</v>
      </c>
      <c r="B1208" t="b">
        <v>0</v>
      </c>
      <c r="C1208" s="43" t="s">
        <v>1475</v>
      </c>
      <c r="D1208" s="43">
        <v>320948</v>
      </c>
      <c r="E1208" s="43">
        <v>288047</v>
      </c>
      <c r="F1208" s="43" t="s">
        <v>132</v>
      </c>
      <c r="G1208" s="43" t="b">
        <v>0</v>
      </c>
      <c r="H1208" s="43" t="b">
        <v>0</v>
      </c>
      <c r="I1208" s="43"/>
      <c r="M1208" s="48" t="s">
        <v>1475</v>
      </c>
      <c r="N1208" s="48">
        <v>17088571214</v>
      </c>
      <c r="O1208" s="48">
        <v>17088559858</v>
      </c>
      <c r="P1208" s="48" t="s">
        <v>132</v>
      </c>
      <c r="Q1208" s="49" t="s">
        <v>1475</v>
      </c>
      <c r="R1208" s="49">
        <v>17083129849</v>
      </c>
      <c r="S1208" s="49">
        <v>17083124480</v>
      </c>
      <c r="T1208" s="49" t="s">
        <v>132</v>
      </c>
      <c r="U1208" s="50" t="s">
        <v>1475</v>
      </c>
      <c r="V1208" s="50">
        <v>17083129849</v>
      </c>
      <c r="W1208" s="50">
        <v>17083124480</v>
      </c>
      <c r="X1208" s="50" t="s">
        <v>132</v>
      </c>
      <c r="Y1208" s="50"/>
    </row>
    <row r="1209" spans="1:25" x14ac:dyDescent="0.25">
      <c r="A1209" s="25" t="s">
        <v>115</v>
      </c>
      <c r="B1209" t="b">
        <v>0</v>
      </c>
      <c r="C1209" s="43" t="s">
        <v>1476</v>
      </c>
      <c r="D1209" s="43">
        <v>322996</v>
      </c>
      <c r="E1209" s="43">
        <v>287055</v>
      </c>
      <c r="F1209" s="43" t="s">
        <v>186</v>
      </c>
      <c r="G1209" s="43" t="b">
        <v>0</v>
      </c>
      <c r="H1209" s="43" t="b">
        <v>0</v>
      </c>
      <c r="I1209" s="43"/>
      <c r="M1209" s="48" t="s">
        <v>1476</v>
      </c>
      <c r="N1209" s="48">
        <v>17088572238</v>
      </c>
      <c r="O1209" s="48">
        <v>17088560138</v>
      </c>
      <c r="P1209" s="48" t="s">
        <v>186</v>
      </c>
      <c r="Q1209" s="49" t="s">
        <v>1476</v>
      </c>
      <c r="R1209" s="49">
        <v>17083127801</v>
      </c>
      <c r="S1209" s="49">
        <v>17083125120</v>
      </c>
      <c r="T1209" s="49" t="s">
        <v>186</v>
      </c>
      <c r="U1209" s="50" t="s">
        <v>1476</v>
      </c>
      <c r="V1209" s="50">
        <v>17083127801</v>
      </c>
      <c r="W1209" s="50">
        <v>17083125120</v>
      </c>
      <c r="X1209" s="50" t="s">
        <v>186</v>
      </c>
      <c r="Y1209" s="50"/>
    </row>
    <row r="1210" spans="1:25" x14ac:dyDescent="0.25">
      <c r="A1210" s="25" t="s">
        <v>248</v>
      </c>
      <c r="B1210" t="b">
        <v>0</v>
      </c>
      <c r="C1210" s="43" t="s">
        <v>1477</v>
      </c>
      <c r="D1210" s="43">
        <v>320436</v>
      </c>
      <c r="E1210" s="43">
        <v>290007</v>
      </c>
      <c r="F1210" s="43" t="s">
        <v>173</v>
      </c>
      <c r="G1210" s="43" t="b">
        <v>0</v>
      </c>
      <c r="H1210" s="43" t="b">
        <v>0</v>
      </c>
      <c r="I1210" s="43"/>
      <c r="J1210" s="45" t="s">
        <v>1477</v>
      </c>
      <c r="K1210" s="46">
        <v>290007</v>
      </c>
      <c r="M1210" s="48" t="s">
        <v>1477</v>
      </c>
      <c r="N1210" s="48">
        <v>17088571841</v>
      </c>
      <c r="O1210" s="48">
        <v>17088562639</v>
      </c>
      <c r="P1210" s="48" t="s">
        <v>173</v>
      </c>
      <c r="Q1210" s="49" t="s">
        <v>1477</v>
      </c>
      <c r="R1210" s="49">
        <v>17083126026</v>
      </c>
      <c r="S1210" s="49">
        <v>17083121844</v>
      </c>
      <c r="T1210" s="49" t="s">
        <v>173</v>
      </c>
      <c r="U1210" s="50" t="s">
        <v>1477</v>
      </c>
      <c r="V1210" s="50">
        <v>17083126026</v>
      </c>
      <c r="W1210" s="50">
        <v>17083121844</v>
      </c>
      <c r="X1210" s="50" t="s">
        <v>173</v>
      </c>
      <c r="Y1210" s="50"/>
    </row>
    <row r="1211" spans="1:25" x14ac:dyDescent="0.25">
      <c r="A1211" s="25" t="s">
        <v>115</v>
      </c>
      <c r="B1211" t="b">
        <v>0</v>
      </c>
      <c r="C1211" s="43" t="s">
        <v>1478</v>
      </c>
      <c r="D1211" s="43">
        <v>322484</v>
      </c>
      <c r="E1211" s="43">
        <v>286823</v>
      </c>
      <c r="F1211" s="43" t="s">
        <v>123</v>
      </c>
      <c r="G1211" s="43" t="b">
        <v>0</v>
      </c>
      <c r="H1211" s="43" t="b">
        <v>0</v>
      </c>
      <c r="I1211" s="43"/>
      <c r="M1211" s="48" t="s">
        <v>1478</v>
      </c>
      <c r="N1211" s="48">
        <v>17088573388</v>
      </c>
      <c r="O1211" s="48">
        <v>17088567288</v>
      </c>
      <c r="P1211" s="48" t="s">
        <v>123</v>
      </c>
      <c r="Q1211" s="49" t="s">
        <v>1478</v>
      </c>
      <c r="R1211" s="49">
        <v>17083126278</v>
      </c>
      <c r="S1211" s="49">
        <v>17083122794</v>
      </c>
      <c r="T1211" s="49" t="s">
        <v>123</v>
      </c>
      <c r="U1211" s="50" t="s">
        <v>1478</v>
      </c>
      <c r="V1211" s="50">
        <v>17083126278</v>
      </c>
      <c r="W1211" s="50">
        <v>17083122794</v>
      </c>
      <c r="X1211" s="50" t="s">
        <v>123</v>
      </c>
      <c r="Y1211" s="50"/>
    </row>
    <row r="1212" spans="1:25" x14ac:dyDescent="0.25">
      <c r="A1212" s="25" t="s">
        <v>115</v>
      </c>
      <c r="B1212" t="b">
        <v>0</v>
      </c>
      <c r="C1212" s="43" t="s">
        <v>1479</v>
      </c>
      <c r="D1212" s="43">
        <v>321460</v>
      </c>
      <c r="E1212" s="43">
        <v>287079</v>
      </c>
      <c r="F1212" s="43" t="s">
        <v>125</v>
      </c>
      <c r="G1212" s="43" t="b">
        <v>0</v>
      </c>
      <c r="H1212" s="43" t="b">
        <v>0</v>
      </c>
      <c r="I1212" s="43" t="s">
        <v>126</v>
      </c>
      <c r="M1212" s="48" t="s">
        <v>1479</v>
      </c>
      <c r="N1212" s="48">
        <v>17088570572</v>
      </c>
      <c r="O1212" s="48">
        <v>17088568056</v>
      </c>
      <c r="P1212" s="48" t="s">
        <v>125</v>
      </c>
      <c r="Q1212" s="49" t="s">
        <v>1479</v>
      </c>
      <c r="R1212" s="49">
        <v>17083129594</v>
      </c>
      <c r="S1212" s="49">
        <v>17083124138</v>
      </c>
      <c r="T1212" s="49" t="s">
        <v>125</v>
      </c>
      <c r="U1212" s="50" t="s">
        <v>1479</v>
      </c>
      <c r="V1212" s="50">
        <v>17083129594</v>
      </c>
      <c r="W1212" s="50">
        <v>17083124138</v>
      </c>
      <c r="X1212" s="50" t="s">
        <v>125</v>
      </c>
      <c r="Y1212" s="50"/>
    </row>
    <row r="1213" spans="1:25" x14ac:dyDescent="0.25">
      <c r="A1213" s="25" t="s">
        <v>115</v>
      </c>
      <c r="B1213" t="b">
        <v>0</v>
      </c>
      <c r="C1213" s="43" t="s">
        <v>1480</v>
      </c>
      <c r="D1213" s="43">
        <v>323508</v>
      </c>
      <c r="E1213" s="43">
        <v>287855</v>
      </c>
      <c r="F1213" s="43" t="s">
        <v>123</v>
      </c>
      <c r="G1213" s="43" t="b">
        <v>0</v>
      </c>
      <c r="H1213" s="43" t="b">
        <v>0</v>
      </c>
      <c r="I1213" s="43"/>
      <c r="M1213" s="48" t="s">
        <v>1480</v>
      </c>
      <c r="N1213" s="48">
        <v>17088570958</v>
      </c>
      <c r="O1213" s="48">
        <v>17088561010</v>
      </c>
      <c r="P1213" s="48" t="s">
        <v>123</v>
      </c>
      <c r="Q1213" s="49" t="s">
        <v>1480</v>
      </c>
      <c r="R1213" s="49">
        <v>17083127033</v>
      </c>
      <c r="S1213" s="49">
        <v>17083125248</v>
      </c>
      <c r="T1213" s="49" t="s">
        <v>123</v>
      </c>
      <c r="U1213" s="50" t="s">
        <v>1480</v>
      </c>
      <c r="V1213" s="50">
        <v>17083127033</v>
      </c>
      <c r="W1213" s="50">
        <v>17083125248</v>
      </c>
      <c r="X1213" s="50" t="s">
        <v>123</v>
      </c>
      <c r="Y1213" s="50"/>
    </row>
    <row r="1214" spans="1:25" x14ac:dyDescent="0.25">
      <c r="A1214" s="25" t="s">
        <v>115</v>
      </c>
      <c r="B1214" t="b">
        <v>0</v>
      </c>
      <c r="C1214" s="43" t="s">
        <v>1481</v>
      </c>
      <c r="D1214" s="43">
        <v>319604</v>
      </c>
      <c r="E1214" s="43">
        <v>289359</v>
      </c>
      <c r="F1214" s="43" t="s">
        <v>132</v>
      </c>
      <c r="G1214" s="43" t="b">
        <v>0</v>
      </c>
      <c r="H1214" s="43" t="b">
        <v>0</v>
      </c>
      <c r="I1214" s="43"/>
      <c r="M1214" s="48" t="s">
        <v>1481</v>
      </c>
      <c r="N1214" s="48">
        <v>17088571982</v>
      </c>
      <c r="O1214" s="48">
        <v>17088558602</v>
      </c>
      <c r="P1214" s="48" t="s">
        <v>132</v>
      </c>
      <c r="Q1214" s="49" t="s">
        <v>1481</v>
      </c>
      <c r="R1214" s="49">
        <v>17083128057</v>
      </c>
      <c r="S1214" s="49">
        <v>17083123584</v>
      </c>
      <c r="T1214" s="49" t="s">
        <v>132</v>
      </c>
      <c r="U1214" s="50" t="s">
        <v>1481</v>
      </c>
      <c r="V1214" s="50">
        <v>17083128057</v>
      </c>
      <c r="W1214" s="50">
        <v>17083123584</v>
      </c>
      <c r="X1214" s="50" t="s">
        <v>132</v>
      </c>
      <c r="Y1214" s="50"/>
    </row>
    <row r="1215" spans="1:25" x14ac:dyDescent="0.25">
      <c r="A1215" s="25" t="s">
        <v>115</v>
      </c>
      <c r="B1215" t="b">
        <v>0</v>
      </c>
      <c r="C1215" s="43" t="s">
        <v>1482</v>
      </c>
      <c r="D1215" s="43">
        <v>321652</v>
      </c>
      <c r="E1215" s="43">
        <v>288439</v>
      </c>
      <c r="F1215" s="43" t="s">
        <v>119</v>
      </c>
      <c r="G1215" s="43" t="b">
        <v>0</v>
      </c>
      <c r="H1215" s="43" t="b">
        <v>0</v>
      </c>
      <c r="I1215" s="43"/>
      <c r="M1215" s="48" t="s">
        <v>1482</v>
      </c>
      <c r="N1215" s="48">
        <v>17088569537</v>
      </c>
      <c r="O1215" s="48">
        <v>17088565071</v>
      </c>
      <c r="P1215" s="48" t="s">
        <v>119</v>
      </c>
      <c r="Q1215" s="49" t="s">
        <v>1482</v>
      </c>
      <c r="R1215" s="49">
        <v>17083126282</v>
      </c>
      <c r="S1215" s="49">
        <v>17083124276</v>
      </c>
      <c r="T1215" s="49" t="s">
        <v>119</v>
      </c>
      <c r="U1215" s="50" t="s">
        <v>1482</v>
      </c>
      <c r="V1215" s="50">
        <v>17083126282</v>
      </c>
      <c r="W1215" s="50">
        <v>17083124276</v>
      </c>
      <c r="X1215" s="50" t="s">
        <v>119</v>
      </c>
      <c r="Y1215" s="50"/>
    </row>
    <row r="1216" spans="1:25" x14ac:dyDescent="0.25">
      <c r="A1216" s="25" t="s">
        <v>115</v>
      </c>
      <c r="B1216" t="b">
        <v>0</v>
      </c>
      <c r="C1216" s="43" t="s">
        <v>1483</v>
      </c>
      <c r="D1216" s="43">
        <v>320628</v>
      </c>
      <c r="E1216" s="43">
        <v>290343</v>
      </c>
      <c r="F1216" s="43" t="s">
        <v>125</v>
      </c>
      <c r="G1216" s="43" t="b">
        <v>0</v>
      </c>
      <c r="H1216" s="43" t="b">
        <v>0</v>
      </c>
      <c r="I1216" s="43" t="s">
        <v>126</v>
      </c>
      <c r="M1216" s="48" t="s">
        <v>1483</v>
      </c>
      <c r="N1216" s="48">
        <v>17088569676</v>
      </c>
      <c r="O1216" s="48">
        <v>17088566020</v>
      </c>
      <c r="P1216" s="48" t="s">
        <v>125</v>
      </c>
      <c r="Q1216" s="49" t="s">
        <v>1483</v>
      </c>
      <c r="R1216" s="49">
        <v>17083126650</v>
      </c>
      <c r="S1216" s="49">
        <v>17083121898</v>
      </c>
      <c r="T1216" s="49" t="s">
        <v>125</v>
      </c>
      <c r="U1216" s="50" t="s">
        <v>1483</v>
      </c>
      <c r="V1216" s="50">
        <v>17083126650</v>
      </c>
      <c r="W1216" s="50">
        <v>17083121898</v>
      </c>
      <c r="X1216" s="50" t="s">
        <v>125</v>
      </c>
      <c r="Y1216" s="50"/>
    </row>
    <row r="1217" spans="1:25" x14ac:dyDescent="0.25">
      <c r="A1217" s="25" t="s">
        <v>115</v>
      </c>
      <c r="B1217" t="b">
        <v>0</v>
      </c>
      <c r="C1217" s="43" t="s">
        <v>1484</v>
      </c>
      <c r="D1217" s="43">
        <v>322676</v>
      </c>
      <c r="E1217" s="43">
        <v>288391</v>
      </c>
      <c r="F1217" s="43" t="s">
        <v>123</v>
      </c>
      <c r="G1217" s="43" t="b">
        <v>0</v>
      </c>
      <c r="H1217" s="43" t="b">
        <v>0</v>
      </c>
      <c r="I1217" s="43"/>
      <c r="M1217" s="48" t="s">
        <v>1484</v>
      </c>
      <c r="N1217" s="48">
        <v>17088572972</v>
      </c>
      <c r="O1217" s="48">
        <v>17088567620</v>
      </c>
      <c r="P1217" s="48" t="s">
        <v>123</v>
      </c>
      <c r="Q1217" s="49" t="s">
        <v>1484</v>
      </c>
      <c r="R1217" s="49">
        <v>17083126022</v>
      </c>
      <c r="S1217" s="49">
        <v>17083122458</v>
      </c>
      <c r="T1217" s="49" t="s">
        <v>123</v>
      </c>
      <c r="U1217" s="50" t="s">
        <v>1484</v>
      </c>
      <c r="V1217" s="50">
        <v>17083126022</v>
      </c>
      <c r="W1217" s="50">
        <v>17083122458</v>
      </c>
      <c r="X1217" s="50" t="s">
        <v>123</v>
      </c>
      <c r="Y1217" s="50"/>
    </row>
    <row r="1218" spans="1:25" x14ac:dyDescent="0.25">
      <c r="A1218" s="25" t="s">
        <v>115</v>
      </c>
      <c r="B1218" t="b">
        <v>0</v>
      </c>
      <c r="C1218" s="43" t="s">
        <v>1485</v>
      </c>
      <c r="D1218" s="43">
        <v>320116</v>
      </c>
      <c r="E1218" s="43">
        <v>289383</v>
      </c>
      <c r="F1218" s="43" t="s">
        <v>125</v>
      </c>
      <c r="G1218" s="43" t="b">
        <v>0</v>
      </c>
      <c r="H1218" s="43" t="b">
        <v>0</v>
      </c>
      <c r="I1218" s="43"/>
      <c r="M1218" s="48" t="s">
        <v>1485</v>
      </c>
      <c r="N1218" s="48">
        <v>17088571596</v>
      </c>
      <c r="O1218" s="48">
        <v>17088568824</v>
      </c>
      <c r="P1218" s="48" t="s">
        <v>125</v>
      </c>
      <c r="Q1218" s="49" t="s">
        <v>1485</v>
      </c>
      <c r="R1218" s="49">
        <v>17083127546</v>
      </c>
      <c r="S1218" s="49">
        <v>17083125674</v>
      </c>
      <c r="T1218" s="49" t="s">
        <v>125</v>
      </c>
      <c r="U1218" s="50" t="s">
        <v>1485</v>
      </c>
      <c r="V1218" s="50">
        <v>17083127546</v>
      </c>
      <c r="W1218" s="50">
        <v>17083125674</v>
      </c>
      <c r="X1218" s="50" t="s">
        <v>125</v>
      </c>
      <c r="Y1218" s="50"/>
    </row>
    <row r="1219" spans="1:25" x14ac:dyDescent="0.25">
      <c r="A1219" s="25" t="s">
        <v>115</v>
      </c>
      <c r="B1219" t="b">
        <v>0</v>
      </c>
      <c r="C1219" s="43" t="s">
        <v>1486</v>
      </c>
      <c r="D1219" s="43">
        <v>322164</v>
      </c>
      <c r="E1219" s="43">
        <v>288167</v>
      </c>
      <c r="F1219" s="43" t="s">
        <v>125</v>
      </c>
      <c r="G1219" s="43" t="b">
        <v>1</v>
      </c>
      <c r="H1219" s="43" t="b">
        <v>0</v>
      </c>
      <c r="I1219" s="43" t="s">
        <v>126</v>
      </c>
      <c r="M1219" s="48" t="s">
        <v>1486</v>
      </c>
      <c r="N1219" s="48">
        <v>17088573004</v>
      </c>
      <c r="O1219" s="48">
        <v>17088568324</v>
      </c>
      <c r="P1219" s="48" t="s">
        <v>125</v>
      </c>
      <c r="Q1219" s="49" t="s">
        <v>1486</v>
      </c>
      <c r="R1219" s="49">
        <v>17083129210</v>
      </c>
      <c r="S1219" s="49">
        <v>17083125354</v>
      </c>
      <c r="T1219" s="49" t="s">
        <v>125</v>
      </c>
      <c r="U1219" s="50" t="s">
        <v>1486</v>
      </c>
      <c r="V1219" s="50">
        <v>17083129210</v>
      </c>
      <c r="W1219" s="50">
        <v>17083125354</v>
      </c>
      <c r="X1219" s="50" t="s">
        <v>125</v>
      </c>
      <c r="Y1219" s="50">
        <v>120486</v>
      </c>
    </row>
    <row r="1220" spans="1:25" x14ac:dyDescent="0.25">
      <c r="A1220" s="25" t="s">
        <v>115</v>
      </c>
      <c r="B1220" t="b">
        <v>0</v>
      </c>
      <c r="C1220" s="43" t="s">
        <v>1487</v>
      </c>
      <c r="D1220" s="43">
        <v>321140</v>
      </c>
      <c r="E1220" s="43">
        <v>286999</v>
      </c>
      <c r="F1220" s="43" t="s">
        <v>132</v>
      </c>
      <c r="G1220" s="43" t="b">
        <v>0</v>
      </c>
      <c r="H1220" s="43" t="b">
        <v>0</v>
      </c>
      <c r="I1220" s="43"/>
      <c r="M1220" s="48" t="s">
        <v>1487</v>
      </c>
      <c r="N1220" s="48">
        <v>17088573249</v>
      </c>
      <c r="O1220" s="48">
        <v>17088564255</v>
      </c>
      <c r="P1220" s="48" t="s">
        <v>132</v>
      </c>
      <c r="Q1220" s="49" t="s">
        <v>1487</v>
      </c>
      <c r="R1220" s="49">
        <v>17083128842</v>
      </c>
      <c r="S1220" s="49">
        <v>17083124108</v>
      </c>
      <c r="T1220" s="49" t="s">
        <v>132</v>
      </c>
      <c r="U1220" s="50" t="s">
        <v>1487</v>
      </c>
      <c r="V1220" s="50">
        <v>17083128842</v>
      </c>
      <c r="W1220" s="50">
        <v>17083124108</v>
      </c>
      <c r="X1220" s="50" t="s">
        <v>132</v>
      </c>
      <c r="Y1220" s="50"/>
    </row>
    <row r="1221" spans="1:25" x14ac:dyDescent="0.25">
      <c r="A1221" s="25" t="s">
        <v>115</v>
      </c>
      <c r="B1221" t="b">
        <v>0</v>
      </c>
      <c r="C1221" s="43" t="s">
        <v>1488</v>
      </c>
      <c r="D1221" s="43">
        <v>323188</v>
      </c>
      <c r="E1221" s="43">
        <v>288207</v>
      </c>
      <c r="F1221" s="43" t="s">
        <v>132</v>
      </c>
      <c r="G1221" s="43" t="b">
        <v>0</v>
      </c>
      <c r="H1221" s="43" t="b">
        <v>0</v>
      </c>
      <c r="I1221" s="43"/>
      <c r="M1221" s="48" t="s">
        <v>1488</v>
      </c>
      <c r="N1221" s="48">
        <v>17088571022</v>
      </c>
      <c r="O1221" s="48">
        <v>17088560114</v>
      </c>
      <c r="P1221" s="48" t="s">
        <v>132</v>
      </c>
      <c r="Q1221" s="49" t="s">
        <v>1488</v>
      </c>
      <c r="R1221" s="49">
        <v>17083128441</v>
      </c>
      <c r="S1221" s="49">
        <v>17083124352</v>
      </c>
      <c r="T1221" s="49" t="s">
        <v>132</v>
      </c>
      <c r="U1221" s="50" t="s">
        <v>1488</v>
      </c>
      <c r="V1221" s="50">
        <v>17083128441</v>
      </c>
      <c r="W1221" s="50">
        <v>17083124352</v>
      </c>
      <c r="X1221" s="50" t="s">
        <v>132</v>
      </c>
      <c r="Y1221" s="50"/>
    </row>
    <row r="1222" spans="1:25" x14ac:dyDescent="0.25">
      <c r="A1222" s="25" t="s">
        <v>115</v>
      </c>
      <c r="B1222" t="b">
        <v>0</v>
      </c>
      <c r="C1222" s="43" t="s">
        <v>1489</v>
      </c>
      <c r="D1222" s="43">
        <v>319860</v>
      </c>
      <c r="E1222" s="43">
        <v>290775</v>
      </c>
      <c r="F1222" s="43" t="s">
        <v>132</v>
      </c>
      <c r="G1222" s="43" t="b">
        <v>0</v>
      </c>
      <c r="H1222" s="43" t="b">
        <v>0</v>
      </c>
      <c r="I1222" s="43"/>
      <c r="M1222" s="48" t="s">
        <v>1489</v>
      </c>
      <c r="N1222" s="48">
        <v>17088571201</v>
      </c>
      <c r="O1222" s="48">
        <v>17088561871</v>
      </c>
      <c r="P1222" s="48" t="s">
        <v>132</v>
      </c>
      <c r="Q1222" s="49" t="s">
        <v>1489</v>
      </c>
      <c r="R1222" s="49">
        <v>17083126794</v>
      </c>
      <c r="S1222" s="49">
        <v>17083122996</v>
      </c>
      <c r="T1222" s="49" t="s">
        <v>132</v>
      </c>
      <c r="U1222" s="50" t="s">
        <v>1489</v>
      </c>
      <c r="V1222" s="50">
        <v>17083126794</v>
      </c>
      <c r="W1222" s="50">
        <v>17083122996</v>
      </c>
      <c r="X1222" s="50" t="s">
        <v>132</v>
      </c>
      <c r="Y1222" s="50"/>
    </row>
    <row r="1223" spans="1:25" x14ac:dyDescent="0.25">
      <c r="A1223" s="25" t="s">
        <v>115</v>
      </c>
      <c r="B1223" t="b">
        <v>0</v>
      </c>
      <c r="C1223" s="43" t="s">
        <v>1490</v>
      </c>
      <c r="D1223" s="43">
        <v>321908</v>
      </c>
      <c r="E1223" s="43">
        <v>288763</v>
      </c>
      <c r="F1223" s="43" t="s">
        <v>119</v>
      </c>
      <c r="G1223" s="43" t="b">
        <v>0</v>
      </c>
      <c r="H1223" s="43" t="b">
        <v>0</v>
      </c>
      <c r="I1223" s="43"/>
      <c r="M1223" s="48" t="s">
        <v>1490</v>
      </c>
      <c r="N1223" s="48">
        <v>17088570188</v>
      </c>
      <c r="O1223" s="48">
        <v>17088568356</v>
      </c>
      <c r="P1223" s="48" t="s">
        <v>119</v>
      </c>
      <c r="Q1223" s="49" t="s">
        <v>1490</v>
      </c>
      <c r="R1223" s="49">
        <v>17083126010</v>
      </c>
      <c r="S1223" s="49">
        <v>17083123290</v>
      </c>
      <c r="T1223" s="49" t="s">
        <v>119</v>
      </c>
      <c r="U1223" s="50" t="s">
        <v>1490</v>
      </c>
      <c r="V1223" s="50">
        <v>17083126010</v>
      </c>
      <c r="W1223" s="50">
        <v>17083123290</v>
      </c>
      <c r="X1223" s="50" t="s">
        <v>119</v>
      </c>
      <c r="Y1223" s="50"/>
    </row>
    <row r="1224" spans="1:25" x14ac:dyDescent="0.25">
      <c r="A1224" s="25" t="s">
        <v>115</v>
      </c>
      <c r="B1224" t="b">
        <v>0</v>
      </c>
      <c r="C1224" s="43" t="s">
        <v>1491</v>
      </c>
      <c r="D1224" s="43">
        <v>322932</v>
      </c>
      <c r="E1224" s="43">
        <v>289791</v>
      </c>
      <c r="F1224" s="43" t="s">
        <v>117</v>
      </c>
      <c r="G1224" s="43" t="b">
        <v>0</v>
      </c>
      <c r="H1224" s="43" t="b">
        <v>0</v>
      </c>
      <c r="I1224" s="43"/>
      <c r="M1224" s="48" t="s">
        <v>1491</v>
      </c>
      <c r="N1224" s="48">
        <v>17088573358</v>
      </c>
      <c r="O1224" s="48">
        <v>17088564331</v>
      </c>
      <c r="P1224" s="48" t="s">
        <v>117</v>
      </c>
      <c r="Q1224" s="49" t="s">
        <v>1491</v>
      </c>
      <c r="R1224" s="49">
        <v>17083126597</v>
      </c>
      <c r="S1224" s="49">
        <v>17083125744</v>
      </c>
      <c r="T1224" s="49" t="s">
        <v>117</v>
      </c>
      <c r="U1224" s="50" t="s">
        <v>1491</v>
      </c>
      <c r="V1224" s="50">
        <v>17083126597</v>
      </c>
      <c r="W1224" s="50">
        <v>17083125744</v>
      </c>
      <c r="X1224" s="50" t="s">
        <v>117</v>
      </c>
      <c r="Y1224" s="50"/>
    </row>
    <row r="1225" spans="1:25" x14ac:dyDescent="0.25">
      <c r="A1225" s="25" t="s">
        <v>115</v>
      </c>
      <c r="B1225" t="b">
        <v>0</v>
      </c>
      <c r="C1225" s="43" t="s">
        <v>1492</v>
      </c>
      <c r="D1225" s="43">
        <v>320372</v>
      </c>
      <c r="E1225" s="43">
        <v>288575</v>
      </c>
      <c r="F1225" s="43" t="s">
        <v>119</v>
      </c>
      <c r="G1225" s="43" t="b">
        <v>0</v>
      </c>
      <c r="H1225" s="43" t="b">
        <v>0</v>
      </c>
      <c r="I1225" s="43"/>
      <c r="M1225" s="48" t="s">
        <v>1492</v>
      </c>
      <c r="N1225" s="48">
        <v>17088571758</v>
      </c>
      <c r="O1225" s="48">
        <v>17088563211</v>
      </c>
      <c r="P1225" s="48" t="s">
        <v>119</v>
      </c>
      <c r="Q1225" s="49" t="s">
        <v>1492</v>
      </c>
      <c r="R1225" s="49">
        <v>17083129029</v>
      </c>
      <c r="S1225" s="49">
        <v>17083125648</v>
      </c>
      <c r="T1225" s="49" t="s">
        <v>119</v>
      </c>
      <c r="U1225" s="50" t="s">
        <v>1492</v>
      </c>
      <c r="V1225" s="50">
        <v>17083129029</v>
      </c>
      <c r="W1225" s="50">
        <v>17083125648</v>
      </c>
      <c r="X1225" s="50" t="s">
        <v>119</v>
      </c>
      <c r="Y1225" s="50"/>
    </row>
    <row r="1226" spans="1:25" x14ac:dyDescent="0.25">
      <c r="A1226" s="25" t="s">
        <v>115</v>
      </c>
      <c r="B1226" t="b">
        <v>0</v>
      </c>
      <c r="C1226" s="43" t="s">
        <v>1493</v>
      </c>
      <c r="D1226" s="43">
        <v>322420</v>
      </c>
      <c r="E1226" s="43">
        <v>289143</v>
      </c>
      <c r="F1226" s="43" t="s">
        <v>123</v>
      </c>
      <c r="G1226" s="43" t="b">
        <v>0</v>
      </c>
      <c r="H1226" s="43" t="b">
        <v>0</v>
      </c>
      <c r="I1226" s="43"/>
      <c r="M1226" s="48" t="s">
        <v>1493</v>
      </c>
      <c r="N1226" s="48">
        <v>17088572076</v>
      </c>
      <c r="O1226" s="48">
        <v>17088567572</v>
      </c>
      <c r="P1226" s="48" t="s">
        <v>123</v>
      </c>
      <c r="Q1226" s="49" t="s">
        <v>1493</v>
      </c>
      <c r="R1226" s="49">
        <v>17083127942</v>
      </c>
      <c r="S1226" s="49">
        <v>17083124218</v>
      </c>
      <c r="T1226" s="49" t="s">
        <v>123</v>
      </c>
      <c r="U1226" s="50" t="s">
        <v>1493</v>
      </c>
      <c r="V1226" s="50">
        <v>17083127942</v>
      </c>
      <c r="W1226" s="50">
        <v>17083124218</v>
      </c>
      <c r="X1226" s="50" t="s">
        <v>123</v>
      </c>
      <c r="Y1226" s="50"/>
    </row>
    <row r="1227" spans="1:25" x14ac:dyDescent="0.25">
      <c r="A1227" s="25" t="s">
        <v>115</v>
      </c>
      <c r="B1227" t="b">
        <v>0</v>
      </c>
      <c r="C1227" s="43" t="s">
        <v>1494</v>
      </c>
      <c r="D1227" s="43">
        <v>321396</v>
      </c>
      <c r="E1227" s="43">
        <v>289983</v>
      </c>
      <c r="F1227" s="43" t="s">
        <v>132</v>
      </c>
      <c r="G1227" s="43" t="b">
        <v>0</v>
      </c>
      <c r="H1227" s="43" t="b">
        <v>0</v>
      </c>
      <c r="I1227" s="43"/>
      <c r="M1227" s="48" t="s">
        <v>1494</v>
      </c>
      <c r="N1227" s="48">
        <v>17088570542</v>
      </c>
      <c r="O1227" s="48">
        <v>17088563187</v>
      </c>
      <c r="P1227" s="48" t="s">
        <v>132</v>
      </c>
      <c r="Q1227" s="49" t="s">
        <v>1494</v>
      </c>
      <c r="R1227" s="49">
        <v>17083128901</v>
      </c>
      <c r="S1227" s="49">
        <v>17083122576</v>
      </c>
      <c r="T1227" s="49" t="s">
        <v>132</v>
      </c>
      <c r="U1227" s="50" t="s">
        <v>1494</v>
      </c>
      <c r="V1227" s="50">
        <v>17083128901</v>
      </c>
      <c r="W1227" s="50">
        <v>17083122576</v>
      </c>
      <c r="X1227" s="50" t="s">
        <v>132</v>
      </c>
      <c r="Y1227" s="50"/>
    </row>
    <row r="1228" spans="1:25" x14ac:dyDescent="0.25">
      <c r="A1228" s="25" t="s">
        <v>115</v>
      </c>
      <c r="B1228" t="b">
        <v>0</v>
      </c>
      <c r="C1228" s="43" t="s">
        <v>1495</v>
      </c>
      <c r="D1228" s="43">
        <v>331769</v>
      </c>
      <c r="E1228" s="43">
        <v>288407</v>
      </c>
      <c r="F1228" s="43" t="s">
        <v>119</v>
      </c>
      <c r="G1228" s="43" t="b">
        <v>0</v>
      </c>
      <c r="H1228" s="43" t="b">
        <v>0</v>
      </c>
      <c r="I1228" s="43"/>
      <c r="M1228" s="48" t="s">
        <v>1495</v>
      </c>
      <c r="N1228" s="48">
        <v>17088571564</v>
      </c>
      <c r="O1228" s="48">
        <v>17088566228</v>
      </c>
      <c r="P1228" s="48" t="s">
        <v>119</v>
      </c>
      <c r="Q1228" s="49" t="s">
        <v>1495</v>
      </c>
      <c r="R1228" s="49">
        <v>17083128582</v>
      </c>
      <c r="S1228" s="49">
        <v>17083122502</v>
      </c>
      <c r="T1228" s="49" t="s">
        <v>119</v>
      </c>
      <c r="U1228" s="50" t="s">
        <v>1495</v>
      </c>
      <c r="V1228" s="50">
        <v>17083128582</v>
      </c>
      <c r="W1228" s="50">
        <v>17083122502</v>
      </c>
      <c r="X1228" s="50" t="s">
        <v>119</v>
      </c>
      <c r="Y1228" s="50"/>
    </row>
    <row r="1229" spans="1:25" x14ac:dyDescent="0.25">
      <c r="A1229" s="25" t="s">
        <v>115</v>
      </c>
      <c r="B1229" t="b">
        <v>0</v>
      </c>
      <c r="C1229" s="43" t="s">
        <v>1496</v>
      </c>
      <c r="D1229" s="43">
        <v>327685</v>
      </c>
      <c r="E1229" s="43">
        <v>287519</v>
      </c>
      <c r="F1229" s="43" t="s">
        <v>119</v>
      </c>
      <c r="G1229" s="43" t="b">
        <v>0</v>
      </c>
      <c r="H1229" s="43" t="b">
        <v>0</v>
      </c>
      <c r="I1229" s="43"/>
      <c r="M1229" s="48" t="s">
        <v>1496</v>
      </c>
      <c r="N1229" s="48">
        <v>17088572718</v>
      </c>
      <c r="O1229" s="48">
        <v>17088562699</v>
      </c>
      <c r="P1229" s="48" t="s">
        <v>119</v>
      </c>
      <c r="Q1229" s="49" t="s">
        <v>1496</v>
      </c>
      <c r="R1229" s="49">
        <v>17083129733</v>
      </c>
      <c r="S1229" s="49">
        <v>17083122256</v>
      </c>
      <c r="T1229" s="49" t="s">
        <v>119</v>
      </c>
      <c r="U1229" s="50" t="s">
        <v>1496</v>
      </c>
      <c r="V1229" s="50">
        <v>17083129733</v>
      </c>
      <c r="W1229" s="50">
        <v>17083122256</v>
      </c>
      <c r="X1229" s="50" t="s">
        <v>119</v>
      </c>
      <c r="Y1229" s="50"/>
    </row>
    <row r="1230" spans="1:25" x14ac:dyDescent="0.25">
      <c r="A1230" s="25" t="s">
        <v>115</v>
      </c>
      <c r="B1230" t="b">
        <v>0</v>
      </c>
      <c r="C1230" s="43" t="s">
        <v>1497</v>
      </c>
      <c r="D1230" s="43">
        <v>329733</v>
      </c>
      <c r="E1230" s="43">
        <v>290071</v>
      </c>
      <c r="F1230" s="43" t="s">
        <v>132</v>
      </c>
      <c r="G1230" s="43" t="b">
        <v>0</v>
      </c>
      <c r="H1230" s="43" t="b">
        <v>0</v>
      </c>
      <c r="I1230" s="43"/>
      <c r="M1230" s="48" t="s">
        <v>1497</v>
      </c>
      <c r="N1230" s="48">
        <v>17088571820</v>
      </c>
      <c r="O1230" s="48">
        <v>17088567604</v>
      </c>
      <c r="P1230" s="48" t="s">
        <v>132</v>
      </c>
      <c r="Q1230" s="49" t="s">
        <v>1497</v>
      </c>
      <c r="R1230" s="49">
        <v>17083126406</v>
      </c>
      <c r="S1230" s="49">
        <v>17083124166</v>
      </c>
      <c r="T1230" s="49" t="s">
        <v>132</v>
      </c>
      <c r="U1230" s="50" t="s">
        <v>1497</v>
      </c>
      <c r="V1230" s="50">
        <v>17083126406</v>
      </c>
      <c r="W1230" s="50">
        <v>17083124166</v>
      </c>
      <c r="X1230" s="50" t="s">
        <v>132</v>
      </c>
      <c r="Y1230" s="50"/>
    </row>
    <row r="1231" spans="1:25" x14ac:dyDescent="0.25">
      <c r="A1231" s="25" t="s">
        <v>115</v>
      </c>
      <c r="B1231" t="b">
        <v>0</v>
      </c>
      <c r="C1231" s="43" t="s">
        <v>1498</v>
      </c>
      <c r="D1231" s="43">
        <v>361806810889</v>
      </c>
      <c r="E1231" s="43">
        <v>361624942291</v>
      </c>
      <c r="F1231" s="43" t="s">
        <v>123</v>
      </c>
      <c r="G1231" s="43" t="b">
        <v>1</v>
      </c>
      <c r="H1231" s="43" t="b">
        <v>0</v>
      </c>
      <c r="I1231" s="43" t="s">
        <v>134</v>
      </c>
      <c r="M1231" s="48" t="s">
        <v>1498</v>
      </c>
      <c r="N1231" s="48">
        <v>17098570925</v>
      </c>
      <c r="O1231" s="48">
        <v>17098572135</v>
      </c>
      <c r="P1231" s="48" t="s">
        <v>123</v>
      </c>
      <c r="Q1231" s="49"/>
      <c r="R1231" s="49"/>
      <c r="S1231" s="49"/>
      <c r="T1231" s="49"/>
      <c r="U1231" s="50" t="s">
        <v>1498</v>
      </c>
      <c r="V1231" s="50">
        <v>17102548109</v>
      </c>
      <c r="W1231" s="50">
        <v>17101191080</v>
      </c>
      <c r="X1231" s="50" t="s">
        <v>123</v>
      </c>
      <c r="Y1231" s="50">
        <v>150058</v>
      </c>
    </row>
    <row r="1232" spans="1:25" x14ac:dyDescent="0.25">
      <c r="A1232" s="25" t="s">
        <v>115</v>
      </c>
      <c r="B1232" t="b">
        <v>1</v>
      </c>
      <c r="C1232" s="43" t="s">
        <v>1499</v>
      </c>
      <c r="D1232" s="43">
        <v>378313358292</v>
      </c>
      <c r="E1232" s="43">
        <v>378313356884</v>
      </c>
      <c r="F1232" s="43" t="s">
        <v>125</v>
      </c>
      <c r="G1232" s="43" t="b">
        <v>1</v>
      </c>
      <c r="H1232" s="43" t="b">
        <v>0</v>
      </c>
      <c r="I1232" s="43"/>
      <c r="M1232" s="48"/>
      <c r="N1232" s="48"/>
      <c r="O1232" s="48"/>
      <c r="P1232" s="48"/>
      <c r="Q1232" s="49" t="s">
        <v>1499</v>
      </c>
      <c r="R1232" s="49">
        <v>17091489118</v>
      </c>
      <c r="S1232" s="49">
        <v>17091486366</v>
      </c>
      <c r="T1232" s="49" t="s">
        <v>125</v>
      </c>
      <c r="U1232" s="50" t="s">
        <v>1499</v>
      </c>
      <c r="V1232" s="50">
        <v>17098472970</v>
      </c>
      <c r="W1232" s="50">
        <v>17098469618</v>
      </c>
      <c r="X1232" s="50" t="s">
        <v>125</v>
      </c>
      <c r="Y1232" s="50">
        <v>120393</v>
      </c>
    </row>
    <row r="1233" spans="1:25" x14ac:dyDescent="0.25">
      <c r="A1233" s="25" t="s">
        <v>115</v>
      </c>
      <c r="B1233" t="b">
        <v>1</v>
      </c>
      <c r="C1233" s="43" t="s">
        <v>1500</v>
      </c>
      <c r="D1233" s="43">
        <v>378313357268</v>
      </c>
      <c r="E1233" s="43">
        <v>378313357652</v>
      </c>
      <c r="F1233" s="43" t="s">
        <v>132</v>
      </c>
      <c r="G1233" s="43" t="b">
        <v>0</v>
      </c>
      <c r="H1233" s="43" t="b">
        <v>0</v>
      </c>
      <c r="I1233" s="43"/>
      <c r="J1233" s="45" t="s">
        <v>1501</v>
      </c>
      <c r="K1233" s="46">
        <v>378313357652</v>
      </c>
      <c r="L1233" s="47">
        <v>990000684</v>
      </c>
      <c r="M1233" s="48"/>
      <c r="N1233" s="48"/>
      <c r="O1233" s="48"/>
      <c r="P1233" s="48"/>
      <c r="Q1233" s="49" t="s">
        <v>1500</v>
      </c>
      <c r="R1233" s="49">
        <v>17091486558</v>
      </c>
      <c r="S1233" s="49">
        <v>17091489438</v>
      </c>
      <c r="T1233" s="49" t="s">
        <v>132</v>
      </c>
      <c r="U1233" s="50" t="s">
        <v>1500</v>
      </c>
      <c r="V1233" s="50">
        <v>17098469642</v>
      </c>
      <c r="W1233" s="50">
        <v>17098472690</v>
      </c>
      <c r="X1233" s="50" t="s">
        <v>132</v>
      </c>
      <c r="Y1233" s="50"/>
    </row>
    <row r="1234" spans="1:25" x14ac:dyDescent="0.25">
      <c r="A1234" s="25" t="s">
        <v>115</v>
      </c>
      <c r="B1234" t="b">
        <v>1</v>
      </c>
      <c r="C1234" s="43" t="s">
        <v>1502</v>
      </c>
      <c r="D1234" s="43">
        <v>378313359316</v>
      </c>
      <c r="E1234" s="43">
        <v>378313356116</v>
      </c>
      <c r="F1234" s="43" t="s">
        <v>132</v>
      </c>
      <c r="G1234" s="43" t="b">
        <v>0</v>
      </c>
      <c r="H1234" s="43" t="b">
        <v>0</v>
      </c>
      <c r="I1234" s="43"/>
      <c r="J1234" s="45" t="s">
        <v>1503</v>
      </c>
      <c r="K1234" s="46">
        <v>378313356116</v>
      </c>
      <c r="L1234" s="47">
        <v>990000686</v>
      </c>
      <c r="M1234" s="48"/>
      <c r="N1234" s="48"/>
      <c r="O1234" s="48"/>
      <c r="P1234" s="48"/>
      <c r="Q1234" s="49" t="s">
        <v>1502</v>
      </c>
      <c r="R1234" s="49">
        <v>17091488606</v>
      </c>
      <c r="S1234" s="49">
        <v>17091487134</v>
      </c>
      <c r="T1234" s="49" t="s">
        <v>132</v>
      </c>
      <c r="U1234" s="50" t="s">
        <v>1502</v>
      </c>
      <c r="V1234" s="50">
        <v>17098471690</v>
      </c>
      <c r="W1234" s="50">
        <v>17098471154</v>
      </c>
      <c r="X1234" s="50" t="s">
        <v>132</v>
      </c>
      <c r="Y1234" s="50"/>
    </row>
    <row r="1235" spans="1:25" x14ac:dyDescent="0.25">
      <c r="A1235" s="25" t="s">
        <v>115</v>
      </c>
      <c r="B1235" t="b">
        <v>1</v>
      </c>
      <c r="C1235" s="43" t="s">
        <v>1504</v>
      </c>
      <c r="D1235" s="43">
        <v>378313355316</v>
      </c>
      <c r="E1235" s="43">
        <v>378313359188</v>
      </c>
      <c r="F1235" s="43" t="s">
        <v>132</v>
      </c>
      <c r="G1235" s="43" t="b">
        <v>0</v>
      </c>
      <c r="H1235" s="43" t="b">
        <v>0</v>
      </c>
      <c r="I1235" s="43"/>
      <c r="J1235" s="45" t="s">
        <v>1505</v>
      </c>
      <c r="K1235" s="46">
        <v>378313359188</v>
      </c>
      <c r="L1235" s="47">
        <v>990000688</v>
      </c>
      <c r="M1235" s="48"/>
      <c r="N1235" s="48"/>
      <c r="O1235" s="48"/>
      <c r="P1235" s="48"/>
      <c r="Q1235" s="49" t="s">
        <v>1504</v>
      </c>
      <c r="R1235" s="49">
        <v>17091487582</v>
      </c>
      <c r="S1235" s="49">
        <v>17091488670</v>
      </c>
      <c r="T1235" s="49" t="s">
        <v>132</v>
      </c>
      <c r="U1235" s="50" t="s">
        <v>1504</v>
      </c>
      <c r="V1235" s="50">
        <v>17098470666</v>
      </c>
      <c r="W1235" s="50">
        <v>17098471922</v>
      </c>
      <c r="X1235" s="50" t="s">
        <v>132</v>
      </c>
      <c r="Y1235" s="50"/>
    </row>
    <row r="1236" spans="1:25" x14ac:dyDescent="0.25">
      <c r="A1236" s="25" t="s">
        <v>115</v>
      </c>
      <c r="B1236" t="b">
        <v>1</v>
      </c>
      <c r="C1236" s="43" t="s">
        <v>1506</v>
      </c>
      <c r="D1236" s="43">
        <v>378313357364</v>
      </c>
      <c r="E1236" s="43">
        <v>378313356500</v>
      </c>
      <c r="F1236" s="43" t="s">
        <v>186</v>
      </c>
      <c r="G1236" s="43" t="b">
        <v>0</v>
      </c>
      <c r="H1236" s="43" t="b">
        <v>0</v>
      </c>
      <c r="I1236" s="43"/>
      <c r="J1236" s="45" t="s">
        <v>1507</v>
      </c>
      <c r="K1236" s="46">
        <v>378313356500</v>
      </c>
      <c r="L1236" s="47">
        <v>990000683</v>
      </c>
      <c r="M1236" s="48"/>
      <c r="N1236" s="48"/>
      <c r="O1236" s="48"/>
      <c r="P1236" s="48"/>
      <c r="Q1236" s="49" t="s">
        <v>1506</v>
      </c>
      <c r="R1236" s="49">
        <v>17091489630</v>
      </c>
      <c r="S1236" s="49">
        <v>17091485790</v>
      </c>
      <c r="T1236" s="49" t="s">
        <v>186</v>
      </c>
      <c r="U1236" s="50" t="s">
        <v>1506</v>
      </c>
      <c r="V1236" s="50">
        <v>17098472714</v>
      </c>
      <c r="W1236" s="50">
        <v>17098470386</v>
      </c>
      <c r="X1236" s="50" t="s">
        <v>186</v>
      </c>
      <c r="Y1236" s="50"/>
    </row>
    <row r="1237" spans="1:25" x14ac:dyDescent="0.25">
      <c r="A1237" s="25" t="s">
        <v>115</v>
      </c>
      <c r="B1237" t="b">
        <v>1</v>
      </c>
      <c r="C1237" s="43" t="s">
        <v>1508</v>
      </c>
      <c r="D1237" s="43">
        <v>378313356340</v>
      </c>
      <c r="E1237" s="43">
        <v>378313358036</v>
      </c>
      <c r="F1237" s="43" t="s">
        <v>186</v>
      </c>
      <c r="G1237" s="43" t="b">
        <v>0</v>
      </c>
      <c r="H1237" s="43" t="b">
        <v>0</v>
      </c>
      <c r="I1237" s="43"/>
      <c r="J1237" s="45" t="s">
        <v>1509</v>
      </c>
      <c r="K1237" s="46">
        <v>378313358036</v>
      </c>
      <c r="L1237" s="47">
        <v>990000685</v>
      </c>
      <c r="M1237" s="48"/>
      <c r="N1237" s="48"/>
      <c r="O1237" s="48"/>
      <c r="P1237" s="48"/>
      <c r="Q1237" s="49" t="s">
        <v>1508</v>
      </c>
      <c r="R1237" s="49">
        <v>17091485918</v>
      </c>
      <c r="S1237" s="49">
        <v>17091488862</v>
      </c>
      <c r="T1237" s="49" t="s">
        <v>186</v>
      </c>
      <c r="U1237" s="50" t="s">
        <v>1508</v>
      </c>
      <c r="V1237" s="50">
        <v>17098470154</v>
      </c>
      <c r="W1237" s="50">
        <v>17098473458</v>
      </c>
      <c r="X1237" s="50" t="s">
        <v>186</v>
      </c>
      <c r="Y1237" s="50"/>
    </row>
    <row r="1238" spans="1:25" x14ac:dyDescent="0.25">
      <c r="A1238" s="25" t="s">
        <v>115</v>
      </c>
      <c r="B1238" t="b">
        <v>1</v>
      </c>
      <c r="C1238" s="43" t="s">
        <v>1510</v>
      </c>
      <c r="D1238" s="43">
        <v>378313358388</v>
      </c>
      <c r="E1238" s="43">
        <v>378313355732</v>
      </c>
      <c r="F1238" s="43" t="s">
        <v>186</v>
      </c>
      <c r="G1238" s="43" t="b">
        <v>0</v>
      </c>
      <c r="H1238" s="43" t="b">
        <v>0</v>
      </c>
      <c r="I1238" s="43"/>
      <c r="J1238" s="45" t="s">
        <v>1511</v>
      </c>
      <c r="K1238" s="46">
        <v>378313355732</v>
      </c>
      <c r="L1238" s="47">
        <v>990000687</v>
      </c>
      <c r="M1238" s="48"/>
      <c r="N1238" s="48"/>
      <c r="O1238" s="48"/>
      <c r="P1238" s="48"/>
      <c r="Q1238" s="49" t="s">
        <v>1510</v>
      </c>
      <c r="R1238" s="49">
        <v>17091487966</v>
      </c>
      <c r="S1238" s="49">
        <v>17091487326</v>
      </c>
      <c r="T1238" s="49" t="s">
        <v>186</v>
      </c>
      <c r="U1238" s="50" t="s">
        <v>1510</v>
      </c>
      <c r="V1238" s="50">
        <v>17098472202</v>
      </c>
      <c r="W1238" s="50">
        <v>17098470410</v>
      </c>
      <c r="X1238" s="50" t="s">
        <v>186</v>
      </c>
      <c r="Y1238" s="50"/>
    </row>
    <row r="1239" spans="1:25" x14ac:dyDescent="0.25">
      <c r="A1239" s="25" t="s">
        <v>248</v>
      </c>
      <c r="B1239" t="b">
        <v>0</v>
      </c>
      <c r="C1239" s="43" t="s">
        <v>1512</v>
      </c>
      <c r="D1239" s="43">
        <v>379171023176</v>
      </c>
      <c r="E1239" s="43">
        <v>379171023432</v>
      </c>
      <c r="F1239" s="43" t="s">
        <v>173</v>
      </c>
      <c r="G1239" s="43" t="b">
        <v>0</v>
      </c>
      <c r="H1239" s="43" t="b">
        <v>0</v>
      </c>
      <c r="I1239" s="43"/>
      <c r="J1239" s="36" t="s">
        <v>1512</v>
      </c>
      <c r="K1239" s="46">
        <v>379171023432</v>
      </c>
      <c r="L1239" s="47">
        <v>990000294</v>
      </c>
      <c r="M1239" s="48"/>
      <c r="N1239" s="48"/>
      <c r="O1239" s="48"/>
      <c r="P1239" s="48"/>
      <c r="Q1239" s="49" t="s">
        <v>1512</v>
      </c>
      <c r="R1239" s="49">
        <v>17092213058</v>
      </c>
      <c r="S1239" s="49">
        <v>17092213314</v>
      </c>
      <c r="T1239" s="49" t="s">
        <v>173</v>
      </c>
      <c r="U1239" s="50" t="s">
        <v>1512</v>
      </c>
      <c r="V1239" s="50">
        <v>17099251890</v>
      </c>
      <c r="W1239" s="50">
        <v>17099252530</v>
      </c>
      <c r="X1239" s="50" t="s">
        <v>173</v>
      </c>
      <c r="Y1239" s="50"/>
    </row>
    <row r="1240" spans="1:25" x14ac:dyDescent="0.25">
      <c r="A1240" s="25" t="s">
        <v>115</v>
      </c>
      <c r="B1240" t="b">
        <v>0</v>
      </c>
      <c r="C1240" s="43" t="s">
        <v>1513</v>
      </c>
      <c r="D1240" s="43">
        <v>318255</v>
      </c>
      <c r="E1240" s="43">
        <v>301956</v>
      </c>
      <c r="F1240" s="43" t="s">
        <v>132</v>
      </c>
      <c r="G1240" s="43" t="b">
        <v>0</v>
      </c>
      <c r="H1240" s="43" t="b">
        <v>0</v>
      </c>
      <c r="I1240" s="43"/>
      <c r="M1240" s="48" t="s">
        <v>1513</v>
      </c>
      <c r="N1240" s="48">
        <v>17088573057</v>
      </c>
      <c r="O1240" s="48">
        <v>17088568072</v>
      </c>
      <c r="P1240" s="48" t="s">
        <v>132</v>
      </c>
      <c r="Q1240" s="49" t="s">
        <v>1513</v>
      </c>
      <c r="R1240" s="49">
        <v>17083127690</v>
      </c>
      <c r="S1240" s="49">
        <v>17083124754</v>
      </c>
      <c r="T1240" s="49" t="s">
        <v>132</v>
      </c>
      <c r="U1240" s="50" t="s">
        <v>1513</v>
      </c>
      <c r="V1240" s="50">
        <v>17083127690</v>
      </c>
      <c r="W1240" s="50">
        <v>17083124754</v>
      </c>
      <c r="X1240" s="50" t="s">
        <v>132</v>
      </c>
      <c r="Y1240" s="50"/>
    </row>
    <row r="1241" spans="1:25" x14ac:dyDescent="0.25">
      <c r="A1241" s="25" t="s">
        <v>115</v>
      </c>
      <c r="B1241" t="b">
        <v>0</v>
      </c>
      <c r="C1241" s="43" t="s">
        <v>1514</v>
      </c>
      <c r="D1241" s="43">
        <v>317231</v>
      </c>
      <c r="E1241" s="43">
        <v>301828</v>
      </c>
      <c r="F1241" s="43" t="s">
        <v>123</v>
      </c>
      <c r="G1241" s="43" t="b">
        <v>0</v>
      </c>
      <c r="H1241" s="43" t="b">
        <v>0</v>
      </c>
      <c r="I1241" s="43" t="s">
        <v>134</v>
      </c>
      <c r="M1241" s="48" t="s">
        <v>1514</v>
      </c>
      <c r="N1241" s="48">
        <v>17088569793</v>
      </c>
      <c r="O1241" s="48">
        <v>17088568456</v>
      </c>
      <c r="P1241" s="48" t="s">
        <v>123</v>
      </c>
      <c r="Q1241" s="49" t="s">
        <v>1514</v>
      </c>
      <c r="R1241" s="49">
        <v>17083125962</v>
      </c>
      <c r="S1241" s="49">
        <v>17083123986</v>
      </c>
      <c r="T1241" s="49" t="s">
        <v>123</v>
      </c>
      <c r="U1241" s="50" t="s">
        <v>1514</v>
      </c>
      <c r="V1241" s="50">
        <v>17083125962</v>
      </c>
      <c r="W1241" s="50">
        <v>17083123986</v>
      </c>
      <c r="X1241" s="50" t="s">
        <v>123</v>
      </c>
      <c r="Y1241" s="50"/>
    </row>
    <row r="1242" spans="1:25" x14ac:dyDescent="0.25">
      <c r="A1242" s="25" t="s">
        <v>115</v>
      </c>
      <c r="B1242" t="b">
        <v>0</v>
      </c>
      <c r="C1242" s="43" t="s">
        <v>1515</v>
      </c>
      <c r="D1242" s="43">
        <v>319279</v>
      </c>
      <c r="E1242" s="43">
        <v>299044</v>
      </c>
      <c r="F1242" s="43" t="s">
        <v>125</v>
      </c>
      <c r="G1242" s="43" t="b">
        <v>1</v>
      </c>
      <c r="H1242" s="43" t="b">
        <v>0</v>
      </c>
      <c r="I1242" s="43" t="s">
        <v>126</v>
      </c>
      <c r="M1242" s="48" t="s">
        <v>1515</v>
      </c>
      <c r="N1242" s="48">
        <v>17088572289</v>
      </c>
      <c r="O1242" s="48">
        <v>17088565768</v>
      </c>
      <c r="P1242" s="48" t="s">
        <v>125</v>
      </c>
      <c r="Q1242" s="49" t="s">
        <v>1515</v>
      </c>
      <c r="R1242" s="49">
        <v>17083126346</v>
      </c>
      <c r="S1242" s="49">
        <v>17083123170</v>
      </c>
      <c r="T1242" s="49" t="s">
        <v>125</v>
      </c>
      <c r="U1242" s="50" t="s">
        <v>1515</v>
      </c>
      <c r="V1242" s="50">
        <v>17083126346</v>
      </c>
      <c r="W1242" s="50">
        <v>17083123170</v>
      </c>
      <c r="X1242" s="50" t="s">
        <v>125</v>
      </c>
      <c r="Y1242" s="50">
        <v>120350</v>
      </c>
    </row>
    <row r="1243" spans="1:25" x14ac:dyDescent="0.25">
      <c r="A1243" s="25" t="s">
        <v>115</v>
      </c>
      <c r="B1243" t="b">
        <v>0</v>
      </c>
      <c r="C1243" s="43" t="s">
        <v>1516</v>
      </c>
      <c r="D1243" s="43">
        <v>315567</v>
      </c>
      <c r="E1243" s="43">
        <v>299076</v>
      </c>
      <c r="F1243" s="43" t="s">
        <v>117</v>
      </c>
      <c r="G1243" s="43" t="b">
        <v>0</v>
      </c>
      <c r="H1243" s="43" t="b">
        <v>0</v>
      </c>
      <c r="I1243" s="43"/>
      <c r="M1243" s="48" t="s">
        <v>1516</v>
      </c>
      <c r="N1243" s="48">
        <v>17088569473</v>
      </c>
      <c r="O1243" s="48">
        <v>17088566536</v>
      </c>
      <c r="P1243" s="48" t="s">
        <v>117</v>
      </c>
      <c r="Q1243" s="49" t="s">
        <v>1516</v>
      </c>
      <c r="R1243" s="49">
        <v>17083126154</v>
      </c>
      <c r="S1243" s="49">
        <v>17083121682</v>
      </c>
      <c r="T1243" s="49" t="s">
        <v>117</v>
      </c>
      <c r="U1243" s="50" t="s">
        <v>1516</v>
      </c>
      <c r="V1243" s="50">
        <v>17083126154</v>
      </c>
      <c r="W1243" s="50">
        <v>17083121682</v>
      </c>
      <c r="X1243" s="50" t="s">
        <v>117</v>
      </c>
      <c r="Y1243" s="50"/>
    </row>
    <row r="1244" spans="1:25" x14ac:dyDescent="0.25">
      <c r="A1244" s="25" t="s">
        <v>115</v>
      </c>
      <c r="B1244" t="b">
        <v>0</v>
      </c>
      <c r="C1244" s="43" t="s">
        <v>1517</v>
      </c>
      <c r="D1244" s="43">
        <v>317615</v>
      </c>
      <c r="E1244" s="43">
        <v>300548</v>
      </c>
      <c r="F1244" s="43" t="s">
        <v>123</v>
      </c>
      <c r="G1244" s="43" t="b">
        <v>0</v>
      </c>
      <c r="H1244" s="43" t="b">
        <v>0</v>
      </c>
      <c r="I1244" s="43" t="s">
        <v>134</v>
      </c>
      <c r="M1244" s="48" t="s">
        <v>1517</v>
      </c>
      <c r="N1244" s="48">
        <v>17088571329</v>
      </c>
      <c r="O1244" s="48">
        <v>17088566664</v>
      </c>
      <c r="P1244" s="48" t="s">
        <v>123</v>
      </c>
      <c r="Q1244" s="49" t="s">
        <v>1517</v>
      </c>
      <c r="R1244" s="49">
        <v>17083128522</v>
      </c>
      <c r="S1244" s="49">
        <v>17083121810</v>
      </c>
      <c r="T1244" s="49" t="s">
        <v>123</v>
      </c>
      <c r="U1244" s="50" t="s">
        <v>1517</v>
      </c>
      <c r="V1244" s="50">
        <v>17083128522</v>
      </c>
      <c r="W1244" s="50">
        <v>17083121810</v>
      </c>
      <c r="X1244" s="50" t="s">
        <v>123</v>
      </c>
      <c r="Y1244" s="50"/>
    </row>
    <row r="1245" spans="1:25" x14ac:dyDescent="0.25">
      <c r="A1245" s="25" t="s">
        <v>115</v>
      </c>
      <c r="B1245" t="b">
        <v>0</v>
      </c>
      <c r="C1245" s="43" t="s">
        <v>1518</v>
      </c>
      <c r="D1245" s="43">
        <v>316591</v>
      </c>
      <c r="E1245" s="43">
        <v>293656</v>
      </c>
      <c r="F1245" s="43" t="s">
        <v>119</v>
      </c>
      <c r="G1245" s="43" t="b">
        <v>0</v>
      </c>
      <c r="H1245" s="43" t="b">
        <v>0</v>
      </c>
      <c r="I1245" s="43"/>
      <c r="M1245" s="48" t="s">
        <v>1518</v>
      </c>
      <c r="N1245" s="48">
        <v>17088571970</v>
      </c>
      <c r="O1245" s="48">
        <v>17088565782</v>
      </c>
      <c r="P1245" s="48" t="s">
        <v>119</v>
      </c>
      <c r="Q1245" s="49" t="s">
        <v>1518</v>
      </c>
      <c r="R1245" s="49">
        <v>17083126582</v>
      </c>
      <c r="S1245" s="49">
        <v>17083125273</v>
      </c>
      <c r="T1245" s="49" t="s">
        <v>119</v>
      </c>
      <c r="U1245" s="50" t="s">
        <v>1518</v>
      </c>
      <c r="V1245" s="50">
        <v>17083126582</v>
      </c>
      <c r="W1245" s="50">
        <v>17083125273</v>
      </c>
      <c r="X1245" s="50" t="s">
        <v>119</v>
      </c>
      <c r="Y1245" s="50"/>
    </row>
    <row r="1246" spans="1:25" x14ac:dyDescent="0.25">
      <c r="A1246" s="25" t="s">
        <v>115</v>
      </c>
      <c r="B1246" t="b">
        <v>0</v>
      </c>
      <c r="C1246" s="43" t="s">
        <v>1519</v>
      </c>
      <c r="D1246" s="43">
        <v>318639</v>
      </c>
      <c r="E1246" s="43">
        <v>294808</v>
      </c>
      <c r="F1246" s="43" t="s">
        <v>123</v>
      </c>
      <c r="G1246" s="43" t="b">
        <v>0</v>
      </c>
      <c r="H1246" s="43" t="b">
        <v>0</v>
      </c>
      <c r="I1246" s="43" t="s">
        <v>134</v>
      </c>
      <c r="M1246" s="48" t="s">
        <v>1519</v>
      </c>
      <c r="N1246" s="48">
        <v>17088572162</v>
      </c>
      <c r="O1246" s="48">
        <v>17088568038</v>
      </c>
      <c r="P1246" s="48" t="s">
        <v>123</v>
      </c>
      <c r="Q1246" s="49" t="s">
        <v>1519</v>
      </c>
      <c r="R1246" s="49">
        <v>17083126998</v>
      </c>
      <c r="S1246" s="49">
        <v>17083122153</v>
      </c>
      <c r="T1246" s="49" t="s">
        <v>123</v>
      </c>
      <c r="U1246" s="50" t="s">
        <v>1519</v>
      </c>
      <c r="V1246" s="50">
        <v>17083126998</v>
      </c>
      <c r="W1246" s="50">
        <v>17083122153</v>
      </c>
      <c r="X1246" s="50" t="s">
        <v>123</v>
      </c>
      <c r="Y1246" s="50"/>
    </row>
    <row r="1247" spans="1:25" x14ac:dyDescent="0.25">
      <c r="A1247" s="25" t="s">
        <v>115</v>
      </c>
      <c r="B1247" t="b">
        <v>0</v>
      </c>
      <c r="C1247" s="43" t="s">
        <v>1520</v>
      </c>
      <c r="D1247" s="43">
        <v>316079</v>
      </c>
      <c r="E1247" s="43">
        <v>301808</v>
      </c>
      <c r="F1247" s="43" t="s">
        <v>125</v>
      </c>
      <c r="G1247" s="43" t="b">
        <v>1</v>
      </c>
      <c r="H1247" s="43" t="b">
        <v>0</v>
      </c>
      <c r="I1247" s="43"/>
      <c r="M1247" s="48" t="s">
        <v>1520</v>
      </c>
      <c r="N1247" s="48">
        <v>17088569922</v>
      </c>
      <c r="O1247" s="48">
        <v>17088568422</v>
      </c>
      <c r="P1247" s="48" t="s">
        <v>125</v>
      </c>
      <c r="Q1247" s="49" t="s">
        <v>1520</v>
      </c>
      <c r="R1247" s="49">
        <v>17083129142</v>
      </c>
      <c r="S1247" s="49">
        <v>17083123305</v>
      </c>
      <c r="T1247" s="49" t="s">
        <v>125</v>
      </c>
      <c r="U1247" s="50" t="s">
        <v>1520</v>
      </c>
      <c r="V1247" s="50">
        <v>17083129142</v>
      </c>
      <c r="W1247" s="50">
        <v>17083123305</v>
      </c>
      <c r="X1247" s="50" t="s">
        <v>125</v>
      </c>
      <c r="Y1247" s="50">
        <v>110330</v>
      </c>
    </row>
    <row r="1248" spans="1:25" x14ac:dyDescent="0.25">
      <c r="A1248" s="25" t="s">
        <v>115</v>
      </c>
      <c r="B1248" t="b">
        <v>0</v>
      </c>
      <c r="C1248" s="43" t="s">
        <v>1521</v>
      </c>
      <c r="D1248" s="43">
        <v>318127</v>
      </c>
      <c r="E1248" s="43">
        <v>293352</v>
      </c>
      <c r="F1248" s="43" t="s">
        <v>119</v>
      </c>
      <c r="G1248" s="43" t="b">
        <v>0</v>
      </c>
      <c r="H1248" s="43" t="b">
        <v>0</v>
      </c>
      <c r="I1248" s="43"/>
      <c r="M1248" s="48" t="s">
        <v>1521</v>
      </c>
      <c r="N1248" s="48">
        <v>17088570754</v>
      </c>
      <c r="O1248" s="48">
        <v>17088565654</v>
      </c>
      <c r="P1248" s="48" t="s">
        <v>119</v>
      </c>
      <c r="Q1248" s="49" t="s">
        <v>1521</v>
      </c>
      <c r="R1248" s="49">
        <v>17083128790</v>
      </c>
      <c r="S1248" s="49">
        <v>17083125145</v>
      </c>
      <c r="T1248" s="49" t="s">
        <v>119</v>
      </c>
      <c r="U1248" s="50" t="s">
        <v>1521</v>
      </c>
      <c r="V1248" s="50">
        <v>17083128790</v>
      </c>
      <c r="W1248" s="50">
        <v>17083125145</v>
      </c>
      <c r="X1248" s="50" t="s">
        <v>119</v>
      </c>
      <c r="Y1248" s="50"/>
    </row>
    <row r="1249" spans="1:25" x14ac:dyDescent="0.25">
      <c r="A1249" s="25" t="s">
        <v>115</v>
      </c>
      <c r="B1249" t="b">
        <v>0</v>
      </c>
      <c r="C1249" s="43" t="s">
        <v>1522</v>
      </c>
      <c r="D1249" s="43">
        <v>317103</v>
      </c>
      <c r="E1249" s="43">
        <v>300420</v>
      </c>
      <c r="F1249" s="43" t="s">
        <v>132</v>
      </c>
      <c r="G1249" s="43" t="b">
        <v>0</v>
      </c>
      <c r="H1249" s="43" t="b">
        <v>0</v>
      </c>
      <c r="I1249" s="43"/>
      <c r="M1249" s="48" t="s">
        <v>1522</v>
      </c>
      <c r="N1249" s="48">
        <v>17088572353</v>
      </c>
      <c r="O1249" s="48">
        <v>17088565384</v>
      </c>
      <c r="P1249" s="48" t="s">
        <v>132</v>
      </c>
      <c r="Q1249" s="49" t="s">
        <v>1522</v>
      </c>
      <c r="R1249" s="49">
        <v>17083126474</v>
      </c>
      <c r="S1249" s="49">
        <v>17083123218</v>
      </c>
      <c r="T1249" s="49" t="s">
        <v>132</v>
      </c>
      <c r="U1249" s="50" t="s">
        <v>1522</v>
      </c>
      <c r="V1249" s="50">
        <v>17083126474</v>
      </c>
      <c r="W1249" s="50">
        <v>17083123218</v>
      </c>
      <c r="X1249" s="50" t="s">
        <v>132</v>
      </c>
      <c r="Y1249" s="50"/>
    </row>
    <row r="1250" spans="1:25" x14ac:dyDescent="0.25">
      <c r="A1250" s="25" t="s">
        <v>115</v>
      </c>
      <c r="B1250" t="b">
        <v>0</v>
      </c>
      <c r="C1250" s="43" t="s">
        <v>1523</v>
      </c>
      <c r="D1250" s="43">
        <v>315823</v>
      </c>
      <c r="E1250" s="43">
        <v>291992</v>
      </c>
      <c r="F1250" s="43" t="s">
        <v>119</v>
      </c>
      <c r="G1250" s="43" t="b">
        <v>0</v>
      </c>
      <c r="H1250" s="43" t="b">
        <v>0</v>
      </c>
      <c r="I1250" s="43"/>
      <c r="M1250" s="48" t="s">
        <v>1523</v>
      </c>
      <c r="N1250" s="48">
        <v>17088573314</v>
      </c>
      <c r="O1250" s="48">
        <v>17088569318</v>
      </c>
      <c r="P1250" s="48" t="s">
        <v>119</v>
      </c>
      <c r="Q1250" s="49" t="s">
        <v>1523</v>
      </c>
      <c r="R1250" s="49">
        <v>17083128886</v>
      </c>
      <c r="S1250" s="49">
        <v>17083122713</v>
      </c>
      <c r="T1250" s="49" t="s">
        <v>119</v>
      </c>
      <c r="U1250" s="50" t="s">
        <v>1523</v>
      </c>
      <c r="V1250" s="50">
        <v>17083128886</v>
      </c>
      <c r="W1250" s="50">
        <v>17083122713</v>
      </c>
      <c r="X1250" s="50" t="s">
        <v>119</v>
      </c>
      <c r="Y1250" s="50"/>
    </row>
    <row r="1251" spans="1:25" x14ac:dyDescent="0.25">
      <c r="A1251" s="25" t="s">
        <v>115</v>
      </c>
      <c r="B1251" t="b">
        <v>0</v>
      </c>
      <c r="C1251" s="43" t="s">
        <v>1524</v>
      </c>
      <c r="D1251" s="43">
        <v>317871</v>
      </c>
      <c r="E1251" s="43">
        <v>292440</v>
      </c>
      <c r="F1251" s="43" t="s">
        <v>125</v>
      </c>
      <c r="G1251" s="43" t="b">
        <v>0</v>
      </c>
      <c r="H1251" s="43" t="b">
        <v>0</v>
      </c>
      <c r="I1251" s="43"/>
      <c r="M1251" s="48" t="s">
        <v>1524</v>
      </c>
      <c r="N1251" s="48">
        <v>17088572482</v>
      </c>
      <c r="O1251" s="48">
        <v>17088566502</v>
      </c>
      <c r="P1251" s="48" t="s">
        <v>125</v>
      </c>
      <c r="Q1251" s="49" t="s">
        <v>1524</v>
      </c>
      <c r="R1251" s="49">
        <v>17083127094</v>
      </c>
      <c r="S1251" s="49">
        <v>17083124457</v>
      </c>
      <c r="T1251" s="49" t="s">
        <v>125</v>
      </c>
      <c r="U1251" s="50" t="s">
        <v>1524</v>
      </c>
      <c r="V1251" s="50">
        <v>17083127094</v>
      </c>
      <c r="W1251" s="50">
        <v>17083124457</v>
      </c>
      <c r="X1251" s="50" t="s">
        <v>125</v>
      </c>
      <c r="Y1251" s="50"/>
    </row>
    <row r="1252" spans="1:25" x14ac:dyDescent="0.25">
      <c r="A1252" s="25" t="s">
        <v>115</v>
      </c>
      <c r="B1252" t="b">
        <v>0</v>
      </c>
      <c r="C1252" s="43" t="s">
        <v>1525</v>
      </c>
      <c r="D1252" s="43">
        <v>316847</v>
      </c>
      <c r="E1252" s="43">
        <v>292840</v>
      </c>
      <c r="F1252" s="43" t="s">
        <v>119</v>
      </c>
      <c r="G1252" s="43" t="b">
        <v>0</v>
      </c>
      <c r="H1252" s="43" t="b">
        <v>0</v>
      </c>
      <c r="I1252" s="43"/>
      <c r="M1252" s="48" t="s">
        <v>1525</v>
      </c>
      <c r="N1252" s="48">
        <v>17088572930</v>
      </c>
      <c r="O1252" s="48">
        <v>17088568470</v>
      </c>
      <c r="P1252" s="48" t="s">
        <v>119</v>
      </c>
      <c r="Q1252" s="49" t="s">
        <v>1525</v>
      </c>
      <c r="R1252" s="49">
        <v>17083126614</v>
      </c>
      <c r="S1252" s="49">
        <v>17083123353</v>
      </c>
      <c r="T1252" s="49" t="s">
        <v>119</v>
      </c>
      <c r="U1252" s="50" t="s">
        <v>1525</v>
      </c>
      <c r="V1252" s="50">
        <v>17083126614</v>
      </c>
      <c r="W1252" s="50">
        <v>17083123353</v>
      </c>
      <c r="X1252" s="50" t="s">
        <v>119</v>
      </c>
      <c r="Y1252" s="50"/>
    </row>
    <row r="1253" spans="1:25" x14ac:dyDescent="0.25">
      <c r="A1253" s="25" t="s">
        <v>115</v>
      </c>
      <c r="B1253" t="b">
        <v>0</v>
      </c>
      <c r="C1253" s="43" t="s">
        <v>1526</v>
      </c>
      <c r="D1253" s="43">
        <v>318895</v>
      </c>
      <c r="E1253" s="43">
        <v>293912</v>
      </c>
      <c r="F1253" s="43" t="s">
        <v>119</v>
      </c>
      <c r="G1253" s="43" t="b">
        <v>0</v>
      </c>
      <c r="H1253" s="43" t="b">
        <v>0</v>
      </c>
      <c r="I1253" s="43"/>
      <c r="M1253" s="48" t="s">
        <v>1526</v>
      </c>
      <c r="N1253" s="48">
        <v>17088569986</v>
      </c>
      <c r="O1253" s="48">
        <v>17088567062</v>
      </c>
      <c r="P1253" s="48" t="s">
        <v>119</v>
      </c>
      <c r="Q1253" s="49" t="s">
        <v>1526</v>
      </c>
      <c r="R1253" s="49">
        <v>17083129302</v>
      </c>
      <c r="S1253" s="49">
        <v>17083123865</v>
      </c>
      <c r="T1253" s="49" t="s">
        <v>119</v>
      </c>
      <c r="U1253" s="50" t="s">
        <v>1526</v>
      </c>
      <c r="V1253" s="50">
        <v>17083129302</v>
      </c>
      <c r="W1253" s="50">
        <v>17083123865</v>
      </c>
      <c r="X1253" s="50" t="s">
        <v>119</v>
      </c>
      <c r="Y1253" s="50"/>
    </row>
    <row r="1254" spans="1:25" x14ac:dyDescent="0.25">
      <c r="A1254" s="25" t="s">
        <v>115</v>
      </c>
      <c r="B1254" t="b">
        <v>0</v>
      </c>
      <c r="C1254" s="43" t="s">
        <v>1527</v>
      </c>
      <c r="D1254" s="43">
        <v>316335</v>
      </c>
      <c r="E1254" s="43">
        <v>291736</v>
      </c>
      <c r="F1254" s="43" t="s">
        <v>125</v>
      </c>
      <c r="G1254" s="43" t="b">
        <v>0</v>
      </c>
      <c r="H1254" s="43" t="b">
        <v>0</v>
      </c>
      <c r="I1254" s="43"/>
      <c r="M1254" s="48" t="s">
        <v>1527</v>
      </c>
      <c r="N1254" s="48">
        <v>17088570114</v>
      </c>
      <c r="O1254" s="48">
        <v>17088566246</v>
      </c>
      <c r="P1254" s="48" t="s">
        <v>125</v>
      </c>
      <c r="Q1254" s="49" t="s">
        <v>1527</v>
      </c>
      <c r="R1254" s="49">
        <v>17083128022</v>
      </c>
      <c r="S1254" s="49">
        <v>17083125737</v>
      </c>
      <c r="T1254" s="49" t="s">
        <v>125</v>
      </c>
      <c r="U1254" s="50" t="s">
        <v>1527</v>
      </c>
      <c r="V1254" s="50">
        <v>17083128022</v>
      </c>
      <c r="W1254" s="50">
        <v>17083125737</v>
      </c>
      <c r="X1254" s="50" t="s">
        <v>125</v>
      </c>
      <c r="Y1254" s="50"/>
    </row>
    <row r="1255" spans="1:25" x14ac:dyDescent="0.25">
      <c r="A1255" s="25" t="s">
        <v>115</v>
      </c>
      <c r="B1255" t="b">
        <v>0</v>
      </c>
      <c r="C1255" s="43" t="s">
        <v>1528</v>
      </c>
      <c r="D1255" s="43">
        <v>318383</v>
      </c>
      <c r="E1255" s="43">
        <v>299888</v>
      </c>
      <c r="F1255" s="43" t="s">
        <v>125</v>
      </c>
      <c r="G1255" s="43" t="b">
        <v>0</v>
      </c>
      <c r="H1255" s="43" t="b">
        <v>0</v>
      </c>
      <c r="I1255" s="43"/>
      <c r="M1255" s="48" t="s">
        <v>1528</v>
      </c>
      <c r="N1255" s="48">
        <v>17088570434</v>
      </c>
      <c r="O1255" s="48">
        <v>17088566118</v>
      </c>
      <c r="P1255" s="48" t="s">
        <v>125</v>
      </c>
      <c r="Q1255" s="49" t="s">
        <v>1528</v>
      </c>
      <c r="R1255" s="49">
        <v>17083128118</v>
      </c>
      <c r="S1255" s="49">
        <v>17083125609</v>
      </c>
      <c r="T1255" s="49" t="s">
        <v>125</v>
      </c>
      <c r="U1255" s="50" t="s">
        <v>1528</v>
      </c>
      <c r="V1255" s="50">
        <v>17083128118</v>
      </c>
      <c r="W1255" s="50">
        <v>17083125609</v>
      </c>
      <c r="X1255" s="50" t="s">
        <v>125</v>
      </c>
      <c r="Y1255" s="50"/>
    </row>
    <row r="1256" spans="1:25" x14ac:dyDescent="0.25">
      <c r="A1256" s="25" t="s">
        <v>115</v>
      </c>
      <c r="B1256" t="b">
        <v>0</v>
      </c>
      <c r="C1256" s="43" t="s">
        <v>1529</v>
      </c>
      <c r="D1256" s="43">
        <v>317359</v>
      </c>
      <c r="E1256" s="43">
        <v>299592</v>
      </c>
      <c r="F1256" s="43" t="s">
        <v>125</v>
      </c>
      <c r="G1256" s="43" t="b">
        <v>0</v>
      </c>
      <c r="H1256" s="43" t="b">
        <v>0</v>
      </c>
      <c r="I1256" s="43" t="s">
        <v>126</v>
      </c>
      <c r="M1256" s="48" t="s">
        <v>1529</v>
      </c>
      <c r="N1256" s="48">
        <v>17088572674</v>
      </c>
      <c r="O1256" s="48">
        <v>17088567974</v>
      </c>
      <c r="P1256" s="48" t="s">
        <v>125</v>
      </c>
      <c r="Q1256" s="49" t="s">
        <v>1529</v>
      </c>
      <c r="R1256" s="49">
        <v>17083125974</v>
      </c>
      <c r="S1256" s="49">
        <v>17083122089</v>
      </c>
      <c r="T1256" s="49" t="s">
        <v>125</v>
      </c>
      <c r="U1256" s="50" t="s">
        <v>1529</v>
      </c>
      <c r="V1256" s="50">
        <v>17083125974</v>
      </c>
      <c r="W1256" s="50">
        <v>17083122089</v>
      </c>
      <c r="X1256" s="50" t="s">
        <v>125</v>
      </c>
      <c r="Y1256" s="50"/>
    </row>
    <row r="1257" spans="1:25" x14ac:dyDescent="0.25">
      <c r="A1257" s="25" t="s">
        <v>115</v>
      </c>
      <c r="B1257" t="b">
        <v>0</v>
      </c>
      <c r="C1257" s="43" t="s">
        <v>1530</v>
      </c>
      <c r="D1257" s="43">
        <v>319407</v>
      </c>
      <c r="E1257" s="43">
        <v>299048</v>
      </c>
      <c r="F1257" s="43" t="s">
        <v>186</v>
      </c>
      <c r="G1257" s="43" t="b">
        <v>0</v>
      </c>
      <c r="H1257" s="43" t="b">
        <v>0</v>
      </c>
      <c r="I1257" s="43"/>
      <c r="M1257" s="48" t="s">
        <v>1530</v>
      </c>
      <c r="N1257" s="48">
        <v>17088569548</v>
      </c>
      <c r="O1257" s="48">
        <v>17088565996</v>
      </c>
      <c r="P1257" s="48" t="s">
        <v>186</v>
      </c>
      <c r="Q1257" s="49" t="s">
        <v>1530</v>
      </c>
      <c r="R1257" s="49">
        <v>17083125894</v>
      </c>
      <c r="S1257" s="49">
        <v>17083124950</v>
      </c>
      <c r="T1257" s="49" t="s">
        <v>186</v>
      </c>
      <c r="U1257" s="50" t="s">
        <v>1530</v>
      </c>
      <c r="V1257" s="50">
        <v>17083125894</v>
      </c>
      <c r="W1257" s="50">
        <v>17083124950</v>
      </c>
      <c r="X1257" s="50" t="s">
        <v>186</v>
      </c>
      <c r="Y1257" s="50"/>
    </row>
    <row r="1258" spans="1:25" x14ac:dyDescent="0.25">
      <c r="A1258" s="25" t="s">
        <v>115</v>
      </c>
      <c r="B1258" t="b">
        <v>1</v>
      </c>
      <c r="C1258" s="43" t="s">
        <v>1531</v>
      </c>
      <c r="D1258" s="43">
        <v>315503</v>
      </c>
      <c r="E1258" s="43">
        <v>302960</v>
      </c>
      <c r="F1258" s="43" t="s">
        <v>125</v>
      </c>
      <c r="G1258" s="43" t="b">
        <v>1</v>
      </c>
      <c r="H1258" s="43" t="b">
        <v>0</v>
      </c>
      <c r="I1258" s="43"/>
      <c r="M1258" s="48" t="s">
        <v>1531</v>
      </c>
      <c r="N1258" s="48">
        <v>17088571266</v>
      </c>
      <c r="O1258" s="48">
        <v>17088567654</v>
      </c>
      <c r="P1258" s="48" t="s">
        <v>125</v>
      </c>
      <c r="Q1258" s="49" t="s">
        <v>1531</v>
      </c>
      <c r="R1258" s="49">
        <v>17083126838</v>
      </c>
      <c r="S1258" s="49">
        <v>17083122537</v>
      </c>
      <c r="T1258" s="49" t="s">
        <v>125</v>
      </c>
      <c r="U1258" s="50" t="s">
        <v>1531</v>
      </c>
      <c r="V1258" s="50">
        <v>17083126838</v>
      </c>
      <c r="W1258" s="50">
        <v>17083122537</v>
      </c>
      <c r="X1258" s="50" t="s">
        <v>125</v>
      </c>
      <c r="Y1258" s="50">
        <v>110327</v>
      </c>
    </row>
    <row r="1259" spans="1:25" x14ac:dyDescent="0.25">
      <c r="A1259" s="25" t="s">
        <v>115</v>
      </c>
      <c r="B1259" t="b">
        <v>0</v>
      </c>
      <c r="C1259" s="43" t="s">
        <v>1532</v>
      </c>
      <c r="D1259" s="43">
        <v>317551</v>
      </c>
      <c r="E1259" s="43">
        <v>292040</v>
      </c>
      <c r="F1259" s="43" t="s">
        <v>132</v>
      </c>
      <c r="G1259" s="43" t="b">
        <v>0</v>
      </c>
      <c r="H1259" s="43" t="b">
        <v>0</v>
      </c>
      <c r="I1259" s="43"/>
      <c r="M1259" s="48" t="s">
        <v>1532</v>
      </c>
      <c r="N1259" s="48">
        <v>17088570626</v>
      </c>
      <c r="O1259" s="48">
        <v>17088566358</v>
      </c>
      <c r="P1259" s="48" t="s">
        <v>132</v>
      </c>
      <c r="Q1259" s="49" t="s">
        <v>1532</v>
      </c>
      <c r="R1259" s="49">
        <v>17083129686</v>
      </c>
      <c r="S1259" s="49">
        <v>17083124313</v>
      </c>
      <c r="T1259" s="49" t="s">
        <v>132</v>
      </c>
      <c r="U1259" s="50" t="s">
        <v>1532</v>
      </c>
      <c r="V1259" s="50">
        <v>17083129686</v>
      </c>
      <c r="W1259" s="50">
        <v>17083124313</v>
      </c>
      <c r="X1259" s="50" t="s">
        <v>132</v>
      </c>
      <c r="Y1259" s="50"/>
    </row>
    <row r="1260" spans="1:25" x14ac:dyDescent="0.25">
      <c r="A1260" s="25" t="s">
        <v>115</v>
      </c>
      <c r="B1260" t="b">
        <v>0</v>
      </c>
      <c r="C1260" s="43" t="s">
        <v>1533</v>
      </c>
      <c r="D1260" s="43">
        <v>316527</v>
      </c>
      <c r="E1260" s="43">
        <v>302576</v>
      </c>
      <c r="F1260" s="43" t="s">
        <v>186</v>
      </c>
      <c r="G1260" s="43" t="b">
        <v>0</v>
      </c>
      <c r="H1260" s="43" t="b">
        <v>0</v>
      </c>
      <c r="I1260" s="43"/>
      <c r="M1260" s="48" t="s">
        <v>1533</v>
      </c>
      <c r="N1260" s="48">
        <v>17088571650</v>
      </c>
      <c r="O1260" s="48">
        <v>17088568230</v>
      </c>
      <c r="P1260" s="48" t="s">
        <v>186</v>
      </c>
      <c r="Q1260" s="49" t="s">
        <v>1533</v>
      </c>
      <c r="R1260" s="49">
        <v>17083127638</v>
      </c>
      <c r="S1260" s="49">
        <v>17083121769</v>
      </c>
      <c r="T1260" s="49" t="s">
        <v>186</v>
      </c>
      <c r="U1260" s="50" t="s">
        <v>1533</v>
      </c>
      <c r="V1260" s="50">
        <v>17083127638</v>
      </c>
      <c r="W1260" s="50">
        <v>17083121769</v>
      </c>
      <c r="X1260" s="50" t="s">
        <v>186</v>
      </c>
      <c r="Y1260" s="50"/>
    </row>
    <row r="1261" spans="1:25" x14ac:dyDescent="0.25">
      <c r="A1261" s="25" t="s">
        <v>115</v>
      </c>
      <c r="B1261" t="b">
        <v>0</v>
      </c>
      <c r="C1261" s="43" t="s">
        <v>1534</v>
      </c>
      <c r="D1261" s="43">
        <v>318575</v>
      </c>
      <c r="E1261" s="43">
        <v>300628</v>
      </c>
      <c r="F1261" s="43" t="s">
        <v>123</v>
      </c>
      <c r="G1261" s="43" t="b">
        <v>0</v>
      </c>
      <c r="H1261" s="43" t="b">
        <v>0</v>
      </c>
      <c r="I1261" s="43"/>
      <c r="M1261" s="48" t="s">
        <v>1534</v>
      </c>
      <c r="N1261" s="48">
        <v>17088572833</v>
      </c>
      <c r="O1261" s="48">
        <v>17088568984</v>
      </c>
      <c r="P1261" s="48" t="s">
        <v>123</v>
      </c>
      <c r="Q1261" s="49" t="s">
        <v>1534</v>
      </c>
      <c r="R1261" s="49">
        <v>17083127210</v>
      </c>
      <c r="S1261" s="49">
        <v>17083122698</v>
      </c>
      <c r="T1261" s="49" t="s">
        <v>123</v>
      </c>
      <c r="U1261" s="50" t="s">
        <v>1534</v>
      </c>
      <c r="V1261" s="50">
        <v>17083127210</v>
      </c>
      <c r="W1261" s="50">
        <v>17083122698</v>
      </c>
      <c r="X1261" s="50" t="s">
        <v>123</v>
      </c>
      <c r="Y1261" s="50"/>
    </row>
    <row r="1262" spans="1:25" x14ac:dyDescent="0.25">
      <c r="A1262" s="25" t="s">
        <v>115</v>
      </c>
      <c r="B1262" t="b">
        <v>0</v>
      </c>
      <c r="C1262" s="43" t="s">
        <v>1535</v>
      </c>
      <c r="D1262" s="43">
        <v>316015</v>
      </c>
      <c r="E1262" s="43">
        <v>300584</v>
      </c>
      <c r="F1262" s="43" t="s">
        <v>119</v>
      </c>
      <c r="G1262" s="43" t="b">
        <v>0</v>
      </c>
      <c r="H1262" s="43" t="b">
        <v>0</v>
      </c>
      <c r="I1262" s="43"/>
      <c r="M1262" s="48" t="s">
        <v>1535</v>
      </c>
      <c r="N1262" s="48">
        <v>17088571202</v>
      </c>
      <c r="O1262" s="48">
        <v>17088567918</v>
      </c>
      <c r="P1262" s="48" t="s">
        <v>119</v>
      </c>
      <c r="Q1262" s="49" t="s">
        <v>1535</v>
      </c>
      <c r="R1262" s="49">
        <v>17083127478</v>
      </c>
      <c r="S1262" s="49">
        <v>17083125285</v>
      </c>
      <c r="T1262" s="49" t="s">
        <v>119</v>
      </c>
      <c r="U1262" s="50" t="s">
        <v>1535</v>
      </c>
      <c r="V1262" s="50">
        <v>17083127478</v>
      </c>
      <c r="W1262" s="50">
        <v>17083125285</v>
      </c>
      <c r="X1262" s="50" t="s">
        <v>119</v>
      </c>
      <c r="Y1262" s="50"/>
    </row>
    <row r="1263" spans="1:25" x14ac:dyDescent="0.25">
      <c r="A1263" s="25" t="s">
        <v>115</v>
      </c>
      <c r="B1263" t="b">
        <v>0</v>
      </c>
      <c r="C1263" s="43" t="s">
        <v>1536</v>
      </c>
      <c r="D1263" s="43">
        <v>318063</v>
      </c>
      <c r="E1263" s="43">
        <v>301400</v>
      </c>
      <c r="F1263" s="43" t="s">
        <v>186</v>
      </c>
      <c r="G1263" s="43" t="b">
        <v>0</v>
      </c>
      <c r="H1263" s="43" t="b">
        <v>0</v>
      </c>
      <c r="I1263" s="43"/>
      <c r="M1263" s="48" t="s">
        <v>1536</v>
      </c>
      <c r="N1263" s="48">
        <v>17088569634</v>
      </c>
      <c r="O1263" s="48">
        <v>17088567374</v>
      </c>
      <c r="P1263" s="48" t="s">
        <v>186</v>
      </c>
      <c r="Q1263" s="49" t="s">
        <v>1536</v>
      </c>
      <c r="R1263" s="49">
        <v>17083127158</v>
      </c>
      <c r="S1263" s="49">
        <v>17083124741</v>
      </c>
      <c r="T1263" s="49" t="s">
        <v>186</v>
      </c>
      <c r="U1263" s="50" t="s">
        <v>1536</v>
      </c>
      <c r="V1263" s="50">
        <v>17083127158</v>
      </c>
      <c r="W1263" s="50">
        <v>17083124741</v>
      </c>
      <c r="X1263" s="50" t="s">
        <v>186</v>
      </c>
      <c r="Y1263" s="50"/>
    </row>
    <row r="1264" spans="1:25" x14ac:dyDescent="0.25">
      <c r="A1264" s="25" t="s">
        <v>115</v>
      </c>
      <c r="B1264" t="b">
        <v>0</v>
      </c>
      <c r="C1264" s="43" t="s">
        <v>1537</v>
      </c>
      <c r="D1264" s="43">
        <v>317039</v>
      </c>
      <c r="E1264" s="43">
        <v>299496</v>
      </c>
      <c r="F1264" s="43" t="s">
        <v>132</v>
      </c>
      <c r="G1264" s="43" t="b">
        <v>0</v>
      </c>
      <c r="H1264" s="43" t="b">
        <v>0</v>
      </c>
      <c r="I1264" s="43"/>
      <c r="M1264" s="48" t="s">
        <v>1537</v>
      </c>
      <c r="N1264" s="48">
        <v>17088571170</v>
      </c>
      <c r="O1264" s="48">
        <v>17088569294</v>
      </c>
      <c r="P1264" s="48" t="s">
        <v>132</v>
      </c>
      <c r="Q1264" s="49" t="s">
        <v>1537</v>
      </c>
      <c r="R1264" s="49">
        <v>17083126006</v>
      </c>
      <c r="S1264" s="49">
        <v>17083123781</v>
      </c>
      <c r="T1264" s="49" t="s">
        <v>132</v>
      </c>
      <c r="U1264" s="50" t="s">
        <v>1537</v>
      </c>
      <c r="V1264" s="50">
        <v>17083126006</v>
      </c>
      <c r="W1264" s="50">
        <v>17083123781</v>
      </c>
      <c r="X1264" s="50" t="s">
        <v>132</v>
      </c>
      <c r="Y1264" s="50"/>
    </row>
    <row r="1265" spans="1:25" x14ac:dyDescent="0.25">
      <c r="A1265" s="25" t="s">
        <v>115</v>
      </c>
      <c r="B1265" t="b">
        <v>0</v>
      </c>
      <c r="C1265" s="43" t="s">
        <v>1538</v>
      </c>
      <c r="D1265" s="43">
        <v>319087</v>
      </c>
      <c r="E1265" s="43">
        <v>301976</v>
      </c>
      <c r="F1265" s="43" t="s">
        <v>125</v>
      </c>
      <c r="G1265" s="43" t="b">
        <v>0</v>
      </c>
      <c r="H1265" s="43" t="b">
        <v>0</v>
      </c>
      <c r="I1265" s="43"/>
      <c r="M1265" s="48" t="s">
        <v>1538</v>
      </c>
      <c r="N1265" s="48">
        <v>17088572962</v>
      </c>
      <c r="O1265" s="48">
        <v>17088568142</v>
      </c>
      <c r="P1265" s="48" t="s">
        <v>125</v>
      </c>
      <c r="Q1265" s="49" t="s">
        <v>1538</v>
      </c>
      <c r="R1265" s="49">
        <v>17083128182</v>
      </c>
      <c r="S1265" s="49">
        <v>17083125509</v>
      </c>
      <c r="T1265" s="49" t="s">
        <v>125</v>
      </c>
      <c r="U1265" s="50" t="s">
        <v>1538</v>
      </c>
      <c r="V1265" s="50">
        <v>17083128182</v>
      </c>
      <c r="W1265" s="50">
        <v>17083125509</v>
      </c>
      <c r="X1265" s="50" t="s">
        <v>125</v>
      </c>
      <c r="Y1265" s="50"/>
    </row>
    <row r="1266" spans="1:25" x14ac:dyDescent="0.25">
      <c r="A1266" s="25" t="s">
        <v>115</v>
      </c>
      <c r="B1266" t="b">
        <v>0</v>
      </c>
      <c r="C1266" s="43" t="s">
        <v>1539</v>
      </c>
      <c r="D1266" s="43">
        <v>315759</v>
      </c>
      <c r="E1266" s="43">
        <v>301336</v>
      </c>
      <c r="F1266" s="43" t="s">
        <v>123</v>
      </c>
      <c r="G1266" s="43" t="b">
        <v>0</v>
      </c>
      <c r="H1266" s="43" t="b">
        <v>0</v>
      </c>
      <c r="I1266" s="43"/>
      <c r="M1266" s="48" t="s">
        <v>1539</v>
      </c>
      <c r="N1266" s="48">
        <v>17088570914</v>
      </c>
      <c r="O1266" s="48">
        <v>17088566734</v>
      </c>
      <c r="P1266" s="48" t="s">
        <v>123</v>
      </c>
      <c r="Q1266" s="49" t="s">
        <v>1539</v>
      </c>
      <c r="R1266" s="49">
        <v>17083126134</v>
      </c>
      <c r="S1266" s="49">
        <v>17083122565</v>
      </c>
      <c r="T1266" s="49" t="s">
        <v>123</v>
      </c>
      <c r="U1266" s="50" t="s">
        <v>1539</v>
      </c>
      <c r="V1266" s="50">
        <v>17083126134</v>
      </c>
      <c r="W1266" s="50">
        <v>17083122565</v>
      </c>
      <c r="X1266" s="50" t="s">
        <v>123</v>
      </c>
      <c r="Y1266" s="50"/>
    </row>
    <row r="1267" spans="1:25" x14ac:dyDescent="0.25">
      <c r="A1267" s="25" t="s">
        <v>115</v>
      </c>
      <c r="B1267" t="b">
        <v>0</v>
      </c>
      <c r="C1267" s="43" t="s">
        <v>1540</v>
      </c>
      <c r="D1267" s="43">
        <v>317807</v>
      </c>
      <c r="E1267" s="43">
        <v>301416</v>
      </c>
      <c r="F1267" s="43" t="s">
        <v>119</v>
      </c>
      <c r="G1267" s="43" t="b">
        <v>0</v>
      </c>
      <c r="H1267" s="43" t="b">
        <v>0</v>
      </c>
      <c r="I1267" s="43"/>
      <c r="M1267" s="48" t="s">
        <v>1540</v>
      </c>
      <c r="N1267" s="48">
        <v>17088569794</v>
      </c>
      <c r="O1267" s="48">
        <v>17088568878</v>
      </c>
      <c r="P1267" s="48" t="s">
        <v>119</v>
      </c>
      <c r="Q1267" s="49" t="s">
        <v>1540</v>
      </c>
      <c r="R1267" s="49">
        <v>17083125878</v>
      </c>
      <c r="S1267" s="49">
        <v>17083124037</v>
      </c>
      <c r="T1267" s="49" t="s">
        <v>119</v>
      </c>
      <c r="U1267" s="50" t="s">
        <v>1540</v>
      </c>
      <c r="V1267" s="50">
        <v>17083125878</v>
      </c>
      <c r="W1267" s="50">
        <v>17083124037</v>
      </c>
      <c r="X1267" s="50" t="s">
        <v>119</v>
      </c>
      <c r="Y1267" s="50"/>
    </row>
    <row r="1268" spans="1:25" x14ac:dyDescent="0.25">
      <c r="A1268" s="25" t="s">
        <v>115</v>
      </c>
      <c r="B1268" t="b">
        <v>0</v>
      </c>
      <c r="C1268" s="43" t="s">
        <v>1541</v>
      </c>
      <c r="D1268" s="43">
        <v>316783</v>
      </c>
      <c r="E1268" s="43">
        <v>303076</v>
      </c>
      <c r="F1268" s="43" t="s">
        <v>132</v>
      </c>
      <c r="G1268" s="43" t="b">
        <v>0</v>
      </c>
      <c r="H1268" s="43" t="b">
        <v>0</v>
      </c>
      <c r="I1268" s="43"/>
      <c r="M1268" s="48" t="s">
        <v>1541</v>
      </c>
      <c r="N1268" s="48">
        <v>17088570017</v>
      </c>
      <c r="O1268" s="48">
        <v>17088567384</v>
      </c>
      <c r="P1268" s="48" t="s">
        <v>132</v>
      </c>
      <c r="Q1268" s="49" t="s">
        <v>1541</v>
      </c>
      <c r="R1268" s="49">
        <v>17083126570</v>
      </c>
      <c r="S1268" s="49">
        <v>17083122442</v>
      </c>
      <c r="T1268" s="49" t="s">
        <v>132</v>
      </c>
      <c r="U1268" s="50" t="s">
        <v>1541</v>
      </c>
      <c r="V1268" s="50">
        <v>17083126570</v>
      </c>
      <c r="W1268" s="50">
        <v>17083122442</v>
      </c>
      <c r="X1268" s="50" t="s">
        <v>132</v>
      </c>
      <c r="Y1268" s="50"/>
    </row>
    <row r="1269" spans="1:25" x14ac:dyDescent="0.25">
      <c r="A1269" s="25" t="s">
        <v>115</v>
      </c>
      <c r="B1269" t="b">
        <v>0</v>
      </c>
      <c r="C1269" s="43" t="s">
        <v>1542</v>
      </c>
      <c r="D1269" s="43">
        <v>318831</v>
      </c>
      <c r="E1269" s="43">
        <v>301796</v>
      </c>
      <c r="F1269" s="43" t="s">
        <v>123</v>
      </c>
      <c r="G1269" s="43" t="b">
        <v>0</v>
      </c>
      <c r="H1269" s="43" t="b">
        <v>0</v>
      </c>
      <c r="I1269" s="43"/>
      <c r="M1269" s="48" t="s">
        <v>1542</v>
      </c>
      <c r="N1269" s="48">
        <v>17088572577</v>
      </c>
      <c r="O1269" s="48">
        <v>17088565848</v>
      </c>
      <c r="P1269" s="48" t="s">
        <v>123</v>
      </c>
      <c r="Q1269" s="49" t="s">
        <v>1543</v>
      </c>
      <c r="R1269" s="49">
        <v>17083128234</v>
      </c>
      <c r="S1269" s="49">
        <v>17083122314</v>
      </c>
      <c r="T1269" s="49" t="s">
        <v>123</v>
      </c>
      <c r="U1269" s="50" t="s">
        <v>1542</v>
      </c>
      <c r="V1269" s="50">
        <v>17083129130</v>
      </c>
      <c r="W1269" s="50">
        <v>17083125514</v>
      </c>
      <c r="X1269" s="50" t="s">
        <v>123</v>
      </c>
      <c r="Y1269" s="50"/>
    </row>
    <row r="1270" spans="1:25" x14ac:dyDescent="0.25">
      <c r="A1270" s="25" t="s">
        <v>115</v>
      </c>
      <c r="B1270" t="b">
        <v>0</v>
      </c>
      <c r="C1270" s="43" t="s">
        <v>1544</v>
      </c>
      <c r="D1270" s="43">
        <v>316271</v>
      </c>
      <c r="E1270" s="43">
        <v>302232</v>
      </c>
      <c r="F1270" s="43" t="s">
        <v>125</v>
      </c>
      <c r="G1270" s="43" t="b">
        <v>0</v>
      </c>
      <c r="H1270" s="43" t="b">
        <v>0</v>
      </c>
      <c r="I1270" s="43"/>
      <c r="M1270" s="48" t="s">
        <v>1544</v>
      </c>
      <c r="N1270" s="48">
        <v>17088572578</v>
      </c>
      <c r="O1270" s="48">
        <v>17088569038</v>
      </c>
      <c r="P1270" s="48" t="s">
        <v>125</v>
      </c>
      <c r="Q1270" s="49" t="s">
        <v>1544</v>
      </c>
      <c r="R1270" s="49">
        <v>17083127542</v>
      </c>
      <c r="S1270" s="49">
        <v>17083124101</v>
      </c>
      <c r="T1270" s="49" t="s">
        <v>125</v>
      </c>
      <c r="U1270" s="50" t="s">
        <v>1544</v>
      </c>
      <c r="V1270" s="50">
        <v>17083127542</v>
      </c>
      <c r="W1270" s="50">
        <v>17083124101</v>
      </c>
      <c r="X1270" s="50" t="s">
        <v>125</v>
      </c>
      <c r="Y1270" s="50"/>
    </row>
    <row r="1271" spans="1:25" x14ac:dyDescent="0.25">
      <c r="A1271" s="25" t="s">
        <v>115</v>
      </c>
      <c r="B1271" t="b">
        <v>0</v>
      </c>
      <c r="C1271" s="43" t="s">
        <v>1545</v>
      </c>
      <c r="D1271" s="43">
        <v>318319</v>
      </c>
      <c r="E1271" s="43">
        <v>299096</v>
      </c>
      <c r="F1271" s="43" t="s">
        <v>125</v>
      </c>
      <c r="G1271" s="43" t="b">
        <v>0</v>
      </c>
      <c r="H1271" s="43" t="b">
        <v>0</v>
      </c>
      <c r="I1271" s="43"/>
      <c r="M1271" s="48" t="s">
        <v>1545</v>
      </c>
      <c r="N1271" s="48">
        <v>17088572226</v>
      </c>
      <c r="O1271" s="48">
        <v>17088566606</v>
      </c>
      <c r="P1271" s="48" t="s">
        <v>125</v>
      </c>
      <c r="Q1271" s="49" t="s">
        <v>1545</v>
      </c>
      <c r="R1271" s="49">
        <v>17083128502</v>
      </c>
      <c r="S1271" s="49">
        <v>17083122437</v>
      </c>
      <c r="T1271" s="49" t="s">
        <v>125</v>
      </c>
      <c r="U1271" s="50" t="s">
        <v>1545</v>
      </c>
      <c r="V1271" s="50">
        <v>17083128502</v>
      </c>
      <c r="W1271" s="50">
        <v>17083122437</v>
      </c>
      <c r="X1271" s="50" t="s">
        <v>125</v>
      </c>
      <c r="Y1271" s="50"/>
    </row>
    <row r="1272" spans="1:25" x14ac:dyDescent="0.25">
      <c r="A1272" s="25" t="s">
        <v>115</v>
      </c>
      <c r="B1272" t="b">
        <v>0</v>
      </c>
      <c r="C1272" s="43" t="s">
        <v>1546</v>
      </c>
      <c r="D1272" s="43">
        <v>317295</v>
      </c>
      <c r="E1272" s="43">
        <v>300456</v>
      </c>
      <c r="F1272" s="43" t="s">
        <v>119</v>
      </c>
      <c r="G1272" s="43" t="b">
        <v>0</v>
      </c>
      <c r="H1272" s="43" t="b">
        <v>0</v>
      </c>
      <c r="I1272" s="43"/>
      <c r="M1272" s="48" t="s">
        <v>1546</v>
      </c>
      <c r="N1272" s="48">
        <v>17088572194</v>
      </c>
      <c r="O1272" s="48">
        <v>17088566958</v>
      </c>
      <c r="P1272" s="48" t="s">
        <v>119</v>
      </c>
      <c r="Q1272" s="49" t="s">
        <v>1546</v>
      </c>
      <c r="R1272" s="49">
        <v>17083129718</v>
      </c>
      <c r="S1272" s="49">
        <v>17083122117</v>
      </c>
      <c r="T1272" s="49" t="s">
        <v>119</v>
      </c>
      <c r="U1272" s="50" t="s">
        <v>1546</v>
      </c>
      <c r="V1272" s="50">
        <v>17083129718</v>
      </c>
      <c r="W1272" s="50">
        <v>17083122117</v>
      </c>
      <c r="X1272" s="50" t="s">
        <v>119</v>
      </c>
      <c r="Y1272" s="50"/>
    </row>
    <row r="1273" spans="1:25" x14ac:dyDescent="0.25">
      <c r="A1273" s="25" t="b">
        <v>1</v>
      </c>
      <c r="B1273" t="b">
        <v>0</v>
      </c>
      <c r="C1273" s="43" t="s">
        <v>1547</v>
      </c>
      <c r="D1273" s="43">
        <v>319343</v>
      </c>
      <c r="E1273" s="43">
        <v>302724</v>
      </c>
      <c r="F1273" s="43" t="s">
        <v>173</v>
      </c>
      <c r="G1273" s="43" t="b">
        <v>0</v>
      </c>
      <c r="H1273" s="43" t="b">
        <v>0</v>
      </c>
      <c r="I1273" s="43"/>
      <c r="J1273" s="45" t="s">
        <v>1547</v>
      </c>
      <c r="K1273" s="46">
        <v>302724</v>
      </c>
      <c r="M1273" s="48" t="s">
        <v>1547</v>
      </c>
      <c r="N1273" s="48">
        <v>17088572204</v>
      </c>
      <c r="O1273" s="48">
        <v>17088567442</v>
      </c>
      <c r="P1273" s="48" t="s">
        <v>173</v>
      </c>
      <c r="Q1273" s="49" t="s">
        <v>1547</v>
      </c>
      <c r="R1273" s="49">
        <v>17083127366</v>
      </c>
      <c r="S1273" s="49">
        <v>17083122238</v>
      </c>
      <c r="T1273" s="49" t="s">
        <v>173</v>
      </c>
      <c r="U1273" s="50" t="s">
        <v>1547</v>
      </c>
      <c r="V1273" s="50">
        <v>17083127366</v>
      </c>
      <c r="W1273" s="50">
        <v>17083122238</v>
      </c>
      <c r="X1273" s="50" t="s">
        <v>173</v>
      </c>
      <c r="Y1273" s="50"/>
    </row>
    <row r="1274" spans="1:25" x14ac:dyDescent="0.25">
      <c r="A1274" s="25" t="s">
        <v>115</v>
      </c>
      <c r="B1274" t="b">
        <v>0</v>
      </c>
      <c r="C1274" s="43" t="s">
        <v>1548</v>
      </c>
      <c r="D1274" s="43">
        <v>315631</v>
      </c>
      <c r="E1274" s="43">
        <v>300632</v>
      </c>
      <c r="F1274" s="43" t="s">
        <v>125</v>
      </c>
      <c r="G1274" s="43" t="b">
        <v>0</v>
      </c>
      <c r="H1274" s="43" t="b">
        <v>0</v>
      </c>
      <c r="I1274" s="43"/>
      <c r="M1274" s="48" t="s">
        <v>1548</v>
      </c>
      <c r="N1274" s="48">
        <v>17088573122</v>
      </c>
      <c r="O1274" s="48">
        <v>17088565838</v>
      </c>
      <c r="P1274" s="48" t="s">
        <v>125</v>
      </c>
      <c r="Q1274" s="49" t="s">
        <v>1548</v>
      </c>
      <c r="R1274" s="49">
        <v>17083129782</v>
      </c>
      <c r="S1274" s="49">
        <v>17083123205</v>
      </c>
      <c r="T1274" s="49" t="s">
        <v>125</v>
      </c>
      <c r="U1274" s="50" t="s">
        <v>1548</v>
      </c>
      <c r="V1274" s="50">
        <v>17083129782</v>
      </c>
      <c r="W1274" s="50">
        <v>17083123205</v>
      </c>
      <c r="X1274" s="50" t="s">
        <v>125</v>
      </c>
      <c r="Y1274" s="50"/>
    </row>
    <row r="1275" spans="1:25" x14ac:dyDescent="0.25">
      <c r="A1275" s="25" t="s">
        <v>115</v>
      </c>
      <c r="B1275" t="b">
        <v>0</v>
      </c>
      <c r="C1275" s="43" t="s">
        <v>1549</v>
      </c>
      <c r="D1275" s="43">
        <v>317679</v>
      </c>
      <c r="E1275" s="43">
        <v>301412</v>
      </c>
      <c r="F1275" s="43" t="s">
        <v>123</v>
      </c>
      <c r="G1275" s="43" t="b">
        <v>0</v>
      </c>
      <c r="H1275" s="43" t="b">
        <v>0</v>
      </c>
      <c r="I1275" s="43"/>
      <c r="M1275" s="48" t="s">
        <v>1549</v>
      </c>
      <c r="N1275" s="48">
        <v>17088573217</v>
      </c>
      <c r="O1275" s="48">
        <v>17088567128</v>
      </c>
      <c r="P1275" s="48" t="s">
        <v>123</v>
      </c>
      <c r="Q1275" s="49" t="s">
        <v>1549</v>
      </c>
      <c r="R1275" s="49">
        <v>17083128362</v>
      </c>
      <c r="S1275" s="49">
        <v>17083124106</v>
      </c>
      <c r="T1275" s="49" t="s">
        <v>123</v>
      </c>
      <c r="U1275" s="50" t="s">
        <v>1549</v>
      </c>
      <c r="V1275" s="50">
        <v>17083128362</v>
      </c>
      <c r="W1275" s="50">
        <v>17083124106</v>
      </c>
      <c r="X1275" s="50" t="s">
        <v>123</v>
      </c>
      <c r="Y1275" s="50"/>
    </row>
    <row r="1276" spans="1:25" x14ac:dyDescent="0.25">
      <c r="A1276" s="25" t="s">
        <v>115</v>
      </c>
      <c r="B1276" t="b">
        <v>0</v>
      </c>
      <c r="C1276" s="43" t="s">
        <v>1543</v>
      </c>
      <c r="D1276" s="43">
        <v>316655</v>
      </c>
      <c r="E1276" s="43">
        <v>299236</v>
      </c>
      <c r="F1276" s="43" t="s">
        <v>123</v>
      </c>
      <c r="G1276" s="43" t="b">
        <v>0</v>
      </c>
      <c r="H1276" s="43" t="b">
        <v>0</v>
      </c>
      <c r="I1276" s="43"/>
      <c r="M1276" s="48" t="s">
        <v>1542</v>
      </c>
      <c r="N1276" s="48">
        <v>17088572577</v>
      </c>
      <c r="O1276" s="48">
        <v>17088565848</v>
      </c>
      <c r="P1276" s="48" t="s">
        <v>123</v>
      </c>
      <c r="Q1276" s="49" t="s">
        <v>1543</v>
      </c>
      <c r="R1276" s="49">
        <v>17083128234</v>
      </c>
      <c r="S1276" s="49">
        <v>17083122314</v>
      </c>
      <c r="T1276" s="49" t="s">
        <v>123</v>
      </c>
      <c r="U1276" s="50" t="s">
        <v>1542</v>
      </c>
      <c r="V1276" s="50">
        <v>17083129130</v>
      </c>
      <c r="W1276" s="50">
        <v>17083125514</v>
      </c>
      <c r="X1276" s="50" t="s">
        <v>123</v>
      </c>
      <c r="Y1276" s="50"/>
    </row>
    <row r="1277" spans="1:25" x14ac:dyDescent="0.25">
      <c r="A1277" s="25" t="s">
        <v>115</v>
      </c>
      <c r="B1277" t="b">
        <v>0</v>
      </c>
      <c r="C1277" s="43" t="s">
        <v>1550</v>
      </c>
      <c r="D1277" s="43">
        <v>318703</v>
      </c>
      <c r="E1277" s="43">
        <v>301736</v>
      </c>
      <c r="F1277" s="43" t="s">
        <v>119</v>
      </c>
      <c r="G1277" s="43" t="b">
        <v>0</v>
      </c>
      <c r="H1277" s="43" t="b">
        <v>0</v>
      </c>
      <c r="I1277" s="43"/>
      <c r="M1277" s="48" t="s">
        <v>1550</v>
      </c>
      <c r="N1277" s="48">
        <v>17088570562</v>
      </c>
      <c r="O1277" s="48">
        <v>17088568750</v>
      </c>
      <c r="P1277" s="48" t="s">
        <v>119</v>
      </c>
      <c r="Q1277" s="49" t="s">
        <v>1550</v>
      </c>
      <c r="R1277" s="49">
        <v>17083129526</v>
      </c>
      <c r="S1277" s="49">
        <v>17083124677</v>
      </c>
      <c r="T1277" s="49" t="s">
        <v>119</v>
      </c>
      <c r="U1277" s="50" t="s">
        <v>1550</v>
      </c>
      <c r="V1277" s="50">
        <v>17083129526</v>
      </c>
      <c r="W1277" s="50">
        <v>17083124677</v>
      </c>
      <c r="X1277" s="50" t="s">
        <v>119</v>
      </c>
      <c r="Y1277" s="50"/>
    </row>
    <row r="1278" spans="1:25" x14ac:dyDescent="0.25">
      <c r="A1278" s="25" t="s">
        <v>115</v>
      </c>
      <c r="B1278" t="b">
        <v>0</v>
      </c>
      <c r="C1278" s="43" t="s">
        <v>1551</v>
      </c>
      <c r="D1278" s="43">
        <v>316143</v>
      </c>
      <c r="E1278" s="43">
        <v>303016</v>
      </c>
      <c r="F1278" s="43" t="s">
        <v>119</v>
      </c>
      <c r="G1278" s="43" t="b">
        <v>0</v>
      </c>
      <c r="H1278" s="43" t="b">
        <v>0</v>
      </c>
      <c r="I1278" s="43"/>
      <c r="M1278" s="48" t="s">
        <v>1551</v>
      </c>
      <c r="N1278" s="48">
        <v>17088570146</v>
      </c>
      <c r="O1278" s="48">
        <v>17088567470</v>
      </c>
      <c r="P1278" s="48" t="s">
        <v>119</v>
      </c>
      <c r="Q1278" s="49" t="s">
        <v>1551</v>
      </c>
      <c r="R1278" s="49">
        <v>17083127670</v>
      </c>
      <c r="S1278" s="49">
        <v>17083124933</v>
      </c>
      <c r="T1278" s="49" t="s">
        <v>119</v>
      </c>
      <c r="U1278" s="50" t="s">
        <v>1551</v>
      </c>
      <c r="V1278" s="50">
        <v>17083127670</v>
      </c>
      <c r="W1278" s="50">
        <v>17083124933</v>
      </c>
      <c r="X1278" s="50" t="s">
        <v>119</v>
      </c>
      <c r="Y1278" s="50"/>
    </row>
    <row r="1279" spans="1:25" x14ac:dyDescent="0.25">
      <c r="A1279" s="25" t="s">
        <v>115</v>
      </c>
      <c r="B1279" t="b">
        <v>0</v>
      </c>
      <c r="C1279" s="43" t="s">
        <v>1552</v>
      </c>
      <c r="D1279" s="43">
        <v>317167</v>
      </c>
      <c r="E1279" s="43">
        <v>302292</v>
      </c>
      <c r="F1279" s="43" t="s">
        <v>125</v>
      </c>
      <c r="G1279" s="43" t="b">
        <v>0</v>
      </c>
      <c r="H1279" s="43" t="b">
        <v>0</v>
      </c>
      <c r="I1279" s="43"/>
      <c r="M1279" s="48" t="s">
        <v>1552</v>
      </c>
      <c r="N1279" s="48">
        <v>17088571809</v>
      </c>
      <c r="O1279" s="48">
        <v>17088567448</v>
      </c>
      <c r="P1279" s="48" t="s">
        <v>125</v>
      </c>
      <c r="Q1279" s="49" t="s">
        <v>1552</v>
      </c>
      <c r="R1279" s="49">
        <v>17083126186</v>
      </c>
      <c r="S1279" s="49">
        <v>17083122674</v>
      </c>
      <c r="T1279" s="49" t="s">
        <v>125</v>
      </c>
      <c r="U1279" s="50" t="s">
        <v>1552</v>
      </c>
      <c r="V1279" s="50">
        <v>17083126186</v>
      </c>
      <c r="W1279" s="50">
        <v>17083122674</v>
      </c>
      <c r="X1279" s="50" t="s">
        <v>125</v>
      </c>
      <c r="Y1279" s="50"/>
    </row>
    <row r="1280" spans="1:25" x14ac:dyDescent="0.25">
      <c r="A1280" s="25" t="s">
        <v>115</v>
      </c>
      <c r="B1280" t="b">
        <v>0</v>
      </c>
      <c r="C1280" s="43" t="s">
        <v>1553</v>
      </c>
      <c r="D1280" s="43">
        <v>319215</v>
      </c>
      <c r="E1280" s="43">
        <v>302500</v>
      </c>
      <c r="F1280" s="43" t="s">
        <v>123</v>
      </c>
      <c r="G1280" s="43" t="b">
        <v>0</v>
      </c>
      <c r="H1280" s="43" t="b">
        <v>0</v>
      </c>
      <c r="I1280" s="43" t="s">
        <v>126</v>
      </c>
      <c r="M1280" s="48" t="s">
        <v>1553</v>
      </c>
      <c r="N1280" s="48">
        <v>17088569761</v>
      </c>
      <c r="O1280" s="48">
        <v>17088566232</v>
      </c>
      <c r="P1280" s="48" t="s">
        <v>123</v>
      </c>
      <c r="Q1280" s="49" t="s">
        <v>1553</v>
      </c>
      <c r="R1280" s="49">
        <v>17083129514</v>
      </c>
      <c r="S1280" s="49">
        <v>17083125322</v>
      </c>
      <c r="T1280" s="49" t="s">
        <v>123</v>
      </c>
      <c r="U1280" s="50" t="s">
        <v>1553</v>
      </c>
      <c r="V1280" s="50">
        <v>17083129514</v>
      </c>
      <c r="W1280" s="50">
        <v>17083125322</v>
      </c>
      <c r="X1280" s="50" t="s">
        <v>123</v>
      </c>
      <c r="Y1280" s="50"/>
    </row>
    <row r="1281" spans="1:25" x14ac:dyDescent="0.25">
      <c r="A1281" s="25" t="s">
        <v>115</v>
      </c>
      <c r="B1281" t="b">
        <v>0</v>
      </c>
      <c r="C1281" s="43" t="s">
        <v>1554</v>
      </c>
      <c r="D1281" s="43">
        <v>315887</v>
      </c>
      <c r="E1281" s="43">
        <v>300132</v>
      </c>
      <c r="F1281" s="43" t="s">
        <v>123</v>
      </c>
      <c r="G1281" s="43" t="b">
        <v>0</v>
      </c>
      <c r="H1281" s="43" t="b">
        <v>0</v>
      </c>
      <c r="I1281" s="43"/>
      <c r="M1281" s="48" t="s">
        <v>1554</v>
      </c>
      <c r="N1281" s="48">
        <v>17088572449</v>
      </c>
      <c r="O1281" s="48">
        <v>17088568024</v>
      </c>
      <c r="P1281" s="48" t="s">
        <v>123</v>
      </c>
      <c r="Q1281" s="49" t="s">
        <v>1554</v>
      </c>
      <c r="R1281" s="49">
        <v>17083128266</v>
      </c>
      <c r="S1281" s="49">
        <v>17083121738</v>
      </c>
      <c r="T1281" s="49" t="s">
        <v>123</v>
      </c>
      <c r="U1281" s="50" t="s">
        <v>1554</v>
      </c>
      <c r="V1281" s="50">
        <v>17083128266</v>
      </c>
      <c r="W1281" s="50">
        <v>17083121738</v>
      </c>
      <c r="X1281" s="50" t="s">
        <v>123</v>
      </c>
      <c r="Y1281" s="50"/>
    </row>
    <row r="1282" spans="1:25" x14ac:dyDescent="0.25">
      <c r="A1282" s="25" t="s">
        <v>115</v>
      </c>
      <c r="B1282" t="b">
        <v>0</v>
      </c>
      <c r="C1282" s="43" t="s">
        <v>1555</v>
      </c>
      <c r="D1282" s="43">
        <v>323480</v>
      </c>
      <c r="E1282" s="43">
        <v>299333</v>
      </c>
      <c r="F1282" s="43" t="s">
        <v>123</v>
      </c>
      <c r="G1282" s="43" t="b">
        <v>0</v>
      </c>
      <c r="H1282" s="43" t="b">
        <v>0</v>
      </c>
      <c r="I1282" s="43" t="s">
        <v>134</v>
      </c>
      <c r="M1282" s="48" t="s">
        <v>1555</v>
      </c>
      <c r="N1282" s="48">
        <v>17088573414</v>
      </c>
      <c r="O1282" s="48">
        <v>17088569520</v>
      </c>
      <c r="P1282" s="48" t="s">
        <v>123</v>
      </c>
      <c r="Q1282" s="49" t="s">
        <v>1555</v>
      </c>
      <c r="R1282" s="49">
        <v>17083128457</v>
      </c>
      <c r="S1282" s="49">
        <v>17083128308</v>
      </c>
      <c r="T1282" s="49" t="s">
        <v>123</v>
      </c>
      <c r="U1282" s="50" t="s">
        <v>1555</v>
      </c>
      <c r="V1282" s="50">
        <v>17083128457</v>
      </c>
      <c r="W1282" s="50">
        <v>17083128308</v>
      </c>
      <c r="X1282" s="50" t="s">
        <v>123</v>
      </c>
      <c r="Y1282" s="50"/>
    </row>
    <row r="1283" spans="1:25" x14ac:dyDescent="0.25">
      <c r="A1283" s="25" t="s">
        <v>115</v>
      </c>
      <c r="B1283" t="b">
        <v>0</v>
      </c>
      <c r="C1283" s="43" t="s">
        <v>1556</v>
      </c>
      <c r="D1283" s="43">
        <v>319576</v>
      </c>
      <c r="E1283" s="43">
        <v>301369</v>
      </c>
      <c r="F1283" s="43" t="s">
        <v>123</v>
      </c>
      <c r="G1283" s="43" t="b">
        <v>0</v>
      </c>
      <c r="H1283" s="43" t="b">
        <v>0</v>
      </c>
      <c r="I1283" s="43"/>
      <c r="M1283" s="48" t="s">
        <v>1556</v>
      </c>
      <c r="N1283" s="48">
        <v>17088572766</v>
      </c>
      <c r="O1283" s="48">
        <v>17088558050</v>
      </c>
      <c r="P1283" s="48" t="s">
        <v>123</v>
      </c>
      <c r="Q1283" s="49" t="s">
        <v>1556</v>
      </c>
      <c r="R1283" s="49">
        <v>17083127685</v>
      </c>
      <c r="S1283" s="49">
        <v>17083121055</v>
      </c>
      <c r="T1283" s="49" t="s">
        <v>123</v>
      </c>
      <c r="U1283" s="50" t="s">
        <v>1556</v>
      </c>
      <c r="V1283" s="50">
        <v>17083127685</v>
      </c>
      <c r="W1283" s="50">
        <v>17083121055</v>
      </c>
      <c r="X1283" s="50" t="s">
        <v>123</v>
      </c>
      <c r="Y1283" s="50"/>
    </row>
    <row r="1284" spans="1:25" x14ac:dyDescent="0.25">
      <c r="A1284" s="25" t="s">
        <v>115</v>
      </c>
      <c r="B1284" t="b">
        <v>0</v>
      </c>
      <c r="C1284" s="43" t="s">
        <v>1557</v>
      </c>
      <c r="D1284" s="43">
        <v>321624</v>
      </c>
      <c r="E1284" s="43">
        <v>302133</v>
      </c>
      <c r="F1284" s="43" t="s">
        <v>132</v>
      </c>
      <c r="G1284" s="43" t="b">
        <v>0</v>
      </c>
      <c r="H1284" s="43" t="b">
        <v>0</v>
      </c>
      <c r="I1284" s="43"/>
      <c r="M1284" s="48" t="s">
        <v>1557</v>
      </c>
      <c r="N1284" s="48">
        <v>17088571114</v>
      </c>
      <c r="O1284" s="48">
        <v>17088565691</v>
      </c>
      <c r="P1284" s="48" t="s">
        <v>132</v>
      </c>
      <c r="Q1284" s="49" t="s">
        <v>1557</v>
      </c>
      <c r="R1284" s="49">
        <v>17083126401</v>
      </c>
      <c r="S1284" s="49">
        <v>17083122495</v>
      </c>
      <c r="T1284" s="49" t="s">
        <v>132</v>
      </c>
      <c r="U1284" s="50" t="s">
        <v>1557</v>
      </c>
      <c r="V1284" s="50">
        <v>17083126401</v>
      </c>
      <c r="W1284" s="50">
        <v>17083122495</v>
      </c>
      <c r="X1284" s="50" t="s">
        <v>132</v>
      </c>
      <c r="Y1284" s="50"/>
    </row>
    <row r="1285" spans="1:25" x14ac:dyDescent="0.25">
      <c r="A1285" s="25" t="s">
        <v>115</v>
      </c>
      <c r="B1285" t="b">
        <v>0</v>
      </c>
      <c r="C1285" s="43" t="s">
        <v>1558</v>
      </c>
      <c r="D1285" s="43">
        <v>322648</v>
      </c>
      <c r="E1285" s="43">
        <v>300377</v>
      </c>
      <c r="F1285" s="43" t="s">
        <v>123</v>
      </c>
      <c r="G1285" s="43" t="b">
        <v>0</v>
      </c>
      <c r="H1285" s="43" t="b">
        <v>0</v>
      </c>
      <c r="I1285" s="43"/>
      <c r="M1285" s="48" t="s">
        <v>1558</v>
      </c>
      <c r="N1285" s="48">
        <v>17088570334</v>
      </c>
      <c r="O1285" s="48">
        <v>17088559890</v>
      </c>
      <c r="P1285" s="48" t="s">
        <v>123</v>
      </c>
      <c r="Q1285" s="49" t="s">
        <v>1558</v>
      </c>
      <c r="R1285" s="49">
        <v>17083126469</v>
      </c>
      <c r="S1285" s="49">
        <v>17083118431</v>
      </c>
      <c r="T1285" s="49" t="s">
        <v>123</v>
      </c>
      <c r="U1285" s="50" t="s">
        <v>1558</v>
      </c>
      <c r="V1285" s="50">
        <v>17083126469</v>
      </c>
      <c r="W1285" s="50">
        <v>17083118431</v>
      </c>
      <c r="X1285" s="50" t="s">
        <v>123</v>
      </c>
      <c r="Y1285" s="50"/>
    </row>
    <row r="1286" spans="1:25" x14ac:dyDescent="0.25">
      <c r="A1286" s="25" t="s">
        <v>115</v>
      </c>
      <c r="B1286" t="b">
        <v>0</v>
      </c>
      <c r="C1286" s="43" t="s">
        <v>1559</v>
      </c>
      <c r="D1286" s="43">
        <v>320088</v>
      </c>
      <c r="E1286" s="43">
        <v>303001</v>
      </c>
      <c r="F1286" s="43" t="s">
        <v>125</v>
      </c>
      <c r="G1286" s="43" t="b">
        <v>0</v>
      </c>
      <c r="H1286" s="43" t="b">
        <v>0</v>
      </c>
      <c r="I1286" s="43" t="s">
        <v>126</v>
      </c>
      <c r="M1286" s="48" t="s">
        <v>1559</v>
      </c>
      <c r="N1286" s="48">
        <v>17088570718</v>
      </c>
      <c r="O1286" s="48">
        <v>17088560786</v>
      </c>
      <c r="P1286" s="48" t="s">
        <v>125</v>
      </c>
      <c r="Q1286" s="49" t="s">
        <v>1559</v>
      </c>
      <c r="R1286" s="49">
        <v>17083128709</v>
      </c>
      <c r="S1286" s="49">
        <v>17083119327</v>
      </c>
      <c r="T1286" s="49" t="s">
        <v>125</v>
      </c>
      <c r="U1286" s="50" t="s">
        <v>1559</v>
      </c>
      <c r="V1286" s="50">
        <v>17083128709</v>
      </c>
      <c r="W1286" s="50">
        <v>17083119327</v>
      </c>
      <c r="X1286" s="50" t="s">
        <v>125</v>
      </c>
      <c r="Y1286" s="50"/>
    </row>
    <row r="1287" spans="1:25" x14ac:dyDescent="0.25">
      <c r="A1287" s="25" t="s">
        <v>115</v>
      </c>
      <c r="B1287" t="b">
        <v>1</v>
      </c>
      <c r="C1287" s="43" t="s">
        <v>1560</v>
      </c>
      <c r="D1287" s="43">
        <v>322136</v>
      </c>
      <c r="E1287" s="43">
        <v>301481</v>
      </c>
      <c r="F1287" s="43" t="s">
        <v>123</v>
      </c>
      <c r="G1287" s="43" t="b">
        <v>1</v>
      </c>
      <c r="H1287" s="43" t="b">
        <v>0</v>
      </c>
      <c r="I1287" s="43" t="s">
        <v>134</v>
      </c>
      <c r="M1287" s="48" t="s">
        <v>1560</v>
      </c>
      <c r="N1287" s="48">
        <v>17088571742</v>
      </c>
      <c r="O1287" s="48">
        <v>17088558034</v>
      </c>
      <c r="P1287" s="48" t="s">
        <v>123</v>
      </c>
      <c r="Q1287" s="49" t="s">
        <v>1560</v>
      </c>
      <c r="R1287" s="49">
        <v>17083126661</v>
      </c>
      <c r="S1287" s="49">
        <v>17083121087</v>
      </c>
      <c r="T1287" s="49" t="s">
        <v>123</v>
      </c>
      <c r="U1287" s="50" t="s">
        <v>1560</v>
      </c>
      <c r="V1287" s="50">
        <v>17083126661</v>
      </c>
      <c r="W1287" s="50">
        <v>17083121087</v>
      </c>
      <c r="X1287" s="50" t="s">
        <v>123</v>
      </c>
      <c r="Y1287" s="50">
        <v>150054</v>
      </c>
    </row>
    <row r="1288" spans="1:25" x14ac:dyDescent="0.25">
      <c r="A1288" s="25" t="s">
        <v>115</v>
      </c>
      <c r="B1288" t="b">
        <v>0</v>
      </c>
      <c r="C1288" s="43" t="s">
        <v>1561</v>
      </c>
      <c r="D1288" s="43">
        <v>321112</v>
      </c>
      <c r="E1288" s="43">
        <v>302185</v>
      </c>
      <c r="F1288" s="43" t="s">
        <v>132</v>
      </c>
      <c r="G1288" s="43" t="b">
        <v>0</v>
      </c>
      <c r="H1288" s="43" t="b">
        <v>0</v>
      </c>
      <c r="I1288" s="43"/>
      <c r="M1288" s="48" t="s">
        <v>1561</v>
      </c>
      <c r="N1288" s="48">
        <v>17088570590</v>
      </c>
      <c r="O1288" s="48">
        <v>17088557778</v>
      </c>
      <c r="P1288" s="48" t="s">
        <v>132</v>
      </c>
      <c r="Q1288" s="49" t="s">
        <v>1561</v>
      </c>
      <c r="R1288" s="49">
        <v>17083127365</v>
      </c>
      <c r="S1288" s="49">
        <v>17083120831</v>
      </c>
      <c r="T1288" s="49" t="s">
        <v>132</v>
      </c>
      <c r="U1288" s="50" t="s">
        <v>1561</v>
      </c>
      <c r="V1288" s="50">
        <v>17083127365</v>
      </c>
      <c r="W1288" s="50">
        <v>17083120831</v>
      </c>
      <c r="X1288" s="50" t="s">
        <v>132</v>
      </c>
      <c r="Y1288" s="50"/>
    </row>
    <row r="1289" spans="1:25" x14ac:dyDescent="0.25">
      <c r="A1289" s="25" t="s">
        <v>115</v>
      </c>
      <c r="B1289" t="b">
        <v>0</v>
      </c>
      <c r="C1289" s="43" t="s">
        <v>1562</v>
      </c>
      <c r="D1289" s="43">
        <v>323160</v>
      </c>
      <c r="E1289" s="43">
        <v>303065</v>
      </c>
      <c r="F1289" s="43" t="s">
        <v>123</v>
      </c>
      <c r="G1289" s="43" t="b">
        <v>0</v>
      </c>
      <c r="H1289" s="43" t="b">
        <v>0</v>
      </c>
      <c r="I1289" s="43"/>
      <c r="M1289" s="48" t="s">
        <v>1562</v>
      </c>
      <c r="N1289" s="48">
        <v>17088570846</v>
      </c>
      <c r="O1289" s="48">
        <v>17088560146</v>
      </c>
      <c r="P1289" s="48" t="s">
        <v>123</v>
      </c>
      <c r="Q1289" s="49" t="s">
        <v>1562</v>
      </c>
      <c r="R1289" s="49">
        <v>17083126981</v>
      </c>
      <c r="S1289" s="49">
        <v>17083118687</v>
      </c>
      <c r="T1289" s="49" t="s">
        <v>123</v>
      </c>
      <c r="U1289" s="50" t="s">
        <v>1562</v>
      </c>
      <c r="V1289" s="50">
        <v>17083126981</v>
      </c>
      <c r="W1289" s="50">
        <v>17083118687</v>
      </c>
      <c r="X1289" s="50" t="s">
        <v>123</v>
      </c>
      <c r="Y1289" s="50"/>
    </row>
    <row r="1290" spans="1:25" x14ac:dyDescent="0.25">
      <c r="A1290" s="25" t="s">
        <v>115</v>
      </c>
      <c r="B1290" t="b">
        <v>0</v>
      </c>
      <c r="C1290" s="43" t="s">
        <v>1563</v>
      </c>
      <c r="D1290" s="43">
        <v>319832</v>
      </c>
      <c r="E1290" s="43">
        <v>302733</v>
      </c>
      <c r="F1290" s="43" t="s">
        <v>125</v>
      </c>
      <c r="G1290" s="43" t="b">
        <v>0</v>
      </c>
      <c r="H1290" s="43" t="b">
        <v>0</v>
      </c>
      <c r="I1290" s="43"/>
      <c r="M1290" s="48" t="s">
        <v>1563</v>
      </c>
      <c r="N1290" s="48">
        <v>17088572442</v>
      </c>
      <c r="O1290" s="48">
        <v>17088566619</v>
      </c>
      <c r="P1290" s="48" t="s">
        <v>125</v>
      </c>
      <c r="Q1290" s="49" t="s">
        <v>1563</v>
      </c>
      <c r="R1290" s="49">
        <v>17083128897</v>
      </c>
      <c r="S1290" s="49">
        <v>17083121759</v>
      </c>
      <c r="T1290" s="49" t="s">
        <v>125</v>
      </c>
      <c r="U1290" s="50" t="s">
        <v>1563</v>
      </c>
      <c r="V1290" s="50">
        <v>17083128897</v>
      </c>
      <c r="W1290" s="50">
        <v>17083121759</v>
      </c>
      <c r="X1290" s="50" t="s">
        <v>125</v>
      </c>
      <c r="Y1290" s="50"/>
    </row>
    <row r="1291" spans="1:25" x14ac:dyDescent="0.25">
      <c r="A1291" s="25" t="s">
        <v>115</v>
      </c>
      <c r="B1291" t="b">
        <v>0</v>
      </c>
      <c r="C1291" s="43" t="s">
        <v>1564</v>
      </c>
      <c r="D1291" s="43">
        <v>321880</v>
      </c>
      <c r="E1291" s="43">
        <v>299093</v>
      </c>
      <c r="F1291" s="43" t="s">
        <v>117</v>
      </c>
      <c r="G1291" s="43" t="b">
        <v>0</v>
      </c>
      <c r="H1291" s="43" t="b">
        <v>0</v>
      </c>
      <c r="I1291" s="43"/>
      <c r="J1291" s="45" t="s">
        <v>1564</v>
      </c>
      <c r="K1291" s="46">
        <v>299093</v>
      </c>
      <c r="L1291" s="47">
        <v>990000663</v>
      </c>
      <c r="M1291" s="48" t="s">
        <v>1564</v>
      </c>
      <c r="N1291" s="48">
        <v>17088572394</v>
      </c>
      <c r="O1291" s="48">
        <v>17088569211</v>
      </c>
      <c r="P1291" s="48" t="s">
        <v>117</v>
      </c>
      <c r="Q1291" s="49" t="s">
        <v>1564</v>
      </c>
      <c r="R1291" s="49">
        <v>17083126657</v>
      </c>
      <c r="S1291" s="49">
        <v>17083124863</v>
      </c>
      <c r="T1291" s="49" t="s">
        <v>117</v>
      </c>
      <c r="U1291" s="50" t="s">
        <v>1564</v>
      </c>
      <c r="V1291" s="50">
        <v>17083126657</v>
      </c>
      <c r="W1291" s="50">
        <v>17083124863</v>
      </c>
      <c r="X1291" s="50" t="s">
        <v>117</v>
      </c>
      <c r="Y1291" s="50"/>
    </row>
    <row r="1292" spans="1:25" x14ac:dyDescent="0.25">
      <c r="A1292" s="25" t="s">
        <v>115</v>
      </c>
      <c r="B1292" t="b">
        <v>0</v>
      </c>
      <c r="C1292" s="43" t="s">
        <v>1565</v>
      </c>
      <c r="D1292" s="43">
        <v>320856</v>
      </c>
      <c r="E1292" s="43">
        <v>301433</v>
      </c>
      <c r="F1292" s="43" t="s">
        <v>186</v>
      </c>
      <c r="G1292" s="43" t="b">
        <v>0</v>
      </c>
      <c r="H1292" s="43" t="b">
        <v>0</v>
      </c>
      <c r="I1292" s="43"/>
      <c r="M1292" s="48" t="s">
        <v>1565</v>
      </c>
      <c r="N1292" s="48">
        <v>17088571222</v>
      </c>
      <c r="O1292" s="48">
        <v>17088569840</v>
      </c>
      <c r="P1292" s="48" t="s">
        <v>186</v>
      </c>
      <c r="Q1292" s="49" t="s">
        <v>1565</v>
      </c>
      <c r="R1292" s="49">
        <v>17083127977</v>
      </c>
      <c r="S1292" s="49">
        <v>17083127884</v>
      </c>
      <c r="T1292" s="49" t="s">
        <v>186</v>
      </c>
      <c r="U1292" s="50" t="s">
        <v>1565</v>
      </c>
      <c r="V1292" s="50">
        <v>17083127977</v>
      </c>
      <c r="W1292" s="50">
        <v>17083127884</v>
      </c>
      <c r="X1292" s="50" t="s">
        <v>186</v>
      </c>
      <c r="Y1292" s="50"/>
    </row>
    <row r="1293" spans="1:25" x14ac:dyDescent="0.25">
      <c r="A1293" s="25" t="s">
        <v>115</v>
      </c>
      <c r="B1293" t="b">
        <v>0</v>
      </c>
      <c r="C1293" s="43" t="s">
        <v>1566</v>
      </c>
      <c r="D1293" s="43">
        <v>322904</v>
      </c>
      <c r="E1293" s="43">
        <v>299037</v>
      </c>
      <c r="F1293" s="43" t="s">
        <v>123</v>
      </c>
      <c r="G1293" s="43" t="b">
        <v>0</v>
      </c>
      <c r="H1293" s="43" t="b">
        <v>0</v>
      </c>
      <c r="I1293" s="43" t="s">
        <v>134</v>
      </c>
      <c r="M1293" s="48" t="s">
        <v>1566</v>
      </c>
      <c r="N1293" s="48">
        <v>17088573210</v>
      </c>
      <c r="O1293" s="48">
        <v>17088568503</v>
      </c>
      <c r="P1293" s="48" t="s">
        <v>123</v>
      </c>
      <c r="Q1293" s="49" t="s">
        <v>1566</v>
      </c>
      <c r="R1293" s="49">
        <v>17083129665</v>
      </c>
      <c r="S1293" s="49">
        <v>17083126064</v>
      </c>
      <c r="T1293" s="49" t="s">
        <v>123</v>
      </c>
      <c r="U1293" s="50" t="s">
        <v>1566</v>
      </c>
      <c r="V1293" s="50">
        <v>17083129665</v>
      </c>
      <c r="W1293" s="50">
        <v>17083126064</v>
      </c>
      <c r="X1293" s="50" t="s">
        <v>123</v>
      </c>
      <c r="Y1293" s="50"/>
    </row>
    <row r="1294" spans="1:25" x14ac:dyDescent="0.25">
      <c r="A1294" s="25" t="s">
        <v>115</v>
      </c>
      <c r="B1294" t="b">
        <v>0</v>
      </c>
      <c r="C1294" s="43" t="s">
        <v>1567</v>
      </c>
      <c r="D1294" s="43">
        <v>320344</v>
      </c>
      <c r="E1294" s="43">
        <v>301853</v>
      </c>
      <c r="F1294" s="43" t="s">
        <v>186</v>
      </c>
      <c r="G1294" s="43" t="b">
        <v>0</v>
      </c>
      <c r="H1294" s="43" t="b">
        <v>0</v>
      </c>
      <c r="I1294" s="43"/>
      <c r="M1294" s="48" t="s">
        <v>1567</v>
      </c>
      <c r="N1294" s="48">
        <v>17088569754</v>
      </c>
      <c r="O1294" s="48">
        <v>17088568887</v>
      </c>
      <c r="P1294" s="48" t="s">
        <v>186</v>
      </c>
      <c r="Q1294" s="49" t="s">
        <v>1567</v>
      </c>
      <c r="R1294" s="49">
        <v>17083128257</v>
      </c>
      <c r="S1294" s="49">
        <v>17083126736</v>
      </c>
      <c r="T1294" s="49" t="s">
        <v>186</v>
      </c>
      <c r="U1294" s="50" t="s">
        <v>1567</v>
      </c>
      <c r="V1294" s="50">
        <v>17083128257</v>
      </c>
      <c r="W1294" s="50">
        <v>17083126736</v>
      </c>
      <c r="X1294" s="50" t="s">
        <v>186</v>
      </c>
      <c r="Y1294" s="50"/>
    </row>
    <row r="1295" spans="1:25" x14ac:dyDescent="0.25">
      <c r="A1295" s="25" t="s">
        <v>115</v>
      </c>
      <c r="B1295" t="b">
        <v>0</v>
      </c>
      <c r="C1295" s="43" t="s">
        <v>1568</v>
      </c>
      <c r="D1295" s="43">
        <v>322392</v>
      </c>
      <c r="E1295" s="43">
        <v>300621</v>
      </c>
      <c r="F1295" s="43" t="s">
        <v>119</v>
      </c>
      <c r="G1295" s="43" t="b">
        <v>0</v>
      </c>
      <c r="H1295" s="43" t="b">
        <v>0</v>
      </c>
      <c r="I1295" s="43"/>
      <c r="M1295" s="48" t="s">
        <v>1568</v>
      </c>
      <c r="N1295" s="48">
        <v>17088571162</v>
      </c>
      <c r="O1295" s="48">
        <v>17088567543</v>
      </c>
      <c r="P1295" s="48" t="s">
        <v>119</v>
      </c>
      <c r="Q1295" s="49" t="s">
        <v>1568</v>
      </c>
      <c r="R1295" s="49">
        <v>17083127617</v>
      </c>
      <c r="S1295" s="49">
        <v>17083127408</v>
      </c>
      <c r="T1295" s="49" t="s">
        <v>119</v>
      </c>
      <c r="U1295" s="50" t="s">
        <v>1568</v>
      </c>
      <c r="V1295" s="50">
        <v>17083127617</v>
      </c>
      <c r="W1295" s="50">
        <v>17083127408</v>
      </c>
      <c r="X1295" s="50" t="s">
        <v>119</v>
      </c>
      <c r="Y1295" s="50"/>
    </row>
    <row r="1296" spans="1:25" x14ac:dyDescent="0.25">
      <c r="A1296" s="25" t="s">
        <v>115</v>
      </c>
      <c r="B1296" t="b">
        <v>0</v>
      </c>
      <c r="C1296" s="43" t="s">
        <v>1569</v>
      </c>
      <c r="D1296" s="43">
        <v>321368</v>
      </c>
      <c r="E1296" s="43">
        <v>302357</v>
      </c>
      <c r="F1296" s="43" t="s">
        <v>186</v>
      </c>
      <c r="G1296" s="43" t="b">
        <v>0</v>
      </c>
      <c r="H1296" s="43" t="b">
        <v>0</v>
      </c>
      <c r="I1296" s="43"/>
      <c r="M1296" s="48" t="s">
        <v>1569</v>
      </c>
      <c r="N1296" s="48">
        <v>17088572214</v>
      </c>
      <c r="O1296" s="48">
        <v>17088560472</v>
      </c>
      <c r="P1296" s="48" t="s">
        <v>186</v>
      </c>
      <c r="Q1296" s="49" t="s">
        <v>1569</v>
      </c>
      <c r="R1296" s="49">
        <v>17083129065</v>
      </c>
      <c r="S1296" s="49">
        <v>17083091708</v>
      </c>
      <c r="T1296" s="49" t="s">
        <v>186</v>
      </c>
      <c r="U1296" s="50" t="s">
        <v>1569</v>
      </c>
      <c r="V1296" s="50">
        <v>17083129065</v>
      </c>
      <c r="W1296" s="50">
        <v>17083091708</v>
      </c>
      <c r="X1296" s="50" t="s">
        <v>186</v>
      </c>
      <c r="Y1296" s="50"/>
    </row>
    <row r="1297" spans="1:25" x14ac:dyDescent="0.25">
      <c r="A1297" s="25" t="s">
        <v>115</v>
      </c>
      <c r="B1297" t="b">
        <v>0</v>
      </c>
      <c r="C1297" s="43" t="s">
        <v>1570</v>
      </c>
      <c r="D1297" s="43">
        <v>323416</v>
      </c>
      <c r="E1297" s="43">
        <v>300821</v>
      </c>
      <c r="F1297" s="43" t="s">
        <v>186</v>
      </c>
      <c r="G1297" s="43" t="b">
        <v>0</v>
      </c>
      <c r="H1297" s="43" t="b">
        <v>0</v>
      </c>
      <c r="I1297" s="43"/>
      <c r="M1297" s="48" t="s">
        <v>1570</v>
      </c>
      <c r="N1297" s="48">
        <v>17088570166</v>
      </c>
      <c r="O1297" s="48">
        <v>17088557400</v>
      </c>
      <c r="P1297" s="48" t="s">
        <v>186</v>
      </c>
      <c r="Q1297" s="49" t="s">
        <v>1570</v>
      </c>
      <c r="R1297" s="49">
        <v>17083127017</v>
      </c>
      <c r="S1297" s="49">
        <v>17083090172</v>
      </c>
      <c r="T1297" s="49" t="s">
        <v>186</v>
      </c>
      <c r="U1297" s="50" t="s">
        <v>1570</v>
      </c>
      <c r="V1297" s="50">
        <v>17083127017</v>
      </c>
      <c r="W1297" s="50">
        <v>17083090172</v>
      </c>
      <c r="X1297" s="50" t="s">
        <v>186</v>
      </c>
      <c r="Y1297" s="50"/>
    </row>
    <row r="1298" spans="1:25" x14ac:dyDescent="0.25">
      <c r="A1298" s="25" t="s">
        <v>115</v>
      </c>
      <c r="B1298" t="b">
        <v>0</v>
      </c>
      <c r="C1298" s="43" t="s">
        <v>1571</v>
      </c>
      <c r="D1298" s="43">
        <v>319704</v>
      </c>
      <c r="E1298" s="43">
        <v>301205</v>
      </c>
      <c r="F1298" s="43" t="s">
        <v>117</v>
      </c>
      <c r="G1298" s="43" t="b">
        <v>0</v>
      </c>
      <c r="H1298" s="43" t="b">
        <v>0</v>
      </c>
      <c r="I1298" s="43"/>
      <c r="M1298" s="48" t="s">
        <v>1571</v>
      </c>
      <c r="N1298" s="48">
        <v>17088569462</v>
      </c>
      <c r="O1298" s="48">
        <v>17088560216</v>
      </c>
      <c r="P1298" s="48" t="s">
        <v>117</v>
      </c>
      <c r="Q1298" s="49" t="s">
        <v>1571</v>
      </c>
      <c r="R1298" s="49">
        <v>17083129369</v>
      </c>
      <c r="S1298" s="49">
        <v>17083091836</v>
      </c>
      <c r="T1298" s="49" t="s">
        <v>117</v>
      </c>
      <c r="U1298" s="50" t="s">
        <v>1571</v>
      </c>
      <c r="V1298" s="50">
        <v>17083129369</v>
      </c>
      <c r="W1298" s="50">
        <v>17083091836</v>
      </c>
      <c r="X1298" s="50" t="s">
        <v>117</v>
      </c>
      <c r="Y1298" s="50"/>
    </row>
    <row r="1299" spans="1:25" x14ac:dyDescent="0.25">
      <c r="A1299" s="25" t="s">
        <v>115</v>
      </c>
      <c r="B1299" t="b">
        <v>0</v>
      </c>
      <c r="C1299" s="43" t="s">
        <v>1572</v>
      </c>
      <c r="D1299" s="43">
        <v>321752</v>
      </c>
      <c r="E1299" s="43">
        <v>299429</v>
      </c>
      <c r="F1299" s="43" t="s">
        <v>123</v>
      </c>
      <c r="G1299" s="43" t="b">
        <v>0</v>
      </c>
      <c r="H1299" s="43" t="b">
        <v>0</v>
      </c>
      <c r="I1299" s="43"/>
      <c r="M1299" s="48" t="s">
        <v>1572</v>
      </c>
      <c r="N1299" s="48">
        <v>17088573406</v>
      </c>
      <c r="O1299" s="48">
        <v>17088561555</v>
      </c>
      <c r="P1299" s="48" t="s">
        <v>123</v>
      </c>
      <c r="Q1299" s="49" t="s">
        <v>1572</v>
      </c>
      <c r="R1299" s="49">
        <v>17083127010</v>
      </c>
      <c r="S1299" s="49">
        <v>17083121696</v>
      </c>
      <c r="T1299" s="49" t="s">
        <v>123</v>
      </c>
      <c r="U1299" s="50" t="s">
        <v>1572</v>
      </c>
      <c r="V1299" s="50">
        <v>17083127010</v>
      </c>
      <c r="W1299" s="50">
        <v>17083121696</v>
      </c>
      <c r="X1299" s="50" t="s">
        <v>123</v>
      </c>
      <c r="Y1299" s="50"/>
    </row>
    <row r="1300" spans="1:25" x14ac:dyDescent="0.25">
      <c r="A1300" s="25" t="s">
        <v>115</v>
      </c>
      <c r="B1300" t="b">
        <v>0</v>
      </c>
      <c r="C1300" s="43" t="s">
        <v>1573</v>
      </c>
      <c r="D1300" s="43">
        <v>320728</v>
      </c>
      <c r="E1300" s="43">
        <v>300589</v>
      </c>
      <c r="F1300" s="43" t="s">
        <v>125</v>
      </c>
      <c r="G1300" s="43" t="b">
        <v>0</v>
      </c>
      <c r="H1300" s="43" t="b">
        <v>0</v>
      </c>
      <c r="I1300" s="43"/>
      <c r="M1300" s="48" t="s">
        <v>1573</v>
      </c>
      <c r="N1300" s="48">
        <v>17088571994</v>
      </c>
      <c r="O1300" s="48">
        <v>17088568695</v>
      </c>
      <c r="P1300" s="48" t="s">
        <v>125</v>
      </c>
      <c r="Q1300" s="49" t="s">
        <v>1573</v>
      </c>
      <c r="R1300" s="49">
        <v>17083126305</v>
      </c>
      <c r="S1300" s="49">
        <v>17083125872</v>
      </c>
      <c r="T1300" s="49" t="s">
        <v>125</v>
      </c>
      <c r="U1300" s="50" t="s">
        <v>1573</v>
      </c>
      <c r="V1300" s="50">
        <v>17083126305</v>
      </c>
      <c r="W1300" s="50">
        <v>17083125872</v>
      </c>
      <c r="X1300" s="50" t="s">
        <v>125</v>
      </c>
      <c r="Y1300" s="50"/>
    </row>
    <row r="1301" spans="1:25" x14ac:dyDescent="0.25">
      <c r="A1301" s="25" t="s">
        <v>115</v>
      </c>
      <c r="B1301" t="b">
        <v>0</v>
      </c>
      <c r="C1301" s="43" t="s">
        <v>1574</v>
      </c>
      <c r="D1301" s="43">
        <v>322776</v>
      </c>
      <c r="E1301" s="43">
        <v>302893</v>
      </c>
      <c r="F1301" s="43" t="s">
        <v>117</v>
      </c>
      <c r="G1301" s="43" t="b">
        <v>0</v>
      </c>
      <c r="H1301" s="43" t="b">
        <v>0</v>
      </c>
      <c r="I1301" s="43"/>
      <c r="M1301" s="48" t="s">
        <v>1574</v>
      </c>
      <c r="N1301" s="48">
        <v>17088569434</v>
      </c>
      <c r="O1301" s="48">
        <v>17088565623</v>
      </c>
      <c r="P1301" s="48" t="s">
        <v>117</v>
      </c>
      <c r="Q1301" s="49" t="s">
        <v>1574</v>
      </c>
      <c r="R1301" s="49">
        <v>17083129793</v>
      </c>
      <c r="S1301" s="49">
        <v>17083128752</v>
      </c>
      <c r="T1301" s="49" t="s">
        <v>117</v>
      </c>
      <c r="U1301" s="50" t="s">
        <v>1574</v>
      </c>
      <c r="V1301" s="50">
        <v>17083129793</v>
      </c>
      <c r="W1301" s="50">
        <v>17083128752</v>
      </c>
      <c r="X1301" s="50" t="s">
        <v>117</v>
      </c>
      <c r="Y1301" s="50"/>
    </row>
    <row r="1302" spans="1:25" x14ac:dyDescent="0.25">
      <c r="A1302" s="25" t="s">
        <v>115</v>
      </c>
      <c r="B1302" t="b">
        <v>0</v>
      </c>
      <c r="C1302" s="43" t="s">
        <v>1575</v>
      </c>
      <c r="D1302" s="43">
        <v>320216</v>
      </c>
      <c r="E1302" s="43">
        <v>300693</v>
      </c>
      <c r="F1302" s="43" t="s">
        <v>186</v>
      </c>
      <c r="G1302" s="43" t="b">
        <v>0</v>
      </c>
      <c r="H1302" s="43" t="b">
        <v>0</v>
      </c>
      <c r="I1302" s="43"/>
      <c r="M1302" s="48" t="s">
        <v>1575</v>
      </c>
      <c r="N1302" s="48">
        <v>17088572886</v>
      </c>
      <c r="O1302" s="48">
        <v>17088557144</v>
      </c>
      <c r="P1302" s="48" t="s">
        <v>186</v>
      </c>
      <c r="Q1302" s="49" t="s">
        <v>1575</v>
      </c>
      <c r="R1302" s="49">
        <v>17083125865</v>
      </c>
      <c r="S1302" s="49">
        <v>17083090300</v>
      </c>
      <c r="T1302" s="49" t="s">
        <v>186</v>
      </c>
      <c r="U1302" s="50" t="s">
        <v>1575</v>
      </c>
      <c r="V1302" s="50">
        <v>17083125865</v>
      </c>
      <c r="W1302" s="50">
        <v>17083090300</v>
      </c>
      <c r="X1302" s="50" t="s">
        <v>186</v>
      </c>
      <c r="Y1302" s="50"/>
    </row>
    <row r="1303" spans="1:25" x14ac:dyDescent="0.25">
      <c r="A1303" s="25" t="s">
        <v>115</v>
      </c>
      <c r="B1303" t="b">
        <v>0</v>
      </c>
      <c r="C1303" s="43" t="s">
        <v>1576</v>
      </c>
      <c r="D1303" s="43">
        <v>322264</v>
      </c>
      <c r="E1303" s="43">
        <v>300581</v>
      </c>
      <c r="F1303" s="43" t="s">
        <v>123</v>
      </c>
      <c r="G1303" s="43" t="b">
        <v>0</v>
      </c>
      <c r="H1303" s="43" t="b">
        <v>0</v>
      </c>
      <c r="I1303" s="43"/>
      <c r="M1303" s="48" t="s">
        <v>1576</v>
      </c>
      <c r="N1303" s="48">
        <v>17088571454</v>
      </c>
      <c r="O1303" s="48">
        <v>17088565139</v>
      </c>
      <c r="P1303" s="48" t="s">
        <v>123</v>
      </c>
      <c r="Q1303" s="49" t="s">
        <v>1576</v>
      </c>
      <c r="R1303" s="49">
        <v>17083128290</v>
      </c>
      <c r="S1303" s="49">
        <v>17083125280</v>
      </c>
      <c r="T1303" s="49" t="s">
        <v>123</v>
      </c>
      <c r="U1303" s="50" t="s">
        <v>1576</v>
      </c>
      <c r="V1303" s="50">
        <v>17083128290</v>
      </c>
      <c r="W1303" s="50">
        <v>17083125280</v>
      </c>
      <c r="X1303" s="50" t="s">
        <v>123</v>
      </c>
      <c r="Y1303" s="50"/>
    </row>
    <row r="1304" spans="1:25" x14ac:dyDescent="0.25">
      <c r="A1304" s="25" t="s">
        <v>115</v>
      </c>
      <c r="B1304" t="b">
        <v>0</v>
      </c>
      <c r="C1304" s="43" t="s">
        <v>1577</v>
      </c>
      <c r="D1304" s="43">
        <v>321240</v>
      </c>
      <c r="E1304" s="43">
        <v>301389</v>
      </c>
      <c r="F1304" s="43" t="s">
        <v>119</v>
      </c>
      <c r="G1304" s="43" t="b">
        <v>0</v>
      </c>
      <c r="H1304" s="43" t="b">
        <v>0</v>
      </c>
      <c r="I1304" s="43"/>
      <c r="M1304" s="48" t="s">
        <v>1577</v>
      </c>
      <c r="N1304" s="48">
        <v>17088573082</v>
      </c>
      <c r="O1304" s="48">
        <v>17088567159</v>
      </c>
      <c r="P1304" s="48" t="s">
        <v>119</v>
      </c>
      <c r="Q1304" s="49" t="s">
        <v>1577</v>
      </c>
      <c r="R1304" s="49">
        <v>17083126209</v>
      </c>
      <c r="S1304" s="49">
        <v>17083128944</v>
      </c>
      <c r="T1304" s="49" t="s">
        <v>119</v>
      </c>
      <c r="U1304" s="50" t="s">
        <v>1577</v>
      </c>
      <c r="V1304" s="50">
        <v>17083126209</v>
      </c>
      <c r="W1304" s="50">
        <v>17083128944</v>
      </c>
      <c r="X1304" s="50" t="s">
        <v>119</v>
      </c>
      <c r="Y1304" s="50"/>
    </row>
    <row r="1305" spans="1:25" x14ac:dyDescent="0.25">
      <c r="A1305" s="25" t="s">
        <v>115</v>
      </c>
      <c r="B1305" t="b">
        <v>0</v>
      </c>
      <c r="C1305" s="43" t="s">
        <v>1578</v>
      </c>
      <c r="D1305" s="43">
        <v>323288</v>
      </c>
      <c r="E1305" s="43">
        <v>299949</v>
      </c>
      <c r="F1305" s="43" t="s">
        <v>119</v>
      </c>
      <c r="G1305" s="43" t="b">
        <v>0</v>
      </c>
      <c r="H1305" s="43" t="b">
        <v>0</v>
      </c>
      <c r="I1305" s="43"/>
      <c r="M1305" s="48" t="s">
        <v>1578</v>
      </c>
      <c r="N1305" s="48">
        <v>17088571034</v>
      </c>
      <c r="O1305" s="48">
        <v>17088567927</v>
      </c>
      <c r="P1305" s="48" t="s">
        <v>119</v>
      </c>
      <c r="Q1305" s="49" t="s">
        <v>1578</v>
      </c>
      <c r="R1305" s="49">
        <v>17083129537</v>
      </c>
      <c r="S1305" s="49">
        <v>17083127216</v>
      </c>
      <c r="T1305" s="49" t="s">
        <v>119</v>
      </c>
      <c r="U1305" s="50" t="s">
        <v>1578</v>
      </c>
      <c r="V1305" s="50">
        <v>17083129537</v>
      </c>
      <c r="W1305" s="50">
        <v>17083127216</v>
      </c>
      <c r="X1305" s="50" t="s">
        <v>119</v>
      </c>
      <c r="Y1305" s="50"/>
    </row>
    <row r="1306" spans="1:25" x14ac:dyDescent="0.25">
      <c r="A1306" s="25" t="s">
        <v>115</v>
      </c>
      <c r="B1306" t="b">
        <v>0</v>
      </c>
      <c r="C1306" s="43" t="s">
        <v>1579</v>
      </c>
      <c r="D1306" s="43">
        <v>319960</v>
      </c>
      <c r="E1306" s="43">
        <v>302005</v>
      </c>
      <c r="F1306" s="43" t="s">
        <v>125</v>
      </c>
      <c r="G1306" s="43" t="b">
        <v>1</v>
      </c>
      <c r="H1306" s="43" t="b">
        <v>0</v>
      </c>
      <c r="I1306" s="43" t="s">
        <v>126</v>
      </c>
      <c r="M1306" s="48" t="s">
        <v>1579</v>
      </c>
      <c r="N1306" s="48">
        <v>17088572470</v>
      </c>
      <c r="O1306" s="48">
        <v>17088559144</v>
      </c>
      <c r="P1306" s="48" t="s">
        <v>125</v>
      </c>
      <c r="Q1306" s="49" t="s">
        <v>1579</v>
      </c>
      <c r="R1306" s="49">
        <v>17083126633</v>
      </c>
      <c r="S1306" s="49">
        <v>17083092252</v>
      </c>
      <c r="T1306" s="49" t="s">
        <v>125</v>
      </c>
      <c r="U1306" s="50" t="s">
        <v>1579</v>
      </c>
      <c r="V1306" s="50">
        <v>17083126633</v>
      </c>
      <c r="W1306" s="50">
        <v>17083092252</v>
      </c>
      <c r="X1306" s="50" t="s">
        <v>125</v>
      </c>
      <c r="Y1306" s="50">
        <v>120507</v>
      </c>
    </row>
    <row r="1307" spans="1:25" x14ac:dyDescent="0.25">
      <c r="A1307" s="25" t="s">
        <v>115</v>
      </c>
      <c r="B1307" t="b">
        <v>0</v>
      </c>
      <c r="C1307" s="43" t="s">
        <v>1580</v>
      </c>
      <c r="D1307" s="43">
        <v>322008</v>
      </c>
      <c r="E1307" s="43">
        <v>299101</v>
      </c>
      <c r="F1307" s="43" t="s">
        <v>123</v>
      </c>
      <c r="G1307" s="43" t="b">
        <v>1</v>
      </c>
      <c r="H1307" s="43" t="b">
        <v>0</v>
      </c>
      <c r="I1307" s="43" t="s">
        <v>134</v>
      </c>
      <c r="M1307" s="48" t="s">
        <v>1580</v>
      </c>
      <c r="N1307" s="48">
        <v>17088572570</v>
      </c>
      <c r="O1307" s="48">
        <v>17088569303</v>
      </c>
      <c r="P1307" s="48" t="s">
        <v>123</v>
      </c>
      <c r="Q1307" s="49" t="s">
        <v>1580</v>
      </c>
      <c r="R1307" s="49">
        <v>17083126465</v>
      </c>
      <c r="S1307" s="49">
        <v>17083126480</v>
      </c>
      <c r="T1307" s="49" t="s">
        <v>123</v>
      </c>
      <c r="U1307" s="50" t="s">
        <v>1580</v>
      </c>
      <c r="V1307" s="50">
        <v>17083126465</v>
      </c>
      <c r="W1307" s="50">
        <v>17083126480</v>
      </c>
      <c r="X1307" s="50" t="s">
        <v>123</v>
      </c>
      <c r="Y1307" s="50">
        <v>150152</v>
      </c>
    </row>
    <row r="1308" spans="1:25" x14ac:dyDescent="0.25">
      <c r="A1308" s="25" t="s">
        <v>115</v>
      </c>
      <c r="B1308" t="b">
        <v>0</v>
      </c>
      <c r="C1308" s="43" t="s">
        <v>1581</v>
      </c>
      <c r="D1308" s="43">
        <v>320984</v>
      </c>
      <c r="E1308" s="43">
        <v>302565</v>
      </c>
      <c r="F1308" s="43" t="s">
        <v>132</v>
      </c>
      <c r="G1308" s="43" t="b">
        <v>0</v>
      </c>
      <c r="H1308" s="43" t="b">
        <v>0</v>
      </c>
      <c r="I1308" s="43"/>
      <c r="M1308" s="48" t="s">
        <v>1581</v>
      </c>
      <c r="N1308" s="48">
        <v>17088570838</v>
      </c>
      <c r="O1308" s="48">
        <v>17088559320</v>
      </c>
      <c r="P1308" s="48" t="s">
        <v>132</v>
      </c>
      <c r="Q1308" s="49" t="s">
        <v>1581</v>
      </c>
      <c r="R1308" s="49">
        <v>17083129769</v>
      </c>
      <c r="S1308" s="49">
        <v>17083092476</v>
      </c>
      <c r="T1308" s="49" t="s">
        <v>132</v>
      </c>
      <c r="U1308" s="50" t="s">
        <v>1581</v>
      </c>
      <c r="V1308" s="50">
        <v>17083129769</v>
      </c>
      <c r="W1308" s="50">
        <v>17083092476</v>
      </c>
      <c r="X1308" s="50" t="s">
        <v>132</v>
      </c>
      <c r="Y1308" s="50"/>
    </row>
    <row r="1309" spans="1:25" x14ac:dyDescent="0.25">
      <c r="A1309" s="25" t="b">
        <v>1</v>
      </c>
      <c r="B1309" t="b">
        <v>0</v>
      </c>
      <c r="C1309" s="43" t="s">
        <v>1582</v>
      </c>
      <c r="D1309" s="43">
        <v>323032</v>
      </c>
      <c r="E1309" s="43">
        <v>302917</v>
      </c>
      <c r="F1309" s="43" t="s">
        <v>173</v>
      </c>
      <c r="G1309" s="43" t="b">
        <v>0</v>
      </c>
      <c r="H1309" s="43" t="b">
        <v>0</v>
      </c>
      <c r="I1309" s="43"/>
      <c r="J1309" s="45" t="s">
        <v>1582</v>
      </c>
      <c r="K1309" s="46">
        <v>302917</v>
      </c>
      <c r="L1309" s="47">
        <v>990000419</v>
      </c>
      <c r="M1309" s="48" t="s">
        <v>1582</v>
      </c>
      <c r="N1309" s="48">
        <v>17088573118</v>
      </c>
      <c r="O1309" s="48">
        <v>17088564947</v>
      </c>
      <c r="P1309" s="48" t="s">
        <v>173</v>
      </c>
      <c r="Q1309" s="49" t="s">
        <v>1582</v>
      </c>
      <c r="R1309" s="49">
        <v>17083128082</v>
      </c>
      <c r="S1309" s="49">
        <v>17083124640</v>
      </c>
      <c r="T1309" s="49" t="s">
        <v>173</v>
      </c>
      <c r="U1309" s="50" t="s">
        <v>1582</v>
      </c>
      <c r="V1309" s="50">
        <v>17083128082</v>
      </c>
      <c r="W1309" s="50">
        <v>17083124640</v>
      </c>
      <c r="X1309" s="50" t="s">
        <v>173</v>
      </c>
      <c r="Y1309" s="50"/>
    </row>
    <row r="1310" spans="1:25" x14ac:dyDescent="0.25">
      <c r="A1310" s="25" t="s">
        <v>115</v>
      </c>
      <c r="B1310" t="b">
        <v>0</v>
      </c>
      <c r="C1310" s="43" t="s">
        <v>1583</v>
      </c>
      <c r="D1310" s="43">
        <v>320472</v>
      </c>
      <c r="E1310" s="43">
        <v>302573</v>
      </c>
      <c r="F1310" s="43" t="s">
        <v>123</v>
      </c>
      <c r="G1310" s="43" t="b">
        <v>1</v>
      </c>
      <c r="H1310" s="43" t="b">
        <v>0</v>
      </c>
      <c r="I1310" s="43" t="s">
        <v>134</v>
      </c>
      <c r="M1310" s="48" t="s">
        <v>1583</v>
      </c>
      <c r="N1310" s="48">
        <v>17088572186</v>
      </c>
      <c r="O1310" s="48">
        <v>17088565687</v>
      </c>
      <c r="P1310" s="48" t="s">
        <v>123</v>
      </c>
      <c r="Q1310" s="49" t="s">
        <v>1583</v>
      </c>
      <c r="R1310" s="49">
        <v>17083128641</v>
      </c>
      <c r="S1310" s="49">
        <v>17083128624</v>
      </c>
      <c r="T1310" s="49" t="s">
        <v>123</v>
      </c>
      <c r="U1310" s="50" t="s">
        <v>1583</v>
      </c>
      <c r="V1310" s="50">
        <v>17083128641</v>
      </c>
      <c r="W1310" s="50">
        <v>17083128624</v>
      </c>
      <c r="X1310" s="50" t="s">
        <v>123</v>
      </c>
      <c r="Y1310" s="50">
        <v>150121</v>
      </c>
    </row>
    <row r="1311" spans="1:25" x14ac:dyDescent="0.25">
      <c r="A1311" s="25" t="s">
        <v>115</v>
      </c>
      <c r="B1311" t="b">
        <v>0</v>
      </c>
      <c r="C1311" s="43" t="s">
        <v>1584</v>
      </c>
      <c r="D1311" s="43">
        <v>322520</v>
      </c>
      <c r="E1311" s="43">
        <v>301365</v>
      </c>
      <c r="F1311" s="43" t="s">
        <v>132</v>
      </c>
      <c r="G1311" s="43" t="b">
        <v>0</v>
      </c>
      <c r="H1311" s="43" t="b">
        <v>0</v>
      </c>
      <c r="I1311" s="43"/>
      <c r="J1311" s="45" t="s">
        <v>1584</v>
      </c>
      <c r="K1311" s="46">
        <v>301365</v>
      </c>
      <c r="L1311" s="47">
        <v>990000625</v>
      </c>
      <c r="M1311" s="48" t="s">
        <v>1584</v>
      </c>
      <c r="N1311" s="48">
        <v>17088570422</v>
      </c>
      <c r="O1311" s="48">
        <v>17088559768</v>
      </c>
      <c r="P1311" s="48" t="s">
        <v>132</v>
      </c>
      <c r="Q1311" s="49" t="s">
        <v>1584</v>
      </c>
      <c r="R1311" s="49">
        <v>17083129193</v>
      </c>
      <c r="S1311" s="49">
        <v>17083092924</v>
      </c>
      <c r="T1311" s="49" t="s">
        <v>132</v>
      </c>
      <c r="U1311" s="50" t="s">
        <v>1584</v>
      </c>
      <c r="V1311" s="50">
        <v>17083129193</v>
      </c>
      <c r="W1311" s="50">
        <v>17083092924</v>
      </c>
      <c r="X1311" s="50" t="s">
        <v>132</v>
      </c>
      <c r="Y1311" s="50"/>
    </row>
    <row r="1312" spans="1:25" x14ac:dyDescent="0.25">
      <c r="A1312" s="25" t="s">
        <v>115</v>
      </c>
      <c r="B1312" t="b">
        <v>0</v>
      </c>
      <c r="C1312" s="43" t="s">
        <v>1585</v>
      </c>
      <c r="D1312" s="43">
        <v>321496</v>
      </c>
      <c r="E1312" s="43">
        <v>301765</v>
      </c>
      <c r="F1312" s="43" t="s">
        <v>125</v>
      </c>
      <c r="G1312" s="43" t="b">
        <v>0</v>
      </c>
      <c r="H1312" s="43" t="b">
        <v>0</v>
      </c>
      <c r="I1312" s="43" t="s">
        <v>126</v>
      </c>
      <c r="M1312" s="48" t="s">
        <v>1585</v>
      </c>
      <c r="N1312" s="48">
        <v>17088571070</v>
      </c>
      <c r="O1312" s="48">
        <v>17088561875</v>
      </c>
      <c r="P1312" s="48" t="s">
        <v>125</v>
      </c>
      <c r="Q1312" s="49" t="s">
        <v>1585</v>
      </c>
      <c r="R1312" s="49">
        <v>17083126034</v>
      </c>
      <c r="S1312" s="49">
        <v>17083123104</v>
      </c>
      <c r="T1312" s="49" t="s">
        <v>125</v>
      </c>
      <c r="U1312" s="50" t="s">
        <v>1585</v>
      </c>
      <c r="V1312" s="50">
        <v>17083126034</v>
      </c>
      <c r="W1312" s="50">
        <v>17083123104</v>
      </c>
      <c r="X1312" s="50" t="s">
        <v>125</v>
      </c>
      <c r="Y1312" s="50"/>
    </row>
    <row r="1313" spans="1:25" x14ac:dyDescent="0.25">
      <c r="A1313" s="25" t="s">
        <v>115</v>
      </c>
      <c r="B1313" t="b">
        <v>0</v>
      </c>
      <c r="C1313" s="43" t="s">
        <v>1586</v>
      </c>
      <c r="D1313" s="43">
        <v>323544</v>
      </c>
      <c r="E1313" s="43">
        <v>299237</v>
      </c>
      <c r="F1313" s="43" t="s">
        <v>117</v>
      </c>
      <c r="G1313" s="43" t="b">
        <v>0</v>
      </c>
      <c r="H1313" s="43" t="b">
        <v>0</v>
      </c>
      <c r="I1313" s="43"/>
      <c r="M1313" s="48" t="s">
        <v>1586</v>
      </c>
      <c r="N1313" s="48">
        <v>17088571830</v>
      </c>
      <c r="O1313" s="48">
        <v>17088557784</v>
      </c>
      <c r="P1313" s="48" t="s">
        <v>117</v>
      </c>
      <c r="Q1313" s="49" t="s">
        <v>1586</v>
      </c>
      <c r="R1313" s="49">
        <v>17083125785</v>
      </c>
      <c r="S1313" s="49">
        <v>17083090940</v>
      </c>
      <c r="T1313" s="49" t="s">
        <v>117</v>
      </c>
      <c r="U1313" s="50" t="s">
        <v>1586</v>
      </c>
      <c r="V1313" s="50">
        <v>17083125785</v>
      </c>
      <c r="W1313" s="50">
        <v>17083090940</v>
      </c>
      <c r="X1313" s="50" t="s">
        <v>117</v>
      </c>
      <c r="Y1313" s="50"/>
    </row>
    <row r="1314" spans="1:25" x14ac:dyDescent="0.25">
      <c r="A1314" s="25" t="s">
        <v>115</v>
      </c>
      <c r="B1314" t="b">
        <v>0</v>
      </c>
      <c r="C1314" s="43" t="s">
        <v>1587</v>
      </c>
      <c r="D1314" s="43">
        <v>319544</v>
      </c>
      <c r="E1314" s="43">
        <v>300469</v>
      </c>
      <c r="F1314" s="43" t="s">
        <v>125</v>
      </c>
      <c r="G1314" s="43" t="b">
        <v>0</v>
      </c>
      <c r="H1314" s="43" t="b">
        <v>0</v>
      </c>
      <c r="I1314" s="43" t="s">
        <v>126</v>
      </c>
      <c r="M1314" s="48" t="s">
        <v>1587</v>
      </c>
      <c r="N1314" s="48">
        <v>17088572598</v>
      </c>
      <c r="O1314" s="48">
        <v>17088557608</v>
      </c>
      <c r="P1314" s="48" t="s">
        <v>125</v>
      </c>
      <c r="Q1314" s="49" t="s">
        <v>1587</v>
      </c>
      <c r="R1314" s="49">
        <v>17083129321</v>
      </c>
      <c r="S1314" s="49">
        <v>17083090716</v>
      </c>
      <c r="T1314" s="49" t="s">
        <v>125</v>
      </c>
      <c r="U1314" s="50" t="s">
        <v>1587</v>
      </c>
      <c r="V1314" s="50">
        <v>17083129321</v>
      </c>
      <c r="W1314" s="50">
        <v>17083090716</v>
      </c>
      <c r="X1314" s="50" t="s">
        <v>125</v>
      </c>
      <c r="Y1314" s="50"/>
    </row>
    <row r="1315" spans="1:25" x14ac:dyDescent="0.25">
      <c r="A1315" s="25" t="s">
        <v>115</v>
      </c>
      <c r="B1315" t="b">
        <v>0</v>
      </c>
      <c r="C1315" s="43" t="s">
        <v>1588</v>
      </c>
      <c r="D1315" s="43">
        <v>321592</v>
      </c>
      <c r="E1315" s="43">
        <v>300029</v>
      </c>
      <c r="F1315" s="43" t="s">
        <v>132</v>
      </c>
      <c r="G1315" s="43" t="b">
        <v>0</v>
      </c>
      <c r="H1315" s="43" t="b">
        <v>0</v>
      </c>
      <c r="I1315" s="43"/>
      <c r="J1315" s="45" t="s">
        <v>1588</v>
      </c>
      <c r="K1315" s="46">
        <v>300029</v>
      </c>
      <c r="L1315" s="47">
        <v>990000627</v>
      </c>
      <c r="M1315" s="48" t="s">
        <v>1588</v>
      </c>
      <c r="N1315" s="48">
        <v>17088570098</v>
      </c>
      <c r="O1315" s="48">
        <v>17088567267</v>
      </c>
      <c r="P1315" s="48" t="s">
        <v>132</v>
      </c>
      <c r="Q1315" s="49" t="s">
        <v>1588</v>
      </c>
      <c r="R1315" s="49">
        <v>17083129822</v>
      </c>
      <c r="S1315" s="49">
        <v>17083125655</v>
      </c>
      <c r="T1315" s="49" t="s">
        <v>132</v>
      </c>
      <c r="U1315" s="50" t="s">
        <v>1588</v>
      </c>
      <c r="V1315" s="50">
        <v>17083129822</v>
      </c>
      <c r="W1315" s="50">
        <v>17083125655</v>
      </c>
      <c r="X1315" s="50" t="s">
        <v>132</v>
      </c>
      <c r="Y1315" s="50"/>
    </row>
    <row r="1316" spans="1:25" x14ac:dyDescent="0.25">
      <c r="A1316" s="25" t="s">
        <v>115</v>
      </c>
      <c r="B1316" t="b">
        <v>0</v>
      </c>
      <c r="C1316" s="43" t="s">
        <v>1589</v>
      </c>
      <c r="D1316" s="43">
        <v>320568</v>
      </c>
      <c r="E1316" s="43">
        <v>299085</v>
      </c>
      <c r="F1316" s="43" t="s">
        <v>125</v>
      </c>
      <c r="G1316" s="43" t="b">
        <v>0</v>
      </c>
      <c r="H1316" s="43" t="b">
        <v>0</v>
      </c>
      <c r="I1316" s="43"/>
      <c r="M1316" s="48" t="s">
        <v>1589</v>
      </c>
      <c r="N1316" s="48">
        <v>17088569946</v>
      </c>
      <c r="O1316" s="48">
        <v>17088566007</v>
      </c>
      <c r="P1316" s="48" t="s">
        <v>125</v>
      </c>
      <c r="Q1316" s="49" t="s">
        <v>1589</v>
      </c>
      <c r="R1316" s="49">
        <v>17083128865</v>
      </c>
      <c r="S1316" s="49">
        <v>17083128176</v>
      </c>
      <c r="T1316" s="49" t="s">
        <v>125</v>
      </c>
      <c r="U1316" s="50" t="s">
        <v>1589</v>
      </c>
      <c r="V1316" s="50">
        <v>17083128865</v>
      </c>
      <c r="W1316" s="50">
        <v>17083128176</v>
      </c>
      <c r="X1316" s="50" t="s">
        <v>125</v>
      </c>
      <c r="Y1316" s="50"/>
    </row>
    <row r="1317" spans="1:25" x14ac:dyDescent="0.25">
      <c r="A1317" s="25" t="s">
        <v>115</v>
      </c>
      <c r="B1317" t="b">
        <v>0</v>
      </c>
      <c r="C1317" s="43" t="s">
        <v>1590</v>
      </c>
      <c r="D1317" s="43">
        <v>322616</v>
      </c>
      <c r="E1317" s="43">
        <v>301965</v>
      </c>
      <c r="F1317" s="43" t="s">
        <v>125</v>
      </c>
      <c r="G1317" s="43" t="b">
        <v>0</v>
      </c>
      <c r="H1317" s="43" t="b">
        <v>0</v>
      </c>
      <c r="I1317" s="43"/>
      <c r="M1317" s="48" t="s">
        <v>1590</v>
      </c>
      <c r="N1317" s="48">
        <v>17088573338</v>
      </c>
      <c r="O1317" s="48">
        <v>17088569079</v>
      </c>
      <c r="P1317" s="48" t="s">
        <v>125</v>
      </c>
      <c r="Q1317" s="49" t="s">
        <v>1590</v>
      </c>
      <c r="R1317" s="49">
        <v>17083127745</v>
      </c>
      <c r="S1317" s="49">
        <v>17083126640</v>
      </c>
      <c r="T1317" s="49" t="s">
        <v>125</v>
      </c>
      <c r="U1317" s="50" t="s">
        <v>1590</v>
      </c>
      <c r="V1317" s="50">
        <v>17083127745</v>
      </c>
      <c r="W1317" s="50">
        <v>17083126640</v>
      </c>
      <c r="X1317" s="50" t="s">
        <v>125</v>
      </c>
      <c r="Y1317" s="50"/>
    </row>
    <row r="1318" spans="1:25" x14ac:dyDescent="0.25">
      <c r="A1318" s="25" t="s">
        <v>115</v>
      </c>
      <c r="B1318" t="b">
        <v>0</v>
      </c>
      <c r="C1318" s="43" t="s">
        <v>1591</v>
      </c>
      <c r="D1318" s="43">
        <v>320056</v>
      </c>
      <c r="E1318" s="43">
        <v>303013</v>
      </c>
      <c r="F1318" s="43" t="s">
        <v>123</v>
      </c>
      <c r="G1318" s="43" t="b">
        <v>0</v>
      </c>
      <c r="H1318" s="43" t="b">
        <v>0</v>
      </c>
      <c r="I1318" s="43" t="s">
        <v>134</v>
      </c>
      <c r="M1318" s="48" t="s">
        <v>1591</v>
      </c>
      <c r="N1318" s="48">
        <v>17088569406</v>
      </c>
      <c r="O1318" s="48">
        <v>17088565011</v>
      </c>
      <c r="P1318" s="48" t="s">
        <v>123</v>
      </c>
      <c r="Q1318" s="49" t="s">
        <v>1591</v>
      </c>
      <c r="R1318" s="49">
        <v>17083126242</v>
      </c>
      <c r="S1318" s="49">
        <v>17083125440</v>
      </c>
      <c r="T1318" s="49" t="s">
        <v>123</v>
      </c>
      <c r="U1318" s="50" t="s">
        <v>1591</v>
      </c>
      <c r="V1318" s="50">
        <v>17083126242</v>
      </c>
      <c r="W1318" s="50">
        <v>17083125440</v>
      </c>
      <c r="X1318" s="50" t="s">
        <v>123</v>
      </c>
      <c r="Y1318" s="50"/>
    </row>
    <row r="1319" spans="1:25" x14ac:dyDescent="0.25">
      <c r="A1319" s="25" t="s">
        <v>115</v>
      </c>
      <c r="B1319" t="b">
        <v>0</v>
      </c>
      <c r="C1319" s="43" t="s">
        <v>1592</v>
      </c>
      <c r="D1319" s="43">
        <v>322104</v>
      </c>
      <c r="E1319" s="43">
        <v>300445</v>
      </c>
      <c r="F1319" s="43" t="s">
        <v>125</v>
      </c>
      <c r="G1319" s="43" t="b">
        <v>0</v>
      </c>
      <c r="H1319" s="43" t="b">
        <v>0</v>
      </c>
      <c r="I1319" s="43" t="s">
        <v>126</v>
      </c>
      <c r="M1319" s="48" t="s">
        <v>1592</v>
      </c>
      <c r="N1319" s="48">
        <v>17088570522</v>
      </c>
      <c r="O1319" s="48">
        <v>17088565815</v>
      </c>
      <c r="P1319" s="48" t="s">
        <v>125</v>
      </c>
      <c r="Q1319" s="49" t="s">
        <v>1592</v>
      </c>
      <c r="R1319" s="49">
        <v>17083129025</v>
      </c>
      <c r="S1319" s="49">
        <v>17083128272</v>
      </c>
      <c r="T1319" s="49" t="s">
        <v>125</v>
      </c>
      <c r="U1319" s="50" t="s">
        <v>1592</v>
      </c>
      <c r="V1319" s="50">
        <v>17083129025</v>
      </c>
      <c r="W1319" s="50">
        <v>17083128272</v>
      </c>
      <c r="X1319" s="50" t="s">
        <v>125</v>
      </c>
      <c r="Y1319" s="50"/>
    </row>
    <row r="1320" spans="1:25" x14ac:dyDescent="0.25">
      <c r="A1320" s="25" t="s">
        <v>115</v>
      </c>
      <c r="B1320" t="b">
        <v>0</v>
      </c>
      <c r="C1320" s="43" t="s">
        <v>1593</v>
      </c>
      <c r="D1320" s="43">
        <v>321080</v>
      </c>
      <c r="E1320" s="43">
        <v>299245</v>
      </c>
      <c r="F1320" s="43" t="s">
        <v>117</v>
      </c>
      <c r="G1320" s="43" t="b">
        <v>0</v>
      </c>
      <c r="H1320" s="43" t="b">
        <v>0</v>
      </c>
      <c r="I1320" s="43"/>
      <c r="M1320" s="48" t="s">
        <v>1593</v>
      </c>
      <c r="N1320" s="48">
        <v>17088571290</v>
      </c>
      <c r="O1320" s="48">
        <v>17088566391</v>
      </c>
      <c r="P1320" s="48" t="s">
        <v>117</v>
      </c>
      <c r="Q1320" s="49" t="s">
        <v>1593</v>
      </c>
      <c r="R1320" s="49">
        <v>17083128769</v>
      </c>
      <c r="S1320" s="49">
        <v>17083129520</v>
      </c>
      <c r="T1320" s="49" t="s">
        <v>117</v>
      </c>
      <c r="U1320" s="50" t="s">
        <v>1593</v>
      </c>
      <c r="V1320" s="50">
        <v>17083128769</v>
      </c>
      <c r="W1320" s="50">
        <v>17083129520</v>
      </c>
      <c r="X1320" s="50" t="s">
        <v>117</v>
      </c>
      <c r="Y1320" s="50"/>
    </row>
    <row r="1321" spans="1:25" x14ac:dyDescent="0.25">
      <c r="A1321" s="25" t="s">
        <v>115</v>
      </c>
      <c r="B1321" t="b">
        <v>0</v>
      </c>
      <c r="C1321" s="43" t="s">
        <v>1594</v>
      </c>
      <c r="D1321" s="43">
        <v>323128</v>
      </c>
      <c r="E1321" s="43">
        <v>302317</v>
      </c>
      <c r="F1321" s="43" t="s">
        <v>119</v>
      </c>
      <c r="G1321" s="43" t="b">
        <v>0</v>
      </c>
      <c r="H1321" s="43" t="b">
        <v>0</v>
      </c>
      <c r="I1321" s="43"/>
      <c r="M1321" s="48" t="s">
        <v>1594</v>
      </c>
      <c r="N1321" s="48">
        <v>17088570714</v>
      </c>
      <c r="O1321" s="48">
        <v>17088568247</v>
      </c>
      <c r="P1321" s="48" t="s">
        <v>119</v>
      </c>
      <c r="Q1321" s="49" t="s">
        <v>1594</v>
      </c>
      <c r="R1321" s="49">
        <v>17083128609</v>
      </c>
      <c r="S1321" s="49">
        <v>17083126960</v>
      </c>
      <c r="T1321" s="49" t="s">
        <v>119</v>
      </c>
      <c r="U1321" s="50" t="s">
        <v>1594</v>
      </c>
      <c r="V1321" s="50">
        <v>17083128609</v>
      </c>
      <c r="W1321" s="50">
        <v>17083126960</v>
      </c>
      <c r="X1321" s="50" t="s">
        <v>119</v>
      </c>
      <c r="Y1321" s="50"/>
    </row>
    <row r="1322" spans="1:25" x14ac:dyDescent="0.25">
      <c r="A1322" s="25" t="s">
        <v>115</v>
      </c>
      <c r="B1322" t="b">
        <v>0</v>
      </c>
      <c r="C1322" s="43" t="s">
        <v>1595</v>
      </c>
      <c r="D1322" s="43">
        <v>319800</v>
      </c>
      <c r="E1322" s="43">
        <v>299285</v>
      </c>
      <c r="F1322" s="43" t="s">
        <v>132</v>
      </c>
      <c r="G1322" s="43" t="b">
        <v>0</v>
      </c>
      <c r="H1322" s="43" t="b">
        <v>0</v>
      </c>
      <c r="I1322" s="43"/>
      <c r="M1322" s="48" t="s">
        <v>1595</v>
      </c>
      <c r="N1322" s="48">
        <v>17088569974</v>
      </c>
      <c r="O1322" s="48">
        <v>17088558936</v>
      </c>
      <c r="P1322" s="48" t="s">
        <v>132</v>
      </c>
      <c r="Q1322" s="49" t="s">
        <v>1595</v>
      </c>
      <c r="R1322" s="49">
        <v>17083129113</v>
      </c>
      <c r="S1322" s="49">
        <v>17083089404</v>
      </c>
      <c r="T1322" s="49" t="s">
        <v>132</v>
      </c>
      <c r="U1322" s="50" t="s">
        <v>1595</v>
      </c>
      <c r="V1322" s="50">
        <v>17083129113</v>
      </c>
      <c r="W1322" s="50">
        <v>17083089404</v>
      </c>
      <c r="X1322" s="50" t="s">
        <v>132</v>
      </c>
      <c r="Y1322" s="50"/>
    </row>
    <row r="1323" spans="1:25" x14ac:dyDescent="0.25">
      <c r="A1323" s="25" t="s">
        <v>115</v>
      </c>
      <c r="B1323" t="b">
        <v>0</v>
      </c>
      <c r="C1323" s="43" t="s">
        <v>1596</v>
      </c>
      <c r="D1323" s="43">
        <v>321848</v>
      </c>
      <c r="E1323" s="43">
        <v>300597</v>
      </c>
      <c r="F1323" s="43" t="s">
        <v>132</v>
      </c>
      <c r="G1323" s="43" t="b">
        <v>0</v>
      </c>
      <c r="H1323" s="43" t="b">
        <v>0</v>
      </c>
      <c r="I1323" s="43"/>
      <c r="M1323" s="48" t="s">
        <v>1596</v>
      </c>
      <c r="N1323" s="48">
        <v>17088570550</v>
      </c>
      <c r="O1323" s="48">
        <v>17088557464</v>
      </c>
      <c r="P1323" s="48" t="s">
        <v>132</v>
      </c>
      <c r="Q1323" s="49" t="s">
        <v>1596</v>
      </c>
      <c r="R1323" s="49">
        <v>17083127273</v>
      </c>
      <c r="S1323" s="49">
        <v>17083090044</v>
      </c>
      <c r="T1323" s="49" t="s">
        <v>132</v>
      </c>
      <c r="U1323" s="50" t="s">
        <v>1596</v>
      </c>
      <c r="V1323" s="50">
        <v>17083127273</v>
      </c>
      <c r="W1323" s="50">
        <v>17083090044</v>
      </c>
      <c r="X1323" s="50" t="s">
        <v>132</v>
      </c>
      <c r="Y1323" s="50"/>
    </row>
    <row r="1324" spans="1:25" x14ac:dyDescent="0.25">
      <c r="A1324" s="25" t="s">
        <v>115</v>
      </c>
      <c r="B1324" t="b">
        <v>0</v>
      </c>
      <c r="C1324" s="43" t="s">
        <v>1597</v>
      </c>
      <c r="D1324" s="43">
        <v>320824</v>
      </c>
      <c r="E1324" s="43">
        <v>301269</v>
      </c>
      <c r="F1324" s="43" t="s">
        <v>119</v>
      </c>
      <c r="G1324" s="43" t="b">
        <v>0</v>
      </c>
      <c r="H1324" s="43" t="b">
        <v>0</v>
      </c>
      <c r="I1324" s="43"/>
      <c r="M1324" s="48" t="s">
        <v>1597</v>
      </c>
      <c r="N1324" s="48">
        <v>17088573366</v>
      </c>
      <c r="O1324" s="48">
        <v>17088560536</v>
      </c>
      <c r="P1324" s="48" t="s">
        <v>119</v>
      </c>
      <c r="Q1324" s="49" t="s">
        <v>1597</v>
      </c>
      <c r="R1324" s="49">
        <v>17083127321</v>
      </c>
      <c r="S1324" s="49">
        <v>17083091580</v>
      </c>
      <c r="T1324" s="49" t="s">
        <v>119</v>
      </c>
      <c r="U1324" s="50" t="s">
        <v>1597</v>
      </c>
      <c r="V1324" s="50">
        <v>17083127321</v>
      </c>
      <c r="W1324" s="50">
        <v>17083091580</v>
      </c>
      <c r="X1324" s="50" t="s">
        <v>119</v>
      </c>
      <c r="Y1324" s="50"/>
    </row>
    <row r="1325" spans="1:25" x14ac:dyDescent="0.25">
      <c r="A1325" s="25" t="s">
        <v>115</v>
      </c>
      <c r="B1325" t="b">
        <v>0</v>
      </c>
      <c r="C1325" s="43" t="s">
        <v>1598</v>
      </c>
      <c r="D1325" s="43">
        <v>322872</v>
      </c>
      <c r="E1325" s="43">
        <v>299829</v>
      </c>
      <c r="F1325" s="43" t="s">
        <v>119</v>
      </c>
      <c r="G1325" s="43" t="b">
        <v>0</v>
      </c>
      <c r="H1325" s="43" t="b">
        <v>0</v>
      </c>
      <c r="I1325" s="43"/>
      <c r="M1325" s="48" t="s">
        <v>1598</v>
      </c>
      <c r="N1325" s="48">
        <v>17088571862</v>
      </c>
      <c r="O1325" s="48">
        <v>17088560680</v>
      </c>
      <c r="P1325" s="48" t="s">
        <v>119</v>
      </c>
      <c r="Q1325" s="49" t="s">
        <v>1598</v>
      </c>
      <c r="R1325" s="49">
        <v>17083127721</v>
      </c>
      <c r="S1325" s="49">
        <v>17083091100</v>
      </c>
      <c r="T1325" s="49" t="s">
        <v>119</v>
      </c>
      <c r="U1325" s="50" t="s">
        <v>1598</v>
      </c>
      <c r="V1325" s="50">
        <v>17083127721</v>
      </c>
      <c r="W1325" s="50">
        <v>17083091100</v>
      </c>
      <c r="X1325" s="50" t="s">
        <v>119</v>
      </c>
      <c r="Y1325" s="50"/>
    </row>
    <row r="1326" spans="1:25" x14ac:dyDescent="0.25">
      <c r="A1326" s="25" t="s">
        <v>115</v>
      </c>
      <c r="B1326" t="b">
        <v>0</v>
      </c>
      <c r="C1326" s="43" t="s">
        <v>1599</v>
      </c>
      <c r="D1326" s="43">
        <v>320312</v>
      </c>
      <c r="E1326" s="43">
        <v>303045</v>
      </c>
      <c r="F1326" s="43" t="s">
        <v>123</v>
      </c>
      <c r="G1326" s="43" t="b">
        <v>1</v>
      </c>
      <c r="H1326" s="43" t="b">
        <v>0</v>
      </c>
      <c r="I1326" s="43" t="s">
        <v>134</v>
      </c>
      <c r="M1326" s="48" t="s">
        <v>1599</v>
      </c>
      <c r="N1326" s="48">
        <v>17088572222</v>
      </c>
      <c r="O1326" s="48">
        <v>17088561747</v>
      </c>
      <c r="P1326" s="48" t="s">
        <v>123</v>
      </c>
      <c r="Q1326" s="49" t="s">
        <v>1599</v>
      </c>
      <c r="R1326" s="49">
        <v>17083129826</v>
      </c>
      <c r="S1326" s="49">
        <v>17083122464</v>
      </c>
      <c r="T1326" s="49" t="s">
        <v>123</v>
      </c>
      <c r="U1326" s="50" t="s">
        <v>1599</v>
      </c>
      <c r="V1326" s="50">
        <v>17083129826</v>
      </c>
      <c r="W1326" s="50">
        <v>17083122464</v>
      </c>
      <c r="X1326" s="50" t="s">
        <v>123</v>
      </c>
      <c r="Y1326" s="50">
        <v>150153</v>
      </c>
    </row>
    <row r="1327" spans="1:25" x14ac:dyDescent="0.25">
      <c r="A1327" s="25" t="s">
        <v>115</v>
      </c>
      <c r="B1327" t="b">
        <v>0</v>
      </c>
      <c r="C1327" s="43" t="s">
        <v>1600</v>
      </c>
      <c r="D1327" s="43">
        <v>322360</v>
      </c>
      <c r="E1327" s="43">
        <v>300797</v>
      </c>
      <c r="F1327" s="43" t="s">
        <v>132</v>
      </c>
      <c r="G1327" s="43" t="b">
        <v>0</v>
      </c>
      <c r="H1327" s="43" t="b">
        <v>0</v>
      </c>
      <c r="I1327" s="43"/>
      <c r="M1327" s="48" t="s">
        <v>1600</v>
      </c>
      <c r="N1327" s="48">
        <v>17088569818</v>
      </c>
      <c r="O1327" s="48">
        <v>17088567967</v>
      </c>
      <c r="P1327" s="48" t="s">
        <v>132</v>
      </c>
      <c r="Q1327" s="49" t="s">
        <v>1600</v>
      </c>
      <c r="R1327" s="49">
        <v>17083126369</v>
      </c>
      <c r="S1327" s="49">
        <v>17083126168</v>
      </c>
      <c r="T1327" s="49" t="s">
        <v>132</v>
      </c>
      <c r="U1327" s="50" t="s">
        <v>1600</v>
      </c>
      <c r="V1327" s="50">
        <v>17083126369</v>
      </c>
      <c r="W1327" s="50">
        <v>17083126168</v>
      </c>
      <c r="X1327" s="50" t="s">
        <v>132</v>
      </c>
      <c r="Y1327" s="50"/>
    </row>
    <row r="1328" spans="1:25" x14ac:dyDescent="0.25">
      <c r="A1328" s="25" t="s">
        <v>115</v>
      </c>
      <c r="B1328" t="b">
        <v>0</v>
      </c>
      <c r="C1328" s="43" t="s">
        <v>1601</v>
      </c>
      <c r="D1328" s="43">
        <v>321336</v>
      </c>
      <c r="E1328" s="43">
        <v>301357</v>
      </c>
      <c r="F1328" s="43" t="s">
        <v>186</v>
      </c>
      <c r="G1328" s="43" t="b">
        <v>0</v>
      </c>
      <c r="H1328" s="43" t="b">
        <v>0</v>
      </c>
      <c r="I1328" s="43"/>
      <c r="M1328" s="48" t="s">
        <v>1601</v>
      </c>
      <c r="N1328" s="48">
        <v>17088570230</v>
      </c>
      <c r="O1328" s="48">
        <v>17088557452</v>
      </c>
      <c r="P1328" s="48" t="s">
        <v>186</v>
      </c>
      <c r="Q1328" s="49" t="s">
        <v>1601</v>
      </c>
      <c r="R1328" s="49">
        <v>17083125913</v>
      </c>
      <c r="S1328" s="49">
        <v>17083092138</v>
      </c>
      <c r="T1328" s="49" t="s">
        <v>186</v>
      </c>
      <c r="U1328" s="50" t="s">
        <v>1601</v>
      </c>
      <c r="V1328" s="50">
        <v>17083125913</v>
      </c>
      <c r="W1328" s="50">
        <v>17083092138</v>
      </c>
      <c r="X1328" s="50" t="s">
        <v>186</v>
      </c>
      <c r="Y1328" s="50"/>
    </row>
    <row r="1329" spans="1:25" x14ac:dyDescent="0.25">
      <c r="A1329" s="25" t="s">
        <v>115</v>
      </c>
      <c r="B1329" t="b">
        <v>0</v>
      </c>
      <c r="C1329" s="43" t="s">
        <v>1602</v>
      </c>
      <c r="D1329" s="43">
        <v>323384</v>
      </c>
      <c r="E1329" s="43">
        <v>300493</v>
      </c>
      <c r="F1329" s="43" t="s">
        <v>123</v>
      </c>
      <c r="G1329" s="43" t="b">
        <v>0</v>
      </c>
      <c r="H1329" s="43" t="b">
        <v>0</v>
      </c>
      <c r="I1329" s="43"/>
      <c r="M1329" s="48" t="s">
        <v>1602</v>
      </c>
      <c r="N1329" s="48">
        <v>17088572790</v>
      </c>
      <c r="O1329" s="48">
        <v>17088560524</v>
      </c>
      <c r="P1329" s="48" t="s">
        <v>123</v>
      </c>
      <c r="Q1329" s="49" t="s">
        <v>1602</v>
      </c>
      <c r="R1329" s="49">
        <v>17083129625</v>
      </c>
      <c r="S1329" s="49">
        <v>17083090602</v>
      </c>
      <c r="T1329" s="49" t="s">
        <v>123</v>
      </c>
      <c r="U1329" s="50" t="s">
        <v>1602</v>
      </c>
      <c r="V1329" s="50">
        <v>17083129625</v>
      </c>
      <c r="W1329" s="50">
        <v>17083090602</v>
      </c>
      <c r="X1329" s="50" t="s">
        <v>123</v>
      </c>
      <c r="Y1329" s="50"/>
    </row>
    <row r="1330" spans="1:25" x14ac:dyDescent="0.25">
      <c r="A1330" s="25" t="s">
        <v>115</v>
      </c>
      <c r="B1330" t="b">
        <v>0</v>
      </c>
      <c r="C1330" s="43" t="s">
        <v>1603</v>
      </c>
      <c r="D1330" s="43">
        <v>328709</v>
      </c>
      <c r="E1330" s="43">
        <v>290231</v>
      </c>
      <c r="F1330" s="43" t="s">
        <v>123</v>
      </c>
      <c r="G1330" s="43" t="b">
        <v>0</v>
      </c>
      <c r="H1330" s="43" t="b">
        <v>0</v>
      </c>
      <c r="I1330" s="43"/>
      <c r="M1330" s="48" t="s">
        <v>1603</v>
      </c>
      <c r="N1330" s="48">
        <v>17088569516</v>
      </c>
      <c r="O1330" s="48">
        <v>17088569108</v>
      </c>
      <c r="P1330" s="48" t="s">
        <v>123</v>
      </c>
      <c r="Q1330" s="49" t="s">
        <v>1603</v>
      </c>
      <c r="R1330" s="49">
        <v>17083129094</v>
      </c>
      <c r="S1330" s="49">
        <v>17083125754</v>
      </c>
      <c r="T1330" s="49" t="s">
        <v>123</v>
      </c>
      <c r="U1330" s="50" t="s">
        <v>1603</v>
      </c>
      <c r="V1330" s="50">
        <v>17083129094</v>
      </c>
      <c r="W1330" s="50">
        <v>17083125754</v>
      </c>
      <c r="X1330" s="50" t="s">
        <v>123</v>
      </c>
      <c r="Y1330" s="50"/>
    </row>
    <row r="1331" spans="1:25" x14ac:dyDescent="0.25">
      <c r="A1331" s="25" t="s">
        <v>115</v>
      </c>
      <c r="B1331" t="b">
        <v>0</v>
      </c>
      <c r="C1331" s="43" t="s">
        <v>1604</v>
      </c>
      <c r="D1331" s="43">
        <v>330757</v>
      </c>
      <c r="E1331" s="43">
        <v>289591</v>
      </c>
      <c r="F1331" s="43" t="s">
        <v>125</v>
      </c>
      <c r="G1331" s="43" t="b">
        <v>0</v>
      </c>
      <c r="H1331" s="43" t="b">
        <v>0</v>
      </c>
      <c r="I1331" s="43"/>
      <c r="M1331" s="48" t="s">
        <v>1604</v>
      </c>
      <c r="N1331" s="48">
        <v>17088569772</v>
      </c>
      <c r="O1331" s="48">
        <v>17088568980</v>
      </c>
      <c r="P1331" s="48" t="s">
        <v>125</v>
      </c>
      <c r="Q1331" s="49" t="s">
        <v>1604</v>
      </c>
      <c r="R1331" s="49">
        <v>17083128966</v>
      </c>
      <c r="S1331" s="49">
        <v>17083125254</v>
      </c>
      <c r="T1331" s="49" t="s">
        <v>125</v>
      </c>
      <c r="U1331" s="50" t="s">
        <v>1604</v>
      </c>
      <c r="V1331" s="50">
        <v>17083128966</v>
      </c>
      <c r="W1331" s="50">
        <v>17083125254</v>
      </c>
      <c r="X1331" s="50" t="s">
        <v>125</v>
      </c>
      <c r="Y1331" s="50"/>
    </row>
    <row r="1332" spans="1:25" x14ac:dyDescent="0.25">
      <c r="A1332" s="25" t="s">
        <v>115</v>
      </c>
      <c r="B1332" t="b">
        <v>0</v>
      </c>
      <c r="C1332" s="43" t="s">
        <v>1605</v>
      </c>
      <c r="D1332" s="43">
        <v>328197</v>
      </c>
      <c r="E1332" s="43">
        <v>287607</v>
      </c>
      <c r="F1332" s="43" t="s">
        <v>123</v>
      </c>
      <c r="G1332" s="43" t="b">
        <v>0</v>
      </c>
      <c r="H1332" s="43" t="b">
        <v>0</v>
      </c>
      <c r="I1332" s="43"/>
      <c r="M1332" s="48" t="s">
        <v>1605</v>
      </c>
      <c r="N1332" s="48">
        <v>17088570156</v>
      </c>
      <c r="O1332" s="48">
        <v>17088566804</v>
      </c>
      <c r="P1332" s="48" t="s">
        <v>123</v>
      </c>
      <c r="Q1332" s="49" t="s">
        <v>1605</v>
      </c>
      <c r="R1332" s="49">
        <v>17083127046</v>
      </c>
      <c r="S1332" s="49">
        <v>17083123450</v>
      </c>
      <c r="T1332" s="49" t="s">
        <v>123</v>
      </c>
      <c r="U1332" s="50" t="s">
        <v>1605</v>
      </c>
      <c r="V1332" s="50">
        <v>17083127046</v>
      </c>
      <c r="W1332" s="50">
        <v>17083123450</v>
      </c>
      <c r="X1332" s="50" t="s">
        <v>123</v>
      </c>
      <c r="Y1332" s="50"/>
    </row>
    <row r="1333" spans="1:25" x14ac:dyDescent="0.25">
      <c r="A1333" s="25" t="s">
        <v>115</v>
      </c>
      <c r="B1333" t="b">
        <v>0</v>
      </c>
      <c r="C1333" s="43" t="s">
        <v>1606</v>
      </c>
      <c r="D1333" s="43">
        <v>330245</v>
      </c>
      <c r="E1333" s="43">
        <v>291840</v>
      </c>
      <c r="F1333" s="43" t="s">
        <v>117</v>
      </c>
      <c r="G1333" s="43" t="b">
        <v>0</v>
      </c>
      <c r="H1333" s="43" t="b">
        <v>0</v>
      </c>
      <c r="I1333" s="43"/>
      <c r="M1333" s="48" t="s">
        <v>1606</v>
      </c>
      <c r="N1333" s="48">
        <v>17088571950</v>
      </c>
      <c r="O1333" s="48">
        <v>17088563115</v>
      </c>
      <c r="P1333" s="48" t="s">
        <v>117</v>
      </c>
      <c r="Q1333" s="49" t="s">
        <v>1606</v>
      </c>
      <c r="R1333" s="49">
        <v>17083126149</v>
      </c>
      <c r="S1333" s="49">
        <v>17083123184</v>
      </c>
      <c r="T1333" s="49" t="s">
        <v>117</v>
      </c>
      <c r="U1333" s="50" t="s">
        <v>1606</v>
      </c>
      <c r="V1333" s="50">
        <v>17083126149</v>
      </c>
      <c r="W1333" s="50">
        <v>17083123184</v>
      </c>
      <c r="X1333" s="50" t="s">
        <v>117</v>
      </c>
      <c r="Y1333" s="50"/>
    </row>
    <row r="1334" spans="1:25" x14ac:dyDescent="0.25">
      <c r="A1334" s="25" t="s">
        <v>115</v>
      </c>
      <c r="B1334" t="b">
        <v>0</v>
      </c>
      <c r="C1334" s="43" t="s">
        <v>1607</v>
      </c>
      <c r="D1334" s="43">
        <v>329221</v>
      </c>
      <c r="E1334" s="43">
        <v>288447</v>
      </c>
      <c r="F1334" s="43" t="s">
        <v>119</v>
      </c>
      <c r="G1334" s="43" t="b">
        <v>0</v>
      </c>
      <c r="H1334" s="43" t="b">
        <v>0</v>
      </c>
      <c r="I1334" s="43"/>
      <c r="M1334" s="48" t="s">
        <v>1607</v>
      </c>
      <c r="N1334" s="48">
        <v>17088569902</v>
      </c>
      <c r="O1334" s="48">
        <v>17088563699</v>
      </c>
      <c r="P1334" s="48" t="s">
        <v>119</v>
      </c>
      <c r="Q1334" s="49" t="s">
        <v>1607</v>
      </c>
      <c r="R1334" s="49">
        <v>17083129477</v>
      </c>
      <c r="S1334" s="49">
        <v>17083125392</v>
      </c>
      <c r="T1334" s="49" t="s">
        <v>119</v>
      </c>
      <c r="U1334" s="50" t="s">
        <v>1607</v>
      </c>
      <c r="V1334" s="50">
        <v>17083129477</v>
      </c>
      <c r="W1334" s="50">
        <v>17083125392</v>
      </c>
      <c r="X1334" s="50" t="s">
        <v>119</v>
      </c>
      <c r="Y1334" s="50"/>
    </row>
    <row r="1335" spans="1:25" x14ac:dyDescent="0.25">
      <c r="A1335" s="25" t="s">
        <v>115</v>
      </c>
      <c r="B1335" t="b">
        <v>0</v>
      </c>
      <c r="C1335" s="43" t="s">
        <v>1608</v>
      </c>
      <c r="D1335" s="43">
        <v>331269</v>
      </c>
      <c r="E1335" s="43">
        <v>289975</v>
      </c>
      <c r="F1335" s="43" t="s">
        <v>125</v>
      </c>
      <c r="G1335" s="43" t="b">
        <v>1</v>
      </c>
      <c r="H1335" s="43" t="b">
        <v>0</v>
      </c>
      <c r="I1335" s="43" t="s">
        <v>126</v>
      </c>
      <c r="M1335" s="48" t="s">
        <v>1608</v>
      </c>
      <c r="N1335" s="48">
        <v>17088572332</v>
      </c>
      <c r="O1335" s="48">
        <v>17088565908</v>
      </c>
      <c r="P1335" s="48" t="s">
        <v>125</v>
      </c>
      <c r="Q1335" s="49" t="s">
        <v>1608</v>
      </c>
      <c r="R1335" s="49">
        <v>17083127174</v>
      </c>
      <c r="S1335" s="49">
        <v>17083122182</v>
      </c>
      <c r="T1335" s="49" t="s">
        <v>125</v>
      </c>
      <c r="U1335" s="50" t="s">
        <v>1608</v>
      </c>
      <c r="V1335" s="50">
        <v>17083127174</v>
      </c>
      <c r="W1335" s="50">
        <v>17083122182</v>
      </c>
      <c r="X1335" s="50" t="s">
        <v>125</v>
      </c>
      <c r="Y1335" s="50">
        <v>120491</v>
      </c>
    </row>
    <row r="1336" spans="1:25" x14ac:dyDescent="0.25">
      <c r="A1336" s="25" t="s">
        <v>115</v>
      </c>
      <c r="B1336" t="b">
        <v>0</v>
      </c>
      <c r="C1336" s="43" t="s">
        <v>1609</v>
      </c>
      <c r="D1336" s="43">
        <v>327941</v>
      </c>
      <c r="E1336" s="43">
        <v>288663</v>
      </c>
      <c r="F1336" s="43" t="s">
        <v>119</v>
      </c>
      <c r="G1336" s="43" t="b">
        <v>0</v>
      </c>
      <c r="H1336" s="43" t="b">
        <v>0</v>
      </c>
      <c r="I1336" s="43"/>
      <c r="M1336" s="48" t="s">
        <v>1609</v>
      </c>
      <c r="N1336" s="48">
        <v>17088572012</v>
      </c>
      <c r="O1336" s="48">
        <v>17088567892</v>
      </c>
      <c r="P1336" s="48" t="s">
        <v>119</v>
      </c>
      <c r="Q1336" s="49" t="s">
        <v>1609</v>
      </c>
      <c r="R1336" s="49">
        <v>17083126854</v>
      </c>
      <c r="S1336" s="49">
        <v>17083124358</v>
      </c>
      <c r="T1336" s="49" t="s">
        <v>119</v>
      </c>
      <c r="U1336" s="50" t="s">
        <v>1609</v>
      </c>
      <c r="V1336" s="50">
        <v>17083126854</v>
      </c>
      <c r="W1336" s="50">
        <v>17083124358</v>
      </c>
      <c r="X1336" s="50" t="s">
        <v>119</v>
      </c>
      <c r="Y1336" s="50"/>
    </row>
    <row r="1337" spans="1:25" x14ac:dyDescent="0.25">
      <c r="A1337" s="25" t="s">
        <v>115</v>
      </c>
      <c r="B1337" t="b">
        <v>0</v>
      </c>
      <c r="C1337" s="43" t="s">
        <v>1610</v>
      </c>
      <c r="D1337" s="43">
        <v>329989</v>
      </c>
      <c r="E1337" s="43">
        <v>287575</v>
      </c>
      <c r="F1337" s="43" t="s">
        <v>123</v>
      </c>
      <c r="G1337" s="43" t="b">
        <v>0</v>
      </c>
      <c r="H1337" s="43" t="b">
        <v>0</v>
      </c>
      <c r="I1337" s="43" t="s">
        <v>134</v>
      </c>
      <c r="M1337" s="48" t="s">
        <v>1610</v>
      </c>
      <c r="N1337" s="48">
        <v>17088570028</v>
      </c>
      <c r="O1337" s="48">
        <v>17088567188</v>
      </c>
      <c r="P1337" s="48" t="s">
        <v>123</v>
      </c>
      <c r="Q1337" s="49" t="s">
        <v>1610</v>
      </c>
      <c r="R1337" s="49">
        <v>17083129606</v>
      </c>
      <c r="S1337" s="49">
        <v>17083123462</v>
      </c>
      <c r="T1337" s="49" t="s">
        <v>123</v>
      </c>
      <c r="U1337" s="50" t="s">
        <v>1610</v>
      </c>
      <c r="V1337" s="50">
        <v>17083129606</v>
      </c>
      <c r="W1337" s="50">
        <v>17083123462</v>
      </c>
      <c r="X1337" s="50" t="s">
        <v>123</v>
      </c>
      <c r="Y1337" s="50"/>
    </row>
    <row r="1338" spans="1:25" x14ac:dyDescent="0.25">
      <c r="A1338" s="25" t="s">
        <v>115</v>
      </c>
      <c r="B1338" t="b">
        <v>0</v>
      </c>
      <c r="C1338" s="43" t="s">
        <v>1611</v>
      </c>
      <c r="D1338" s="43">
        <v>328965</v>
      </c>
      <c r="E1338" s="43">
        <v>289943</v>
      </c>
      <c r="F1338" s="43" t="s">
        <v>132</v>
      </c>
      <c r="G1338" s="43" t="b">
        <v>0</v>
      </c>
      <c r="H1338" s="43" t="b">
        <v>0</v>
      </c>
      <c r="I1338" s="43"/>
      <c r="M1338" s="48" t="s">
        <v>1611</v>
      </c>
      <c r="N1338" s="48">
        <v>17088570284</v>
      </c>
      <c r="O1338" s="48">
        <v>17088567348</v>
      </c>
      <c r="P1338" s="48" t="s">
        <v>132</v>
      </c>
      <c r="Q1338" s="49" t="s">
        <v>1611</v>
      </c>
      <c r="R1338" s="49">
        <v>17083128198</v>
      </c>
      <c r="S1338" s="49">
        <v>17083123910</v>
      </c>
      <c r="T1338" s="49" t="s">
        <v>132</v>
      </c>
      <c r="U1338" s="50" t="s">
        <v>1611</v>
      </c>
      <c r="V1338" s="50">
        <v>17083128198</v>
      </c>
      <c r="W1338" s="50">
        <v>17083123910</v>
      </c>
      <c r="X1338" s="50" t="s">
        <v>132</v>
      </c>
      <c r="Y1338" s="50"/>
    </row>
    <row r="1339" spans="1:25" x14ac:dyDescent="0.25">
      <c r="A1339" s="25" t="s">
        <v>115</v>
      </c>
      <c r="B1339" t="b">
        <v>1</v>
      </c>
      <c r="C1339" s="43" t="s">
        <v>1612</v>
      </c>
      <c r="D1339" s="43">
        <v>331013</v>
      </c>
      <c r="E1339" s="43">
        <v>290359</v>
      </c>
      <c r="F1339" s="43" t="s">
        <v>125</v>
      </c>
      <c r="G1339" s="43" t="b">
        <v>1</v>
      </c>
      <c r="H1339" s="43" t="b">
        <v>0</v>
      </c>
      <c r="I1339" s="43" t="s">
        <v>126</v>
      </c>
      <c r="M1339" s="48" t="s">
        <v>1612</v>
      </c>
      <c r="N1339" s="48">
        <v>17088572716</v>
      </c>
      <c r="O1339" s="48">
        <v>17088568724</v>
      </c>
      <c r="P1339" s="48" t="s">
        <v>125</v>
      </c>
      <c r="Q1339" s="49" t="s">
        <v>1612</v>
      </c>
      <c r="R1339" s="49">
        <v>17083128070</v>
      </c>
      <c r="S1339" s="49">
        <v>17083124998</v>
      </c>
      <c r="T1339" s="49" t="s">
        <v>125</v>
      </c>
      <c r="U1339" s="50" t="s">
        <v>1612</v>
      </c>
      <c r="V1339" s="50">
        <v>17083128070</v>
      </c>
      <c r="W1339" s="50">
        <v>17083124998</v>
      </c>
      <c r="X1339" s="50" t="s">
        <v>125</v>
      </c>
      <c r="Y1339" s="50">
        <v>120513</v>
      </c>
    </row>
    <row r="1340" spans="1:25" x14ac:dyDescent="0.25">
      <c r="A1340" s="25" t="s">
        <v>115</v>
      </c>
      <c r="B1340" t="b">
        <v>0</v>
      </c>
      <c r="C1340" s="43" t="s">
        <v>1613</v>
      </c>
      <c r="D1340" s="43">
        <v>328453</v>
      </c>
      <c r="E1340" s="43">
        <v>287215</v>
      </c>
      <c r="F1340" s="43" t="s">
        <v>123</v>
      </c>
      <c r="G1340" s="43" t="b">
        <v>0</v>
      </c>
      <c r="H1340" s="43" t="b">
        <v>0</v>
      </c>
      <c r="I1340" s="43"/>
      <c r="M1340" s="48" t="s">
        <v>1613</v>
      </c>
      <c r="N1340" s="48">
        <v>17088571566</v>
      </c>
      <c r="O1340" s="48">
        <v>17088564491</v>
      </c>
      <c r="P1340" s="48" t="s">
        <v>123</v>
      </c>
      <c r="Q1340" s="49" t="s">
        <v>1613</v>
      </c>
      <c r="R1340" s="49">
        <v>17083126853</v>
      </c>
      <c r="S1340" s="49">
        <v>17083124048</v>
      </c>
      <c r="T1340" s="49" t="s">
        <v>123</v>
      </c>
      <c r="U1340" s="50" t="s">
        <v>1613</v>
      </c>
      <c r="V1340" s="50">
        <v>17083126853</v>
      </c>
      <c r="W1340" s="50">
        <v>17083124048</v>
      </c>
      <c r="X1340" s="50" t="s">
        <v>123</v>
      </c>
      <c r="Y1340" s="50"/>
    </row>
    <row r="1341" spans="1:25" x14ac:dyDescent="0.25">
      <c r="A1341" s="25" t="s">
        <v>115</v>
      </c>
      <c r="B1341" t="b">
        <v>0</v>
      </c>
      <c r="C1341" s="43" t="s">
        <v>1614</v>
      </c>
      <c r="D1341" s="43">
        <v>330501</v>
      </c>
      <c r="E1341" s="43">
        <v>290239</v>
      </c>
      <c r="F1341" s="43" t="s">
        <v>132</v>
      </c>
      <c r="G1341" s="43" t="b">
        <v>0</v>
      </c>
      <c r="H1341" s="43" t="b">
        <v>0</v>
      </c>
      <c r="I1341" s="43"/>
      <c r="M1341" s="48" t="s">
        <v>1614</v>
      </c>
      <c r="N1341" s="48">
        <v>17088569710</v>
      </c>
      <c r="O1341" s="48">
        <v>17088562931</v>
      </c>
      <c r="P1341" s="48" t="s">
        <v>132</v>
      </c>
      <c r="Q1341" s="49" t="s">
        <v>1614</v>
      </c>
      <c r="R1341" s="49">
        <v>17083128005</v>
      </c>
      <c r="S1341" s="49">
        <v>17083122320</v>
      </c>
      <c r="T1341" s="49" t="s">
        <v>132</v>
      </c>
      <c r="U1341" s="50" t="s">
        <v>1614</v>
      </c>
      <c r="V1341" s="50">
        <v>17083128005</v>
      </c>
      <c r="W1341" s="50">
        <v>17083122320</v>
      </c>
      <c r="X1341" s="50" t="s">
        <v>132</v>
      </c>
      <c r="Y1341" s="50"/>
    </row>
    <row r="1342" spans="1:25" x14ac:dyDescent="0.25">
      <c r="A1342" s="25" t="s">
        <v>115</v>
      </c>
      <c r="B1342" t="b">
        <v>0</v>
      </c>
      <c r="C1342" s="43" t="s">
        <v>1615</v>
      </c>
      <c r="D1342" s="43">
        <v>329477</v>
      </c>
      <c r="E1342" s="43">
        <v>288375</v>
      </c>
      <c r="F1342" s="43" t="s">
        <v>123</v>
      </c>
      <c r="G1342" s="43" t="b">
        <v>0</v>
      </c>
      <c r="H1342" s="43" t="b">
        <v>0</v>
      </c>
      <c r="I1342" s="43"/>
      <c r="M1342" s="48" t="s">
        <v>1615</v>
      </c>
      <c r="N1342" s="48">
        <v>17088572844</v>
      </c>
      <c r="O1342" s="48">
        <v>17088566036</v>
      </c>
      <c r="P1342" s="48" t="s">
        <v>123</v>
      </c>
      <c r="Q1342" s="49" t="s">
        <v>1615</v>
      </c>
      <c r="R1342" s="49">
        <v>17083126150</v>
      </c>
      <c r="S1342" s="49">
        <v>17083122682</v>
      </c>
      <c r="T1342" s="49" t="s">
        <v>123</v>
      </c>
      <c r="U1342" s="50" t="s">
        <v>1615</v>
      </c>
      <c r="V1342" s="50">
        <v>17083126150</v>
      </c>
      <c r="W1342" s="50">
        <v>17083122682</v>
      </c>
      <c r="X1342" s="50" t="s">
        <v>123</v>
      </c>
      <c r="Y1342" s="50"/>
    </row>
    <row r="1343" spans="1:25" x14ac:dyDescent="0.25">
      <c r="A1343" s="25" t="s">
        <v>115</v>
      </c>
      <c r="B1343" t="b">
        <v>0</v>
      </c>
      <c r="C1343" s="43" t="s">
        <v>1616</v>
      </c>
      <c r="D1343" s="43">
        <v>331525</v>
      </c>
      <c r="E1343" s="43">
        <v>290199</v>
      </c>
      <c r="F1343" s="43" t="s">
        <v>132</v>
      </c>
      <c r="G1343" s="43" t="b">
        <v>0</v>
      </c>
      <c r="H1343" s="43" t="b">
        <v>0</v>
      </c>
      <c r="I1343" s="43"/>
      <c r="M1343" s="48" t="s">
        <v>1616</v>
      </c>
      <c r="N1343" s="48">
        <v>17088569452</v>
      </c>
      <c r="O1343" s="48">
        <v>17088567764</v>
      </c>
      <c r="P1343" s="48" t="s">
        <v>132</v>
      </c>
      <c r="Q1343" s="49" t="s">
        <v>1616</v>
      </c>
      <c r="R1343" s="49">
        <v>17083126662</v>
      </c>
      <c r="S1343" s="49">
        <v>17083124038</v>
      </c>
      <c r="T1343" s="49" t="s">
        <v>132</v>
      </c>
      <c r="U1343" s="50" t="s">
        <v>1616</v>
      </c>
      <c r="V1343" s="50">
        <v>17083126662</v>
      </c>
      <c r="W1343" s="50">
        <v>17083124038</v>
      </c>
      <c r="X1343" s="50" t="s">
        <v>132</v>
      </c>
      <c r="Y1343" s="50"/>
    </row>
    <row r="1344" spans="1:25" x14ac:dyDescent="0.25">
      <c r="A1344" s="25" t="s">
        <v>115</v>
      </c>
      <c r="B1344" t="b">
        <v>0</v>
      </c>
      <c r="C1344" s="43" t="s">
        <v>1617</v>
      </c>
      <c r="D1344" s="43">
        <v>327813</v>
      </c>
      <c r="E1344" s="43">
        <v>290235</v>
      </c>
      <c r="F1344" s="43" t="s">
        <v>123</v>
      </c>
      <c r="G1344" s="43" t="b">
        <v>1</v>
      </c>
      <c r="H1344" s="43" t="b">
        <v>0</v>
      </c>
      <c r="I1344" s="43" t="s">
        <v>134</v>
      </c>
      <c r="M1344" s="48" t="s">
        <v>1617</v>
      </c>
      <c r="N1344" s="48">
        <v>17088570530</v>
      </c>
      <c r="O1344" s="48">
        <v>17088566650</v>
      </c>
      <c r="P1344" s="48" t="s">
        <v>123</v>
      </c>
      <c r="Q1344" s="49" t="s">
        <v>1617</v>
      </c>
      <c r="R1344" s="49">
        <v>17083126070</v>
      </c>
      <c r="S1344" s="49">
        <v>17083123977</v>
      </c>
      <c r="T1344" s="49" t="s">
        <v>123</v>
      </c>
      <c r="U1344" s="50" t="s">
        <v>1617</v>
      </c>
      <c r="V1344" s="50">
        <v>17083126070</v>
      </c>
      <c r="W1344" s="50">
        <v>17083123977</v>
      </c>
      <c r="X1344" s="50" t="s">
        <v>123</v>
      </c>
      <c r="Y1344" s="50">
        <v>150078</v>
      </c>
    </row>
    <row r="1345" spans="1:25" x14ac:dyDescent="0.25">
      <c r="A1345" s="25" t="s">
        <v>115</v>
      </c>
      <c r="B1345" t="b">
        <v>0</v>
      </c>
      <c r="C1345" s="43" t="s">
        <v>1618</v>
      </c>
      <c r="D1345" s="43">
        <v>329861</v>
      </c>
      <c r="E1345" s="43">
        <v>288895</v>
      </c>
      <c r="F1345" s="43" t="s">
        <v>123</v>
      </c>
      <c r="G1345" s="43" t="b">
        <v>0</v>
      </c>
      <c r="H1345" s="43" t="b">
        <v>0</v>
      </c>
      <c r="I1345" s="43" t="s">
        <v>134</v>
      </c>
      <c r="M1345" s="48" t="s">
        <v>1618</v>
      </c>
      <c r="N1345" s="48">
        <v>17088570798</v>
      </c>
      <c r="O1345" s="48">
        <v>17088563443</v>
      </c>
      <c r="P1345" s="48" t="s">
        <v>123</v>
      </c>
      <c r="Q1345" s="49" t="s">
        <v>1618</v>
      </c>
      <c r="R1345" s="49">
        <v>17083128133</v>
      </c>
      <c r="S1345" s="49">
        <v>17083125520</v>
      </c>
      <c r="T1345" s="49" t="s">
        <v>123</v>
      </c>
      <c r="U1345" s="50" t="s">
        <v>1618</v>
      </c>
      <c r="V1345" s="50">
        <v>17083128133</v>
      </c>
      <c r="W1345" s="50">
        <v>17083125520</v>
      </c>
      <c r="X1345" s="50" t="s">
        <v>123</v>
      </c>
      <c r="Y1345" s="50"/>
    </row>
    <row r="1346" spans="1:25" x14ac:dyDescent="0.25">
      <c r="A1346" s="25" t="s">
        <v>115</v>
      </c>
      <c r="B1346" t="b">
        <v>0</v>
      </c>
      <c r="C1346" s="43" t="s">
        <v>1619</v>
      </c>
      <c r="D1346" s="43">
        <v>328837</v>
      </c>
      <c r="E1346" s="43">
        <v>287951</v>
      </c>
      <c r="F1346" s="43" t="s">
        <v>119</v>
      </c>
      <c r="G1346" s="43" t="b">
        <v>0</v>
      </c>
      <c r="H1346" s="43" t="b">
        <v>0</v>
      </c>
      <c r="I1346" s="43"/>
      <c r="J1346" s="45" t="s">
        <v>1619</v>
      </c>
      <c r="K1346" s="46">
        <v>287951</v>
      </c>
      <c r="L1346" s="47">
        <v>990000673</v>
      </c>
      <c r="M1346" s="48" t="s">
        <v>1619</v>
      </c>
      <c r="N1346" s="48">
        <v>17088572705</v>
      </c>
      <c r="O1346" s="48">
        <v>17088567872</v>
      </c>
      <c r="P1346" s="48" t="s">
        <v>119</v>
      </c>
      <c r="Q1346" s="49" t="s">
        <v>1619</v>
      </c>
      <c r="R1346" s="49">
        <v>17083128906</v>
      </c>
      <c r="S1346" s="49">
        <v>17083123420</v>
      </c>
      <c r="T1346" s="49" t="s">
        <v>119</v>
      </c>
      <c r="U1346" s="50" t="s">
        <v>1619</v>
      </c>
      <c r="V1346" s="50">
        <v>17083128906</v>
      </c>
      <c r="W1346" s="50">
        <v>17083123420</v>
      </c>
      <c r="X1346" s="50" t="s">
        <v>119</v>
      </c>
      <c r="Y1346" s="50"/>
    </row>
    <row r="1347" spans="1:25" x14ac:dyDescent="0.25">
      <c r="A1347" s="25" t="s">
        <v>115</v>
      </c>
      <c r="B1347" t="b">
        <v>0</v>
      </c>
      <c r="C1347" s="43" t="s">
        <v>1620</v>
      </c>
      <c r="D1347" s="43">
        <v>330885</v>
      </c>
      <c r="E1347" s="43">
        <v>288535</v>
      </c>
      <c r="F1347" s="43" t="s">
        <v>119</v>
      </c>
      <c r="G1347" s="43" t="b">
        <v>0</v>
      </c>
      <c r="H1347" s="43" t="b">
        <v>0</v>
      </c>
      <c r="I1347" s="43"/>
      <c r="M1347" s="48" t="s">
        <v>1620</v>
      </c>
      <c r="N1347" s="48">
        <v>17088572588</v>
      </c>
      <c r="O1347" s="48">
        <v>17088565812</v>
      </c>
      <c r="P1347" s="48" t="s">
        <v>119</v>
      </c>
      <c r="Q1347" s="49" t="s">
        <v>1620</v>
      </c>
      <c r="R1347" s="49">
        <v>17083127558</v>
      </c>
      <c r="S1347" s="49">
        <v>17083122374</v>
      </c>
      <c r="T1347" s="49" t="s">
        <v>119</v>
      </c>
      <c r="U1347" s="50" t="s">
        <v>1620</v>
      </c>
      <c r="V1347" s="50">
        <v>17083127558</v>
      </c>
      <c r="W1347" s="50">
        <v>17083122374</v>
      </c>
      <c r="X1347" s="50" t="s">
        <v>119</v>
      </c>
      <c r="Y1347" s="50"/>
    </row>
    <row r="1348" spans="1:25" x14ac:dyDescent="0.25">
      <c r="A1348" s="25" t="s">
        <v>115</v>
      </c>
      <c r="B1348" t="b">
        <v>0</v>
      </c>
      <c r="C1348" s="43" t="s">
        <v>1621</v>
      </c>
      <c r="D1348" s="43">
        <v>328325</v>
      </c>
      <c r="E1348" s="43">
        <v>292640</v>
      </c>
      <c r="F1348" s="43" t="s">
        <v>132</v>
      </c>
      <c r="G1348" s="43" t="b">
        <v>0</v>
      </c>
      <c r="H1348" s="43" t="b">
        <v>0</v>
      </c>
      <c r="I1348" s="43"/>
      <c r="M1348" s="48" t="s">
        <v>1621</v>
      </c>
      <c r="N1348" s="48">
        <v>17088569838</v>
      </c>
      <c r="O1348" s="48">
        <v>17088564551</v>
      </c>
      <c r="P1348" s="48" t="s">
        <v>132</v>
      </c>
      <c r="Q1348" s="49" t="s">
        <v>1621</v>
      </c>
      <c r="R1348" s="49">
        <v>17083128034</v>
      </c>
      <c r="S1348" s="49">
        <v>17083124280</v>
      </c>
      <c r="T1348" s="49" t="s">
        <v>132</v>
      </c>
      <c r="U1348" s="50" t="s">
        <v>1621</v>
      </c>
      <c r="V1348" s="50">
        <v>17083128034</v>
      </c>
      <c r="W1348" s="50">
        <v>17083124280</v>
      </c>
      <c r="X1348" s="50" t="s">
        <v>132</v>
      </c>
      <c r="Y1348" s="50"/>
    </row>
    <row r="1349" spans="1:25" x14ac:dyDescent="0.25">
      <c r="A1349" s="25" t="s">
        <v>115</v>
      </c>
      <c r="B1349" t="b">
        <v>0</v>
      </c>
      <c r="C1349" s="43" t="s">
        <v>1622</v>
      </c>
      <c r="D1349" s="43">
        <v>329349</v>
      </c>
      <c r="E1349" s="43">
        <v>286799</v>
      </c>
      <c r="F1349" s="43" t="s">
        <v>119</v>
      </c>
      <c r="G1349" s="43" t="b">
        <v>0</v>
      </c>
      <c r="H1349" s="43" t="b">
        <v>0</v>
      </c>
      <c r="I1349" s="43"/>
      <c r="M1349" s="48" t="s">
        <v>1622</v>
      </c>
      <c r="N1349" s="48">
        <v>17088570604</v>
      </c>
      <c r="O1349" s="48">
        <v>17088566364</v>
      </c>
      <c r="P1349" s="48" t="s">
        <v>119</v>
      </c>
      <c r="Q1349" s="49" t="s">
        <v>1622</v>
      </c>
      <c r="R1349" s="49">
        <v>17083127110</v>
      </c>
      <c r="S1349" s="49">
        <v>17083121782</v>
      </c>
      <c r="T1349" s="49" t="s">
        <v>119</v>
      </c>
      <c r="U1349" s="50" t="s">
        <v>1622</v>
      </c>
      <c r="V1349" s="50">
        <v>17083127110</v>
      </c>
      <c r="W1349" s="50">
        <v>17083121782</v>
      </c>
      <c r="X1349" s="50" t="s">
        <v>119</v>
      </c>
      <c r="Y1349" s="50"/>
    </row>
    <row r="1350" spans="1:25" x14ac:dyDescent="0.25">
      <c r="A1350" s="25" t="s">
        <v>115</v>
      </c>
      <c r="B1350" t="b">
        <v>0</v>
      </c>
      <c r="C1350" s="43" t="s">
        <v>1623</v>
      </c>
      <c r="D1350" s="43">
        <v>331397</v>
      </c>
      <c r="E1350" s="43">
        <v>293520</v>
      </c>
      <c r="F1350" s="43" t="s">
        <v>125</v>
      </c>
      <c r="G1350" s="43" t="b">
        <v>0</v>
      </c>
      <c r="H1350" s="43" t="b">
        <v>0</v>
      </c>
      <c r="I1350" s="43"/>
      <c r="M1350" s="48" t="s">
        <v>1623</v>
      </c>
      <c r="N1350" s="48">
        <v>17088569374</v>
      </c>
      <c r="O1350" s="48">
        <v>17088563547</v>
      </c>
      <c r="P1350" s="48" t="s">
        <v>125</v>
      </c>
      <c r="Q1350" s="49" t="s">
        <v>1623</v>
      </c>
      <c r="R1350" s="49">
        <v>17083129570</v>
      </c>
      <c r="S1350" s="49">
        <v>17083124264</v>
      </c>
      <c r="T1350" s="49" t="s">
        <v>125</v>
      </c>
      <c r="U1350" s="50" t="s">
        <v>1623</v>
      </c>
      <c r="V1350" s="50">
        <v>17083129570</v>
      </c>
      <c r="W1350" s="50">
        <v>17083124264</v>
      </c>
      <c r="X1350" s="50" t="s">
        <v>125</v>
      </c>
      <c r="Y1350" s="50"/>
    </row>
    <row r="1351" spans="1:25" x14ac:dyDescent="0.25">
      <c r="A1351" s="25" t="s">
        <v>115</v>
      </c>
      <c r="B1351" t="b">
        <v>0</v>
      </c>
      <c r="C1351" s="43" t="s">
        <v>1624</v>
      </c>
      <c r="D1351" s="43">
        <v>328069</v>
      </c>
      <c r="E1351" s="43">
        <v>292112</v>
      </c>
      <c r="F1351" s="43" t="s">
        <v>132</v>
      </c>
      <c r="G1351" s="43" t="b">
        <v>0</v>
      </c>
      <c r="H1351" s="43" t="b">
        <v>0</v>
      </c>
      <c r="I1351" s="43"/>
      <c r="M1351" s="48" t="s">
        <v>1624</v>
      </c>
      <c r="N1351" s="48">
        <v>17088573166</v>
      </c>
      <c r="O1351" s="48">
        <v>17088562011</v>
      </c>
      <c r="P1351" s="48" t="s">
        <v>132</v>
      </c>
      <c r="Q1351" s="49" t="s">
        <v>1624</v>
      </c>
      <c r="R1351" s="49">
        <v>17083125986</v>
      </c>
      <c r="S1351" s="49">
        <v>17083121960</v>
      </c>
      <c r="T1351" s="49" t="s">
        <v>132</v>
      </c>
      <c r="U1351" s="50" t="s">
        <v>1624</v>
      </c>
      <c r="V1351" s="50">
        <v>17083125986</v>
      </c>
      <c r="W1351" s="50">
        <v>17083121960</v>
      </c>
      <c r="X1351" s="50" t="s">
        <v>132</v>
      </c>
      <c r="Y1351" s="50"/>
    </row>
    <row r="1352" spans="1:25" x14ac:dyDescent="0.25">
      <c r="A1352" s="25" t="s">
        <v>115</v>
      </c>
      <c r="B1352" t="b">
        <v>0</v>
      </c>
      <c r="C1352" s="43" t="s">
        <v>1625</v>
      </c>
      <c r="D1352" s="43">
        <v>330117</v>
      </c>
      <c r="E1352" s="43">
        <v>293024</v>
      </c>
      <c r="F1352" s="43" t="s">
        <v>132</v>
      </c>
      <c r="G1352" s="43" t="b">
        <v>0</v>
      </c>
      <c r="H1352" s="43" t="b">
        <v>0</v>
      </c>
      <c r="I1352" s="43"/>
      <c r="M1352" s="48" t="s">
        <v>1625</v>
      </c>
      <c r="N1352" s="48">
        <v>17088571118</v>
      </c>
      <c r="O1352" s="48">
        <v>17088561479</v>
      </c>
      <c r="P1352" s="48" t="s">
        <v>132</v>
      </c>
      <c r="Q1352" s="49" t="s">
        <v>1625</v>
      </c>
      <c r="R1352" s="49">
        <v>17083129698</v>
      </c>
      <c r="S1352" s="49">
        <v>17083122744</v>
      </c>
      <c r="T1352" s="49" t="s">
        <v>132</v>
      </c>
      <c r="U1352" s="50" t="s">
        <v>1625</v>
      </c>
      <c r="V1352" s="50">
        <v>17083129698</v>
      </c>
      <c r="W1352" s="50">
        <v>17083122744</v>
      </c>
      <c r="X1352" s="50" t="s">
        <v>132</v>
      </c>
      <c r="Y1352" s="50"/>
    </row>
    <row r="1353" spans="1:25" x14ac:dyDescent="0.25">
      <c r="A1353" s="25" t="s">
        <v>115</v>
      </c>
      <c r="B1353" t="b">
        <v>0</v>
      </c>
      <c r="C1353" s="43" t="s">
        <v>1626</v>
      </c>
      <c r="D1353" s="43">
        <v>329093</v>
      </c>
      <c r="E1353" s="43">
        <v>292944</v>
      </c>
      <c r="F1353" s="43" t="s">
        <v>123</v>
      </c>
      <c r="G1353" s="43" t="b">
        <v>0</v>
      </c>
      <c r="H1353" s="43" t="b">
        <v>0</v>
      </c>
      <c r="I1353" s="43"/>
      <c r="M1353" s="48" t="s">
        <v>1626</v>
      </c>
      <c r="N1353" s="48">
        <v>17088572142</v>
      </c>
      <c r="O1353" s="48">
        <v>17088561755</v>
      </c>
      <c r="P1353" s="48" t="s">
        <v>123</v>
      </c>
      <c r="Q1353" s="49" t="s">
        <v>1626</v>
      </c>
      <c r="R1353" s="49">
        <v>17083127650</v>
      </c>
      <c r="S1353" s="49">
        <v>17083121704</v>
      </c>
      <c r="T1353" s="49" t="s">
        <v>123</v>
      </c>
      <c r="U1353" s="50" t="s">
        <v>1626</v>
      </c>
      <c r="V1353" s="50">
        <v>17083127650</v>
      </c>
      <c r="W1353" s="50">
        <v>17083121704</v>
      </c>
      <c r="X1353" s="50" t="s">
        <v>123</v>
      </c>
      <c r="Y1353" s="50"/>
    </row>
    <row r="1354" spans="1:25" x14ac:dyDescent="0.25">
      <c r="A1354" s="25" t="s">
        <v>115</v>
      </c>
      <c r="B1354" t="b">
        <v>1</v>
      </c>
      <c r="C1354" s="43" t="s">
        <v>1627</v>
      </c>
      <c r="D1354" s="43">
        <v>331141</v>
      </c>
      <c r="E1354" s="43">
        <v>287791</v>
      </c>
      <c r="F1354" s="43" t="s">
        <v>125</v>
      </c>
      <c r="G1354" s="43" t="b">
        <v>1</v>
      </c>
      <c r="H1354" s="43" t="b">
        <v>0</v>
      </c>
      <c r="I1354" s="43" t="s">
        <v>126</v>
      </c>
      <c r="M1354" s="48" t="s">
        <v>1627</v>
      </c>
      <c r="N1354" s="48">
        <v>17088571628</v>
      </c>
      <c r="O1354" s="48">
        <v>17088568988</v>
      </c>
      <c r="P1354" s="48" t="s">
        <v>125</v>
      </c>
      <c r="Q1354" s="49" t="s">
        <v>1627</v>
      </c>
      <c r="R1354" s="49">
        <v>17083128134</v>
      </c>
      <c r="S1354" s="49">
        <v>17083123382</v>
      </c>
      <c r="T1354" s="49" t="s">
        <v>125</v>
      </c>
      <c r="U1354" s="50" t="s">
        <v>1627</v>
      </c>
      <c r="V1354" s="50">
        <v>17083128134</v>
      </c>
      <c r="W1354" s="50">
        <v>17083123382</v>
      </c>
      <c r="X1354" s="50" t="s">
        <v>125</v>
      </c>
      <c r="Y1354" s="50">
        <v>120510</v>
      </c>
    </row>
    <row r="1355" spans="1:25" x14ac:dyDescent="0.25">
      <c r="A1355" s="25" t="s">
        <v>115</v>
      </c>
      <c r="B1355" t="b">
        <v>0</v>
      </c>
      <c r="C1355" s="43" t="s">
        <v>1628</v>
      </c>
      <c r="D1355" s="43">
        <v>328581</v>
      </c>
      <c r="E1355" s="43">
        <v>286895</v>
      </c>
      <c r="F1355" s="43" t="s">
        <v>125</v>
      </c>
      <c r="G1355" s="43" t="b">
        <v>0</v>
      </c>
      <c r="H1355" s="43" t="b">
        <v>0</v>
      </c>
      <c r="I1355" s="43"/>
      <c r="M1355" s="48" t="s">
        <v>1628</v>
      </c>
      <c r="N1355" s="48">
        <v>17088569884</v>
      </c>
      <c r="O1355" s="48">
        <v>17088567580</v>
      </c>
      <c r="P1355" s="48" t="s">
        <v>125</v>
      </c>
      <c r="Q1355" s="49" t="s">
        <v>1628</v>
      </c>
      <c r="R1355" s="49">
        <v>17083128518</v>
      </c>
      <c r="S1355" s="49">
        <v>17083121974</v>
      </c>
      <c r="T1355" s="49" t="s">
        <v>125</v>
      </c>
      <c r="U1355" s="50" t="s">
        <v>1628</v>
      </c>
      <c r="V1355" s="50">
        <v>17083128518</v>
      </c>
      <c r="W1355" s="50">
        <v>17083121974</v>
      </c>
      <c r="X1355" s="50" t="s">
        <v>125</v>
      </c>
      <c r="Y1355" s="50"/>
    </row>
    <row r="1356" spans="1:25" x14ac:dyDescent="0.25">
      <c r="A1356" s="25" t="s">
        <v>115</v>
      </c>
      <c r="B1356" t="b">
        <v>0</v>
      </c>
      <c r="C1356" s="43" t="s">
        <v>1629</v>
      </c>
      <c r="D1356" s="43">
        <v>330629</v>
      </c>
      <c r="E1356" s="43">
        <v>290191</v>
      </c>
      <c r="F1356" s="43" t="s">
        <v>119</v>
      </c>
      <c r="G1356" s="43" t="b">
        <v>0</v>
      </c>
      <c r="H1356" s="43" t="b">
        <v>0</v>
      </c>
      <c r="I1356" s="43"/>
      <c r="M1356" s="48" t="s">
        <v>1629</v>
      </c>
      <c r="N1356" s="48">
        <v>17088569836</v>
      </c>
      <c r="O1356" s="48">
        <v>17088568924</v>
      </c>
      <c r="P1356" s="48" t="s">
        <v>119</v>
      </c>
      <c r="Q1356" s="49" t="s">
        <v>1629</v>
      </c>
      <c r="R1356" s="49">
        <v>17083129670</v>
      </c>
      <c r="S1356" s="49">
        <v>17083124342</v>
      </c>
      <c r="T1356" s="49" t="s">
        <v>119</v>
      </c>
      <c r="U1356" s="50" t="s">
        <v>1629</v>
      </c>
      <c r="V1356" s="50">
        <v>17083129670</v>
      </c>
      <c r="W1356" s="50">
        <v>17083124342</v>
      </c>
      <c r="X1356" s="50" t="s">
        <v>119</v>
      </c>
      <c r="Y1356" s="50"/>
    </row>
    <row r="1357" spans="1:25" x14ac:dyDescent="0.25">
      <c r="A1357" s="25" t="s">
        <v>115</v>
      </c>
      <c r="B1357" t="b">
        <v>0</v>
      </c>
      <c r="C1357" s="43" t="s">
        <v>1630</v>
      </c>
      <c r="D1357" s="43">
        <v>329605</v>
      </c>
      <c r="E1357" s="43">
        <v>291936</v>
      </c>
      <c r="F1357" s="43" t="s">
        <v>123</v>
      </c>
      <c r="G1357" s="43" t="b">
        <v>1</v>
      </c>
      <c r="H1357" s="43" t="b">
        <v>0</v>
      </c>
      <c r="I1357" s="43" t="s">
        <v>134</v>
      </c>
      <c r="M1357" s="48" t="s">
        <v>1630</v>
      </c>
      <c r="N1357" s="48">
        <v>17088572574</v>
      </c>
      <c r="O1357" s="48">
        <v>17088563079</v>
      </c>
      <c r="P1357" s="48" t="s">
        <v>123</v>
      </c>
      <c r="Q1357" s="49" t="s">
        <v>1630</v>
      </c>
      <c r="R1357" s="49">
        <v>17083126802</v>
      </c>
      <c r="S1357" s="49">
        <v>17083122136</v>
      </c>
      <c r="T1357" s="49" t="s">
        <v>123</v>
      </c>
      <c r="U1357" s="50" t="s">
        <v>1630</v>
      </c>
      <c r="V1357" s="50">
        <v>17083126802</v>
      </c>
      <c r="W1357" s="50">
        <v>17083122136</v>
      </c>
      <c r="X1357" s="50" t="s">
        <v>123</v>
      </c>
      <c r="Y1357" s="50">
        <v>150164</v>
      </c>
    </row>
    <row r="1358" spans="1:25" x14ac:dyDescent="0.25">
      <c r="A1358" s="25" t="s">
        <v>115</v>
      </c>
      <c r="B1358" t="b">
        <v>0</v>
      </c>
      <c r="C1358" s="43" t="s">
        <v>1631</v>
      </c>
      <c r="D1358" s="43">
        <v>331653</v>
      </c>
      <c r="E1358" s="43">
        <v>288799</v>
      </c>
      <c r="F1358" s="43" t="s">
        <v>123</v>
      </c>
      <c r="G1358" s="43" t="b">
        <v>0</v>
      </c>
      <c r="H1358" s="43" t="b">
        <v>0</v>
      </c>
      <c r="I1358" s="43"/>
      <c r="M1358" s="48" t="s">
        <v>1631</v>
      </c>
      <c r="N1358" s="48">
        <v>17088569508</v>
      </c>
      <c r="O1358" s="48">
        <v>17088568880</v>
      </c>
      <c r="P1358" s="48" t="s">
        <v>123</v>
      </c>
      <c r="Q1358" s="49" t="s">
        <v>1631</v>
      </c>
      <c r="R1358" s="49">
        <v>17083127754</v>
      </c>
      <c r="S1358" s="49">
        <v>17083124674</v>
      </c>
      <c r="T1358" s="49" t="s">
        <v>123</v>
      </c>
      <c r="U1358" s="50" t="s">
        <v>1631</v>
      </c>
      <c r="V1358" s="50">
        <v>17083127754</v>
      </c>
      <c r="W1358" s="50">
        <v>17083124674</v>
      </c>
      <c r="X1358" s="50" t="s">
        <v>123</v>
      </c>
      <c r="Y1358" s="50"/>
    </row>
    <row r="1359" spans="1:25" x14ac:dyDescent="0.25">
      <c r="A1359" s="25" t="s">
        <v>115</v>
      </c>
      <c r="B1359" t="b">
        <v>0</v>
      </c>
      <c r="C1359" s="43" t="s">
        <v>1632</v>
      </c>
      <c r="D1359" s="43">
        <v>327749</v>
      </c>
      <c r="E1359" s="43">
        <v>289935</v>
      </c>
      <c r="F1359" s="43" t="s">
        <v>119</v>
      </c>
      <c r="G1359" s="43" t="b">
        <v>0</v>
      </c>
      <c r="H1359" s="43" t="b">
        <v>0</v>
      </c>
      <c r="I1359" s="43"/>
      <c r="M1359" s="48" t="s">
        <v>1632</v>
      </c>
      <c r="N1359" s="48">
        <v>17088573164</v>
      </c>
      <c r="O1359" s="48">
        <v>17088569180</v>
      </c>
      <c r="P1359" s="48" t="s">
        <v>119</v>
      </c>
      <c r="Q1359" s="49" t="s">
        <v>1632</v>
      </c>
      <c r="R1359" s="49">
        <v>17083127622</v>
      </c>
      <c r="S1359" s="49">
        <v>17083124598</v>
      </c>
      <c r="T1359" s="49" t="s">
        <v>119</v>
      </c>
      <c r="U1359" s="50" t="s">
        <v>1632</v>
      </c>
      <c r="V1359" s="50">
        <v>17083127622</v>
      </c>
      <c r="W1359" s="50">
        <v>17083124598</v>
      </c>
      <c r="X1359" s="50" t="s">
        <v>119</v>
      </c>
      <c r="Y1359" s="50"/>
    </row>
    <row r="1360" spans="1:25" x14ac:dyDescent="0.25">
      <c r="A1360" s="25" t="s">
        <v>115</v>
      </c>
      <c r="B1360" t="b">
        <v>0</v>
      </c>
      <c r="C1360" s="43" t="s">
        <v>1633</v>
      </c>
      <c r="D1360" s="43">
        <v>330821</v>
      </c>
      <c r="E1360" s="43">
        <v>287711</v>
      </c>
      <c r="F1360" s="43" t="s">
        <v>119</v>
      </c>
      <c r="G1360" s="43" t="b">
        <v>0</v>
      </c>
      <c r="H1360" s="43" t="b">
        <v>0</v>
      </c>
      <c r="I1360" s="43"/>
      <c r="M1360" s="48" t="s">
        <v>1633</v>
      </c>
      <c r="N1360" s="48">
        <v>17088569956</v>
      </c>
      <c r="O1360" s="48">
        <v>17088566736</v>
      </c>
      <c r="P1360" s="48" t="s">
        <v>119</v>
      </c>
      <c r="Q1360" s="49" t="s">
        <v>1633</v>
      </c>
      <c r="R1360" s="49">
        <v>17083125930</v>
      </c>
      <c r="S1360" s="49">
        <v>17083121858</v>
      </c>
      <c r="T1360" s="49" t="s">
        <v>119</v>
      </c>
      <c r="U1360" s="50" t="s">
        <v>1633</v>
      </c>
      <c r="V1360" s="50">
        <v>17083125930</v>
      </c>
      <c r="W1360" s="50">
        <v>17083121858</v>
      </c>
      <c r="X1360" s="50" t="s">
        <v>119</v>
      </c>
      <c r="Y1360" s="50"/>
    </row>
    <row r="1361" spans="1:25" x14ac:dyDescent="0.25">
      <c r="A1361" s="25" t="s">
        <v>115</v>
      </c>
      <c r="B1361" t="b">
        <v>0</v>
      </c>
      <c r="C1361" s="43" t="s">
        <v>1634</v>
      </c>
      <c r="D1361" s="43">
        <v>328261</v>
      </c>
      <c r="E1361" s="43">
        <v>289327</v>
      </c>
      <c r="F1361" s="43" t="s">
        <v>119</v>
      </c>
      <c r="G1361" s="43" t="b">
        <v>0</v>
      </c>
      <c r="H1361" s="43" t="b">
        <v>0</v>
      </c>
      <c r="I1361" s="43"/>
      <c r="M1361" s="48" t="s">
        <v>1634</v>
      </c>
      <c r="N1361" s="48">
        <v>17088571116</v>
      </c>
      <c r="O1361" s="48">
        <v>17088566428</v>
      </c>
      <c r="P1361" s="48" t="s">
        <v>119</v>
      </c>
      <c r="Q1361" s="49" t="s">
        <v>1634</v>
      </c>
      <c r="R1361" s="49">
        <v>17083128646</v>
      </c>
      <c r="S1361" s="49">
        <v>17083123894</v>
      </c>
      <c r="T1361" s="49" t="s">
        <v>119</v>
      </c>
      <c r="U1361" s="50" t="s">
        <v>1634</v>
      </c>
      <c r="V1361" s="50">
        <v>17083128646</v>
      </c>
      <c r="W1361" s="50">
        <v>17083123894</v>
      </c>
      <c r="X1361" s="50" t="s">
        <v>119</v>
      </c>
      <c r="Y1361" s="50"/>
    </row>
    <row r="1362" spans="1:25" x14ac:dyDescent="0.25">
      <c r="A1362" s="25" t="s">
        <v>248</v>
      </c>
      <c r="B1362" t="b">
        <v>0</v>
      </c>
      <c r="C1362" s="43" t="s">
        <v>1635</v>
      </c>
      <c r="D1362" s="43">
        <v>330309</v>
      </c>
      <c r="E1362" s="43">
        <v>289199</v>
      </c>
      <c r="F1362" s="43" t="s">
        <v>173</v>
      </c>
      <c r="G1362" s="43" t="b">
        <v>0</v>
      </c>
      <c r="H1362" s="43" t="b">
        <v>0</v>
      </c>
      <c r="I1362" s="43"/>
      <c r="J1362" s="45" t="s">
        <v>1635</v>
      </c>
      <c r="K1362" s="46">
        <v>289199</v>
      </c>
      <c r="M1362" s="48" t="s">
        <v>1635</v>
      </c>
      <c r="N1362" s="48">
        <v>17088570348</v>
      </c>
      <c r="O1362" s="48">
        <v>17088568348</v>
      </c>
      <c r="P1362" s="48" t="s">
        <v>173</v>
      </c>
      <c r="Q1362" s="49" t="s">
        <v>1635</v>
      </c>
      <c r="R1362" s="49">
        <v>17083128006</v>
      </c>
      <c r="S1362" s="49">
        <v>17083122742</v>
      </c>
      <c r="T1362" s="49" t="s">
        <v>173</v>
      </c>
      <c r="U1362" s="50" t="s">
        <v>1635</v>
      </c>
      <c r="V1362" s="50">
        <v>17083128006</v>
      </c>
      <c r="W1362" s="50">
        <v>17083122742</v>
      </c>
      <c r="X1362" s="50" t="s">
        <v>173</v>
      </c>
      <c r="Y1362" s="50"/>
    </row>
    <row r="1363" spans="1:25" x14ac:dyDescent="0.25">
      <c r="A1363" s="25" t="s">
        <v>115</v>
      </c>
      <c r="B1363" t="b">
        <v>0</v>
      </c>
      <c r="C1363" s="43" t="s">
        <v>1636</v>
      </c>
      <c r="D1363" s="43">
        <v>329285</v>
      </c>
      <c r="E1363" s="43">
        <v>293408</v>
      </c>
      <c r="F1363" s="43" t="s">
        <v>186</v>
      </c>
      <c r="G1363" s="43" t="b">
        <v>0</v>
      </c>
      <c r="H1363" s="43" t="b">
        <v>0</v>
      </c>
      <c r="I1363" s="43"/>
      <c r="M1363" s="48" t="s">
        <v>1636</v>
      </c>
      <c r="N1363" s="48">
        <v>17088572958</v>
      </c>
      <c r="O1363" s="48">
        <v>17088563015</v>
      </c>
      <c r="P1363" s="48" t="s">
        <v>186</v>
      </c>
      <c r="Q1363" s="49" t="s">
        <v>1636</v>
      </c>
      <c r="R1363" s="49">
        <v>17083128802</v>
      </c>
      <c r="S1363" s="49">
        <v>17083121976</v>
      </c>
      <c r="T1363" s="49" t="s">
        <v>186</v>
      </c>
      <c r="U1363" s="50" t="s">
        <v>1636</v>
      </c>
      <c r="V1363" s="50">
        <v>17083128802</v>
      </c>
      <c r="W1363" s="50">
        <v>17083121976</v>
      </c>
      <c r="X1363" s="50" t="s">
        <v>186</v>
      </c>
      <c r="Y1363" s="50"/>
    </row>
    <row r="1364" spans="1:25" x14ac:dyDescent="0.25">
      <c r="A1364" s="25" t="s">
        <v>115</v>
      </c>
      <c r="B1364" t="b">
        <v>0</v>
      </c>
      <c r="C1364" s="43" t="s">
        <v>1637</v>
      </c>
      <c r="D1364" s="43">
        <v>331333</v>
      </c>
      <c r="E1364" s="43">
        <v>288431</v>
      </c>
      <c r="F1364" s="43" t="s">
        <v>125</v>
      </c>
      <c r="G1364" s="43" t="b">
        <v>1</v>
      </c>
      <c r="H1364" s="43" t="b">
        <v>0</v>
      </c>
      <c r="I1364" s="43" t="s">
        <v>126</v>
      </c>
      <c r="M1364" s="48" t="s">
        <v>1637</v>
      </c>
      <c r="N1364" s="48">
        <v>17088572444</v>
      </c>
      <c r="O1364" s="48">
        <v>17088566812</v>
      </c>
      <c r="P1364" s="48" t="s">
        <v>125</v>
      </c>
      <c r="Q1364" s="49" t="s">
        <v>1637</v>
      </c>
      <c r="R1364" s="49">
        <v>17083126470</v>
      </c>
      <c r="S1364" s="49">
        <v>17083124278</v>
      </c>
      <c r="T1364" s="49" t="s">
        <v>125</v>
      </c>
      <c r="U1364" s="50" t="s">
        <v>1637</v>
      </c>
      <c r="V1364" s="50">
        <v>17083126470</v>
      </c>
      <c r="W1364" s="50">
        <v>17083124278</v>
      </c>
      <c r="X1364" s="50" t="s">
        <v>125</v>
      </c>
      <c r="Y1364" s="50">
        <v>120496</v>
      </c>
    </row>
    <row r="1365" spans="1:25" x14ac:dyDescent="0.25">
      <c r="A1365" s="25" t="s">
        <v>115</v>
      </c>
      <c r="B1365" t="b">
        <v>0</v>
      </c>
      <c r="C1365" s="43" t="s">
        <v>1638</v>
      </c>
      <c r="D1365" s="43">
        <v>328005</v>
      </c>
      <c r="E1365" s="43">
        <v>290127</v>
      </c>
      <c r="F1365" s="43" t="s">
        <v>123</v>
      </c>
      <c r="G1365" s="43" t="b">
        <v>0</v>
      </c>
      <c r="H1365" s="43" t="b">
        <v>0</v>
      </c>
      <c r="I1365" s="43"/>
      <c r="M1365" s="48" t="s">
        <v>1638</v>
      </c>
      <c r="N1365" s="48">
        <v>17088570396</v>
      </c>
      <c r="O1365" s="48">
        <v>17088568732</v>
      </c>
      <c r="P1365" s="48" t="s">
        <v>123</v>
      </c>
      <c r="Q1365" s="49" t="s">
        <v>1638</v>
      </c>
      <c r="R1365" s="49">
        <v>17083129030</v>
      </c>
      <c r="S1365" s="49">
        <v>17083124150</v>
      </c>
      <c r="T1365" s="49" t="s">
        <v>123</v>
      </c>
      <c r="U1365" s="50" t="s">
        <v>1638</v>
      </c>
      <c r="V1365" s="50">
        <v>17083129030</v>
      </c>
      <c r="W1365" s="50">
        <v>17083124150</v>
      </c>
      <c r="X1365" s="50" t="s">
        <v>123</v>
      </c>
      <c r="Y1365" s="50"/>
    </row>
    <row r="1366" spans="1:25" x14ac:dyDescent="0.25">
      <c r="A1366" s="25" t="s">
        <v>115</v>
      </c>
      <c r="B1366" t="b">
        <v>0</v>
      </c>
      <c r="C1366" s="43" t="s">
        <v>1639</v>
      </c>
      <c r="D1366" s="43">
        <v>330053</v>
      </c>
      <c r="E1366" s="43">
        <v>289583</v>
      </c>
      <c r="F1366" s="43" t="s">
        <v>186</v>
      </c>
      <c r="G1366" s="43" t="b">
        <v>0</v>
      </c>
      <c r="H1366" s="43" t="b">
        <v>0</v>
      </c>
      <c r="I1366" s="43"/>
      <c r="M1366" s="48" t="s">
        <v>1639</v>
      </c>
      <c r="N1366" s="48">
        <v>17088571756</v>
      </c>
      <c r="O1366" s="48">
        <v>17088569116</v>
      </c>
      <c r="P1366" s="48" t="s">
        <v>186</v>
      </c>
      <c r="Q1366" s="49" t="s">
        <v>1639</v>
      </c>
      <c r="R1366" s="49">
        <v>17083128390</v>
      </c>
      <c r="S1366" s="49">
        <v>17083123510</v>
      </c>
      <c r="T1366" s="49" t="s">
        <v>186</v>
      </c>
      <c r="U1366" s="50" t="s">
        <v>1639</v>
      </c>
      <c r="V1366" s="50">
        <v>17083128390</v>
      </c>
      <c r="W1366" s="50">
        <v>17083123510</v>
      </c>
      <c r="X1366" s="50" t="s">
        <v>186</v>
      </c>
      <c r="Y1366" s="50"/>
    </row>
    <row r="1367" spans="1:25" x14ac:dyDescent="0.25">
      <c r="A1367" s="25" t="s">
        <v>115</v>
      </c>
      <c r="B1367" t="b">
        <v>0</v>
      </c>
      <c r="C1367" s="43" t="s">
        <v>1640</v>
      </c>
      <c r="D1367" s="43">
        <v>329029</v>
      </c>
      <c r="E1367" s="43">
        <v>292256</v>
      </c>
      <c r="F1367" s="43" t="s">
        <v>119</v>
      </c>
      <c r="G1367" s="43" t="b">
        <v>0</v>
      </c>
      <c r="H1367" s="43" t="b">
        <v>0</v>
      </c>
      <c r="I1367" s="43"/>
      <c r="J1367" s="45" t="s">
        <v>1640</v>
      </c>
      <c r="K1367" s="46">
        <v>292256</v>
      </c>
      <c r="L1367" s="47">
        <v>990000675</v>
      </c>
      <c r="M1367" s="48" t="s">
        <v>1640</v>
      </c>
      <c r="N1367" s="48">
        <v>17088570526</v>
      </c>
      <c r="O1367" s="48">
        <v>17088564295</v>
      </c>
      <c r="P1367" s="48" t="s">
        <v>119</v>
      </c>
      <c r="Q1367" s="49" t="s">
        <v>1640</v>
      </c>
      <c r="R1367" s="49">
        <v>17083127826</v>
      </c>
      <c r="S1367" s="49">
        <v>17083124696</v>
      </c>
      <c r="T1367" s="49" t="s">
        <v>119</v>
      </c>
      <c r="U1367" s="50" t="s">
        <v>1640</v>
      </c>
      <c r="V1367" s="50">
        <v>17083127826</v>
      </c>
      <c r="W1367" s="50">
        <v>17083124696</v>
      </c>
      <c r="X1367" s="50" t="s">
        <v>119</v>
      </c>
      <c r="Y1367" s="50"/>
    </row>
    <row r="1368" spans="1:25" x14ac:dyDescent="0.25">
      <c r="A1368" s="25" t="s">
        <v>115</v>
      </c>
      <c r="B1368" t="b">
        <v>0</v>
      </c>
      <c r="C1368" s="43" t="s">
        <v>1641</v>
      </c>
      <c r="D1368" s="43">
        <v>331077</v>
      </c>
      <c r="E1368" s="43">
        <v>289183</v>
      </c>
      <c r="F1368" s="43" t="s">
        <v>117</v>
      </c>
      <c r="G1368" s="43" t="b">
        <v>0</v>
      </c>
      <c r="H1368" s="43" t="b">
        <v>0</v>
      </c>
      <c r="I1368" s="43"/>
      <c r="M1368" s="48" t="s">
        <v>1641</v>
      </c>
      <c r="N1368" s="48">
        <v>17088569764</v>
      </c>
      <c r="O1368" s="48">
        <v>17088565296</v>
      </c>
      <c r="P1368" s="48" t="s">
        <v>117</v>
      </c>
      <c r="Q1368" s="49" t="s">
        <v>1641</v>
      </c>
      <c r="R1368" s="49">
        <v>17083128874</v>
      </c>
      <c r="S1368" s="49">
        <v>17083123394</v>
      </c>
      <c r="T1368" s="49" t="s">
        <v>117</v>
      </c>
      <c r="U1368" s="50" t="s">
        <v>1641</v>
      </c>
      <c r="V1368" s="50">
        <v>17083128874</v>
      </c>
      <c r="W1368" s="50">
        <v>17083123394</v>
      </c>
      <c r="X1368" s="50" t="s">
        <v>117</v>
      </c>
      <c r="Y1368" s="50"/>
    </row>
    <row r="1369" spans="1:25" x14ac:dyDescent="0.25">
      <c r="A1369" s="25" t="s">
        <v>115</v>
      </c>
      <c r="B1369" t="b">
        <v>0</v>
      </c>
      <c r="C1369" s="43" t="s">
        <v>1642</v>
      </c>
      <c r="D1369" s="43">
        <v>328517</v>
      </c>
      <c r="E1369" s="43">
        <v>289711</v>
      </c>
      <c r="F1369" s="43" t="s">
        <v>123</v>
      </c>
      <c r="G1369" s="43" t="b">
        <v>0</v>
      </c>
      <c r="H1369" s="43" t="b">
        <v>0</v>
      </c>
      <c r="I1369" s="43"/>
      <c r="M1369" s="48" t="s">
        <v>1642</v>
      </c>
      <c r="N1369" s="48">
        <v>17088572908</v>
      </c>
      <c r="O1369" s="48">
        <v>17088567276</v>
      </c>
      <c r="P1369" s="48" t="s">
        <v>123</v>
      </c>
      <c r="Q1369" s="49" t="s">
        <v>1642</v>
      </c>
      <c r="R1369" s="49">
        <v>17083125958</v>
      </c>
      <c r="S1369" s="49">
        <v>17083124694</v>
      </c>
      <c r="T1369" s="49" t="s">
        <v>123</v>
      </c>
      <c r="U1369" s="50" t="s">
        <v>1642</v>
      </c>
      <c r="V1369" s="50">
        <v>17083125958</v>
      </c>
      <c r="W1369" s="50">
        <v>17083124694</v>
      </c>
      <c r="X1369" s="50" t="s">
        <v>123</v>
      </c>
      <c r="Y1369" s="50"/>
    </row>
    <row r="1370" spans="1:25" x14ac:dyDescent="0.25">
      <c r="A1370" s="25" t="s">
        <v>115</v>
      </c>
      <c r="B1370" t="b">
        <v>0</v>
      </c>
      <c r="C1370" s="43" t="s">
        <v>1643</v>
      </c>
      <c r="D1370" s="43">
        <v>330565</v>
      </c>
      <c r="E1370" s="43">
        <v>288791</v>
      </c>
      <c r="F1370" s="43" t="s">
        <v>123</v>
      </c>
      <c r="G1370" s="43" t="b">
        <v>1</v>
      </c>
      <c r="H1370" s="43" t="b">
        <v>0</v>
      </c>
      <c r="I1370" s="43" t="s">
        <v>134</v>
      </c>
      <c r="M1370" s="48" t="s">
        <v>1643</v>
      </c>
      <c r="N1370" s="48">
        <v>17088571234</v>
      </c>
      <c r="O1370" s="48">
        <v>17088568662</v>
      </c>
      <c r="P1370" s="48" t="s">
        <v>123</v>
      </c>
      <c r="Q1370" s="49" t="s">
        <v>1643</v>
      </c>
      <c r="R1370" s="49">
        <v>17086790238</v>
      </c>
      <c r="S1370" s="49">
        <v>17083123545</v>
      </c>
      <c r="T1370" s="49" t="s">
        <v>123</v>
      </c>
      <c r="U1370" s="50" t="s">
        <v>1643</v>
      </c>
      <c r="V1370" s="50">
        <v>17083128694</v>
      </c>
      <c r="W1370" s="50">
        <v>17083123545</v>
      </c>
      <c r="X1370" s="50" t="s">
        <v>123</v>
      </c>
      <c r="Y1370" s="50">
        <v>150083</v>
      </c>
    </row>
    <row r="1371" spans="1:25" x14ac:dyDescent="0.25">
      <c r="A1371" s="25" t="s">
        <v>115</v>
      </c>
      <c r="B1371" t="b">
        <v>0</v>
      </c>
      <c r="C1371" s="43" t="s">
        <v>1644</v>
      </c>
      <c r="D1371" s="43">
        <v>329541</v>
      </c>
      <c r="E1371" s="43">
        <v>286815</v>
      </c>
      <c r="F1371" s="43" t="s">
        <v>186</v>
      </c>
      <c r="G1371" s="43" t="b">
        <v>0</v>
      </c>
      <c r="H1371" s="43" t="b">
        <v>0</v>
      </c>
      <c r="I1371" s="43"/>
      <c r="M1371" s="48" t="s">
        <v>1644</v>
      </c>
      <c r="N1371" s="48">
        <v>17088569444</v>
      </c>
      <c r="O1371" s="48">
        <v>17088568272</v>
      </c>
      <c r="P1371" s="48" t="s">
        <v>186</v>
      </c>
      <c r="Q1371" s="49" t="s">
        <v>1644</v>
      </c>
      <c r="R1371" s="49">
        <v>17083128106</v>
      </c>
      <c r="S1371" s="49">
        <v>17083124930</v>
      </c>
      <c r="T1371" s="49" t="s">
        <v>186</v>
      </c>
      <c r="U1371" s="50" t="s">
        <v>1644</v>
      </c>
      <c r="V1371" s="50">
        <v>17083128106</v>
      </c>
      <c r="W1371" s="50">
        <v>17083124930</v>
      </c>
      <c r="X1371" s="50" t="s">
        <v>186</v>
      </c>
      <c r="Y1371" s="50"/>
    </row>
    <row r="1372" spans="1:25" x14ac:dyDescent="0.25">
      <c r="A1372" s="25" t="s">
        <v>115</v>
      </c>
      <c r="B1372" t="b">
        <v>0</v>
      </c>
      <c r="C1372" s="43" t="s">
        <v>1645</v>
      </c>
      <c r="D1372" s="43">
        <v>331589</v>
      </c>
      <c r="E1372" s="43">
        <v>287231</v>
      </c>
      <c r="F1372" s="43" t="s">
        <v>123</v>
      </c>
      <c r="G1372" s="43" t="b">
        <v>0</v>
      </c>
      <c r="H1372" s="43" t="b">
        <v>0</v>
      </c>
      <c r="I1372" s="43"/>
      <c r="M1372" s="48" t="s">
        <v>1645</v>
      </c>
      <c r="N1372" s="48">
        <v>17088570716</v>
      </c>
      <c r="O1372" s="48">
        <v>17088566674</v>
      </c>
      <c r="P1372" s="48" t="s">
        <v>123</v>
      </c>
      <c r="Q1372" s="49" t="s">
        <v>1645</v>
      </c>
      <c r="R1372" s="49">
        <v>17083125862</v>
      </c>
      <c r="S1372" s="49">
        <v>17083124542</v>
      </c>
      <c r="T1372" s="49" t="s">
        <v>123</v>
      </c>
      <c r="U1372" s="50" t="s">
        <v>1645</v>
      </c>
      <c r="V1372" s="50">
        <v>17083125862</v>
      </c>
      <c r="W1372" s="50">
        <v>17083124542</v>
      </c>
      <c r="X1372" s="50" t="s">
        <v>123</v>
      </c>
      <c r="Y1372" s="50"/>
    </row>
    <row r="1373" spans="1:25" x14ac:dyDescent="0.25">
      <c r="A1373" s="25" t="s">
        <v>115</v>
      </c>
      <c r="B1373" t="b">
        <v>0</v>
      </c>
      <c r="C1373" s="43" t="s">
        <v>1646</v>
      </c>
      <c r="D1373" s="43">
        <v>327877</v>
      </c>
      <c r="E1373" s="43">
        <v>287391</v>
      </c>
      <c r="F1373" s="43" t="s">
        <v>119</v>
      </c>
      <c r="G1373" s="43" t="b">
        <v>0</v>
      </c>
      <c r="H1373" s="43" t="b">
        <v>0</v>
      </c>
      <c r="I1373" s="43"/>
      <c r="M1373" s="48" t="s">
        <v>1646</v>
      </c>
      <c r="N1373" s="48">
        <v>17088572700</v>
      </c>
      <c r="O1373" s="48">
        <v>17088565858</v>
      </c>
      <c r="P1373" s="48" t="s">
        <v>119</v>
      </c>
      <c r="Q1373" s="49" t="s">
        <v>1646</v>
      </c>
      <c r="R1373" s="49">
        <v>17083129286</v>
      </c>
      <c r="S1373" s="49">
        <v>17083122078</v>
      </c>
      <c r="T1373" s="49" t="s">
        <v>119</v>
      </c>
      <c r="U1373" s="50" t="s">
        <v>1646</v>
      </c>
      <c r="V1373" s="50">
        <v>17083129286</v>
      </c>
      <c r="W1373" s="50">
        <v>17083122078</v>
      </c>
      <c r="X1373" s="50" t="s">
        <v>119</v>
      </c>
      <c r="Y1373" s="50"/>
    </row>
    <row r="1374" spans="1:25" x14ac:dyDescent="0.25">
      <c r="A1374" s="25" t="s">
        <v>115</v>
      </c>
      <c r="B1374" t="b">
        <v>0</v>
      </c>
      <c r="C1374" s="43" t="s">
        <v>1647</v>
      </c>
      <c r="D1374" s="43">
        <v>329925</v>
      </c>
      <c r="E1374" s="43">
        <v>289647</v>
      </c>
      <c r="F1374" s="43" t="s">
        <v>125</v>
      </c>
      <c r="G1374" s="43" t="b">
        <v>0</v>
      </c>
      <c r="H1374" s="43" t="b">
        <v>0</v>
      </c>
      <c r="I1374" s="43" t="s">
        <v>126</v>
      </c>
      <c r="M1374" s="48" t="s">
        <v>1647</v>
      </c>
      <c r="N1374" s="48">
        <v>17088573340</v>
      </c>
      <c r="O1374" s="48">
        <v>17088565266</v>
      </c>
      <c r="P1374" s="48" t="s">
        <v>125</v>
      </c>
      <c r="Q1374" s="49" t="s">
        <v>1647</v>
      </c>
      <c r="R1374" s="49">
        <v>17083129510</v>
      </c>
      <c r="S1374" s="49">
        <v>17083122398</v>
      </c>
      <c r="T1374" s="49" t="s">
        <v>125</v>
      </c>
      <c r="U1374" s="50" t="s">
        <v>1647</v>
      </c>
      <c r="V1374" s="50">
        <v>17083129510</v>
      </c>
      <c r="W1374" s="50">
        <v>17083122398</v>
      </c>
      <c r="X1374" s="50" t="s">
        <v>125</v>
      </c>
      <c r="Y1374" s="50"/>
    </row>
    <row r="1375" spans="1:25" x14ac:dyDescent="0.25">
      <c r="A1375" s="25" t="s">
        <v>115</v>
      </c>
      <c r="B1375" t="b">
        <v>0</v>
      </c>
      <c r="C1375" s="43" t="s">
        <v>1648</v>
      </c>
      <c r="D1375" s="43">
        <v>317935</v>
      </c>
      <c r="E1375" s="43">
        <v>302168</v>
      </c>
      <c r="F1375" s="43" t="s">
        <v>125</v>
      </c>
      <c r="G1375" s="43" t="b">
        <v>0</v>
      </c>
      <c r="H1375" s="43" t="b">
        <v>0</v>
      </c>
      <c r="I1375" s="43"/>
      <c r="M1375" s="48" t="s">
        <v>1648</v>
      </c>
      <c r="N1375" s="48">
        <v>17088572706</v>
      </c>
      <c r="O1375" s="48">
        <v>17088568910</v>
      </c>
      <c r="P1375" s="48" t="s">
        <v>125</v>
      </c>
      <c r="Q1375" s="49" t="s">
        <v>1648</v>
      </c>
      <c r="R1375" s="49">
        <v>17083126646</v>
      </c>
      <c r="S1375" s="49">
        <v>17083123973</v>
      </c>
      <c r="T1375" s="49" t="s">
        <v>125</v>
      </c>
      <c r="U1375" s="50" t="s">
        <v>1648</v>
      </c>
      <c r="V1375" s="50">
        <v>17083126646</v>
      </c>
      <c r="W1375" s="50">
        <v>17083123973</v>
      </c>
      <c r="X1375" s="50" t="s">
        <v>125</v>
      </c>
      <c r="Y1375" s="50"/>
    </row>
    <row r="1376" spans="1:25" x14ac:dyDescent="0.25">
      <c r="A1376" s="25" t="s">
        <v>115</v>
      </c>
      <c r="B1376" t="b">
        <v>0</v>
      </c>
      <c r="C1376" s="43" t="s">
        <v>1649</v>
      </c>
      <c r="D1376" s="43">
        <v>316911</v>
      </c>
      <c r="E1376" s="43">
        <v>302776</v>
      </c>
      <c r="F1376" s="43" t="s">
        <v>125</v>
      </c>
      <c r="G1376" s="43" t="b">
        <v>0</v>
      </c>
      <c r="H1376" s="43" t="b">
        <v>0</v>
      </c>
      <c r="I1376" s="43" t="s">
        <v>126</v>
      </c>
      <c r="M1376" s="48" t="s">
        <v>1649</v>
      </c>
      <c r="N1376" s="48">
        <v>17088571074</v>
      </c>
      <c r="O1376" s="48">
        <v>17088565390</v>
      </c>
      <c r="P1376" s="48" t="s">
        <v>125</v>
      </c>
      <c r="Q1376" s="49" t="s">
        <v>1649</v>
      </c>
      <c r="R1376" s="49">
        <v>17083127734</v>
      </c>
      <c r="S1376" s="49">
        <v>17083122937</v>
      </c>
      <c r="T1376" s="49" t="s">
        <v>125</v>
      </c>
      <c r="U1376" s="50" t="s">
        <v>1649</v>
      </c>
      <c r="V1376" s="50">
        <v>17083127734</v>
      </c>
      <c r="W1376" s="50">
        <v>17083122937</v>
      </c>
      <c r="X1376" s="50" t="s">
        <v>125</v>
      </c>
      <c r="Y1376" s="50"/>
    </row>
    <row r="1377" spans="1:25" x14ac:dyDescent="0.25">
      <c r="A1377" s="25" t="s">
        <v>115</v>
      </c>
      <c r="B1377" t="b">
        <v>0</v>
      </c>
      <c r="C1377" s="43" t="s">
        <v>1650</v>
      </c>
      <c r="D1377" s="43">
        <v>318959</v>
      </c>
      <c r="E1377" s="43">
        <v>302612</v>
      </c>
      <c r="F1377" s="43" t="s">
        <v>123</v>
      </c>
      <c r="G1377" s="43" t="b">
        <v>1</v>
      </c>
      <c r="H1377" s="43" t="b">
        <v>0</v>
      </c>
      <c r="I1377" s="43"/>
      <c r="M1377" s="48" t="s">
        <v>1650</v>
      </c>
      <c r="N1377" s="48">
        <v>17088570401</v>
      </c>
      <c r="O1377" s="48">
        <v>17088566680</v>
      </c>
      <c r="P1377" s="48" t="s">
        <v>123</v>
      </c>
      <c r="Q1377" s="49" t="s">
        <v>1650</v>
      </c>
      <c r="R1377" s="49">
        <v>17083126218</v>
      </c>
      <c r="S1377" s="49">
        <v>17083124234</v>
      </c>
      <c r="T1377" s="49" t="s">
        <v>123</v>
      </c>
      <c r="U1377" s="50" t="s">
        <v>1650</v>
      </c>
      <c r="V1377" s="50">
        <v>17083126218</v>
      </c>
      <c r="W1377" s="50">
        <v>17083124234</v>
      </c>
      <c r="X1377" s="50" t="s">
        <v>123</v>
      </c>
      <c r="Y1377" s="50">
        <v>150055</v>
      </c>
    </row>
    <row r="1378" spans="1:25" x14ac:dyDescent="0.25">
      <c r="A1378" s="25" t="s">
        <v>115</v>
      </c>
      <c r="B1378" t="b">
        <v>0</v>
      </c>
      <c r="C1378" s="43" t="s">
        <v>1651</v>
      </c>
      <c r="D1378" s="43">
        <v>316399</v>
      </c>
      <c r="E1378" s="43">
        <v>299624</v>
      </c>
      <c r="F1378" s="43" t="s">
        <v>119</v>
      </c>
      <c r="G1378" s="43" t="b">
        <v>0</v>
      </c>
      <c r="H1378" s="43" t="b">
        <v>0</v>
      </c>
      <c r="I1378" s="43"/>
      <c r="M1378" s="48" t="s">
        <v>1651</v>
      </c>
      <c r="N1378" s="48">
        <v>17088571938</v>
      </c>
      <c r="O1378" s="48">
        <v>17088566062</v>
      </c>
      <c r="P1378" s="48" t="s">
        <v>119</v>
      </c>
      <c r="Q1378" s="49" t="s">
        <v>1651</v>
      </c>
      <c r="R1378" s="49">
        <v>17083129462</v>
      </c>
      <c r="S1378" s="49">
        <v>17083123525</v>
      </c>
      <c r="T1378" s="49" t="s">
        <v>119</v>
      </c>
      <c r="U1378" s="50" t="s">
        <v>1651</v>
      </c>
      <c r="V1378" s="50">
        <v>17083129462</v>
      </c>
      <c r="W1378" s="50">
        <v>17083123525</v>
      </c>
      <c r="X1378" s="50" t="s">
        <v>119</v>
      </c>
      <c r="Y1378" s="50"/>
    </row>
    <row r="1379" spans="1:25" x14ac:dyDescent="0.25">
      <c r="A1379" s="25" t="s">
        <v>115</v>
      </c>
      <c r="B1379" t="b">
        <v>0</v>
      </c>
      <c r="C1379" s="43" t="s">
        <v>1652</v>
      </c>
      <c r="D1379" s="43">
        <v>318447</v>
      </c>
      <c r="E1379" s="43">
        <v>300904</v>
      </c>
      <c r="F1379" s="43" t="s">
        <v>119</v>
      </c>
      <c r="G1379" s="43" t="b">
        <v>0</v>
      </c>
      <c r="H1379" s="43" t="b">
        <v>0</v>
      </c>
      <c r="I1379" s="43"/>
      <c r="M1379" s="48" t="s">
        <v>1652</v>
      </c>
      <c r="N1379" s="48">
        <v>17088569378</v>
      </c>
      <c r="O1379" s="48">
        <v>17088566318</v>
      </c>
      <c r="P1379" s="48" t="s">
        <v>119</v>
      </c>
      <c r="Q1379" s="49" t="s">
        <v>1652</v>
      </c>
      <c r="R1379" s="49">
        <v>17083126902</v>
      </c>
      <c r="S1379" s="49">
        <v>17083122245</v>
      </c>
      <c r="T1379" s="49" t="s">
        <v>119</v>
      </c>
      <c r="U1379" s="50" t="s">
        <v>1652</v>
      </c>
      <c r="V1379" s="50">
        <v>17083126902</v>
      </c>
      <c r="W1379" s="50">
        <v>17083122245</v>
      </c>
      <c r="X1379" s="50" t="s">
        <v>119</v>
      </c>
      <c r="Y1379" s="50"/>
    </row>
    <row r="1380" spans="1:25" x14ac:dyDescent="0.25">
      <c r="A1380" s="25" t="s">
        <v>115</v>
      </c>
      <c r="B1380" t="b">
        <v>0</v>
      </c>
      <c r="C1380" s="43" t="s">
        <v>1653</v>
      </c>
      <c r="D1380" s="43">
        <v>317423</v>
      </c>
      <c r="E1380" s="43">
        <v>299652</v>
      </c>
      <c r="F1380" s="43" t="s">
        <v>132</v>
      </c>
      <c r="G1380" s="43" t="b">
        <v>0</v>
      </c>
      <c r="H1380" s="43" t="b">
        <v>0</v>
      </c>
      <c r="I1380" s="43"/>
      <c r="M1380" s="48" t="s">
        <v>1653</v>
      </c>
      <c r="N1380" s="48">
        <v>17088570668</v>
      </c>
      <c r="O1380" s="48">
        <v>17088565906</v>
      </c>
      <c r="P1380" s="48" t="s">
        <v>132</v>
      </c>
      <c r="Q1380" s="49" t="s">
        <v>1653</v>
      </c>
      <c r="R1380" s="49">
        <v>17083126342</v>
      </c>
      <c r="S1380" s="49">
        <v>17083125310</v>
      </c>
      <c r="T1380" s="49" t="s">
        <v>132</v>
      </c>
      <c r="U1380" s="50" t="s">
        <v>1653</v>
      </c>
      <c r="V1380" s="50">
        <v>17083126342</v>
      </c>
      <c r="W1380" s="50">
        <v>17083125310</v>
      </c>
      <c r="X1380" s="50" t="s">
        <v>132</v>
      </c>
      <c r="Y1380" s="50"/>
    </row>
    <row r="1381" spans="1:25" x14ac:dyDescent="0.25">
      <c r="A1381" s="25" t="s">
        <v>115</v>
      </c>
      <c r="B1381" t="b">
        <v>0</v>
      </c>
      <c r="C1381" s="43" t="s">
        <v>1654</v>
      </c>
      <c r="D1381" s="43">
        <v>319471</v>
      </c>
      <c r="E1381" s="43">
        <v>302936</v>
      </c>
      <c r="F1381" s="43" t="s">
        <v>125</v>
      </c>
      <c r="G1381" s="43" t="b">
        <v>0</v>
      </c>
      <c r="H1381" s="43" t="b">
        <v>0</v>
      </c>
      <c r="I1381" s="43" t="s">
        <v>126</v>
      </c>
      <c r="M1381" s="48" t="s">
        <v>1654</v>
      </c>
      <c r="N1381" s="48">
        <v>17088569890</v>
      </c>
      <c r="O1381" s="48">
        <v>17088568206</v>
      </c>
      <c r="P1381" s="48" t="s">
        <v>125</v>
      </c>
      <c r="Q1381" s="49" t="s">
        <v>1654</v>
      </c>
      <c r="R1381" s="49">
        <v>17083127414</v>
      </c>
      <c r="S1381" s="49">
        <v>17083125753</v>
      </c>
      <c r="T1381" s="49" t="s">
        <v>125</v>
      </c>
      <c r="U1381" s="50" t="s">
        <v>1654</v>
      </c>
      <c r="V1381" s="50">
        <v>17083127414</v>
      </c>
      <c r="W1381" s="50">
        <v>17083125753</v>
      </c>
      <c r="X1381" s="50" t="s">
        <v>125</v>
      </c>
      <c r="Y1381" s="50"/>
    </row>
    <row r="1382" spans="1:25" x14ac:dyDescent="0.25">
      <c r="A1382" s="25" t="s">
        <v>115</v>
      </c>
      <c r="B1382" t="b">
        <v>0</v>
      </c>
      <c r="C1382" s="43" t="s">
        <v>1655</v>
      </c>
      <c r="D1382" s="43">
        <v>315423</v>
      </c>
      <c r="E1382" s="43">
        <v>299176</v>
      </c>
      <c r="F1382" s="43" t="s">
        <v>119</v>
      </c>
      <c r="G1382" s="43" t="b">
        <v>0</v>
      </c>
      <c r="H1382" s="43" t="b">
        <v>0</v>
      </c>
      <c r="I1382" s="43"/>
      <c r="M1382" s="48" t="s">
        <v>1655</v>
      </c>
      <c r="N1382" s="48">
        <v>17088570690</v>
      </c>
      <c r="O1382" s="48">
        <v>17088565358</v>
      </c>
      <c r="P1382" s="48" t="s">
        <v>119</v>
      </c>
      <c r="Q1382" s="49" t="s">
        <v>1655</v>
      </c>
      <c r="R1382" s="49">
        <v>17083126966</v>
      </c>
      <c r="S1382" s="49">
        <v>17083122725</v>
      </c>
      <c r="T1382" s="49" t="s">
        <v>119</v>
      </c>
      <c r="U1382" s="50" t="s">
        <v>1655</v>
      </c>
      <c r="V1382" s="50">
        <v>17083126966</v>
      </c>
      <c r="W1382" s="50">
        <v>17083122725</v>
      </c>
      <c r="X1382" s="50" t="s">
        <v>119</v>
      </c>
      <c r="Y1382" s="50"/>
    </row>
    <row r="1383" spans="1:25" x14ac:dyDescent="0.25">
      <c r="A1383" s="25" t="s">
        <v>115</v>
      </c>
      <c r="B1383" t="b">
        <v>0</v>
      </c>
      <c r="C1383" s="43" t="s">
        <v>1656</v>
      </c>
      <c r="D1383" s="43">
        <v>317471</v>
      </c>
      <c r="E1383" s="43">
        <v>301784</v>
      </c>
      <c r="F1383" s="43" t="s">
        <v>125</v>
      </c>
      <c r="G1383" s="43" t="b">
        <v>1</v>
      </c>
      <c r="H1383" s="43" t="b">
        <v>0</v>
      </c>
      <c r="I1383" s="43" t="s">
        <v>126</v>
      </c>
      <c r="M1383" s="48" t="s">
        <v>1656</v>
      </c>
      <c r="N1383" s="48">
        <v>17088570658</v>
      </c>
      <c r="O1383" s="48">
        <v>17088565646</v>
      </c>
      <c r="P1383" s="48" t="s">
        <v>125</v>
      </c>
      <c r="Q1383" s="49" t="s">
        <v>1656</v>
      </c>
      <c r="R1383" s="49">
        <v>17083129206</v>
      </c>
      <c r="S1383" s="49">
        <v>17083123193</v>
      </c>
      <c r="T1383" s="49" t="s">
        <v>125</v>
      </c>
      <c r="U1383" s="50" t="s">
        <v>1656</v>
      </c>
      <c r="V1383" s="50">
        <v>17083129206</v>
      </c>
      <c r="W1383" s="50">
        <v>17083123193</v>
      </c>
      <c r="X1383" s="50" t="s">
        <v>125</v>
      </c>
      <c r="Y1383" s="50">
        <v>120487</v>
      </c>
    </row>
    <row r="1384" spans="1:25" x14ac:dyDescent="0.25">
      <c r="A1384" s="25" t="s">
        <v>115</v>
      </c>
      <c r="B1384" t="b">
        <v>0</v>
      </c>
      <c r="C1384" s="43" t="s">
        <v>1657</v>
      </c>
      <c r="D1384" s="43">
        <v>316447</v>
      </c>
      <c r="E1384" s="43">
        <v>299220</v>
      </c>
      <c r="F1384" s="43" t="s">
        <v>125</v>
      </c>
      <c r="G1384" s="43" t="b">
        <v>0</v>
      </c>
      <c r="H1384" s="43" t="b">
        <v>0</v>
      </c>
      <c r="I1384" s="43"/>
      <c r="M1384" s="48" t="s">
        <v>1657</v>
      </c>
      <c r="N1384" s="48">
        <v>17088571489</v>
      </c>
      <c r="O1384" s="48">
        <v>17088565912</v>
      </c>
      <c r="P1384" s="48" t="s">
        <v>125</v>
      </c>
      <c r="Q1384" s="49" t="s">
        <v>1657</v>
      </c>
      <c r="R1384" s="49">
        <v>17083128746</v>
      </c>
      <c r="S1384" s="49">
        <v>17083125746</v>
      </c>
      <c r="T1384" s="49" t="s">
        <v>125</v>
      </c>
      <c r="U1384" s="50" t="s">
        <v>1657</v>
      </c>
      <c r="V1384" s="50">
        <v>17083128746</v>
      </c>
      <c r="W1384" s="50">
        <v>17083125746</v>
      </c>
      <c r="X1384" s="50" t="s">
        <v>125</v>
      </c>
      <c r="Y1384" s="50"/>
    </row>
    <row r="1385" spans="1:25" x14ac:dyDescent="0.25">
      <c r="A1385" s="25" t="s">
        <v>115</v>
      </c>
      <c r="B1385" t="b">
        <v>0</v>
      </c>
      <c r="C1385" s="43" t="s">
        <v>1658</v>
      </c>
      <c r="D1385" s="43">
        <v>318495</v>
      </c>
      <c r="E1385" s="43">
        <v>300696</v>
      </c>
      <c r="F1385" s="43" t="s">
        <v>123</v>
      </c>
      <c r="G1385" s="43" t="b">
        <v>0</v>
      </c>
      <c r="H1385" s="43" t="b">
        <v>0</v>
      </c>
      <c r="I1385" s="43"/>
      <c r="M1385" s="48" t="s">
        <v>1658</v>
      </c>
      <c r="N1385" s="48">
        <v>17088572450</v>
      </c>
      <c r="O1385" s="48">
        <v>17088565454</v>
      </c>
      <c r="P1385" s="48" t="s">
        <v>123</v>
      </c>
      <c r="Q1385" s="49" t="s">
        <v>1658</v>
      </c>
      <c r="R1385" s="49">
        <v>17083128438</v>
      </c>
      <c r="S1385" s="49">
        <v>17083122821</v>
      </c>
      <c r="T1385" s="49" t="s">
        <v>123</v>
      </c>
      <c r="U1385" s="50" t="s">
        <v>1658</v>
      </c>
      <c r="V1385" s="50">
        <v>17083128438</v>
      </c>
      <c r="W1385" s="50">
        <v>17083122821</v>
      </c>
      <c r="X1385" s="50" t="s">
        <v>123</v>
      </c>
      <c r="Y1385" s="50"/>
    </row>
    <row r="1386" spans="1:25" x14ac:dyDescent="0.25">
      <c r="A1386" s="25" t="s">
        <v>115</v>
      </c>
      <c r="B1386" t="b">
        <v>0</v>
      </c>
      <c r="C1386" s="43" t="s">
        <v>1659</v>
      </c>
      <c r="D1386" s="43">
        <v>315935</v>
      </c>
      <c r="E1386" s="43">
        <v>300504</v>
      </c>
      <c r="F1386" s="43" t="s">
        <v>123</v>
      </c>
      <c r="G1386" s="43" t="b">
        <v>1</v>
      </c>
      <c r="H1386" s="43" t="b">
        <v>0</v>
      </c>
      <c r="I1386" s="43" t="s">
        <v>126</v>
      </c>
      <c r="M1386" s="48" t="s">
        <v>1659</v>
      </c>
      <c r="N1386" s="48">
        <v>17088571554</v>
      </c>
      <c r="O1386" s="48">
        <v>17088568462</v>
      </c>
      <c r="P1386" s="48" t="s">
        <v>123</v>
      </c>
      <c r="Q1386" s="49" t="s">
        <v>1659</v>
      </c>
      <c r="R1386" s="49">
        <v>17083128566</v>
      </c>
      <c r="S1386" s="49">
        <v>17083124473</v>
      </c>
      <c r="T1386" s="49" t="s">
        <v>123</v>
      </c>
      <c r="U1386" s="50" t="s">
        <v>1659</v>
      </c>
      <c r="V1386" s="50">
        <v>17083128566</v>
      </c>
      <c r="W1386" s="50">
        <v>17083124473</v>
      </c>
      <c r="X1386" s="50" t="s">
        <v>123</v>
      </c>
      <c r="Y1386" s="50">
        <v>140402</v>
      </c>
    </row>
    <row r="1387" spans="1:25" x14ac:dyDescent="0.25">
      <c r="A1387" s="25" t="s">
        <v>115</v>
      </c>
      <c r="B1387" t="b">
        <v>0</v>
      </c>
      <c r="C1387" s="43" t="s">
        <v>1660</v>
      </c>
      <c r="D1387" s="43">
        <v>317983</v>
      </c>
      <c r="E1387" s="43">
        <v>301256</v>
      </c>
      <c r="F1387" s="43" t="s">
        <v>119</v>
      </c>
      <c r="G1387" s="43" t="b">
        <v>0</v>
      </c>
      <c r="H1387" s="43" t="b">
        <v>0</v>
      </c>
      <c r="I1387" s="43"/>
      <c r="M1387" s="48" t="s">
        <v>1660</v>
      </c>
      <c r="N1387" s="48">
        <v>17088572098</v>
      </c>
      <c r="O1387" s="48">
        <v>17088566638</v>
      </c>
      <c r="P1387" s="48" t="s">
        <v>119</v>
      </c>
      <c r="Q1387" s="49" t="s">
        <v>1660</v>
      </c>
      <c r="R1387" s="49">
        <v>17083128758</v>
      </c>
      <c r="S1387" s="49">
        <v>17083122469</v>
      </c>
      <c r="T1387" s="49" t="s">
        <v>119</v>
      </c>
      <c r="U1387" s="50" t="s">
        <v>1660</v>
      </c>
      <c r="V1387" s="50">
        <v>17083128758</v>
      </c>
      <c r="W1387" s="50">
        <v>17083122469</v>
      </c>
      <c r="X1387" s="50" t="s">
        <v>119</v>
      </c>
      <c r="Y1387" s="50"/>
    </row>
    <row r="1388" spans="1:25" x14ac:dyDescent="0.25">
      <c r="A1388" s="25" t="s">
        <v>115</v>
      </c>
      <c r="B1388" t="b">
        <v>0</v>
      </c>
      <c r="C1388" s="43" t="s">
        <v>1661</v>
      </c>
      <c r="D1388" s="43">
        <v>316959</v>
      </c>
      <c r="E1388" s="43">
        <v>302404</v>
      </c>
      <c r="F1388" s="43" t="s">
        <v>119</v>
      </c>
      <c r="G1388" s="43" t="b">
        <v>0</v>
      </c>
      <c r="H1388" s="43" t="b">
        <v>0</v>
      </c>
      <c r="I1388" s="43"/>
      <c r="M1388" s="48" t="s">
        <v>1661</v>
      </c>
      <c r="N1388" s="48">
        <v>17088570466</v>
      </c>
      <c r="O1388" s="48">
        <v>17088568449</v>
      </c>
      <c r="P1388" s="48" t="s">
        <v>119</v>
      </c>
      <c r="Q1388" s="49" t="s">
        <v>1661</v>
      </c>
      <c r="R1388" s="49">
        <v>17086788958</v>
      </c>
      <c r="S1388" s="49">
        <v>17083122357</v>
      </c>
      <c r="T1388" s="49" t="s">
        <v>119</v>
      </c>
      <c r="U1388" s="50" t="s">
        <v>1661</v>
      </c>
      <c r="V1388" s="50">
        <v>17083126798</v>
      </c>
      <c r="W1388" s="50">
        <v>17083122357</v>
      </c>
      <c r="X1388" s="50" t="s">
        <v>119</v>
      </c>
      <c r="Y1388" s="50"/>
    </row>
    <row r="1389" spans="1:25" x14ac:dyDescent="0.25">
      <c r="A1389" s="25" t="s">
        <v>115</v>
      </c>
      <c r="B1389" t="b">
        <v>0</v>
      </c>
      <c r="C1389" s="43" t="s">
        <v>1662</v>
      </c>
      <c r="D1389" s="43">
        <v>319007</v>
      </c>
      <c r="E1389" s="43">
        <v>302372</v>
      </c>
      <c r="F1389" s="43" t="s">
        <v>123</v>
      </c>
      <c r="G1389" s="43" t="b">
        <v>1</v>
      </c>
      <c r="H1389" s="43" t="b">
        <v>0</v>
      </c>
      <c r="I1389" s="43" t="s">
        <v>126</v>
      </c>
      <c r="M1389" s="48" t="s">
        <v>1662</v>
      </c>
      <c r="N1389" s="48">
        <v>17088571490</v>
      </c>
      <c r="O1389" s="48">
        <v>17088566270</v>
      </c>
      <c r="P1389" s="48" t="s">
        <v>123</v>
      </c>
      <c r="Q1389" s="49" t="s">
        <v>1662</v>
      </c>
      <c r="R1389" s="49">
        <v>17086791006</v>
      </c>
      <c r="S1389" s="49">
        <v>17083124693</v>
      </c>
      <c r="T1389" s="49" t="s">
        <v>123</v>
      </c>
      <c r="U1389" s="50" t="s">
        <v>1662</v>
      </c>
      <c r="V1389" s="50">
        <v>17083127822</v>
      </c>
      <c r="W1389" s="50">
        <v>17083124693</v>
      </c>
      <c r="X1389" s="50" t="s">
        <v>123</v>
      </c>
      <c r="Y1389" s="50">
        <v>140403</v>
      </c>
    </row>
    <row r="1390" spans="1:25" x14ac:dyDescent="0.25">
      <c r="A1390" s="25" t="s">
        <v>115</v>
      </c>
      <c r="B1390" t="b">
        <v>0</v>
      </c>
      <c r="C1390" s="43" t="s">
        <v>1663</v>
      </c>
      <c r="D1390" s="43">
        <v>317727</v>
      </c>
      <c r="E1390" s="43">
        <v>302116</v>
      </c>
      <c r="F1390" s="43" t="s">
        <v>125</v>
      </c>
      <c r="G1390" s="43" t="b">
        <v>1</v>
      </c>
      <c r="H1390" s="43" t="b">
        <v>0</v>
      </c>
      <c r="I1390" s="43" t="s">
        <v>126</v>
      </c>
      <c r="M1390" s="48" t="s">
        <v>1663</v>
      </c>
      <c r="N1390" s="48">
        <v>17088571298</v>
      </c>
      <c r="O1390" s="48">
        <v>17088567297</v>
      </c>
      <c r="P1390" s="48" t="s">
        <v>125</v>
      </c>
      <c r="Q1390" s="49" t="s">
        <v>1663</v>
      </c>
      <c r="R1390" s="49">
        <v>17083126774</v>
      </c>
      <c r="S1390" s="49">
        <v>17083122741</v>
      </c>
      <c r="T1390" s="49" t="s">
        <v>125</v>
      </c>
      <c r="U1390" s="50" t="s">
        <v>1663</v>
      </c>
      <c r="V1390" s="50">
        <v>17083126774</v>
      </c>
      <c r="W1390" s="50">
        <v>17083122741</v>
      </c>
      <c r="X1390" s="50" t="s">
        <v>125</v>
      </c>
      <c r="Y1390" s="50">
        <v>120492</v>
      </c>
    </row>
    <row r="1391" spans="1:25" x14ac:dyDescent="0.25">
      <c r="A1391" s="25" t="s">
        <v>115</v>
      </c>
      <c r="B1391" t="b">
        <v>0</v>
      </c>
      <c r="C1391" s="43" t="s">
        <v>1664</v>
      </c>
      <c r="D1391" s="43">
        <v>318751</v>
      </c>
      <c r="E1391" s="43">
        <v>302148</v>
      </c>
      <c r="F1391" s="43" t="s">
        <v>132</v>
      </c>
      <c r="G1391" s="43" t="b">
        <v>0</v>
      </c>
      <c r="H1391" s="43" t="b">
        <v>0</v>
      </c>
      <c r="I1391" s="43"/>
      <c r="M1391" s="48" t="s">
        <v>1664</v>
      </c>
      <c r="N1391" s="48">
        <v>17088571746</v>
      </c>
      <c r="O1391" s="48">
        <v>17088568193</v>
      </c>
      <c r="P1391" s="48" t="s">
        <v>132</v>
      </c>
      <c r="Q1391" s="49" t="s">
        <v>1664</v>
      </c>
      <c r="R1391" s="49">
        <v>17083129358</v>
      </c>
      <c r="S1391" s="49">
        <v>17083123637</v>
      </c>
      <c r="T1391" s="49" t="s">
        <v>132</v>
      </c>
      <c r="U1391" s="50" t="s">
        <v>1664</v>
      </c>
      <c r="V1391" s="50">
        <v>17083129358</v>
      </c>
      <c r="W1391" s="50">
        <v>17083123637</v>
      </c>
      <c r="X1391" s="50" t="s">
        <v>132</v>
      </c>
      <c r="Y1391" s="50"/>
    </row>
    <row r="1392" spans="1:25" x14ac:dyDescent="0.25">
      <c r="A1392" s="25" t="s">
        <v>115</v>
      </c>
      <c r="B1392" t="b">
        <v>0</v>
      </c>
      <c r="C1392" s="43" t="s">
        <v>1665</v>
      </c>
      <c r="D1392" s="43">
        <v>316191</v>
      </c>
      <c r="E1392" s="43">
        <v>301012</v>
      </c>
      <c r="F1392" s="43" t="s">
        <v>119</v>
      </c>
      <c r="G1392" s="43" t="b">
        <v>0</v>
      </c>
      <c r="H1392" s="43" t="b">
        <v>0</v>
      </c>
      <c r="I1392" s="43"/>
      <c r="M1392" s="48" t="s">
        <v>1665</v>
      </c>
      <c r="N1392" s="48">
        <v>17088569700</v>
      </c>
      <c r="O1392" s="48">
        <v>17088568164</v>
      </c>
      <c r="P1392" s="48" t="s">
        <v>119</v>
      </c>
      <c r="Q1392" s="49" t="s">
        <v>1665</v>
      </c>
      <c r="R1392" s="49">
        <v>17083127578</v>
      </c>
      <c r="S1392" s="49">
        <v>17083121850</v>
      </c>
      <c r="T1392" s="49" t="s">
        <v>119</v>
      </c>
      <c r="U1392" s="50" t="s">
        <v>1665</v>
      </c>
      <c r="V1392" s="50">
        <v>17083127578</v>
      </c>
      <c r="W1392" s="50">
        <v>17083121850</v>
      </c>
      <c r="X1392" s="50" t="s">
        <v>119</v>
      </c>
      <c r="Y1392" s="50"/>
    </row>
    <row r="1393" spans="1:25" x14ac:dyDescent="0.25">
      <c r="A1393" s="25" t="s">
        <v>115</v>
      </c>
      <c r="B1393" t="b">
        <v>0</v>
      </c>
      <c r="C1393" s="43" t="s">
        <v>1666</v>
      </c>
      <c r="D1393" s="43">
        <v>318239</v>
      </c>
      <c r="E1393" s="43">
        <v>302020</v>
      </c>
      <c r="F1393" s="43" t="s">
        <v>132</v>
      </c>
      <c r="G1393" s="43" t="b">
        <v>0</v>
      </c>
      <c r="H1393" s="43" t="b">
        <v>0</v>
      </c>
      <c r="I1393" s="43"/>
      <c r="M1393" s="48" t="s">
        <v>1666</v>
      </c>
      <c r="N1393" s="48">
        <v>17088569698</v>
      </c>
      <c r="O1393" s="48">
        <v>17088566785</v>
      </c>
      <c r="P1393" s="48" t="s">
        <v>132</v>
      </c>
      <c r="Q1393" s="49" t="s">
        <v>1666</v>
      </c>
      <c r="R1393" s="49">
        <v>17083127310</v>
      </c>
      <c r="S1393" s="49">
        <v>17083125301</v>
      </c>
      <c r="T1393" s="49" t="s">
        <v>132</v>
      </c>
      <c r="U1393" s="50" t="s">
        <v>1666</v>
      </c>
      <c r="V1393" s="50">
        <v>17083127310</v>
      </c>
      <c r="W1393" s="50">
        <v>17083125301</v>
      </c>
      <c r="X1393" s="50" t="s">
        <v>132</v>
      </c>
      <c r="Y1393" s="50"/>
    </row>
    <row r="1394" spans="1:25" x14ac:dyDescent="0.25">
      <c r="A1394" s="25" t="s">
        <v>115</v>
      </c>
      <c r="B1394" t="b">
        <v>0</v>
      </c>
      <c r="C1394" s="43" t="s">
        <v>1667</v>
      </c>
      <c r="D1394" s="43">
        <v>317215</v>
      </c>
      <c r="E1394" s="43">
        <v>300756</v>
      </c>
      <c r="F1394" s="43" t="s">
        <v>123</v>
      </c>
      <c r="G1394" s="43" t="b">
        <v>0</v>
      </c>
      <c r="H1394" s="43" t="b">
        <v>0</v>
      </c>
      <c r="I1394" s="43"/>
      <c r="M1394" s="48" t="s">
        <v>1667</v>
      </c>
      <c r="N1394" s="48">
        <v>17088569708</v>
      </c>
      <c r="O1394" s="48">
        <v>17088567562</v>
      </c>
      <c r="P1394" s="48" t="s">
        <v>123</v>
      </c>
      <c r="Q1394" s="49" t="s">
        <v>1667</v>
      </c>
      <c r="R1394" s="49">
        <v>17083127238</v>
      </c>
      <c r="S1394" s="49">
        <v>17083125569</v>
      </c>
      <c r="T1394" s="49" t="s">
        <v>123</v>
      </c>
      <c r="U1394" s="50" t="s">
        <v>1667</v>
      </c>
      <c r="V1394" s="50">
        <v>17083127238</v>
      </c>
      <c r="W1394" s="50">
        <v>17083125569</v>
      </c>
      <c r="X1394" s="50" t="s">
        <v>123</v>
      </c>
      <c r="Y1394" s="50"/>
    </row>
    <row r="1395" spans="1:25" x14ac:dyDescent="0.25">
      <c r="A1395" s="25" t="s">
        <v>115</v>
      </c>
      <c r="B1395" t="b">
        <v>0</v>
      </c>
      <c r="C1395" s="43" t="s">
        <v>1668</v>
      </c>
      <c r="D1395" s="43">
        <v>319263</v>
      </c>
      <c r="E1395" s="43">
        <v>302260</v>
      </c>
      <c r="F1395" s="43" t="s">
        <v>186</v>
      </c>
      <c r="G1395" s="43" t="b">
        <v>0</v>
      </c>
      <c r="H1395" s="43" t="b">
        <v>0</v>
      </c>
      <c r="I1395" s="43"/>
      <c r="M1395" s="48" t="s">
        <v>1668</v>
      </c>
      <c r="N1395" s="48">
        <v>17088571300</v>
      </c>
      <c r="O1395" s="48">
        <v>17088567908</v>
      </c>
      <c r="P1395" s="48" t="s">
        <v>186</v>
      </c>
      <c r="Q1395" s="49" t="s">
        <v>1668</v>
      </c>
      <c r="R1395" s="49">
        <v>17083127834</v>
      </c>
      <c r="S1395" s="49">
        <v>17083121978</v>
      </c>
      <c r="T1395" s="49" t="s">
        <v>186</v>
      </c>
      <c r="U1395" s="50" t="s">
        <v>1668</v>
      </c>
      <c r="V1395" s="50">
        <v>17083127834</v>
      </c>
      <c r="W1395" s="50">
        <v>17083121978</v>
      </c>
      <c r="X1395" s="50" t="s">
        <v>186</v>
      </c>
      <c r="Y1395" s="50"/>
    </row>
    <row r="1396" spans="1:25" x14ac:dyDescent="0.25">
      <c r="A1396" s="25" t="s">
        <v>115</v>
      </c>
      <c r="B1396" t="b">
        <v>0</v>
      </c>
      <c r="C1396" s="43" t="s">
        <v>1669</v>
      </c>
      <c r="D1396" s="43">
        <v>315551</v>
      </c>
      <c r="E1396" s="43">
        <v>300612</v>
      </c>
      <c r="F1396" s="43" t="s">
        <v>119</v>
      </c>
      <c r="G1396" s="43" t="b">
        <v>0</v>
      </c>
      <c r="H1396" s="43" t="b">
        <v>0</v>
      </c>
      <c r="I1396" s="43"/>
      <c r="M1396" s="48" t="s">
        <v>1669</v>
      </c>
      <c r="N1396" s="48">
        <v>17088569442</v>
      </c>
      <c r="O1396" s="48">
        <v>17088565633</v>
      </c>
      <c r="P1396" s="48" t="s">
        <v>119</v>
      </c>
      <c r="Q1396" s="49" t="s">
        <v>1669</v>
      </c>
      <c r="R1396" s="49">
        <v>17086788446</v>
      </c>
      <c r="S1396" s="49">
        <v>17083124149</v>
      </c>
      <c r="T1396" s="49" t="s">
        <v>119</v>
      </c>
      <c r="U1396" s="50" t="s">
        <v>1669</v>
      </c>
      <c r="V1396" s="50">
        <v>17083125774</v>
      </c>
      <c r="W1396" s="50">
        <v>17083124149</v>
      </c>
      <c r="X1396" s="50" t="s">
        <v>119</v>
      </c>
      <c r="Y1396" s="50"/>
    </row>
    <row r="1397" spans="1:25" x14ac:dyDescent="0.25">
      <c r="A1397" s="25" t="s">
        <v>115</v>
      </c>
      <c r="B1397" t="b">
        <v>0</v>
      </c>
      <c r="C1397" s="43" t="s">
        <v>1670</v>
      </c>
      <c r="D1397" s="43">
        <v>317599</v>
      </c>
      <c r="E1397" s="43">
        <v>301764</v>
      </c>
      <c r="F1397" s="43" t="s">
        <v>119</v>
      </c>
      <c r="G1397" s="43" t="b">
        <v>0</v>
      </c>
      <c r="H1397" s="43" t="b">
        <v>0</v>
      </c>
      <c r="I1397" s="43"/>
      <c r="M1397" s="48" t="s">
        <v>1670</v>
      </c>
      <c r="N1397" s="48">
        <v>17088570594</v>
      </c>
      <c r="O1397" s="48">
        <v>17088567553</v>
      </c>
      <c r="P1397" s="48" t="s">
        <v>119</v>
      </c>
      <c r="Q1397" s="49" t="s">
        <v>1670</v>
      </c>
      <c r="R1397" s="49">
        <v>17086790494</v>
      </c>
      <c r="S1397" s="49">
        <v>17083122997</v>
      </c>
      <c r="T1397" s="49" t="s">
        <v>119</v>
      </c>
      <c r="U1397" s="50" t="s">
        <v>1670</v>
      </c>
      <c r="V1397" s="50">
        <v>17083127566</v>
      </c>
      <c r="W1397" s="50">
        <v>17083122997</v>
      </c>
      <c r="X1397" s="50" t="s">
        <v>119</v>
      </c>
      <c r="Y1397" s="50"/>
    </row>
    <row r="1398" spans="1:25" x14ac:dyDescent="0.25">
      <c r="A1398" s="25" t="s">
        <v>115</v>
      </c>
      <c r="B1398" t="b">
        <v>0</v>
      </c>
      <c r="C1398" s="43" t="s">
        <v>1671</v>
      </c>
      <c r="D1398" s="43">
        <v>316575</v>
      </c>
      <c r="E1398" s="43">
        <v>299124</v>
      </c>
      <c r="F1398" s="43" t="s">
        <v>142</v>
      </c>
      <c r="G1398" s="43" t="b">
        <v>0</v>
      </c>
      <c r="H1398" s="43" t="b">
        <v>0</v>
      </c>
      <c r="I1398" s="43"/>
      <c r="M1398" s="48" t="s">
        <v>1671</v>
      </c>
      <c r="N1398" s="48">
        <v>17088573028</v>
      </c>
      <c r="O1398" s="48">
        <v>17088568740</v>
      </c>
      <c r="P1398" s="48" t="s">
        <v>142</v>
      </c>
      <c r="Q1398" s="49" t="s">
        <v>1671</v>
      </c>
      <c r="R1398" s="49">
        <v>17083128602</v>
      </c>
      <c r="S1398" s="49">
        <v>17083123674</v>
      </c>
      <c r="T1398" s="49" t="s">
        <v>142</v>
      </c>
      <c r="U1398" s="50" t="s">
        <v>1671</v>
      </c>
      <c r="V1398" s="50">
        <v>17083128602</v>
      </c>
      <c r="W1398" s="50">
        <v>17083123674</v>
      </c>
      <c r="X1398" s="50" t="s">
        <v>142</v>
      </c>
      <c r="Y1398" s="50"/>
    </row>
    <row r="1399" spans="1:25" x14ac:dyDescent="0.25">
      <c r="A1399" s="25" t="s">
        <v>115</v>
      </c>
      <c r="B1399" t="b">
        <v>0</v>
      </c>
      <c r="C1399" s="43" t="s">
        <v>1672</v>
      </c>
      <c r="D1399" s="43">
        <v>318623</v>
      </c>
      <c r="E1399" s="43">
        <v>301620</v>
      </c>
      <c r="F1399" s="43" t="s">
        <v>119</v>
      </c>
      <c r="G1399" s="43" t="b">
        <v>0</v>
      </c>
      <c r="H1399" s="43" t="b">
        <v>0</v>
      </c>
      <c r="I1399" s="43"/>
      <c r="M1399" s="48" t="s">
        <v>1672</v>
      </c>
      <c r="N1399" s="48">
        <v>17088572324</v>
      </c>
      <c r="O1399" s="48">
        <v>17088565604</v>
      </c>
      <c r="P1399" s="48" t="s">
        <v>119</v>
      </c>
      <c r="Q1399" s="49" t="s">
        <v>1672</v>
      </c>
      <c r="R1399" s="49">
        <v>17083125786</v>
      </c>
      <c r="S1399" s="49">
        <v>17083125050</v>
      </c>
      <c r="T1399" s="49" t="s">
        <v>119</v>
      </c>
      <c r="U1399" s="50" t="s">
        <v>1672</v>
      </c>
      <c r="V1399" s="50">
        <v>17083125786</v>
      </c>
      <c r="W1399" s="50">
        <v>17083125050</v>
      </c>
      <c r="X1399" s="50" t="s">
        <v>119</v>
      </c>
      <c r="Y1399" s="50"/>
    </row>
    <row r="1400" spans="1:25" x14ac:dyDescent="0.25">
      <c r="A1400" s="25" t="s">
        <v>115</v>
      </c>
      <c r="B1400" t="b">
        <v>0</v>
      </c>
      <c r="C1400" s="43" t="s">
        <v>1673</v>
      </c>
      <c r="D1400" s="43">
        <v>316063</v>
      </c>
      <c r="E1400" s="43">
        <v>301396</v>
      </c>
      <c r="F1400" s="43" t="s">
        <v>123</v>
      </c>
      <c r="G1400" s="43" t="b">
        <v>0</v>
      </c>
      <c r="H1400" s="43" t="b">
        <v>0</v>
      </c>
      <c r="I1400" s="43"/>
      <c r="M1400" s="48" t="s">
        <v>1673</v>
      </c>
      <c r="N1400" s="48">
        <v>17088572780</v>
      </c>
      <c r="O1400" s="48">
        <v>17088567050</v>
      </c>
      <c r="P1400" s="48" t="s">
        <v>123</v>
      </c>
      <c r="Q1400" s="49" t="s">
        <v>1673</v>
      </c>
      <c r="R1400" s="49">
        <v>17083127846</v>
      </c>
      <c r="S1400" s="49">
        <v>17083122369</v>
      </c>
      <c r="T1400" s="49" t="s">
        <v>123</v>
      </c>
      <c r="U1400" s="50" t="s">
        <v>1673</v>
      </c>
      <c r="V1400" s="50">
        <v>17083127846</v>
      </c>
      <c r="W1400" s="50">
        <v>17083122369</v>
      </c>
      <c r="X1400" s="50" t="s">
        <v>123</v>
      </c>
      <c r="Y1400" s="50"/>
    </row>
    <row r="1401" spans="1:25" x14ac:dyDescent="0.25">
      <c r="A1401" s="25" t="s">
        <v>115</v>
      </c>
      <c r="B1401" t="b">
        <v>0</v>
      </c>
      <c r="C1401" s="43" t="s">
        <v>1674</v>
      </c>
      <c r="D1401" s="43">
        <v>318111</v>
      </c>
      <c r="E1401" s="43">
        <v>302196</v>
      </c>
      <c r="F1401" s="43" t="s">
        <v>186</v>
      </c>
      <c r="G1401" s="43" t="b">
        <v>0</v>
      </c>
      <c r="H1401" s="43" t="b">
        <v>0</v>
      </c>
      <c r="I1401" s="43"/>
      <c r="M1401" s="48" t="s">
        <v>1674</v>
      </c>
      <c r="N1401" s="48">
        <v>17088571684</v>
      </c>
      <c r="O1401" s="48">
        <v>17088565668</v>
      </c>
      <c r="P1401" s="48" t="s">
        <v>186</v>
      </c>
      <c r="Q1401" s="49" t="s">
        <v>1674</v>
      </c>
      <c r="R1401" s="49">
        <v>17083128938</v>
      </c>
      <c r="S1401" s="49">
        <v>17083125210</v>
      </c>
      <c r="T1401" s="49" t="s">
        <v>186</v>
      </c>
      <c r="U1401" s="50" t="s">
        <v>1674</v>
      </c>
      <c r="V1401" s="50">
        <v>17083128938</v>
      </c>
      <c r="W1401" s="50">
        <v>17083125210</v>
      </c>
      <c r="X1401" s="50" t="s">
        <v>186</v>
      </c>
      <c r="Y1401" s="50"/>
    </row>
    <row r="1402" spans="1:25" x14ac:dyDescent="0.25">
      <c r="A1402" s="25" t="s">
        <v>115</v>
      </c>
      <c r="B1402" t="b">
        <v>0</v>
      </c>
      <c r="C1402" s="43" t="s">
        <v>1675</v>
      </c>
      <c r="D1402" s="43">
        <v>317087</v>
      </c>
      <c r="E1402" s="43">
        <v>300724</v>
      </c>
      <c r="F1402" s="43" t="s">
        <v>383</v>
      </c>
      <c r="G1402" s="43" t="b">
        <v>0</v>
      </c>
      <c r="H1402" s="43" t="b">
        <v>0</v>
      </c>
      <c r="I1402" s="43"/>
      <c r="M1402" s="48" t="s">
        <v>1675</v>
      </c>
      <c r="N1402" s="48">
        <v>17088573092</v>
      </c>
      <c r="O1402" s="48">
        <v>17088567204</v>
      </c>
      <c r="P1402" s="48" t="s">
        <v>383</v>
      </c>
      <c r="Q1402" s="49" t="s">
        <v>1675</v>
      </c>
      <c r="R1402" s="49">
        <v>17083127274</v>
      </c>
      <c r="S1402" s="49">
        <v>17083123770</v>
      </c>
      <c r="T1402" s="49" t="s">
        <v>383</v>
      </c>
      <c r="U1402" s="50" t="s">
        <v>1675</v>
      </c>
      <c r="V1402" s="50">
        <v>17083127274</v>
      </c>
      <c r="W1402" s="50">
        <v>17083123770</v>
      </c>
      <c r="X1402" s="50" t="s">
        <v>383</v>
      </c>
      <c r="Y1402" s="50"/>
    </row>
    <row r="1403" spans="1:25" x14ac:dyDescent="0.25">
      <c r="A1403" s="25" t="s">
        <v>115</v>
      </c>
      <c r="B1403" t="b">
        <v>0</v>
      </c>
      <c r="C1403" s="43" t="s">
        <v>1676</v>
      </c>
      <c r="D1403" s="43">
        <v>319135</v>
      </c>
      <c r="E1403" s="43">
        <v>299172</v>
      </c>
      <c r="F1403" s="43" t="s">
        <v>123</v>
      </c>
      <c r="G1403" s="43" t="b">
        <v>1</v>
      </c>
      <c r="H1403" s="43" t="b">
        <v>0</v>
      </c>
      <c r="I1403" s="43" t="s">
        <v>126</v>
      </c>
      <c r="M1403" s="48" t="s">
        <v>1676</v>
      </c>
      <c r="N1403" s="48">
        <v>17088572834</v>
      </c>
      <c r="O1403" s="48">
        <v>17088569086</v>
      </c>
      <c r="P1403" s="48" t="s">
        <v>123</v>
      </c>
      <c r="Q1403" s="49" t="s">
        <v>1676</v>
      </c>
      <c r="R1403" s="49">
        <v>17086787934</v>
      </c>
      <c r="S1403" s="49">
        <v>17083122133</v>
      </c>
      <c r="T1403" s="49" t="s">
        <v>123</v>
      </c>
      <c r="U1403" s="50" t="s">
        <v>1676</v>
      </c>
      <c r="V1403" s="50">
        <v>17083128310</v>
      </c>
      <c r="W1403" s="50">
        <v>17083122133</v>
      </c>
      <c r="X1403" s="50" t="s">
        <v>123</v>
      </c>
      <c r="Y1403" s="50">
        <v>140401</v>
      </c>
    </row>
    <row r="1404" spans="1:25" x14ac:dyDescent="0.25">
      <c r="A1404" s="25" t="s">
        <v>115</v>
      </c>
      <c r="B1404" t="b">
        <v>0</v>
      </c>
      <c r="C1404" s="43" t="s">
        <v>1677</v>
      </c>
      <c r="D1404" s="43">
        <v>315807</v>
      </c>
      <c r="E1404" s="43">
        <v>299204</v>
      </c>
      <c r="F1404" s="43" t="s">
        <v>119</v>
      </c>
      <c r="G1404" s="43" t="b">
        <v>0</v>
      </c>
      <c r="H1404" s="43" t="b">
        <v>0</v>
      </c>
      <c r="I1404" s="43"/>
      <c r="M1404" s="48" t="s">
        <v>1677</v>
      </c>
      <c r="N1404" s="48">
        <v>17088572258</v>
      </c>
      <c r="O1404" s="48">
        <v>17088567041</v>
      </c>
      <c r="P1404" s="48" t="s">
        <v>119</v>
      </c>
      <c r="Q1404" s="49" t="s">
        <v>1677</v>
      </c>
      <c r="R1404" s="49">
        <v>17086789982</v>
      </c>
      <c r="S1404" s="49">
        <v>17083125557</v>
      </c>
      <c r="T1404" s="49" t="s">
        <v>119</v>
      </c>
      <c r="U1404" s="50" t="s">
        <v>1677</v>
      </c>
      <c r="V1404" s="50">
        <v>17083128590</v>
      </c>
      <c r="W1404" s="50">
        <v>17083125557</v>
      </c>
      <c r="X1404" s="50" t="s">
        <v>119</v>
      </c>
      <c r="Y1404" s="50"/>
    </row>
    <row r="1405" spans="1:25" x14ac:dyDescent="0.25">
      <c r="A1405" s="25" t="s">
        <v>115</v>
      </c>
      <c r="B1405" t="b">
        <v>0</v>
      </c>
      <c r="C1405" s="43" t="s">
        <v>1678</v>
      </c>
      <c r="D1405" s="43">
        <v>317855</v>
      </c>
      <c r="E1405" s="43">
        <v>300824</v>
      </c>
      <c r="F1405" s="43" t="s">
        <v>123</v>
      </c>
      <c r="G1405" s="43" t="b">
        <v>0</v>
      </c>
      <c r="H1405" s="43" t="b">
        <v>0</v>
      </c>
      <c r="I1405" s="43"/>
      <c r="M1405" s="48" t="s">
        <v>1678</v>
      </c>
      <c r="N1405" s="48">
        <v>17088570866</v>
      </c>
      <c r="O1405" s="48">
        <v>17088567257</v>
      </c>
      <c r="P1405" s="48" t="s">
        <v>123</v>
      </c>
      <c r="Q1405" s="49" t="s">
        <v>1678</v>
      </c>
      <c r="R1405" s="49">
        <v>17083128558</v>
      </c>
      <c r="S1405" s="49">
        <v>17083123587</v>
      </c>
      <c r="T1405" s="49" t="s">
        <v>123</v>
      </c>
      <c r="U1405" s="50" t="s">
        <v>1678</v>
      </c>
      <c r="V1405" s="50">
        <v>17083128558</v>
      </c>
      <c r="W1405" s="50">
        <v>17083123587</v>
      </c>
      <c r="X1405" s="50" t="s">
        <v>123</v>
      </c>
      <c r="Y1405" s="50"/>
    </row>
    <row r="1406" spans="1:25" x14ac:dyDescent="0.25">
      <c r="A1406" s="25" t="s">
        <v>115</v>
      </c>
      <c r="B1406" t="b">
        <v>0</v>
      </c>
      <c r="C1406" s="43" t="s">
        <v>1679</v>
      </c>
      <c r="D1406" s="43">
        <v>316319</v>
      </c>
      <c r="E1406" s="43">
        <v>301804</v>
      </c>
      <c r="F1406" s="43" t="s">
        <v>186</v>
      </c>
      <c r="G1406" s="43" t="b">
        <v>0</v>
      </c>
      <c r="H1406" s="43" t="b">
        <v>0</v>
      </c>
      <c r="I1406" s="43"/>
      <c r="M1406" s="48" t="s">
        <v>1679</v>
      </c>
      <c r="N1406" s="48">
        <v>17088572564</v>
      </c>
      <c r="O1406" s="48">
        <v>17088568436</v>
      </c>
      <c r="P1406" s="48" t="s">
        <v>186</v>
      </c>
      <c r="Q1406" s="49" t="s">
        <v>1679</v>
      </c>
      <c r="R1406" s="49">
        <v>17083128026</v>
      </c>
      <c r="S1406" s="49">
        <v>17083124902</v>
      </c>
      <c r="T1406" s="49" t="s">
        <v>186</v>
      </c>
      <c r="U1406" s="50" t="s">
        <v>1679</v>
      </c>
      <c r="V1406" s="50">
        <v>17083128026</v>
      </c>
      <c r="W1406" s="50">
        <v>17083124902</v>
      </c>
      <c r="X1406" s="50" t="s">
        <v>186</v>
      </c>
      <c r="Y1406" s="50"/>
    </row>
    <row r="1407" spans="1:25" x14ac:dyDescent="0.25">
      <c r="A1407" s="25" t="s">
        <v>115</v>
      </c>
      <c r="B1407" t="b">
        <v>0</v>
      </c>
      <c r="C1407" s="43" t="s">
        <v>1680</v>
      </c>
      <c r="D1407" s="43">
        <v>318367</v>
      </c>
      <c r="E1407" s="43">
        <v>300300</v>
      </c>
      <c r="F1407" s="43" t="s">
        <v>117</v>
      </c>
      <c r="G1407" s="43" t="b">
        <v>0</v>
      </c>
      <c r="H1407" s="43" t="b">
        <v>0</v>
      </c>
      <c r="I1407" s="43"/>
      <c r="M1407" s="48" t="s">
        <v>1680</v>
      </c>
      <c r="N1407" s="48">
        <v>17088571924</v>
      </c>
      <c r="O1407" s="48">
        <v>17088566668</v>
      </c>
      <c r="P1407" s="48" t="s">
        <v>117</v>
      </c>
      <c r="Q1407" s="49" t="s">
        <v>1680</v>
      </c>
      <c r="R1407" s="49">
        <v>17083127386</v>
      </c>
      <c r="S1407" s="49">
        <v>17083122966</v>
      </c>
      <c r="T1407" s="49" t="s">
        <v>117</v>
      </c>
      <c r="U1407" s="50" t="s">
        <v>1680</v>
      </c>
      <c r="V1407" s="50">
        <v>17083127386</v>
      </c>
      <c r="W1407" s="50">
        <v>17083122966</v>
      </c>
      <c r="X1407" s="50" t="s">
        <v>117</v>
      </c>
      <c r="Y1407" s="50"/>
    </row>
    <row r="1408" spans="1:25" x14ac:dyDescent="0.25">
      <c r="A1408" s="25" t="s">
        <v>115</v>
      </c>
      <c r="B1408" t="b">
        <v>0</v>
      </c>
      <c r="C1408" s="43" t="s">
        <v>1681</v>
      </c>
      <c r="D1408" s="43">
        <v>317343</v>
      </c>
      <c r="E1408" s="43">
        <v>300820</v>
      </c>
      <c r="F1408" s="43" t="s">
        <v>123</v>
      </c>
      <c r="G1408" s="43" t="b">
        <v>1</v>
      </c>
      <c r="H1408" s="43" t="b">
        <v>0</v>
      </c>
      <c r="I1408" s="43"/>
      <c r="M1408" s="48" t="s">
        <v>1681</v>
      </c>
      <c r="N1408" s="48">
        <v>17088570130</v>
      </c>
      <c r="O1408" s="48">
        <v>17088565649</v>
      </c>
      <c r="P1408" s="48" t="s">
        <v>123</v>
      </c>
      <c r="Q1408" s="49" t="s">
        <v>1681</v>
      </c>
      <c r="R1408" s="49">
        <v>17083126094</v>
      </c>
      <c r="S1408" s="49">
        <v>17083125453</v>
      </c>
      <c r="T1408" s="49" t="s">
        <v>123</v>
      </c>
      <c r="U1408" s="50" t="s">
        <v>1681</v>
      </c>
      <c r="V1408" s="50">
        <v>17083126094</v>
      </c>
      <c r="W1408" s="50">
        <v>17083125453</v>
      </c>
      <c r="X1408" s="50" t="s">
        <v>123</v>
      </c>
      <c r="Y1408" s="50">
        <v>150056</v>
      </c>
    </row>
    <row r="1409" spans="1:25" x14ac:dyDescent="0.25">
      <c r="A1409" s="25" t="s">
        <v>115</v>
      </c>
      <c r="B1409" t="b">
        <v>0</v>
      </c>
      <c r="C1409" s="43" t="s">
        <v>1682</v>
      </c>
      <c r="D1409" s="43">
        <v>318559</v>
      </c>
      <c r="E1409" s="43">
        <v>301036</v>
      </c>
      <c r="F1409" s="43" t="s">
        <v>383</v>
      </c>
      <c r="G1409" s="43" t="b">
        <v>0</v>
      </c>
      <c r="H1409" s="43" t="b">
        <v>0</v>
      </c>
      <c r="I1409" s="43"/>
      <c r="M1409" s="48" t="s">
        <v>1682</v>
      </c>
      <c r="N1409" s="48">
        <v>17088572116</v>
      </c>
      <c r="O1409" s="48">
        <v>17088566196</v>
      </c>
      <c r="P1409" s="48" t="s">
        <v>383</v>
      </c>
      <c r="Q1409" s="49" t="s">
        <v>1682</v>
      </c>
      <c r="R1409" s="49">
        <v>17083127994</v>
      </c>
      <c r="S1409" s="49">
        <v>17083122470</v>
      </c>
      <c r="T1409" s="49" t="s">
        <v>383</v>
      </c>
      <c r="U1409" s="50" t="s">
        <v>1682</v>
      </c>
      <c r="V1409" s="50">
        <v>17083127994</v>
      </c>
      <c r="W1409" s="50">
        <v>17083122470</v>
      </c>
      <c r="X1409" s="50" t="s">
        <v>383</v>
      </c>
      <c r="Y1409" s="50"/>
    </row>
    <row r="1410" spans="1:25" x14ac:dyDescent="0.25">
      <c r="A1410" s="25" t="s">
        <v>115</v>
      </c>
      <c r="B1410" t="b">
        <v>0</v>
      </c>
      <c r="C1410" s="43" t="s">
        <v>1683</v>
      </c>
      <c r="D1410" s="43">
        <v>315999</v>
      </c>
      <c r="E1410" s="43">
        <v>302132</v>
      </c>
      <c r="F1410" s="43" t="s">
        <v>383</v>
      </c>
      <c r="G1410" s="43" t="b">
        <v>0</v>
      </c>
      <c r="H1410" s="43" t="b">
        <v>0</v>
      </c>
      <c r="I1410" s="43"/>
      <c r="M1410" s="48" t="s">
        <v>1683</v>
      </c>
      <c r="N1410" s="48">
        <v>17088571740</v>
      </c>
      <c r="O1410" s="48">
        <v>17088567174</v>
      </c>
      <c r="P1410" s="48" t="s">
        <v>383</v>
      </c>
      <c r="Q1410" s="49" t="s">
        <v>1683</v>
      </c>
      <c r="R1410" s="49">
        <v>17083128854</v>
      </c>
      <c r="S1410" s="49">
        <v>17083124681</v>
      </c>
      <c r="T1410" s="49" t="s">
        <v>383</v>
      </c>
      <c r="U1410" s="50" t="s">
        <v>1683</v>
      </c>
      <c r="V1410" s="50">
        <v>17083128854</v>
      </c>
      <c r="W1410" s="50">
        <v>17083124681</v>
      </c>
      <c r="X1410" s="50" t="s">
        <v>383</v>
      </c>
      <c r="Y1410" s="50"/>
    </row>
    <row r="1411" spans="1:25" x14ac:dyDescent="0.25">
      <c r="A1411" s="25" t="s">
        <v>115</v>
      </c>
      <c r="B1411" t="b">
        <v>0</v>
      </c>
      <c r="C1411" s="43" t="s">
        <v>1684</v>
      </c>
      <c r="D1411" s="43">
        <v>318047</v>
      </c>
      <c r="E1411" s="43">
        <v>302484</v>
      </c>
      <c r="F1411" s="43" t="s">
        <v>173</v>
      </c>
      <c r="G1411" s="43" t="b">
        <v>0</v>
      </c>
      <c r="H1411" s="43" t="b">
        <v>0</v>
      </c>
      <c r="I1411" s="43"/>
      <c r="M1411" s="48" t="s">
        <v>1684</v>
      </c>
      <c r="N1411" s="48">
        <v>17088570898</v>
      </c>
      <c r="O1411" s="48">
        <v>17088569105</v>
      </c>
      <c r="P1411" s="48" t="s">
        <v>173</v>
      </c>
      <c r="Q1411" s="49" t="s">
        <v>1684</v>
      </c>
      <c r="R1411" s="49">
        <v>17083125838</v>
      </c>
      <c r="S1411" s="49">
        <v>17083123533</v>
      </c>
      <c r="T1411" s="49" t="s">
        <v>173</v>
      </c>
      <c r="U1411" s="50" t="s">
        <v>1684</v>
      </c>
      <c r="V1411" s="50">
        <v>17083125838</v>
      </c>
      <c r="W1411" s="50">
        <v>17083123533</v>
      </c>
      <c r="X1411" s="50" t="s">
        <v>173</v>
      </c>
      <c r="Y1411" s="50"/>
    </row>
    <row r="1412" spans="1:25" x14ac:dyDescent="0.25">
      <c r="A1412" s="25" t="s">
        <v>115</v>
      </c>
      <c r="B1412" t="b">
        <v>0</v>
      </c>
      <c r="C1412" s="43" t="s">
        <v>1685</v>
      </c>
      <c r="D1412" s="43">
        <v>319672</v>
      </c>
      <c r="E1412" s="43">
        <v>301029</v>
      </c>
      <c r="F1412" s="43" t="s">
        <v>119</v>
      </c>
      <c r="G1412" s="43" t="b">
        <v>0</v>
      </c>
      <c r="H1412" s="43" t="b">
        <v>0</v>
      </c>
      <c r="I1412" s="43"/>
      <c r="M1412" s="48" t="s">
        <v>1685</v>
      </c>
      <c r="N1412" s="48">
        <v>17088570238</v>
      </c>
      <c r="O1412" s="48">
        <v>17088561323</v>
      </c>
      <c r="P1412" s="48" t="s">
        <v>119</v>
      </c>
      <c r="Q1412" s="49" t="s">
        <v>1685</v>
      </c>
      <c r="R1412" s="49">
        <v>17083127186</v>
      </c>
      <c r="S1412" s="49">
        <v>17083122544</v>
      </c>
      <c r="T1412" s="49" t="s">
        <v>119</v>
      </c>
      <c r="U1412" s="50" t="s">
        <v>1685</v>
      </c>
      <c r="V1412" s="50">
        <v>17083127186</v>
      </c>
      <c r="W1412" s="50">
        <v>17083122544</v>
      </c>
      <c r="X1412" s="50" t="s">
        <v>119</v>
      </c>
      <c r="Y1412" s="50"/>
    </row>
    <row r="1413" spans="1:25" x14ac:dyDescent="0.25">
      <c r="A1413" s="25" t="s">
        <v>115</v>
      </c>
      <c r="B1413" t="b">
        <v>0</v>
      </c>
      <c r="C1413" s="43" t="s">
        <v>1686</v>
      </c>
      <c r="D1413" s="43">
        <v>321720</v>
      </c>
      <c r="E1413" s="43">
        <v>299203</v>
      </c>
      <c r="F1413" s="43" t="s">
        <v>117</v>
      </c>
      <c r="G1413" s="43" t="b">
        <v>1</v>
      </c>
      <c r="H1413" s="43" t="b">
        <v>0</v>
      </c>
      <c r="I1413" s="43"/>
      <c r="M1413" s="48" t="s">
        <v>1686</v>
      </c>
      <c r="N1413" s="48">
        <v>17088570586</v>
      </c>
      <c r="O1413" s="48">
        <v>17088567839</v>
      </c>
      <c r="P1413" s="48" t="s">
        <v>117</v>
      </c>
      <c r="Q1413" s="49" t="s">
        <v>1686</v>
      </c>
      <c r="R1413" s="49">
        <v>17083129505</v>
      </c>
      <c r="S1413" s="49">
        <v>17083126040</v>
      </c>
      <c r="T1413" s="49" t="s">
        <v>117</v>
      </c>
      <c r="U1413" s="50" t="s">
        <v>1686</v>
      </c>
      <c r="V1413" s="50">
        <v>17083129505</v>
      </c>
      <c r="W1413" s="50">
        <v>17083126040</v>
      </c>
      <c r="X1413" s="50" t="s">
        <v>117</v>
      </c>
      <c r="Y1413" s="50">
        <v>150046</v>
      </c>
    </row>
    <row r="1414" spans="1:25" x14ac:dyDescent="0.25">
      <c r="A1414" s="25" t="s">
        <v>115</v>
      </c>
      <c r="B1414" t="b">
        <v>0</v>
      </c>
      <c r="C1414" s="43" t="s">
        <v>1687</v>
      </c>
      <c r="D1414" s="43">
        <v>322744</v>
      </c>
      <c r="E1414" s="43">
        <v>299821</v>
      </c>
      <c r="F1414" s="43" t="s">
        <v>186</v>
      </c>
      <c r="G1414" s="43" t="b">
        <v>0</v>
      </c>
      <c r="H1414" s="43" t="b">
        <v>0</v>
      </c>
      <c r="I1414" s="43"/>
      <c r="M1414" s="48" t="s">
        <v>1687</v>
      </c>
      <c r="N1414" s="48">
        <v>17088569870</v>
      </c>
      <c r="O1414" s="48">
        <v>17088559756</v>
      </c>
      <c r="P1414" s="48" t="s">
        <v>186</v>
      </c>
      <c r="Q1414" s="49" t="s">
        <v>1687</v>
      </c>
      <c r="R1414" s="49">
        <v>17083128153</v>
      </c>
      <c r="S1414" s="49">
        <v>17083089066</v>
      </c>
      <c r="T1414" s="49" t="s">
        <v>186</v>
      </c>
      <c r="U1414" s="50" t="s">
        <v>1687</v>
      </c>
      <c r="V1414" s="50">
        <v>17083128153</v>
      </c>
      <c r="W1414" s="50">
        <v>17083089066</v>
      </c>
      <c r="X1414" s="50" t="s">
        <v>186</v>
      </c>
      <c r="Y1414" s="50"/>
    </row>
    <row r="1415" spans="1:25" x14ac:dyDescent="0.25">
      <c r="A1415" s="25" t="s">
        <v>115</v>
      </c>
      <c r="B1415" t="b">
        <v>0</v>
      </c>
      <c r="C1415" s="43" t="s">
        <v>1688</v>
      </c>
      <c r="D1415" s="43">
        <v>320184</v>
      </c>
      <c r="E1415" s="43">
        <v>299661</v>
      </c>
      <c r="F1415" s="43" t="s">
        <v>125</v>
      </c>
      <c r="G1415" s="43" t="b">
        <v>0</v>
      </c>
      <c r="H1415" s="43" t="b">
        <v>0</v>
      </c>
      <c r="I1415" s="43"/>
      <c r="M1415" s="48" t="s">
        <v>1688</v>
      </c>
      <c r="N1415" s="48">
        <v>17088572798</v>
      </c>
      <c r="O1415" s="48">
        <v>17088563595</v>
      </c>
      <c r="P1415" s="48" t="s">
        <v>125</v>
      </c>
      <c r="Q1415" s="49" t="s">
        <v>1688</v>
      </c>
      <c r="R1415" s="49">
        <v>17083128210</v>
      </c>
      <c r="S1415" s="49">
        <v>17083125456</v>
      </c>
      <c r="T1415" s="49" t="s">
        <v>125</v>
      </c>
      <c r="U1415" s="50" t="s">
        <v>1688</v>
      </c>
      <c r="V1415" s="50">
        <v>17083128210</v>
      </c>
      <c r="W1415" s="50">
        <v>17083125456</v>
      </c>
      <c r="X1415" s="50" t="s">
        <v>125</v>
      </c>
      <c r="Y1415" s="50"/>
    </row>
    <row r="1416" spans="1:25" x14ac:dyDescent="0.25">
      <c r="A1416" s="25" t="b">
        <v>1</v>
      </c>
      <c r="B1416" t="b">
        <v>0</v>
      </c>
      <c r="C1416" s="43" t="s">
        <v>1689</v>
      </c>
      <c r="D1416" s="43">
        <v>322232</v>
      </c>
      <c r="E1416" s="43">
        <v>300885</v>
      </c>
      <c r="F1416" s="43" t="s">
        <v>173</v>
      </c>
      <c r="G1416" s="43" t="b">
        <v>0</v>
      </c>
      <c r="H1416" s="43" t="b">
        <v>0</v>
      </c>
      <c r="I1416" s="43"/>
      <c r="J1416" s="45" t="s">
        <v>1689</v>
      </c>
      <c r="K1416" s="46">
        <v>300885</v>
      </c>
      <c r="M1416" s="48" t="s">
        <v>1689</v>
      </c>
      <c r="N1416" s="48">
        <v>17088571134</v>
      </c>
      <c r="O1416" s="48">
        <v>17088561451</v>
      </c>
      <c r="P1416" s="48" t="s">
        <v>173</v>
      </c>
      <c r="Q1416" s="49" t="s">
        <v>1689</v>
      </c>
      <c r="R1416" s="49">
        <v>17083127890</v>
      </c>
      <c r="S1416" s="49">
        <v>17083122288</v>
      </c>
      <c r="T1416" s="49" t="s">
        <v>173</v>
      </c>
      <c r="U1416" s="50" t="s">
        <v>1689</v>
      </c>
      <c r="V1416" s="50">
        <v>17083127890</v>
      </c>
      <c r="W1416" s="50">
        <v>17083122288</v>
      </c>
      <c r="X1416" s="50" t="s">
        <v>173</v>
      </c>
      <c r="Y1416" s="50"/>
    </row>
    <row r="1417" spans="1:25" x14ac:dyDescent="0.25">
      <c r="A1417" s="25" t="s">
        <v>115</v>
      </c>
      <c r="B1417" t="b">
        <v>0</v>
      </c>
      <c r="C1417" s="43" t="s">
        <v>1690</v>
      </c>
      <c r="D1417" s="43">
        <v>321208</v>
      </c>
      <c r="E1417" s="43">
        <v>301565</v>
      </c>
      <c r="F1417" s="43" t="s">
        <v>132</v>
      </c>
      <c r="G1417" s="43" t="b">
        <v>0</v>
      </c>
      <c r="H1417" s="43" t="b">
        <v>0</v>
      </c>
      <c r="I1417" s="43"/>
      <c r="M1417" s="48" t="s">
        <v>1690</v>
      </c>
      <c r="N1417" s="48">
        <v>17088571962</v>
      </c>
      <c r="O1417" s="48">
        <v>17088566431</v>
      </c>
      <c r="P1417" s="48" t="s">
        <v>132</v>
      </c>
      <c r="Q1417" s="49" t="s">
        <v>1690</v>
      </c>
      <c r="R1417" s="49">
        <v>17083127265</v>
      </c>
      <c r="S1417" s="49">
        <v>17083128472</v>
      </c>
      <c r="T1417" s="49" t="s">
        <v>132</v>
      </c>
      <c r="U1417" s="50" t="s">
        <v>1690</v>
      </c>
      <c r="V1417" s="50">
        <v>17083127265</v>
      </c>
      <c r="W1417" s="50">
        <v>17083128472</v>
      </c>
      <c r="X1417" s="50" t="s">
        <v>132</v>
      </c>
      <c r="Y1417" s="50"/>
    </row>
    <row r="1418" spans="1:25" x14ac:dyDescent="0.25">
      <c r="A1418" s="25" t="s">
        <v>248</v>
      </c>
      <c r="B1418" t="b">
        <v>0</v>
      </c>
      <c r="C1418" s="43" t="s">
        <v>1691</v>
      </c>
      <c r="D1418" s="43">
        <v>323256</v>
      </c>
      <c r="E1418" s="43">
        <v>300355</v>
      </c>
      <c r="F1418" s="43" t="s">
        <v>173</v>
      </c>
      <c r="G1418" s="43" t="b">
        <v>0</v>
      </c>
      <c r="H1418" s="43" t="b">
        <v>0</v>
      </c>
      <c r="I1418" s="43"/>
      <c r="J1418" s="45" t="s">
        <v>1691</v>
      </c>
      <c r="K1418" s="46">
        <v>300355</v>
      </c>
      <c r="L1418" s="47">
        <v>990000264</v>
      </c>
      <c r="M1418" s="48" t="s">
        <v>1691</v>
      </c>
      <c r="N1418" s="48">
        <v>17088569402</v>
      </c>
      <c r="O1418" s="48">
        <v>17088569119</v>
      </c>
      <c r="P1418" s="48" t="s">
        <v>173</v>
      </c>
      <c r="Q1418" s="49" t="s">
        <v>1691</v>
      </c>
      <c r="R1418" s="49">
        <v>17083127009</v>
      </c>
      <c r="S1418" s="49">
        <v>17083126936</v>
      </c>
      <c r="T1418" s="49" t="s">
        <v>173</v>
      </c>
      <c r="U1418" s="50" t="s">
        <v>1691</v>
      </c>
      <c r="V1418" s="50">
        <v>17083127009</v>
      </c>
      <c r="W1418" s="50">
        <v>17083126936</v>
      </c>
      <c r="X1418" s="50" t="s">
        <v>173</v>
      </c>
      <c r="Y1418" s="50"/>
    </row>
    <row r="1419" spans="1:25" x14ac:dyDescent="0.25">
      <c r="A1419" s="25" t="s">
        <v>248</v>
      </c>
      <c r="B1419" t="b">
        <v>0</v>
      </c>
      <c r="C1419" s="43" t="s">
        <v>1692</v>
      </c>
      <c r="D1419" s="43">
        <v>319928</v>
      </c>
      <c r="E1419" s="43">
        <v>301797</v>
      </c>
      <c r="F1419" s="43" t="s">
        <v>123</v>
      </c>
      <c r="G1419" s="43" t="b">
        <v>0</v>
      </c>
      <c r="H1419" s="43" t="b">
        <v>0</v>
      </c>
      <c r="I1419" s="43"/>
      <c r="J1419" s="45" t="s">
        <v>1692</v>
      </c>
      <c r="K1419" s="46">
        <v>301797</v>
      </c>
      <c r="L1419" s="47">
        <v>990000626</v>
      </c>
      <c r="M1419" s="48" t="s">
        <v>1692</v>
      </c>
      <c r="N1419" s="48">
        <v>17088571390</v>
      </c>
      <c r="O1419" s="48">
        <v>17088561579</v>
      </c>
      <c r="P1419" s="48" t="s">
        <v>123</v>
      </c>
      <c r="Q1419" s="49" t="s">
        <v>1692</v>
      </c>
      <c r="R1419" s="49">
        <v>17083127378</v>
      </c>
      <c r="S1419" s="49">
        <v>17083122416</v>
      </c>
      <c r="T1419" s="49" t="s">
        <v>123</v>
      </c>
      <c r="U1419" s="50" t="s">
        <v>1692</v>
      </c>
      <c r="V1419" s="50">
        <v>17083127378</v>
      </c>
      <c r="W1419" s="50">
        <v>17083122416</v>
      </c>
      <c r="X1419" s="50" t="s">
        <v>123</v>
      </c>
      <c r="Y1419" s="50"/>
    </row>
    <row r="1420" spans="1:25" x14ac:dyDescent="0.25">
      <c r="A1420" s="25" t="s">
        <v>115</v>
      </c>
      <c r="B1420" t="b">
        <v>0</v>
      </c>
      <c r="C1420" s="43" t="s">
        <v>1693</v>
      </c>
      <c r="D1420" s="43">
        <v>321976</v>
      </c>
      <c r="E1420" s="43">
        <v>302285</v>
      </c>
      <c r="F1420" s="43" t="s">
        <v>123</v>
      </c>
      <c r="G1420" s="43" t="b">
        <v>0</v>
      </c>
      <c r="H1420" s="43" t="b">
        <v>0</v>
      </c>
      <c r="I1420" s="43"/>
      <c r="M1420" s="48" t="s">
        <v>1693</v>
      </c>
      <c r="N1420" s="48">
        <v>17088571638</v>
      </c>
      <c r="O1420" s="48">
        <v>17088558156</v>
      </c>
      <c r="P1420" s="48" t="s">
        <v>123</v>
      </c>
      <c r="Q1420" s="49" t="s">
        <v>1693</v>
      </c>
      <c r="R1420" s="49">
        <v>17083128985</v>
      </c>
      <c r="S1420" s="49">
        <v>17083091882</v>
      </c>
      <c r="T1420" s="49" t="s">
        <v>123</v>
      </c>
      <c r="U1420" s="50" t="s">
        <v>1693</v>
      </c>
      <c r="V1420" s="50">
        <v>17083128985</v>
      </c>
      <c r="W1420" s="50">
        <v>17083091882</v>
      </c>
      <c r="X1420" s="50" t="s">
        <v>123</v>
      </c>
      <c r="Y1420" s="50"/>
    </row>
    <row r="1421" spans="1:25" x14ac:dyDescent="0.25">
      <c r="A1421" s="25" t="s">
        <v>115</v>
      </c>
      <c r="B1421" t="b">
        <v>0</v>
      </c>
      <c r="C1421" s="43" t="s">
        <v>1694</v>
      </c>
      <c r="D1421" s="43">
        <v>320952</v>
      </c>
      <c r="E1421" s="43">
        <v>299493</v>
      </c>
      <c r="F1421" s="43" t="s">
        <v>123</v>
      </c>
      <c r="G1421" s="43" t="b">
        <v>0</v>
      </c>
      <c r="H1421" s="43" t="b">
        <v>0</v>
      </c>
      <c r="I1421" s="43"/>
      <c r="M1421" s="48" t="s">
        <v>1694</v>
      </c>
      <c r="N1421" s="48">
        <v>17088569470</v>
      </c>
      <c r="O1421" s="48">
        <v>17088563883</v>
      </c>
      <c r="P1421" s="48" t="s">
        <v>123</v>
      </c>
      <c r="Q1421" s="49" t="s">
        <v>1694</v>
      </c>
      <c r="R1421" s="49">
        <v>17083127954</v>
      </c>
      <c r="S1421" s="49">
        <v>17083123952</v>
      </c>
      <c r="T1421" s="49" t="s">
        <v>123</v>
      </c>
      <c r="U1421" s="50" t="s">
        <v>1694</v>
      </c>
      <c r="V1421" s="50">
        <v>17083127954</v>
      </c>
      <c r="W1421" s="50">
        <v>17083123952</v>
      </c>
      <c r="X1421" s="50" t="s">
        <v>123</v>
      </c>
      <c r="Y1421" s="50"/>
    </row>
    <row r="1422" spans="1:25" x14ac:dyDescent="0.25">
      <c r="A1422" s="25" t="s">
        <v>115</v>
      </c>
      <c r="B1422" t="b">
        <v>0</v>
      </c>
      <c r="C1422" s="43" t="s">
        <v>1695</v>
      </c>
      <c r="D1422" s="43">
        <v>323000</v>
      </c>
      <c r="E1422" s="43">
        <v>299701</v>
      </c>
      <c r="F1422" s="43" t="s">
        <v>125</v>
      </c>
      <c r="G1422" s="43" t="b">
        <v>0</v>
      </c>
      <c r="H1422" s="43" t="b">
        <v>0</v>
      </c>
      <c r="I1422" s="43" t="s">
        <v>126</v>
      </c>
      <c r="M1422" s="48" t="s">
        <v>1695</v>
      </c>
      <c r="N1422" s="48">
        <v>17088572350</v>
      </c>
      <c r="O1422" s="48">
        <v>17088565195</v>
      </c>
      <c r="P1422" s="48" t="s">
        <v>125</v>
      </c>
      <c r="Q1422" s="49" t="s">
        <v>1695</v>
      </c>
      <c r="R1422" s="49">
        <v>17083129618</v>
      </c>
      <c r="S1422" s="49">
        <v>17083125168</v>
      </c>
      <c r="T1422" s="49" t="s">
        <v>125</v>
      </c>
      <c r="U1422" s="50" t="s">
        <v>1695</v>
      </c>
      <c r="V1422" s="50">
        <v>17083129618</v>
      </c>
      <c r="W1422" s="50">
        <v>17083125168</v>
      </c>
      <c r="X1422" s="50" t="s">
        <v>125</v>
      </c>
      <c r="Y1422" s="50"/>
    </row>
    <row r="1423" spans="1:25" x14ac:dyDescent="0.25">
      <c r="A1423" s="25" t="s">
        <v>115</v>
      </c>
      <c r="B1423" t="b">
        <v>0</v>
      </c>
      <c r="C1423" s="43" t="s">
        <v>1696</v>
      </c>
      <c r="D1423" s="43">
        <v>320440</v>
      </c>
      <c r="E1423" s="43">
        <v>302773</v>
      </c>
      <c r="F1423" s="43" t="s">
        <v>125</v>
      </c>
      <c r="G1423" s="43" t="b">
        <v>0</v>
      </c>
      <c r="H1423" s="43" t="b">
        <v>0</v>
      </c>
      <c r="I1423" s="43" t="s">
        <v>126</v>
      </c>
      <c r="M1423" s="48" t="s">
        <v>1696</v>
      </c>
      <c r="N1423" s="48">
        <v>17088571838</v>
      </c>
      <c r="O1423" s="48">
        <v>17088562123</v>
      </c>
      <c r="P1423" s="48" t="s">
        <v>125</v>
      </c>
      <c r="Q1423" s="49" t="s">
        <v>1696</v>
      </c>
      <c r="R1423" s="49">
        <v>17083126546</v>
      </c>
      <c r="S1423" s="49">
        <v>17083122096</v>
      </c>
      <c r="T1423" s="49" t="s">
        <v>125</v>
      </c>
      <c r="U1423" s="50" t="s">
        <v>1696</v>
      </c>
      <c r="V1423" s="50">
        <v>17083126546</v>
      </c>
      <c r="W1423" s="50">
        <v>17083122096</v>
      </c>
      <c r="X1423" s="50" t="s">
        <v>125</v>
      </c>
      <c r="Y1423" s="50"/>
    </row>
    <row r="1424" spans="1:25" x14ac:dyDescent="0.25">
      <c r="A1424" s="25" t="s">
        <v>248</v>
      </c>
      <c r="B1424" t="b">
        <v>0</v>
      </c>
      <c r="C1424" s="43" t="s">
        <v>1697</v>
      </c>
      <c r="D1424" s="43">
        <v>321464</v>
      </c>
      <c r="E1424" s="43">
        <v>301891</v>
      </c>
      <c r="F1424" s="43" t="s">
        <v>173</v>
      </c>
      <c r="G1424" s="43" t="b">
        <v>0</v>
      </c>
      <c r="H1424" s="43" t="b">
        <v>0</v>
      </c>
      <c r="I1424" s="43"/>
      <c r="J1424" s="45" t="s">
        <v>1697</v>
      </c>
      <c r="K1424" s="46">
        <v>301891</v>
      </c>
      <c r="L1424" s="47">
        <v>990000262</v>
      </c>
      <c r="M1424" s="48" t="s">
        <v>1697</v>
      </c>
      <c r="N1424" s="48">
        <v>17088573402</v>
      </c>
      <c r="O1424" s="48">
        <v>17088566047</v>
      </c>
      <c r="P1424" s="48" t="s">
        <v>173</v>
      </c>
      <c r="Q1424" s="49" t="s">
        <v>1697</v>
      </c>
      <c r="R1424" s="49">
        <v>17083128033</v>
      </c>
      <c r="S1424" s="49">
        <v>17083129624</v>
      </c>
      <c r="T1424" s="49" t="s">
        <v>173</v>
      </c>
      <c r="U1424" s="50" t="s">
        <v>1697</v>
      </c>
      <c r="V1424" s="50">
        <v>17083128033</v>
      </c>
      <c r="W1424" s="50">
        <v>17083129624</v>
      </c>
      <c r="X1424" s="50" t="s">
        <v>173</v>
      </c>
      <c r="Y1424" s="50"/>
    </row>
    <row r="1425" spans="1:25" x14ac:dyDescent="0.25">
      <c r="A1425" s="25" t="s">
        <v>115</v>
      </c>
      <c r="B1425" t="b">
        <v>0</v>
      </c>
      <c r="C1425" s="43" t="s">
        <v>1698</v>
      </c>
      <c r="D1425" s="43">
        <v>323512</v>
      </c>
      <c r="E1425" s="43">
        <v>301725</v>
      </c>
      <c r="F1425" s="43" t="s">
        <v>117</v>
      </c>
      <c r="G1425" s="43" t="b">
        <v>0</v>
      </c>
      <c r="H1425" s="43" t="b">
        <v>0</v>
      </c>
      <c r="I1425" s="43"/>
      <c r="M1425" s="48" t="s">
        <v>1698</v>
      </c>
      <c r="N1425" s="48">
        <v>17088571406</v>
      </c>
      <c r="O1425" s="48">
        <v>17088557492</v>
      </c>
      <c r="P1425" s="48" t="s">
        <v>117</v>
      </c>
      <c r="Q1425" s="49" t="s">
        <v>1698</v>
      </c>
      <c r="R1425" s="49">
        <v>17083126873</v>
      </c>
      <c r="S1425" s="49">
        <v>17083092618</v>
      </c>
      <c r="T1425" s="49" t="s">
        <v>117</v>
      </c>
      <c r="U1425" s="50" t="s">
        <v>1698</v>
      </c>
      <c r="V1425" s="50">
        <v>17083126873</v>
      </c>
      <c r="W1425" s="50">
        <v>17083092618</v>
      </c>
      <c r="X1425" s="50" t="s">
        <v>117</v>
      </c>
      <c r="Y1425" s="50"/>
    </row>
    <row r="1426" spans="1:25" x14ac:dyDescent="0.25">
      <c r="A1426" s="25" t="s">
        <v>115</v>
      </c>
      <c r="B1426" t="b">
        <v>0</v>
      </c>
      <c r="C1426" s="43" t="s">
        <v>1699</v>
      </c>
      <c r="D1426" s="43">
        <v>319608</v>
      </c>
      <c r="E1426" s="43">
        <v>302197</v>
      </c>
      <c r="F1426" s="43" t="s">
        <v>123</v>
      </c>
      <c r="G1426" s="43" t="b">
        <v>1</v>
      </c>
      <c r="H1426" s="43" t="b">
        <v>0</v>
      </c>
      <c r="I1426" s="43" t="s">
        <v>134</v>
      </c>
      <c r="M1426" s="48" t="s">
        <v>1699</v>
      </c>
      <c r="N1426" s="48">
        <v>17088570302</v>
      </c>
      <c r="O1426" s="48">
        <v>17088565067</v>
      </c>
      <c r="P1426" s="48" t="s">
        <v>123</v>
      </c>
      <c r="Q1426" s="49" t="s">
        <v>1699</v>
      </c>
      <c r="R1426" s="49">
        <v>17083127570</v>
      </c>
      <c r="S1426" s="49">
        <v>17083124528</v>
      </c>
      <c r="T1426" s="49" t="s">
        <v>123</v>
      </c>
      <c r="U1426" s="50" t="s">
        <v>1699</v>
      </c>
      <c r="V1426" s="50">
        <v>17083127570</v>
      </c>
      <c r="W1426" s="50">
        <v>17083124528</v>
      </c>
      <c r="X1426" s="50" t="s">
        <v>123</v>
      </c>
      <c r="Y1426" s="50">
        <v>150154</v>
      </c>
    </row>
    <row r="1427" spans="1:25" x14ac:dyDescent="0.25">
      <c r="A1427" s="25" t="s">
        <v>115</v>
      </c>
      <c r="B1427" t="b">
        <v>0</v>
      </c>
      <c r="C1427" s="43" t="s">
        <v>1700</v>
      </c>
      <c r="D1427" s="43">
        <v>321656</v>
      </c>
      <c r="E1427" s="43">
        <v>300405</v>
      </c>
      <c r="F1427" s="43" t="s">
        <v>123</v>
      </c>
      <c r="G1427" s="43" t="b">
        <v>0</v>
      </c>
      <c r="H1427" s="43" t="b">
        <v>0</v>
      </c>
      <c r="I1427" s="43"/>
      <c r="M1427" s="48" t="s">
        <v>1700</v>
      </c>
      <c r="N1427" s="48">
        <v>17088572929</v>
      </c>
      <c r="O1427" s="48">
        <v>17088562507</v>
      </c>
      <c r="P1427" s="48" t="s">
        <v>123</v>
      </c>
      <c r="Q1427" s="49" t="s">
        <v>1700</v>
      </c>
      <c r="R1427" s="49">
        <v>17083126098</v>
      </c>
      <c r="S1427" s="49">
        <v>17083121968</v>
      </c>
      <c r="T1427" s="49" t="s">
        <v>123</v>
      </c>
      <c r="U1427" s="50" t="s">
        <v>1700</v>
      </c>
      <c r="V1427" s="50">
        <v>17083126098</v>
      </c>
      <c r="W1427" s="50">
        <v>17083121968</v>
      </c>
      <c r="X1427" s="50" t="s">
        <v>123</v>
      </c>
      <c r="Y1427" s="50"/>
    </row>
    <row r="1428" spans="1:25" x14ac:dyDescent="0.25">
      <c r="A1428" s="25" t="s">
        <v>115</v>
      </c>
      <c r="B1428" t="b">
        <v>0</v>
      </c>
      <c r="C1428" s="43" t="s">
        <v>1701</v>
      </c>
      <c r="D1428" s="43">
        <v>320632</v>
      </c>
      <c r="E1428" s="43">
        <v>300557</v>
      </c>
      <c r="F1428" s="43" t="s">
        <v>123</v>
      </c>
      <c r="G1428" s="43" t="b">
        <v>0</v>
      </c>
      <c r="H1428" s="43" t="b">
        <v>0</v>
      </c>
      <c r="I1428" s="43"/>
      <c r="M1428" s="48" t="s">
        <v>1701</v>
      </c>
      <c r="N1428" s="48">
        <v>17088570750</v>
      </c>
      <c r="O1428" s="48">
        <v>17088564299</v>
      </c>
      <c r="P1428" s="48" t="s">
        <v>123</v>
      </c>
      <c r="Q1428" s="49" t="s">
        <v>1701</v>
      </c>
      <c r="R1428" s="49">
        <v>17083126162</v>
      </c>
      <c r="S1428" s="49">
        <v>17083123760</v>
      </c>
      <c r="T1428" s="49" t="s">
        <v>123</v>
      </c>
      <c r="U1428" s="50" t="s">
        <v>1701</v>
      </c>
      <c r="V1428" s="50">
        <v>17083126162</v>
      </c>
      <c r="W1428" s="50">
        <v>17083123760</v>
      </c>
      <c r="X1428" s="50" t="s">
        <v>123</v>
      </c>
      <c r="Y1428" s="50"/>
    </row>
    <row r="1429" spans="1:25" x14ac:dyDescent="0.25">
      <c r="A1429" s="25" t="s">
        <v>115</v>
      </c>
      <c r="B1429" t="b">
        <v>0</v>
      </c>
      <c r="C1429" s="43" t="s">
        <v>1702</v>
      </c>
      <c r="D1429" s="43">
        <v>322680</v>
      </c>
      <c r="E1429" s="43">
        <v>301837</v>
      </c>
      <c r="F1429" s="43" t="s">
        <v>123</v>
      </c>
      <c r="G1429" s="43" t="b">
        <v>0</v>
      </c>
      <c r="H1429" s="43" t="b">
        <v>0</v>
      </c>
      <c r="I1429" s="43" t="s">
        <v>134</v>
      </c>
      <c r="M1429" s="48" t="s">
        <v>1702</v>
      </c>
      <c r="N1429" s="48">
        <v>17088572158</v>
      </c>
      <c r="O1429" s="48">
        <v>17088562059</v>
      </c>
      <c r="P1429" s="48" t="s">
        <v>123</v>
      </c>
      <c r="Q1429" s="49" t="s">
        <v>1702</v>
      </c>
      <c r="R1429" s="49">
        <v>17083125842</v>
      </c>
      <c r="S1429" s="49">
        <v>17083123152</v>
      </c>
      <c r="T1429" s="49" t="s">
        <v>123</v>
      </c>
      <c r="U1429" s="50" t="s">
        <v>1702</v>
      </c>
      <c r="V1429" s="50">
        <v>17083125842</v>
      </c>
      <c r="W1429" s="50">
        <v>17083123152</v>
      </c>
      <c r="X1429" s="50" t="s">
        <v>123</v>
      </c>
      <c r="Y1429" s="50"/>
    </row>
    <row r="1430" spans="1:25" x14ac:dyDescent="0.25">
      <c r="A1430" s="25" t="b">
        <v>1</v>
      </c>
      <c r="B1430" t="b">
        <v>0</v>
      </c>
      <c r="C1430" s="43" t="s">
        <v>1703</v>
      </c>
      <c r="D1430" s="43">
        <v>320120</v>
      </c>
      <c r="E1430" s="43">
        <v>299389</v>
      </c>
      <c r="F1430" s="43" t="s">
        <v>173</v>
      </c>
      <c r="G1430" s="43" t="b">
        <v>0</v>
      </c>
      <c r="H1430" s="43" t="b">
        <v>0</v>
      </c>
      <c r="I1430" s="43"/>
      <c r="J1430" s="45" t="s">
        <v>1703</v>
      </c>
      <c r="K1430" s="46">
        <v>299389</v>
      </c>
      <c r="M1430" s="48" t="s">
        <v>1703</v>
      </c>
      <c r="N1430" s="48">
        <v>17088570330</v>
      </c>
      <c r="O1430" s="48">
        <v>17088565663</v>
      </c>
      <c r="P1430" s="48" t="s">
        <v>173</v>
      </c>
      <c r="Q1430" s="49" t="s">
        <v>1703</v>
      </c>
      <c r="R1430" s="49">
        <v>17083128161</v>
      </c>
      <c r="S1430" s="49">
        <v>17083129240</v>
      </c>
      <c r="T1430" s="49" t="s">
        <v>173</v>
      </c>
      <c r="U1430" s="50" t="s">
        <v>1703</v>
      </c>
      <c r="V1430" s="50">
        <v>17083128161</v>
      </c>
      <c r="W1430" s="50">
        <v>17083129240</v>
      </c>
      <c r="X1430" s="50" t="s">
        <v>173</v>
      </c>
      <c r="Y1430" s="50"/>
    </row>
    <row r="1431" spans="1:25" x14ac:dyDescent="0.25">
      <c r="A1431" s="25" t="s">
        <v>115</v>
      </c>
      <c r="B1431" t="b">
        <v>0</v>
      </c>
      <c r="C1431" s="43" t="s">
        <v>1704</v>
      </c>
      <c r="D1431" s="43">
        <v>322168</v>
      </c>
      <c r="E1431" s="43">
        <v>299853</v>
      </c>
      <c r="F1431" s="43" t="s">
        <v>123</v>
      </c>
      <c r="G1431" s="43" t="b">
        <v>0</v>
      </c>
      <c r="H1431" s="43" t="b">
        <v>0</v>
      </c>
      <c r="I1431" s="43"/>
      <c r="M1431" s="48" t="s">
        <v>1704</v>
      </c>
      <c r="N1431" s="48">
        <v>17088569358</v>
      </c>
      <c r="O1431" s="48">
        <v>17088559436</v>
      </c>
      <c r="P1431" s="48" t="s">
        <v>123</v>
      </c>
      <c r="Q1431" s="49" t="s">
        <v>1704</v>
      </c>
      <c r="R1431" s="49">
        <v>17083127897</v>
      </c>
      <c r="S1431" s="49">
        <v>17083089514</v>
      </c>
      <c r="T1431" s="49" t="s">
        <v>123</v>
      </c>
      <c r="U1431" s="50" t="s">
        <v>1704</v>
      </c>
      <c r="V1431" s="50">
        <v>17083127897</v>
      </c>
      <c r="W1431" s="50">
        <v>17083089514</v>
      </c>
      <c r="X1431" s="50" t="s">
        <v>123</v>
      </c>
      <c r="Y1431" s="50"/>
    </row>
    <row r="1432" spans="1:25" x14ac:dyDescent="0.25">
      <c r="A1432" s="25" t="s">
        <v>115</v>
      </c>
      <c r="B1432" t="b">
        <v>0</v>
      </c>
      <c r="C1432" s="43" t="s">
        <v>1705</v>
      </c>
      <c r="D1432" s="43">
        <v>321144</v>
      </c>
      <c r="E1432" s="43">
        <v>299165</v>
      </c>
      <c r="F1432" s="43" t="s">
        <v>383</v>
      </c>
      <c r="G1432" s="43" t="b">
        <v>0</v>
      </c>
      <c r="H1432" s="43" t="b">
        <v>0</v>
      </c>
      <c r="I1432" s="43"/>
      <c r="M1432" s="48" t="s">
        <v>1705</v>
      </c>
      <c r="N1432" s="48">
        <v>17088570126</v>
      </c>
      <c r="O1432" s="48">
        <v>17088560052</v>
      </c>
      <c r="P1432" s="48" t="s">
        <v>383</v>
      </c>
      <c r="Q1432" s="49" t="s">
        <v>1705</v>
      </c>
      <c r="R1432" s="49">
        <v>17083127641</v>
      </c>
      <c r="S1432" s="49">
        <v>17083089802</v>
      </c>
      <c r="T1432" s="49" t="s">
        <v>383</v>
      </c>
      <c r="U1432" s="50" t="s">
        <v>1705</v>
      </c>
      <c r="V1432" s="50">
        <v>17083127641</v>
      </c>
      <c r="W1432" s="50">
        <v>17083089802</v>
      </c>
      <c r="X1432" s="50" t="s">
        <v>383</v>
      </c>
      <c r="Y1432" s="50"/>
    </row>
    <row r="1433" spans="1:25" x14ac:dyDescent="0.25">
      <c r="A1433" s="25" t="s">
        <v>115</v>
      </c>
      <c r="B1433" t="b">
        <v>0</v>
      </c>
      <c r="C1433" s="43" t="s">
        <v>1706</v>
      </c>
      <c r="D1433" s="43">
        <v>319864</v>
      </c>
      <c r="E1433" s="43">
        <v>299859</v>
      </c>
      <c r="F1433" s="43" t="s">
        <v>125</v>
      </c>
      <c r="G1433" s="43" t="b">
        <v>1</v>
      </c>
      <c r="H1433" s="43" t="b">
        <v>0</v>
      </c>
      <c r="I1433" s="43" t="s">
        <v>126</v>
      </c>
      <c r="M1433" s="48" t="s">
        <v>1706</v>
      </c>
      <c r="N1433" s="48">
        <v>17088570234</v>
      </c>
      <c r="O1433" s="48">
        <v>17088572864</v>
      </c>
      <c r="P1433" s="48" t="s">
        <v>125</v>
      </c>
      <c r="Q1433" s="49" t="s">
        <v>1706</v>
      </c>
      <c r="R1433" s="49">
        <v>17083129169</v>
      </c>
      <c r="S1433" s="49">
        <v>17083128676</v>
      </c>
      <c r="T1433" s="49" t="s">
        <v>125</v>
      </c>
      <c r="U1433" s="50" t="s">
        <v>1706</v>
      </c>
      <c r="V1433" s="50">
        <v>17083129169</v>
      </c>
      <c r="W1433" s="50">
        <v>17083128676</v>
      </c>
      <c r="X1433" s="50" t="s">
        <v>125</v>
      </c>
      <c r="Y1433" s="50">
        <v>110342</v>
      </c>
    </row>
    <row r="1434" spans="1:25" x14ac:dyDescent="0.25">
      <c r="A1434" s="25" t="s">
        <v>248</v>
      </c>
      <c r="B1434" t="b">
        <v>0</v>
      </c>
      <c r="C1434" s="43" t="s">
        <v>1707</v>
      </c>
      <c r="D1434" s="43">
        <v>321912</v>
      </c>
      <c r="E1434" s="43">
        <v>301619</v>
      </c>
      <c r="F1434" s="43" t="s">
        <v>173</v>
      </c>
      <c r="G1434" s="43" t="b">
        <v>0</v>
      </c>
      <c r="H1434" s="43" t="b">
        <v>0</v>
      </c>
      <c r="I1434" s="43"/>
      <c r="J1434" s="45" t="s">
        <v>1707</v>
      </c>
      <c r="K1434" s="46">
        <v>301619</v>
      </c>
      <c r="L1434" s="47">
        <v>990000263</v>
      </c>
      <c r="M1434" s="48" t="s">
        <v>1707</v>
      </c>
      <c r="N1434" s="48">
        <v>17088571322</v>
      </c>
      <c r="O1434" s="48">
        <v>17088571200</v>
      </c>
      <c r="P1434" s="48" t="s">
        <v>173</v>
      </c>
      <c r="Q1434" s="49" t="s">
        <v>1707</v>
      </c>
      <c r="R1434" s="49">
        <v>17083128209</v>
      </c>
      <c r="S1434" s="49">
        <v>17083125860</v>
      </c>
      <c r="T1434" s="49" t="s">
        <v>173</v>
      </c>
      <c r="U1434" s="50" t="s">
        <v>1707</v>
      </c>
      <c r="V1434" s="50">
        <v>17083128209</v>
      </c>
      <c r="W1434" s="50">
        <v>17083125860</v>
      </c>
      <c r="X1434" s="50" t="s">
        <v>173</v>
      </c>
      <c r="Y1434" s="50"/>
    </row>
    <row r="1435" spans="1:25" x14ac:dyDescent="0.25">
      <c r="A1435" s="25" t="s">
        <v>115</v>
      </c>
      <c r="B1435" t="b">
        <v>0</v>
      </c>
      <c r="C1435" s="43" t="s">
        <v>1708</v>
      </c>
      <c r="D1435" s="43">
        <v>320376</v>
      </c>
      <c r="E1435" s="43">
        <v>299197</v>
      </c>
      <c r="F1435" s="43" t="s">
        <v>123</v>
      </c>
      <c r="G1435" s="43" t="b">
        <v>0</v>
      </c>
      <c r="H1435" s="43" t="b">
        <v>0</v>
      </c>
      <c r="I1435" s="43"/>
      <c r="M1435" s="48" t="s">
        <v>1708</v>
      </c>
      <c r="N1435" s="48">
        <v>17088570190</v>
      </c>
      <c r="O1435" s="48">
        <v>17088557570</v>
      </c>
      <c r="P1435" s="48" t="s">
        <v>123</v>
      </c>
      <c r="Q1435" s="49" t="s">
        <v>1708</v>
      </c>
      <c r="R1435" s="49">
        <v>17083129145</v>
      </c>
      <c r="S1435" s="49">
        <v>17083092870</v>
      </c>
      <c r="T1435" s="49" t="s">
        <v>123</v>
      </c>
      <c r="U1435" s="50" t="s">
        <v>1708</v>
      </c>
      <c r="V1435" s="50">
        <v>17083129145</v>
      </c>
      <c r="W1435" s="50">
        <v>17083092870</v>
      </c>
      <c r="X1435" s="50" t="s">
        <v>123</v>
      </c>
      <c r="Y1435" s="50"/>
    </row>
    <row r="1436" spans="1:25" x14ac:dyDescent="0.25">
      <c r="A1436" s="25" t="s">
        <v>115</v>
      </c>
      <c r="B1436" t="b">
        <v>0</v>
      </c>
      <c r="C1436" s="43" t="s">
        <v>1709</v>
      </c>
      <c r="D1436" s="43">
        <v>322424</v>
      </c>
      <c r="E1436" s="43">
        <v>302781</v>
      </c>
      <c r="F1436" s="43" t="s">
        <v>117</v>
      </c>
      <c r="G1436" s="43" t="b">
        <v>0</v>
      </c>
      <c r="H1436" s="43" t="b">
        <v>0</v>
      </c>
      <c r="I1436" s="43"/>
      <c r="M1436" s="48" t="s">
        <v>1709</v>
      </c>
      <c r="N1436" s="48">
        <v>17088572494</v>
      </c>
      <c r="O1436" s="48">
        <v>17088561148</v>
      </c>
      <c r="P1436" s="48" t="s">
        <v>117</v>
      </c>
      <c r="Q1436" s="49" t="s">
        <v>1709</v>
      </c>
      <c r="R1436" s="49">
        <v>17083126329</v>
      </c>
      <c r="S1436" s="49">
        <v>17083090310</v>
      </c>
      <c r="T1436" s="49" t="s">
        <v>117</v>
      </c>
      <c r="U1436" s="50" t="s">
        <v>1709</v>
      </c>
      <c r="V1436" s="50">
        <v>17083126329</v>
      </c>
      <c r="W1436" s="50">
        <v>17083090310</v>
      </c>
      <c r="X1436" s="50" t="s">
        <v>117</v>
      </c>
      <c r="Y1436" s="50"/>
    </row>
    <row r="1437" spans="1:25" x14ac:dyDescent="0.25">
      <c r="A1437" s="25" t="s">
        <v>115</v>
      </c>
      <c r="B1437" t="b">
        <v>0</v>
      </c>
      <c r="C1437" s="43" t="s">
        <v>1710</v>
      </c>
      <c r="D1437" s="43">
        <v>321400</v>
      </c>
      <c r="E1437" s="43">
        <v>300765</v>
      </c>
      <c r="F1437" s="43" t="s">
        <v>123</v>
      </c>
      <c r="G1437" s="43" t="b">
        <v>0</v>
      </c>
      <c r="H1437" s="43" t="b">
        <v>0</v>
      </c>
      <c r="I1437" s="43" t="s">
        <v>134</v>
      </c>
      <c r="M1437" s="48" t="s">
        <v>1710</v>
      </c>
      <c r="N1437" s="48">
        <v>17088570305</v>
      </c>
      <c r="O1437" s="48">
        <v>17088562363</v>
      </c>
      <c r="P1437" s="48" t="s">
        <v>123</v>
      </c>
      <c r="Q1437" s="49" t="s">
        <v>1710</v>
      </c>
      <c r="R1437" s="49">
        <v>17083126898</v>
      </c>
      <c r="S1437" s="49">
        <v>17083123560</v>
      </c>
      <c r="T1437" s="49" t="s">
        <v>123</v>
      </c>
      <c r="U1437" s="50" t="s">
        <v>1710</v>
      </c>
      <c r="V1437" s="50">
        <v>17083126898</v>
      </c>
      <c r="W1437" s="50">
        <v>17083123560</v>
      </c>
      <c r="X1437" s="50" t="s">
        <v>123</v>
      </c>
      <c r="Y1437" s="50"/>
    </row>
    <row r="1438" spans="1:25" x14ac:dyDescent="0.25">
      <c r="A1438" s="25" t="s">
        <v>115</v>
      </c>
      <c r="B1438" t="b">
        <v>0</v>
      </c>
      <c r="C1438" s="43" t="s">
        <v>1711</v>
      </c>
      <c r="D1438" s="43">
        <v>323448</v>
      </c>
      <c r="E1438" s="43">
        <v>302045</v>
      </c>
      <c r="F1438" s="43" t="s">
        <v>123</v>
      </c>
      <c r="G1438" s="43" t="b">
        <v>1</v>
      </c>
      <c r="H1438" s="43" t="b">
        <v>0</v>
      </c>
      <c r="I1438" s="43"/>
      <c r="M1438" s="48" t="s">
        <v>1711</v>
      </c>
      <c r="N1438" s="48">
        <v>17088573185</v>
      </c>
      <c r="O1438" s="48">
        <v>17088564027</v>
      </c>
      <c r="P1438" s="48" t="s">
        <v>123</v>
      </c>
      <c r="Q1438" s="49" t="s">
        <v>1711</v>
      </c>
      <c r="R1438" s="49">
        <v>17083127634</v>
      </c>
      <c r="S1438" s="49">
        <v>17083124072</v>
      </c>
      <c r="T1438" s="49" t="s">
        <v>123</v>
      </c>
      <c r="U1438" s="50" t="s">
        <v>1711</v>
      </c>
      <c r="V1438" s="50">
        <v>17083127634</v>
      </c>
      <c r="W1438" s="50">
        <v>17083124072</v>
      </c>
      <c r="X1438" s="50" t="s">
        <v>123</v>
      </c>
      <c r="Y1438" s="50">
        <v>150191</v>
      </c>
    </row>
    <row r="1439" spans="1:25" x14ac:dyDescent="0.25">
      <c r="A1439" s="25" t="s">
        <v>115</v>
      </c>
      <c r="B1439" t="b">
        <v>0</v>
      </c>
      <c r="C1439" s="43" t="s">
        <v>1712</v>
      </c>
      <c r="D1439" s="43">
        <v>319736</v>
      </c>
      <c r="E1439" s="43">
        <v>301597</v>
      </c>
      <c r="F1439" s="43" t="s">
        <v>125</v>
      </c>
      <c r="G1439" s="43" t="b">
        <v>0</v>
      </c>
      <c r="H1439" s="43" t="b">
        <v>0</v>
      </c>
      <c r="I1439" s="43" t="s">
        <v>126</v>
      </c>
      <c r="M1439" s="48" t="s">
        <v>1712</v>
      </c>
      <c r="N1439" s="48">
        <v>17088571009</v>
      </c>
      <c r="O1439" s="48">
        <v>17088561659</v>
      </c>
      <c r="P1439" s="48" t="s">
        <v>125</v>
      </c>
      <c r="Q1439" s="49" t="s">
        <v>1712</v>
      </c>
      <c r="R1439" s="49">
        <v>17083128530</v>
      </c>
      <c r="S1439" s="49">
        <v>17083122840</v>
      </c>
      <c r="T1439" s="49" t="s">
        <v>125</v>
      </c>
      <c r="U1439" s="50" t="s">
        <v>1712</v>
      </c>
      <c r="V1439" s="50">
        <v>17083128530</v>
      </c>
      <c r="W1439" s="50">
        <v>17083122840</v>
      </c>
      <c r="X1439" s="50" t="s">
        <v>125</v>
      </c>
      <c r="Y1439" s="50"/>
    </row>
    <row r="1440" spans="1:25" x14ac:dyDescent="0.25">
      <c r="A1440" s="25" t="s">
        <v>115</v>
      </c>
      <c r="B1440" t="b">
        <v>0</v>
      </c>
      <c r="C1440" s="43" t="s">
        <v>1713</v>
      </c>
      <c r="D1440" s="43">
        <v>322808</v>
      </c>
      <c r="E1440" s="43">
        <v>300835</v>
      </c>
      <c r="F1440" s="43" t="s">
        <v>123</v>
      </c>
      <c r="G1440" s="43" t="b">
        <v>0</v>
      </c>
      <c r="H1440" s="43" t="b">
        <v>0</v>
      </c>
      <c r="I1440" s="43"/>
      <c r="M1440" s="48" t="s">
        <v>1713</v>
      </c>
      <c r="N1440" s="48">
        <v>17088572166</v>
      </c>
      <c r="O1440" s="48">
        <v>17088569504</v>
      </c>
      <c r="P1440" s="48" t="s">
        <v>123</v>
      </c>
      <c r="Q1440" s="49" t="s">
        <v>1713</v>
      </c>
      <c r="R1440" s="49">
        <v>17083127601</v>
      </c>
      <c r="S1440" s="49">
        <v>17083126804</v>
      </c>
      <c r="T1440" s="49" t="s">
        <v>123</v>
      </c>
      <c r="U1440" s="50" t="s">
        <v>1713</v>
      </c>
      <c r="V1440" s="50">
        <v>17083127601</v>
      </c>
      <c r="W1440" s="50">
        <v>17083126804</v>
      </c>
      <c r="X1440" s="50" t="s">
        <v>123</v>
      </c>
      <c r="Y1440" s="50"/>
    </row>
    <row r="1441" spans="1:25" x14ac:dyDescent="0.25">
      <c r="A1441" s="25" t="s">
        <v>115</v>
      </c>
      <c r="B1441" t="b">
        <v>0</v>
      </c>
      <c r="C1441" s="43" t="s">
        <v>1714</v>
      </c>
      <c r="D1441" s="43">
        <v>322296</v>
      </c>
      <c r="E1441" s="43">
        <v>300579</v>
      </c>
      <c r="F1441" s="43" t="s">
        <v>119</v>
      </c>
      <c r="G1441" s="43" t="b">
        <v>0</v>
      </c>
      <c r="H1441" s="43" t="b">
        <v>0</v>
      </c>
      <c r="I1441" s="43"/>
      <c r="M1441" s="48" t="s">
        <v>1714</v>
      </c>
      <c r="N1441" s="48">
        <v>17088572090</v>
      </c>
      <c r="O1441" s="48">
        <v>17088570784</v>
      </c>
      <c r="P1441" s="48" t="s">
        <v>119</v>
      </c>
      <c r="Q1441" s="49" t="s">
        <v>1714</v>
      </c>
      <c r="R1441" s="49">
        <v>17083126929</v>
      </c>
      <c r="S1441" s="49">
        <v>17083126548</v>
      </c>
      <c r="T1441" s="49" t="s">
        <v>119</v>
      </c>
      <c r="U1441" s="50" t="s">
        <v>1714</v>
      </c>
      <c r="V1441" s="50">
        <v>17083126929</v>
      </c>
      <c r="W1441" s="50">
        <v>17083126548</v>
      </c>
      <c r="X1441" s="50" t="s">
        <v>119</v>
      </c>
      <c r="Y1441" s="50"/>
    </row>
    <row r="1442" spans="1:25" x14ac:dyDescent="0.25">
      <c r="A1442" s="25" t="s">
        <v>115</v>
      </c>
      <c r="B1442" t="b">
        <v>0</v>
      </c>
      <c r="C1442" s="43" t="s">
        <v>1715</v>
      </c>
      <c r="D1442" s="43">
        <v>322040</v>
      </c>
      <c r="E1442" s="43">
        <v>301101</v>
      </c>
      <c r="F1442" s="43" t="s">
        <v>119</v>
      </c>
      <c r="G1442" s="43" t="b">
        <v>0</v>
      </c>
      <c r="H1442" s="43" t="b">
        <v>0</v>
      </c>
      <c r="I1442" s="43"/>
      <c r="J1442" s="45" t="s">
        <v>1715</v>
      </c>
      <c r="K1442" s="46">
        <v>301101</v>
      </c>
      <c r="L1442" s="47">
        <v>990000680</v>
      </c>
      <c r="M1442" s="48" t="s">
        <v>1715</v>
      </c>
      <c r="N1442" s="48">
        <v>17088572225</v>
      </c>
      <c r="O1442" s="48">
        <v>17088562823</v>
      </c>
      <c r="P1442" s="48" t="s">
        <v>119</v>
      </c>
      <c r="Q1442" s="49" t="s">
        <v>1715</v>
      </c>
      <c r="R1442" s="49">
        <v>17083126962</v>
      </c>
      <c r="S1442" s="49">
        <v>17083121880</v>
      </c>
      <c r="T1442" s="49" t="s">
        <v>119</v>
      </c>
      <c r="U1442" s="50" t="s">
        <v>1715</v>
      </c>
      <c r="V1442" s="50">
        <v>17083126962</v>
      </c>
      <c r="W1442" s="50">
        <v>17083121880</v>
      </c>
      <c r="X1442" s="50" t="s">
        <v>119</v>
      </c>
      <c r="Y1442" s="50"/>
    </row>
    <row r="1443" spans="1:25" x14ac:dyDescent="0.25">
      <c r="A1443" s="25" t="s">
        <v>115</v>
      </c>
      <c r="B1443" t="b">
        <v>0</v>
      </c>
      <c r="C1443" s="43" t="s">
        <v>1716</v>
      </c>
      <c r="D1443" s="43">
        <v>321016</v>
      </c>
      <c r="E1443" s="43">
        <v>302445</v>
      </c>
      <c r="F1443" s="43" t="s">
        <v>117</v>
      </c>
      <c r="G1443" s="43" t="b">
        <v>1</v>
      </c>
      <c r="H1443" s="43" t="b">
        <v>0</v>
      </c>
      <c r="I1443" s="43"/>
      <c r="M1443" s="48" t="s">
        <v>1716</v>
      </c>
      <c r="N1443" s="48">
        <v>17088572865</v>
      </c>
      <c r="O1443" s="48">
        <v>17088564731</v>
      </c>
      <c r="P1443" s="48" t="s">
        <v>117</v>
      </c>
      <c r="Q1443" s="49" t="s">
        <v>1716</v>
      </c>
      <c r="R1443" s="49">
        <v>17083127922</v>
      </c>
      <c r="S1443" s="49">
        <v>17083124376</v>
      </c>
      <c r="T1443" s="49" t="s">
        <v>117</v>
      </c>
      <c r="U1443" s="50" t="s">
        <v>1716</v>
      </c>
      <c r="V1443" s="50">
        <v>17083127922</v>
      </c>
      <c r="W1443" s="50">
        <v>17083124376</v>
      </c>
      <c r="X1443" s="50" t="s">
        <v>117</v>
      </c>
      <c r="Y1443" s="50">
        <v>150194</v>
      </c>
    </row>
    <row r="1444" spans="1:25" x14ac:dyDescent="0.25">
      <c r="A1444" s="25" t="s">
        <v>115</v>
      </c>
      <c r="B1444" t="b">
        <v>0</v>
      </c>
      <c r="C1444" s="43" t="s">
        <v>1717</v>
      </c>
      <c r="D1444" s="43">
        <v>323064</v>
      </c>
      <c r="E1444" s="43">
        <v>301741</v>
      </c>
      <c r="F1444" s="43" t="s">
        <v>123</v>
      </c>
      <c r="G1444" s="43" t="b">
        <v>0</v>
      </c>
      <c r="H1444" s="43" t="b">
        <v>0</v>
      </c>
      <c r="I1444" s="43"/>
      <c r="M1444" s="48" t="s">
        <v>1717</v>
      </c>
      <c r="N1444" s="48">
        <v>17088572033</v>
      </c>
      <c r="O1444" s="48">
        <v>17088561927</v>
      </c>
      <c r="P1444" s="48" t="s">
        <v>123</v>
      </c>
      <c r="Q1444" s="49" t="s">
        <v>1717</v>
      </c>
      <c r="R1444" s="49">
        <v>17083126482</v>
      </c>
      <c r="S1444" s="49">
        <v>17083123288</v>
      </c>
      <c r="T1444" s="49" t="s">
        <v>123</v>
      </c>
      <c r="U1444" s="50" t="s">
        <v>1717</v>
      </c>
      <c r="V1444" s="50">
        <v>17083126482</v>
      </c>
      <c r="W1444" s="50">
        <v>17083123288</v>
      </c>
      <c r="X1444" s="50" t="s">
        <v>123</v>
      </c>
      <c r="Y1444" s="50"/>
    </row>
    <row r="1445" spans="1:25" x14ac:dyDescent="0.25">
      <c r="A1445" s="25" t="s">
        <v>115</v>
      </c>
      <c r="B1445" t="b">
        <v>0</v>
      </c>
      <c r="C1445" s="43" t="s">
        <v>1718</v>
      </c>
      <c r="D1445" s="43">
        <v>320504</v>
      </c>
      <c r="E1445" s="43">
        <v>301395</v>
      </c>
      <c r="F1445" s="43" t="s">
        <v>132</v>
      </c>
      <c r="G1445" s="43" t="b">
        <v>0</v>
      </c>
      <c r="H1445" s="43" t="b">
        <v>0</v>
      </c>
      <c r="I1445" s="43"/>
      <c r="M1445" s="48" t="s">
        <v>1718</v>
      </c>
      <c r="N1445" s="48">
        <v>17088571398</v>
      </c>
      <c r="O1445" s="48">
        <v>17088571328</v>
      </c>
      <c r="P1445" s="48" t="s">
        <v>132</v>
      </c>
      <c r="Q1445" s="49" t="s">
        <v>1718</v>
      </c>
      <c r="R1445" s="49">
        <v>17083126833</v>
      </c>
      <c r="S1445" s="49">
        <v>17083125988</v>
      </c>
      <c r="T1445" s="49" t="s">
        <v>132</v>
      </c>
      <c r="U1445" s="50" t="s">
        <v>1718</v>
      </c>
      <c r="V1445" s="50">
        <v>17083126833</v>
      </c>
      <c r="W1445" s="50">
        <v>17083125988</v>
      </c>
      <c r="X1445" s="50" t="s">
        <v>132</v>
      </c>
      <c r="Y1445" s="50"/>
    </row>
    <row r="1446" spans="1:25" x14ac:dyDescent="0.25">
      <c r="A1446" s="25" t="s">
        <v>115</v>
      </c>
      <c r="B1446" t="b">
        <v>0</v>
      </c>
      <c r="C1446" s="43" t="s">
        <v>1719</v>
      </c>
      <c r="D1446" s="43">
        <v>322552</v>
      </c>
      <c r="E1446" s="43">
        <v>302483</v>
      </c>
      <c r="F1446" s="43" t="s">
        <v>173</v>
      </c>
      <c r="G1446" s="43" t="b">
        <v>0</v>
      </c>
      <c r="H1446" s="43" t="b">
        <v>0</v>
      </c>
      <c r="I1446" s="43"/>
      <c r="M1446" s="48" t="s">
        <v>1719</v>
      </c>
      <c r="N1446" s="48">
        <v>17088572666</v>
      </c>
      <c r="O1446" s="48">
        <v>17088570912</v>
      </c>
      <c r="P1446" s="48" t="s">
        <v>173</v>
      </c>
      <c r="Q1446" s="49" t="s">
        <v>1719</v>
      </c>
      <c r="R1446" s="49">
        <v>17083126225</v>
      </c>
      <c r="S1446" s="49">
        <v>17083126244</v>
      </c>
      <c r="T1446" s="49" t="s">
        <v>173</v>
      </c>
      <c r="U1446" s="50" t="s">
        <v>1719</v>
      </c>
      <c r="V1446" s="50">
        <v>17083126225</v>
      </c>
      <c r="W1446" s="50">
        <v>17083126244</v>
      </c>
      <c r="X1446" s="50" t="s">
        <v>173</v>
      </c>
      <c r="Y1446" s="50"/>
    </row>
    <row r="1447" spans="1:25" x14ac:dyDescent="0.25">
      <c r="A1447" s="25" t="s">
        <v>115</v>
      </c>
      <c r="B1447" t="b">
        <v>0</v>
      </c>
      <c r="C1447" s="43" t="s">
        <v>1720</v>
      </c>
      <c r="D1447" s="43">
        <v>321528</v>
      </c>
      <c r="E1447" s="43">
        <v>299779</v>
      </c>
      <c r="F1447" s="43" t="s">
        <v>125</v>
      </c>
      <c r="G1447" s="43" t="b">
        <v>1</v>
      </c>
      <c r="H1447" s="43" t="b">
        <v>0</v>
      </c>
      <c r="I1447" s="43"/>
      <c r="M1447" s="48" t="s">
        <v>1720</v>
      </c>
      <c r="N1447" s="48">
        <v>17088572750</v>
      </c>
      <c r="O1447" s="48">
        <v>17088559356</v>
      </c>
      <c r="P1447" s="48" t="s">
        <v>125</v>
      </c>
      <c r="Q1447" s="49" t="s">
        <v>1720</v>
      </c>
      <c r="R1447" s="49">
        <v>17083127097</v>
      </c>
      <c r="S1447" s="49">
        <v>17083089670</v>
      </c>
      <c r="T1447" s="49" t="s">
        <v>125</v>
      </c>
      <c r="U1447" s="50" t="s">
        <v>1720</v>
      </c>
      <c r="V1447" s="50">
        <v>17083127097</v>
      </c>
      <c r="W1447" s="50">
        <v>17083089670</v>
      </c>
      <c r="X1447" s="50" t="s">
        <v>125</v>
      </c>
      <c r="Y1447" s="50">
        <v>110310</v>
      </c>
    </row>
    <row r="1448" spans="1:25" x14ac:dyDescent="0.25">
      <c r="A1448" s="25" t="s">
        <v>115</v>
      </c>
      <c r="B1448" t="b">
        <v>0</v>
      </c>
      <c r="C1448" s="43" t="s">
        <v>1721</v>
      </c>
      <c r="D1448" s="43">
        <v>323576</v>
      </c>
      <c r="E1448" s="43">
        <v>303021</v>
      </c>
      <c r="F1448" s="43" t="s">
        <v>123</v>
      </c>
      <c r="G1448" s="43" t="b">
        <v>0</v>
      </c>
      <c r="H1448" s="43" t="b">
        <v>0</v>
      </c>
      <c r="I1448" s="43"/>
      <c r="M1448" s="48" t="s">
        <v>1721</v>
      </c>
      <c r="N1448" s="48">
        <v>17088570177</v>
      </c>
      <c r="O1448" s="48">
        <v>17088563719</v>
      </c>
      <c r="P1448" s="48" t="s">
        <v>123</v>
      </c>
      <c r="Q1448" s="49" t="s">
        <v>1721</v>
      </c>
      <c r="R1448" s="49">
        <v>17083127986</v>
      </c>
      <c r="S1448" s="49">
        <v>17083125656</v>
      </c>
      <c r="T1448" s="49" t="s">
        <v>123</v>
      </c>
      <c r="U1448" s="50" t="s">
        <v>1721</v>
      </c>
      <c r="V1448" s="50">
        <v>17083127986</v>
      </c>
      <c r="W1448" s="50">
        <v>17083125656</v>
      </c>
      <c r="X1448" s="50" t="s">
        <v>123</v>
      </c>
      <c r="Y1448" s="50"/>
    </row>
    <row r="1449" spans="1:25" x14ac:dyDescent="0.25">
      <c r="A1449" s="25" t="s">
        <v>115</v>
      </c>
      <c r="B1449" t="b">
        <v>0</v>
      </c>
      <c r="C1449" s="43" t="s">
        <v>1722</v>
      </c>
      <c r="D1449" s="43">
        <v>319492</v>
      </c>
      <c r="E1449" s="43">
        <v>301661</v>
      </c>
      <c r="F1449" s="43" t="s">
        <v>123</v>
      </c>
      <c r="G1449" s="43" t="b">
        <v>1</v>
      </c>
      <c r="H1449" s="43" t="b">
        <v>0</v>
      </c>
      <c r="I1449" s="43" t="s">
        <v>134</v>
      </c>
      <c r="M1449" s="48" t="s">
        <v>1722</v>
      </c>
      <c r="N1449" s="48">
        <v>17088572737</v>
      </c>
      <c r="O1449" s="48">
        <v>17088564347</v>
      </c>
      <c r="P1449" s="48" t="s">
        <v>123</v>
      </c>
      <c r="Q1449" s="49" t="s">
        <v>1722</v>
      </c>
      <c r="R1449" s="49">
        <v>17083125938</v>
      </c>
      <c r="S1449" s="49">
        <v>17083125736</v>
      </c>
      <c r="T1449" s="49" t="s">
        <v>123</v>
      </c>
      <c r="U1449" s="50" t="s">
        <v>1722</v>
      </c>
      <c r="V1449" s="50">
        <v>17083125938</v>
      </c>
      <c r="W1449" s="50">
        <v>17083125736</v>
      </c>
      <c r="X1449" s="50" t="s">
        <v>123</v>
      </c>
      <c r="Y1449" s="50">
        <v>150119</v>
      </c>
    </row>
    <row r="1450" spans="1:25" x14ac:dyDescent="0.25">
      <c r="A1450" s="25" t="s">
        <v>248</v>
      </c>
      <c r="B1450" t="b">
        <v>0</v>
      </c>
      <c r="C1450" s="43" t="s">
        <v>1723</v>
      </c>
      <c r="D1450" s="43">
        <v>328901</v>
      </c>
      <c r="E1450" s="43">
        <v>286959</v>
      </c>
      <c r="F1450" s="43" t="s">
        <v>173</v>
      </c>
      <c r="G1450" s="43" t="b">
        <v>0</v>
      </c>
      <c r="H1450" s="43" t="b">
        <v>0</v>
      </c>
      <c r="I1450" s="43"/>
      <c r="J1450" s="45" t="s">
        <v>1723</v>
      </c>
      <c r="K1450" s="46">
        <v>286959</v>
      </c>
      <c r="M1450" s="48" t="s">
        <v>1723</v>
      </c>
      <c r="N1450" s="48">
        <v>17088569948</v>
      </c>
      <c r="O1450" s="48">
        <v>17088568290</v>
      </c>
      <c r="P1450" s="48" t="s">
        <v>173</v>
      </c>
      <c r="Q1450" s="49" t="s">
        <v>1723</v>
      </c>
      <c r="R1450" s="49">
        <v>17083128742</v>
      </c>
      <c r="S1450" s="49">
        <v>17083123934</v>
      </c>
      <c r="T1450" s="49" t="s">
        <v>173</v>
      </c>
      <c r="U1450" s="50" t="s">
        <v>1723</v>
      </c>
      <c r="V1450" s="50">
        <v>17083128742</v>
      </c>
      <c r="W1450" s="50">
        <v>17083123934</v>
      </c>
      <c r="X1450" s="50" t="s">
        <v>173</v>
      </c>
      <c r="Y1450" s="50"/>
    </row>
    <row r="1451" spans="1:25" x14ac:dyDescent="0.25">
      <c r="A1451" s="25" t="s">
        <v>115</v>
      </c>
      <c r="B1451" t="b">
        <v>0</v>
      </c>
      <c r="C1451" s="43" t="s">
        <v>1724</v>
      </c>
      <c r="D1451" s="43">
        <v>328389</v>
      </c>
      <c r="E1451" s="43">
        <v>293512</v>
      </c>
      <c r="F1451" s="43" t="s">
        <v>383</v>
      </c>
      <c r="G1451" s="43" t="b">
        <v>0</v>
      </c>
      <c r="H1451" s="43" t="b">
        <v>0</v>
      </c>
      <c r="I1451" s="43"/>
      <c r="M1451" s="48" t="s">
        <v>1724</v>
      </c>
      <c r="N1451" s="48">
        <v>17088570974</v>
      </c>
      <c r="O1451" s="48">
        <v>17088563815</v>
      </c>
      <c r="P1451" s="48" t="s">
        <v>383</v>
      </c>
      <c r="Q1451" s="49" t="s">
        <v>1724</v>
      </c>
      <c r="R1451" s="49">
        <v>17083129106</v>
      </c>
      <c r="S1451" s="49">
        <v>17083125752</v>
      </c>
      <c r="T1451" s="49" t="s">
        <v>383</v>
      </c>
      <c r="U1451" s="50" t="s">
        <v>1724</v>
      </c>
      <c r="V1451" s="50">
        <v>17083129106</v>
      </c>
      <c r="W1451" s="50">
        <v>17083125752</v>
      </c>
      <c r="X1451" s="50" t="s">
        <v>383</v>
      </c>
      <c r="Y1451" s="50"/>
    </row>
    <row r="1452" spans="1:25" x14ac:dyDescent="0.25">
      <c r="A1452" s="25" t="b">
        <v>1</v>
      </c>
      <c r="B1452" t="b">
        <v>0</v>
      </c>
      <c r="C1452" s="43" t="s">
        <v>1725</v>
      </c>
      <c r="D1452" s="43">
        <v>330437</v>
      </c>
      <c r="E1452" s="43">
        <v>293232</v>
      </c>
      <c r="F1452" s="43" t="s">
        <v>173</v>
      </c>
      <c r="G1452" s="43" t="b">
        <v>0</v>
      </c>
      <c r="H1452" s="43" t="b">
        <v>0</v>
      </c>
      <c r="I1452" s="43"/>
      <c r="J1452" s="45" t="s">
        <v>1725</v>
      </c>
      <c r="K1452" s="46">
        <v>293232</v>
      </c>
      <c r="M1452" s="48" t="s">
        <v>1725</v>
      </c>
      <c r="N1452" s="48">
        <v>17088571614</v>
      </c>
      <c r="O1452" s="48">
        <v>17088561687</v>
      </c>
      <c r="P1452" s="48" t="s">
        <v>173</v>
      </c>
      <c r="Q1452" s="49" t="s">
        <v>1725</v>
      </c>
      <c r="R1452" s="49">
        <v>17083127442</v>
      </c>
      <c r="S1452" s="49">
        <v>17083123588</v>
      </c>
      <c r="T1452" s="49" t="s">
        <v>173</v>
      </c>
      <c r="U1452" s="50" t="s">
        <v>1725</v>
      </c>
      <c r="V1452" s="50">
        <v>17083127442</v>
      </c>
      <c r="W1452" s="50">
        <v>17083123588</v>
      </c>
      <c r="X1452" s="50" t="s">
        <v>173</v>
      </c>
      <c r="Y1452" s="50"/>
    </row>
    <row r="1453" spans="1:25" x14ac:dyDescent="0.25">
      <c r="A1453" s="25" t="s">
        <v>115</v>
      </c>
      <c r="B1453" t="b">
        <v>0</v>
      </c>
      <c r="C1453" s="43" t="s">
        <v>1726</v>
      </c>
      <c r="D1453" s="43">
        <v>329413</v>
      </c>
      <c r="E1453" s="43">
        <v>289887</v>
      </c>
      <c r="F1453" s="43" t="s">
        <v>119</v>
      </c>
      <c r="G1453" s="43" t="b">
        <v>0</v>
      </c>
      <c r="H1453" s="43" t="b">
        <v>0</v>
      </c>
      <c r="I1453" s="43"/>
      <c r="M1453" s="48" t="s">
        <v>1726</v>
      </c>
      <c r="N1453" s="48">
        <v>17088571292</v>
      </c>
      <c r="O1453" s="48">
        <v>17088568738</v>
      </c>
      <c r="P1453" s="48" t="s">
        <v>119</v>
      </c>
      <c r="Q1453" s="49" t="s">
        <v>1726</v>
      </c>
      <c r="R1453" s="49">
        <v>17083127462</v>
      </c>
      <c r="S1453" s="49">
        <v>17083125534</v>
      </c>
      <c r="T1453" s="49" t="s">
        <v>119</v>
      </c>
      <c r="U1453" s="50" t="s">
        <v>1726</v>
      </c>
      <c r="V1453" s="50">
        <v>17083127462</v>
      </c>
      <c r="W1453" s="50">
        <v>17083125534</v>
      </c>
      <c r="X1453" s="50" t="s">
        <v>119</v>
      </c>
      <c r="Y1453" s="50"/>
    </row>
    <row r="1454" spans="1:25" x14ac:dyDescent="0.25">
      <c r="A1454" s="25" t="s">
        <v>115</v>
      </c>
      <c r="B1454" t="b">
        <v>0</v>
      </c>
      <c r="C1454" s="43" t="s">
        <v>1727</v>
      </c>
      <c r="D1454" s="43">
        <v>331461</v>
      </c>
      <c r="E1454" s="43">
        <v>288751</v>
      </c>
      <c r="F1454" s="43" t="s">
        <v>132</v>
      </c>
      <c r="G1454" s="43" t="b">
        <v>0</v>
      </c>
      <c r="H1454" s="43" t="b">
        <v>0</v>
      </c>
      <c r="I1454" s="43"/>
      <c r="M1454" s="48" t="s">
        <v>1727</v>
      </c>
      <c r="N1454" s="48">
        <v>17088572316</v>
      </c>
      <c r="O1454" s="48">
        <v>17088566498</v>
      </c>
      <c r="P1454" s="48" t="s">
        <v>132</v>
      </c>
      <c r="Q1454" s="49" t="s">
        <v>1727</v>
      </c>
      <c r="R1454" s="49">
        <v>17083128486</v>
      </c>
      <c r="S1454" s="49">
        <v>17083123294</v>
      </c>
      <c r="T1454" s="49" t="s">
        <v>132</v>
      </c>
      <c r="U1454" s="50" t="s">
        <v>1727</v>
      </c>
      <c r="V1454" s="50">
        <v>17083128486</v>
      </c>
      <c r="W1454" s="50">
        <v>17083123294</v>
      </c>
      <c r="X1454" s="50" t="s">
        <v>132</v>
      </c>
      <c r="Y1454" s="50"/>
    </row>
    <row r="1455" spans="1:25" x14ac:dyDescent="0.25">
      <c r="A1455" s="25" t="s">
        <v>115</v>
      </c>
      <c r="B1455" t="b">
        <v>0</v>
      </c>
      <c r="C1455" s="43" t="s">
        <v>1728</v>
      </c>
      <c r="D1455" s="43">
        <v>328133</v>
      </c>
      <c r="E1455" s="43">
        <v>290031</v>
      </c>
      <c r="F1455" s="43" t="s">
        <v>123</v>
      </c>
      <c r="G1455" s="43" t="b">
        <v>0</v>
      </c>
      <c r="H1455" s="43" t="b">
        <v>0</v>
      </c>
      <c r="I1455" s="43"/>
      <c r="M1455" s="48" t="s">
        <v>1728</v>
      </c>
      <c r="N1455" s="48">
        <v>17088570652</v>
      </c>
      <c r="O1455" s="48">
        <v>17088565730</v>
      </c>
      <c r="P1455" s="48" t="s">
        <v>123</v>
      </c>
      <c r="Q1455" s="49" t="s">
        <v>1728</v>
      </c>
      <c r="R1455" s="49">
        <v>17083128262</v>
      </c>
      <c r="S1455" s="49">
        <v>17083122526</v>
      </c>
      <c r="T1455" s="49" t="s">
        <v>123</v>
      </c>
      <c r="U1455" s="50" t="s">
        <v>1728</v>
      </c>
      <c r="V1455" s="50">
        <v>17083128262</v>
      </c>
      <c r="W1455" s="50">
        <v>17083122526</v>
      </c>
      <c r="X1455" s="50" t="s">
        <v>123</v>
      </c>
      <c r="Y1455" s="50"/>
    </row>
    <row r="1456" spans="1:25" x14ac:dyDescent="0.25">
      <c r="A1456" s="25" t="s">
        <v>115</v>
      </c>
      <c r="B1456" t="b">
        <v>0</v>
      </c>
      <c r="C1456" s="43" t="s">
        <v>1729</v>
      </c>
      <c r="D1456" s="43">
        <v>330693</v>
      </c>
      <c r="E1456" s="43">
        <v>291720</v>
      </c>
      <c r="F1456" s="43" t="s">
        <v>383</v>
      </c>
      <c r="G1456" s="43" t="b">
        <v>0</v>
      </c>
      <c r="H1456" s="43" t="b">
        <v>0</v>
      </c>
      <c r="I1456" s="43"/>
      <c r="M1456" s="48" t="s">
        <v>1729</v>
      </c>
      <c r="N1456" s="48">
        <v>17088571102</v>
      </c>
      <c r="O1456" s="48">
        <v>17088563111</v>
      </c>
      <c r="P1456" s="48" t="s">
        <v>383</v>
      </c>
      <c r="Q1456" s="49" t="s">
        <v>1729</v>
      </c>
      <c r="R1456" s="49">
        <v>17083129746</v>
      </c>
      <c r="S1456" s="49">
        <v>17083122168</v>
      </c>
      <c r="T1456" s="49" t="s">
        <v>383</v>
      </c>
      <c r="U1456" s="50" t="s">
        <v>1729</v>
      </c>
      <c r="V1456" s="50">
        <v>17083129746</v>
      </c>
      <c r="W1456" s="50">
        <v>17083122168</v>
      </c>
      <c r="X1456" s="50" t="s">
        <v>383</v>
      </c>
      <c r="Y1456" s="50"/>
    </row>
    <row r="1457" spans="1:25" x14ac:dyDescent="0.25">
      <c r="A1457" s="25" t="s">
        <v>115</v>
      </c>
      <c r="B1457" t="b">
        <v>0</v>
      </c>
      <c r="C1457" s="43" t="s">
        <v>1730</v>
      </c>
      <c r="D1457" s="43">
        <v>329669</v>
      </c>
      <c r="E1457" s="43">
        <v>290880</v>
      </c>
      <c r="F1457" s="43" t="s">
        <v>117</v>
      </c>
      <c r="G1457" s="43" t="b">
        <v>0</v>
      </c>
      <c r="H1457" s="43" t="b">
        <v>0</v>
      </c>
      <c r="I1457" s="43"/>
      <c r="M1457" s="48" t="s">
        <v>1730</v>
      </c>
      <c r="N1457" s="48">
        <v>17088571540</v>
      </c>
      <c r="O1457" s="48">
        <v>17088566072</v>
      </c>
      <c r="P1457" s="48" t="s">
        <v>117</v>
      </c>
      <c r="Q1457" s="49" t="s">
        <v>1730</v>
      </c>
      <c r="R1457" s="49">
        <v>17083128042</v>
      </c>
      <c r="S1457" s="49">
        <v>17083125450</v>
      </c>
      <c r="T1457" s="49" t="s">
        <v>117</v>
      </c>
      <c r="U1457" s="50" t="s">
        <v>1730</v>
      </c>
      <c r="V1457" s="50">
        <v>17083128042</v>
      </c>
      <c r="W1457" s="50">
        <v>17083125450</v>
      </c>
      <c r="X1457" s="50" t="s">
        <v>117</v>
      </c>
      <c r="Y1457" s="50"/>
    </row>
    <row r="1458" spans="1:25" x14ac:dyDescent="0.25">
      <c r="A1458" s="25" t="s">
        <v>115</v>
      </c>
      <c r="B1458" t="b">
        <v>0</v>
      </c>
      <c r="C1458" s="43" t="s">
        <v>1731</v>
      </c>
      <c r="D1458" s="43">
        <v>331717</v>
      </c>
      <c r="E1458" s="43">
        <v>294400</v>
      </c>
      <c r="F1458" s="43" t="s">
        <v>125</v>
      </c>
      <c r="G1458" s="43" t="b">
        <v>0</v>
      </c>
      <c r="H1458" s="43" t="b">
        <v>0</v>
      </c>
      <c r="I1458" s="43" t="s">
        <v>126</v>
      </c>
      <c r="M1458" s="48" t="s">
        <v>1731</v>
      </c>
      <c r="N1458" s="48">
        <v>17088572508</v>
      </c>
      <c r="O1458" s="48">
        <v>17088568978</v>
      </c>
      <c r="P1458" s="48" t="s">
        <v>125</v>
      </c>
      <c r="Q1458" s="49" t="s">
        <v>1731</v>
      </c>
      <c r="R1458" s="49">
        <v>17083126694</v>
      </c>
      <c r="S1458" s="49">
        <v>17083123006</v>
      </c>
      <c r="T1458" s="49" t="s">
        <v>125</v>
      </c>
      <c r="U1458" s="50" t="s">
        <v>1731</v>
      </c>
      <c r="V1458" s="50">
        <v>17083126694</v>
      </c>
      <c r="W1458" s="50">
        <v>17083123006</v>
      </c>
      <c r="X1458" s="50" t="s">
        <v>125</v>
      </c>
      <c r="Y1458" s="50"/>
    </row>
    <row r="1459" spans="1:25" x14ac:dyDescent="0.25">
      <c r="A1459" s="25" t="s">
        <v>115</v>
      </c>
      <c r="B1459" t="b">
        <v>0</v>
      </c>
      <c r="C1459" s="43" t="s">
        <v>1732</v>
      </c>
      <c r="D1459" s="43">
        <v>327717</v>
      </c>
      <c r="E1459" s="43">
        <v>288927</v>
      </c>
      <c r="F1459" s="43" t="s">
        <v>132</v>
      </c>
      <c r="G1459" s="43" t="b">
        <v>0</v>
      </c>
      <c r="H1459" s="43" t="b">
        <v>0</v>
      </c>
      <c r="I1459" s="43"/>
      <c r="M1459" s="48" t="s">
        <v>1732</v>
      </c>
      <c r="N1459" s="48">
        <v>17088573212</v>
      </c>
      <c r="O1459" s="48">
        <v>17088567650</v>
      </c>
      <c r="P1459" s="48" t="s">
        <v>132</v>
      </c>
      <c r="Q1459" s="49" t="s">
        <v>1732</v>
      </c>
      <c r="R1459" s="49">
        <v>17083125798</v>
      </c>
      <c r="S1459" s="49">
        <v>17083124638</v>
      </c>
      <c r="T1459" s="49" t="s">
        <v>132</v>
      </c>
      <c r="U1459" s="50" t="s">
        <v>1732</v>
      </c>
      <c r="V1459" s="50">
        <v>17083125798</v>
      </c>
      <c r="W1459" s="50">
        <v>17083124638</v>
      </c>
      <c r="X1459" s="50" t="s">
        <v>132</v>
      </c>
      <c r="Y1459" s="50"/>
    </row>
    <row r="1460" spans="1:25" x14ac:dyDescent="0.25">
      <c r="A1460" s="25" t="s">
        <v>115</v>
      </c>
      <c r="B1460" t="b">
        <v>0</v>
      </c>
      <c r="C1460" s="43" t="s">
        <v>1733</v>
      </c>
      <c r="D1460" s="43">
        <v>329765</v>
      </c>
      <c r="E1460" s="43">
        <v>287759</v>
      </c>
      <c r="F1460" s="43" t="s">
        <v>123</v>
      </c>
      <c r="G1460" s="43" t="b">
        <v>1</v>
      </c>
      <c r="H1460" s="43" t="b">
        <v>0</v>
      </c>
      <c r="I1460" s="43" t="s">
        <v>134</v>
      </c>
      <c r="M1460" s="48" t="s">
        <v>1733</v>
      </c>
      <c r="N1460" s="48">
        <v>17088571922</v>
      </c>
      <c r="O1460" s="48">
        <v>17088566510</v>
      </c>
      <c r="P1460" s="48" t="s">
        <v>123</v>
      </c>
      <c r="Q1460" s="49" t="s">
        <v>1733</v>
      </c>
      <c r="R1460" s="49">
        <v>17083129102</v>
      </c>
      <c r="S1460" s="49">
        <v>17083122341</v>
      </c>
      <c r="T1460" s="49" t="s">
        <v>123</v>
      </c>
      <c r="U1460" s="50" t="s">
        <v>1733</v>
      </c>
      <c r="V1460" s="50">
        <v>17083129102</v>
      </c>
      <c r="W1460" s="50">
        <v>17083122341</v>
      </c>
      <c r="X1460" s="50" t="s">
        <v>123</v>
      </c>
      <c r="Y1460" s="50">
        <v>150084</v>
      </c>
    </row>
    <row r="1461" spans="1:25" x14ac:dyDescent="0.25">
      <c r="A1461" s="25" t="s">
        <v>115</v>
      </c>
      <c r="B1461" t="b">
        <v>0</v>
      </c>
      <c r="C1461" s="43" t="s">
        <v>1734</v>
      </c>
      <c r="D1461" s="43">
        <v>328741</v>
      </c>
      <c r="E1461" s="43">
        <v>294560</v>
      </c>
      <c r="F1461" s="43" t="s">
        <v>132</v>
      </c>
      <c r="G1461" s="43" t="b">
        <v>0</v>
      </c>
      <c r="H1461" s="43" t="b">
        <v>0</v>
      </c>
      <c r="I1461" s="43"/>
      <c r="M1461" s="48" t="s">
        <v>1734</v>
      </c>
      <c r="N1461" s="48">
        <v>17088572628</v>
      </c>
      <c r="O1461" s="48">
        <v>17088568376</v>
      </c>
      <c r="P1461" s="48" t="s">
        <v>132</v>
      </c>
      <c r="Q1461" s="49" t="s">
        <v>1734</v>
      </c>
      <c r="R1461" s="49">
        <v>17083126042</v>
      </c>
      <c r="S1461" s="49">
        <v>17083123530</v>
      </c>
      <c r="T1461" s="49" t="s">
        <v>132</v>
      </c>
      <c r="U1461" s="50" t="s">
        <v>1734</v>
      </c>
      <c r="V1461" s="50">
        <v>17083126042</v>
      </c>
      <c r="W1461" s="50">
        <v>17083123530</v>
      </c>
      <c r="X1461" s="50" t="s">
        <v>132</v>
      </c>
      <c r="Y1461" s="50"/>
    </row>
    <row r="1462" spans="1:25" x14ac:dyDescent="0.25">
      <c r="A1462" s="25" t="b">
        <v>1</v>
      </c>
      <c r="B1462" t="b">
        <v>0</v>
      </c>
      <c r="C1462" s="43" t="s">
        <v>1735</v>
      </c>
      <c r="D1462" s="43">
        <v>330789</v>
      </c>
      <c r="E1462" s="43">
        <v>290783</v>
      </c>
      <c r="F1462" s="43" t="s">
        <v>173</v>
      </c>
      <c r="G1462" s="43" t="b">
        <v>0</v>
      </c>
      <c r="H1462" s="43" t="b">
        <v>0</v>
      </c>
      <c r="I1462" s="43"/>
      <c r="J1462" s="45" t="s">
        <v>1735</v>
      </c>
      <c r="K1462" s="46">
        <v>290783</v>
      </c>
      <c r="M1462" s="48" t="s">
        <v>1735</v>
      </c>
      <c r="N1462" s="48">
        <v>17088571164</v>
      </c>
      <c r="O1462" s="48">
        <v>17088565538</v>
      </c>
      <c r="P1462" s="48" t="s">
        <v>173</v>
      </c>
      <c r="Q1462" s="49" t="s">
        <v>1735</v>
      </c>
      <c r="R1462" s="49">
        <v>17083129798</v>
      </c>
      <c r="S1462" s="49">
        <v>17083122670</v>
      </c>
      <c r="T1462" s="49" t="s">
        <v>173</v>
      </c>
      <c r="U1462" s="50" t="s">
        <v>1735</v>
      </c>
      <c r="V1462" s="50">
        <v>17083129798</v>
      </c>
      <c r="W1462" s="50">
        <v>17083122670</v>
      </c>
      <c r="X1462" s="50" t="s">
        <v>173</v>
      </c>
      <c r="Y1462" s="50"/>
    </row>
    <row r="1463" spans="1:25" x14ac:dyDescent="0.25">
      <c r="A1463" s="25" t="s">
        <v>115</v>
      </c>
      <c r="B1463" t="b">
        <v>0</v>
      </c>
      <c r="C1463" s="43" t="s">
        <v>1736</v>
      </c>
      <c r="D1463" s="43">
        <v>328229</v>
      </c>
      <c r="E1463" s="43">
        <v>288639</v>
      </c>
      <c r="F1463" s="43" t="s">
        <v>119</v>
      </c>
      <c r="G1463" s="43" t="b">
        <v>0</v>
      </c>
      <c r="H1463" s="43" t="b">
        <v>0</v>
      </c>
      <c r="I1463" s="43"/>
      <c r="M1463" s="48" t="s">
        <v>1736</v>
      </c>
      <c r="N1463" s="48">
        <v>17088572060</v>
      </c>
      <c r="O1463" s="48">
        <v>17088566082</v>
      </c>
      <c r="P1463" s="48" t="s">
        <v>119</v>
      </c>
      <c r="Q1463" s="49" t="s">
        <v>1736</v>
      </c>
      <c r="R1463" s="49">
        <v>17083127334</v>
      </c>
      <c r="S1463" s="49">
        <v>17083121774</v>
      </c>
      <c r="T1463" s="49" t="s">
        <v>119</v>
      </c>
      <c r="U1463" s="50" t="s">
        <v>1736</v>
      </c>
      <c r="V1463" s="50">
        <v>17083127334</v>
      </c>
      <c r="W1463" s="50">
        <v>17083121774</v>
      </c>
      <c r="X1463" s="50" t="s">
        <v>119</v>
      </c>
      <c r="Y1463" s="50"/>
    </row>
    <row r="1464" spans="1:25" x14ac:dyDescent="0.25">
      <c r="A1464" s="25" t="s">
        <v>248</v>
      </c>
      <c r="B1464" t="b">
        <v>0</v>
      </c>
      <c r="C1464" s="43" t="s">
        <v>1737</v>
      </c>
      <c r="D1464" s="43">
        <v>330277</v>
      </c>
      <c r="E1464" s="43">
        <v>287039</v>
      </c>
      <c r="F1464" s="43" t="s">
        <v>173</v>
      </c>
      <c r="G1464" s="43" t="b">
        <v>0</v>
      </c>
      <c r="H1464" s="43" t="b">
        <v>0</v>
      </c>
      <c r="I1464" s="43"/>
      <c r="J1464" s="45" t="s">
        <v>1737</v>
      </c>
      <c r="K1464" s="46">
        <v>287039</v>
      </c>
      <c r="L1464" s="47">
        <v>990000406</v>
      </c>
      <c r="M1464" s="48" t="s">
        <v>1737</v>
      </c>
      <c r="N1464" s="48">
        <v>17088571804</v>
      </c>
      <c r="O1464" s="48">
        <v>17088569282</v>
      </c>
      <c r="P1464" s="48" t="s">
        <v>173</v>
      </c>
      <c r="Q1464" s="49" t="s">
        <v>1737</v>
      </c>
      <c r="R1464" s="49">
        <v>17083129126</v>
      </c>
      <c r="S1464" s="49">
        <v>17083124974</v>
      </c>
      <c r="T1464" s="49" t="s">
        <v>173</v>
      </c>
      <c r="U1464" s="50" t="s">
        <v>1737</v>
      </c>
      <c r="V1464" s="50">
        <v>17083129126</v>
      </c>
      <c r="W1464" s="50">
        <v>17083124974</v>
      </c>
      <c r="X1464" s="50" t="s">
        <v>173</v>
      </c>
      <c r="Y1464" s="50"/>
    </row>
    <row r="1465" spans="1:25" x14ac:dyDescent="0.25">
      <c r="A1465" s="25" t="s">
        <v>115</v>
      </c>
      <c r="B1465" t="b">
        <v>0</v>
      </c>
      <c r="C1465" s="43" t="s">
        <v>1738</v>
      </c>
      <c r="D1465" s="43">
        <v>328997</v>
      </c>
      <c r="E1465" s="43">
        <v>291696</v>
      </c>
      <c r="F1465" s="43" t="s">
        <v>132</v>
      </c>
      <c r="G1465" s="43" t="b">
        <v>0</v>
      </c>
      <c r="H1465" s="43" t="b">
        <v>0</v>
      </c>
      <c r="I1465" s="43"/>
      <c r="M1465" s="48" t="s">
        <v>1738</v>
      </c>
      <c r="N1465" s="48">
        <v>17088572126</v>
      </c>
      <c r="O1465" s="48">
        <v>17088563223</v>
      </c>
      <c r="P1465" s="48" t="s">
        <v>132</v>
      </c>
      <c r="Q1465" s="49" t="s">
        <v>1738</v>
      </c>
      <c r="R1465" s="49">
        <v>17083127698</v>
      </c>
      <c r="S1465" s="49">
        <v>17083125124</v>
      </c>
      <c r="T1465" s="49" t="s">
        <v>132</v>
      </c>
      <c r="U1465" s="50" t="s">
        <v>1738</v>
      </c>
      <c r="V1465" s="50">
        <v>17083127698</v>
      </c>
      <c r="W1465" s="50">
        <v>17083125124</v>
      </c>
      <c r="X1465" s="50" t="s">
        <v>132</v>
      </c>
      <c r="Y1465" s="50"/>
    </row>
    <row r="1466" spans="1:25" x14ac:dyDescent="0.25">
      <c r="A1466" s="25" t="s">
        <v>115</v>
      </c>
      <c r="B1466" t="b">
        <v>0</v>
      </c>
      <c r="C1466" s="43" t="s">
        <v>1739</v>
      </c>
      <c r="D1466" s="43">
        <v>331045</v>
      </c>
      <c r="E1466" s="43">
        <v>292752</v>
      </c>
      <c r="F1466" s="43" t="s">
        <v>125</v>
      </c>
      <c r="G1466" s="43" t="b">
        <v>1</v>
      </c>
      <c r="H1466" s="43" t="b">
        <v>0</v>
      </c>
      <c r="I1466" s="43" t="s">
        <v>126</v>
      </c>
      <c r="M1466" s="48" t="s">
        <v>1739</v>
      </c>
      <c r="N1466" s="48">
        <v>17088569492</v>
      </c>
      <c r="O1466" s="48">
        <v>17088567592</v>
      </c>
      <c r="P1466" s="48" t="s">
        <v>125</v>
      </c>
      <c r="Q1466" s="49" t="s">
        <v>1739</v>
      </c>
      <c r="R1466" s="49">
        <v>17083125994</v>
      </c>
      <c r="S1466" s="49">
        <v>17083122386</v>
      </c>
      <c r="T1466" s="49" t="s">
        <v>125</v>
      </c>
      <c r="U1466" s="50" t="s">
        <v>1739</v>
      </c>
      <c r="V1466" s="50">
        <v>17083125994</v>
      </c>
      <c r="W1466" s="50">
        <v>17083122386</v>
      </c>
      <c r="X1466" s="50" t="s">
        <v>125</v>
      </c>
      <c r="Y1466" s="50">
        <v>120402</v>
      </c>
    </row>
    <row r="1467" spans="1:25" x14ac:dyDescent="0.25">
      <c r="A1467" s="25" t="s">
        <v>248</v>
      </c>
      <c r="B1467" t="b">
        <v>0</v>
      </c>
      <c r="C1467" s="43" t="s">
        <v>1740</v>
      </c>
      <c r="D1467" s="43">
        <v>328485</v>
      </c>
      <c r="E1467" s="43">
        <v>290111</v>
      </c>
      <c r="F1467" s="43" t="s">
        <v>173</v>
      </c>
      <c r="G1467" s="43" t="b">
        <v>0</v>
      </c>
      <c r="H1467" s="43" t="b">
        <v>0</v>
      </c>
      <c r="I1467" s="43"/>
      <c r="J1467" s="45" t="s">
        <v>1740</v>
      </c>
      <c r="K1467" s="46">
        <v>290111</v>
      </c>
      <c r="L1467" s="47">
        <v>990000408</v>
      </c>
      <c r="M1467" s="48" t="s">
        <v>1740</v>
      </c>
      <c r="N1467" s="48">
        <v>17088569756</v>
      </c>
      <c r="O1467" s="48">
        <v>17088566210</v>
      </c>
      <c r="P1467" s="48" t="s">
        <v>173</v>
      </c>
      <c r="Q1467" s="49" t="s">
        <v>1740</v>
      </c>
      <c r="R1467" s="49">
        <v>17083127078</v>
      </c>
      <c r="S1467" s="49">
        <v>17083121902</v>
      </c>
      <c r="T1467" s="49" t="s">
        <v>173</v>
      </c>
      <c r="U1467" s="50" t="s">
        <v>1740</v>
      </c>
      <c r="V1467" s="50">
        <v>17083127078</v>
      </c>
      <c r="W1467" s="50">
        <v>17083121902</v>
      </c>
      <c r="X1467" s="50" t="s">
        <v>173</v>
      </c>
      <c r="Y1467" s="50"/>
    </row>
    <row r="1468" spans="1:25" x14ac:dyDescent="0.25">
      <c r="A1468" s="25" t="s">
        <v>115</v>
      </c>
      <c r="B1468" t="b">
        <v>0</v>
      </c>
      <c r="C1468" s="43" t="s">
        <v>1741</v>
      </c>
      <c r="D1468" s="43">
        <v>330533</v>
      </c>
      <c r="E1468" s="43">
        <v>290047</v>
      </c>
      <c r="F1468" s="43" t="s">
        <v>119</v>
      </c>
      <c r="G1468" s="43" t="b">
        <v>0</v>
      </c>
      <c r="H1468" s="43" t="b">
        <v>0</v>
      </c>
      <c r="I1468" s="43"/>
      <c r="M1468" s="48" t="s">
        <v>1741</v>
      </c>
      <c r="N1468" s="48">
        <v>17088570460</v>
      </c>
      <c r="O1468" s="48">
        <v>17088568898</v>
      </c>
      <c r="P1468" s="48" t="s">
        <v>119</v>
      </c>
      <c r="Q1468" s="49" t="s">
        <v>1741</v>
      </c>
      <c r="R1468" s="49">
        <v>17083129254</v>
      </c>
      <c r="S1468" s="49">
        <v>17083125166</v>
      </c>
      <c r="T1468" s="49" t="s">
        <v>119</v>
      </c>
      <c r="U1468" s="50" t="s">
        <v>1741</v>
      </c>
      <c r="V1468" s="50">
        <v>17083129254</v>
      </c>
      <c r="W1468" s="50">
        <v>17083125166</v>
      </c>
      <c r="X1468" s="50" t="s">
        <v>119</v>
      </c>
      <c r="Y1468" s="50"/>
    </row>
    <row r="1469" spans="1:25" x14ac:dyDescent="0.25">
      <c r="A1469" s="25" t="b">
        <v>1</v>
      </c>
      <c r="B1469" t="b">
        <v>0</v>
      </c>
      <c r="C1469" s="43" t="s">
        <v>1742</v>
      </c>
      <c r="D1469" s="43">
        <v>329509</v>
      </c>
      <c r="E1469" s="43">
        <v>287807</v>
      </c>
      <c r="F1469" s="43" t="s">
        <v>173</v>
      </c>
      <c r="G1469" s="43" t="b">
        <v>0</v>
      </c>
      <c r="H1469" s="43" t="b">
        <v>0</v>
      </c>
      <c r="I1469" s="43"/>
      <c r="J1469" s="45" t="s">
        <v>1742</v>
      </c>
      <c r="K1469" s="46">
        <v>287807</v>
      </c>
      <c r="M1469" s="48" t="s">
        <v>1742</v>
      </c>
      <c r="N1469" s="48">
        <v>17088570268</v>
      </c>
      <c r="O1469" s="48">
        <v>17088567842</v>
      </c>
      <c r="P1469" s="48" t="s">
        <v>173</v>
      </c>
      <c r="Q1469" s="49" t="s">
        <v>1742</v>
      </c>
      <c r="R1469" s="49">
        <v>17083126438</v>
      </c>
      <c r="S1469" s="49">
        <v>17083124206</v>
      </c>
      <c r="T1469" s="49" t="s">
        <v>173</v>
      </c>
      <c r="U1469" s="50" t="s">
        <v>1742</v>
      </c>
      <c r="V1469" s="50">
        <v>17083126438</v>
      </c>
      <c r="W1469" s="50">
        <v>17083124206</v>
      </c>
      <c r="X1469" s="50" t="s">
        <v>173</v>
      </c>
      <c r="Y1469" s="50"/>
    </row>
    <row r="1470" spans="1:25" x14ac:dyDescent="0.25">
      <c r="A1470" s="25" t="s">
        <v>115</v>
      </c>
      <c r="B1470" t="b">
        <v>0</v>
      </c>
      <c r="C1470" s="43" t="s">
        <v>1743</v>
      </c>
      <c r="D1470" s="43">
        <v>330917</v>
      </c>
      <c r="E1470" s="43">
        <v>294464</v>
      </c>
      <c r="F1470" s="43" t="s">
        <v>186</v>
      </c>
      <c r="G1470" s="43" t="b">
        <v>0</v>
      </c>
      <c r="H1470" s="43" t="b">
        <v>0</v>
      </c>
      <c r="I1470" s="43"/>
      <c r="M1470" s="48" t="s">
        <v>1743</v>
      </c>
      <c r="N1470" s="48">
        <v>17088571108</v>
      </c>
      <c r="O1470" s="48">
        <v>17088567608</v>
      </c>
      <c r="P1470" s="48" t="s">
        <v>186</v>
      </c>
      <c r="Q1470" s="49" t="s">
        <v>1743</v>
      </c>
      <c r="R1470" s="49">
        <v>17083125866</v>
      </c>
      <c r="S1470" s="49">
        <v>17083122378</v>
      </c>
      <c r="T1470" s="49" t="s">
        <v>186</v>
      </c>
      <c r="U1470" s="50" t="s">
        <v>1743</v>
      </c>
      <c r="V1470" s="50">
        <v>17083125866</v>
      </c>
      <c r="W1470" s="50">
        <v>17083122378</v>
      </c>
      <c r="X1470" s="50" t="s">
        <v>186</v>
      </c>
      <c r="Y1470" s="50"/>
    </row>
    <row r="1471" spans="1:25" x14ac:dyDescent="0.25">
      <c r="A1471" s="25" t="s">
        <v>115</v>
      </c>
      <c r="B1471" t="b">
        <v>0</v>
      </c>
      <c r="C1471" s="43" t="s">
        <v>1744</v>
      </c>
      <c r="D1471" s="43">
        <v>330405</v>
      </c>
      <c r="E1471" s="43">
        <v>289151</v>
      </c>
      <c r="F1471" s="43" t="s">
        <v>119</v>
      </c>
      <c r="G1471" s="43" t="b">
        <v>0</v>
      </c>
      <c r="H1471" s="43" t="b">
        <v>0</v>
      </c>
      <c r="I1471" s="43"/>
      <c r="J1471" s="45" t="s">
        <v>1744</v>
      </c>
      <c r="K1471" s="46">
        <v>289151</v>
      </c>
      <c r="L1471" s="47">
        <v>990000612</v>
      </c>
      <c r="M1471" s="48" t="s">
        <v>1744</v>
      </c>
      <c r="N1471" s="48">
        <v>17088571676</v>
      </c>
      <c r="O1471" s="48">
        <v>17088567490</v>
      </c>
      <c r="P1471" s="48" t="s">
        <v>119</v>
      </c>
      <c r="Q1471" s="49" t="s">
        <v>1744</v>
      </c>
      <c r="R1471" s="49">
        <v>17083126214</v>
      </c>
      <c r="S1471" s="49">
        <v>17083124334</v>
      </c>
      <c r="T1471" s="49" t="s">
        <v>119</v>
      </c>
      <c r="U1471" s="50" t="s">
        <v>1744</v>
      </c>
      <c r="V1471" s="50">
        <v>17083126214</v>
      </c>
      <c r="W1471" s="50">
        <v>17083124334</v>
      </c>
      <c r="X1471" s="50" t="s">
        <v>119</v>
      </c>
      <c r="Y1471" s="50"/>
    </row>
    <row r="1472" spans="1:25" x14ac:dyDescent="0.25">
      <c r="A1472" s="25" t="s">
        <v>115</v>
      </c>
      <c r="B1472" t="b">
        <v>0</v>
      </c>
      <c r="C1472" s="43" t="s">
        <v>1745</v>
      </c>
      <c r="D1472" s="43">
        <v>329381</v>
      </c>
      <c r="E1472" s="43">
        <v>289503</v>
      </c>
      <c r="F1472" s="43" t="s">
        <v>123</v>
      </c>
      <c r="G1472" s="43" t="b">
        <v>0</v>
      </c>
      <c r="H1472" s="43" t="b">
        <v>0</v>
      </c>
      <c r="I1472" s="43"/>
      <c r="M1472" s="48" t="s">
        <v>1745</v>
      </c>
      <c r="N1472" s="48">
        <v>17088570012</v>
      </c>
      <c r="O1472" s="48">
        <v>17088568610</v>
      </c>
      <c r="P1472" s="48" t="s">
        <v>123</v>
      </c>
      <c r="Q1472" s="49" t="s">
        <v>1745</v>
      </c>
      <c r="R1472" s="49">
        <v>17083128358</v>
      </c>
      <c r="S1472" s="49">
        <v>17083125742</v>
      </c>
      <c r="T1472" s="49" t="s">
        <v>123</v>
      </c>
      <c r="U1472" s="50" t="s">
        <v>1745</v>
      </c>
      <c r="V1472" s="50">
        <v>17083128358</v>
      </c>
      <c r="W1472" s="50">
        <v>17083125742</v>
      </c>
      <c r="X1472" s="50" t="s">
        <v>123</v>
      </c>
      <c r="Y1472" s="50"/>
    </row>
    <row r="1473" spans="1:25" x14ac:dyDescent="0.25">
      <c r="A1473" s="25" t="s">
        <v>115</v>
      </c>
      <c r="B1473" t="b">
        <v>1</v>
      </c>
      <c r="C1473" s="43" t="s">
        <v>1746</v>
      </c>
      <c r="D1473" s="43">
        <v>331429</v>
      </c>
      <c r="E1473" s="43">
        <v>288383</v>
      </c>
      <c r="F1473" s="43" t="s">
        <v>125</v>
      </c>
      <c r="G1473" s="43" t="b">
        <v>1</v>
      </c>
      <c r="H1473" s="43" t="b">
        <v>0</v>
      </c>
      <c r="I1473" s="43" t="s">
        <v>126</v>
      </c>
      <c r="M1473" s="48" t="s">
        <v>1746</v>
      </c>
      <c r="N1473" s="48">
        <v>17088571484</v>
      </c>
      <c r="O1473" s="48">
        <v>17088566978</v>
      </c>
      <c r="P1473" s="48" t="s">
        <v>125</v>
      </c>
      <c r="Q1473" s="49" t="s">
        <v>1746</v>
      </c>
      <c r="R1473" s="49">
        <v>17083127206</v>
      </c>
      <c r="S1473" s="49">
        <v>17083123054</v>
      </c>
      <c r="T1473" s="49" t="s">
        <v>125</v>
      </c>
      <c r="U1473" s="50" t="s">
        <v>1746</v>
      </c>
      <c r="V1473" s="50">
        <v>17083127206</v>
      </c>
      <c r="W1473" s="50">
        <v>17083123054</v>
      </c>
      <c r="X1473" s="50" t="s">
        <v>125</v>
      </c>
      <c r="Y1473" s="50">
        <v>120512</v>
      </c>
    </row>
    <row r="1474" spans="1:25" x14ac:dyDescent="0.25">
      <c r="A1474" s="25" t="s">
        <v>115</v>
      </c>
      <c r="B1474" t="b">
        <v>0</v>
      </c>
      <c r="C1474" s="43" t="s">
        <v>1747</v>
      </c>
      <c r="D1474" s="43">
        <v>328613</v>
      </c>
      <c r="E1474" s="43">
        <v>292432</v>
      </c>
      <c r="F1474" s="43" t="s">
        <v>123</v>
      </c>
      <c r="G1474" s="43" t="b">
        <v>0</v>
      </c>
      <c r="H1474" s="43" t="b">
        <v>0</v>
      </c>
      <c r="I1474" s="43"/>
      <c r="M1474" s="48" t="s">
        <v>1747</v>
      </c>
      <c r="N1474" s="48">
        <v>17088569396</v>
      </c>
      <c r="O1474" s="48">
        <v>17088566824</v>
      </c>
      <c r="P1474" s="48" t="s">
        <v>123</v>
      </c>
      <c r="Q1474" s="49" t="s">
        <v>1747</v>
      </c>
      <c r="R1474" s="49">
        <v>17083127066</v>
      </c>
      <c r="S1474" s="49">
        <v>17083123922</v>
      </c>
      <c r="T1474" s="49" t="s">
        <v>123</v>
      </c>
      <c r="U1474" s="50" t="s">
        <v>1747</v>
      </c>
      <c r="V1474" s="50">
        <v>17083127066</v>
      </c>
      <c r="W1474" s="50">
        <v>17083123922</v>
      </c>
      <c r="X1474" s="50" t="s">
        <v>123</v>
      </c>
      <c r="Y1474" s="50"/>
    </row>
    <row r="1475" spans="1:25" x14ac:dyDescent="0.25">
      <c r="A1475" s="25" t="s">
        <v>248</v>
      </c>
      <c r="B1475" t="b">
        <v>0</v>
      </c>
      <c r="C1475" s="43" t="s">
        <v>1748</v>
      </c>
      <c r="D1475" s="43">
        <v>330661</v>
      </c>
      <c r="E1475" s="43">
        <v>289343</v>
      </c>
      <c r="F1475" s="43" t="s">
        <v>173</v>
      </c>
      <c r="G1475" s="43" t="b">
        <v>0</v>
      </c>
      <c r="H1475" s="43" t="b">
        <v>0</v>
      </c>
      <c r="I1475" s="43"/>
      <c r="J1475" s="45" t="s">
        <v>1748</v>
      </c>
      <c r="K1475" s="46">
        <v>289343</v>
      </c>
      <c r="L1475" s="47">
        <v>990000402</v>
      </c>
      <c r="M1475" s="48" t="s">
        <v>1748</v>
      </c>
      <c r="N1475" s="48">
        <v>17088572572</v>
      </c>
      <c r="O1475" s="48">
        <v>17088566306</v>
      </c>
      <c r="P1475" s="48" t="s">
        <v>173</v>
      </c>
      <c r="Q1475" s="49" t="s">
        <v>1748</v>
      </c>
      <c r="R1475" s="49">
        <v>17083126310</v>
      </c>
      <c r="S1475" s="49">
        <v>17083123438</v>
      </c>
      <c r="T1475" s="49" t="s">
        <v>173</v>
      </c>
      <c r="U1475" s="50" t="s">
        <v>1748</v>
      </c>
      <c r="V1475" s="50">
        <v>17083126310</v>
      </c>
      <c r="W1475" s="50">
        <v>17083123438</v>
      </c>
      <c r="X1475" s="50" t="s">
        <v>173</v>
      </c>
      <c r="Y1475" s="50"/>
    </row>
    <row r="1476" spans="1:25" x14ac:dyDescent="0.25">
      <c r="A1476" s="25" t="s">
        <v>115</v>
      </c>
      <c r="B1476" t="b">
        <v>0</v>
      </c>
      <c r="C1476" s="43" t="s">
        <v>1749</v>
      </c>
      <c r="D1476" s="43">
        <v>330853</v>
      </c>
      <c r="E1476" s="43">
        <v>287583</v>
      </c>
      <c r="F1476" s="43" t="s">
        <v>119</v>
      </c>
      <c r="G1476" s="43" t="b">
        <v>0</v>
      </c>
      <c r="H1476" s="43" t="b">
        <v>0</v>
      </c>
      <c r="I1476" s="43"/>
      <c r="M1476" s="48" t="s">
        <v>1749</v>
      </c>
      <c r="N1476" s="48">
        <v>17088570524</v>
      </c>
      <c r="O1476" s="48">
        <v>17088566434</v>
      </c>
      <c r="P1476" s="48" t="s">
        <v>119</v>
      </c>
      <c r="Q1476" s="49" t="s">
        <v>1749</v>
      </c>
      <c r="R1476" s="49">
        <v>17083128870</v>
      </c>
      <c r="S1476" s="49">
        <v>17083123230</v>
      </c>
      <c r="T1476" s="49" t="s">
        <v>119</v>
      </c>
      <c r="U1476" s="50" t="s">
        <v>1749</v>
      </c>
      <c r="V1476" s="50">
        <v>17083128870</v>
      </c>
      <c r="W1476" s="50">
        <v>17083123230</v>
      </c>
      <c r="X1476" s="50" t="s">
        <v>119</v>
      </c>
      <c r="Y1476" s="50"/>
    </row>
    <row r="1477" spans="1:25" x14ac:dyDescent="0.25">
      <c r="A1477" s="25" t="s">
        <v>115</v>
      </c>
      <c r="B1477" t="b">
        <v>0</v>
      </c>
      <c r="C1477" s="43" t="s">
        <v>1750</v>
      </c>
      <c r="D1477" s="43">
        <v>17070584700</v>
      </c>
      <c r="E1477" s="43">
        <v>17064263385</v>
      </c>
      <c r="F1477" s="43" t="s">
        <v>119</v>
      </c>
      <c r="G1477" s="43" t="b">
        <v>0</v>
      </c>
      <c r="H1477" s="43" t="b">
        <v>0</v>
      </c>
      <c r="I1477" s="43"/>
      <c r="M1477" s="48" t="s">
        <v>1750</v>
      </c>
      <c r="N1477" s="48">
        <v>17088569610</v>
      </c>
      <c r="O1477" s="48">
        <v>17088565429</v>
      </c>
      <c r="P1477" s="48" t="s">
        <v>119</v>
      </c>
      <c r="Q1477" s="49" t="s">
        <v>1750</v>
      </c>
      <c r="R1477" s="49">
        <v>17083127198</v>
      </c>
      <c r="S1477" s="49">
        <v>17083124491</v>
      </c>
      <c r="T1477" s="49" t="s">
        <v>119</v>
      </c>
      <c r="U1477" s="50" t="s">
        <v>1750</v>
      </c>
      <c r="V1477" s="50">
        <v>17083127198</v>
      </c>
      <c r="W1477" s="50">
        <v>17083124491</v>
      </c>
      <c r="X1477" s="50" t="s">
        <v>119</v>
      </c>
      <c r="Y1477" s="50"/>
    </row>
    <row r="1478" spans="1:25" x14ac:dyDescent="0.25">
      <c r="A1478" s="25" t="s">
        <v>115</v>
      </c>
      <c r="B1478" t="b">
        <v>0</v>
      </c>
      <c r="C1478" s="43" t="s">
        <v>1751</v>
      </c>
      <c r="D1478" s="43">
        <v>17070586748</v>
      </c>
      <c r="E1478" s="43">
        <v>17070587516</v>
      </c>
      <c r="F1478" s="43" t="s">
        <v>119</v>
      </c>
      <c r="G1478" s="43" t="b">
        <v>0</v>
      </c>
      <c r="H1478" s="43" t="b">
        <v>0</v>
      </c>
      <c r="I1478" s="43"/>
      <c r="M1478" s="48" t="s">
        <v>1751</v>
      </c>
      <c r="N1478" s="48">
        <v>17088570670</v>
      </c>
      <c r="O1478" s="48">
        <v>17088559330</v>
      </c>
      <c r="P1478" s="48" t="s">
        <v>119</v>
      </c>
      <c r="Q1478" s="49" t="s">
        <v>1751</v>
      </c>
      <c r="R1478" s="49">
        <v>17083129465</v>
      </c>
      <c r="S1478" s="49">
        <v>17083089382</v>
      </c>
      <c r="T1478" s="49" t="s">
        <v>119</v>
      </c>
      <c r="U1478" s="50" t="s">
        <v>1751</v>
      </c>
      <c r="V1478" s="50">
        <v>17083129465</v>
      </c>
      <c r="W1478" s="50">
        <v>17083089382</v>
      </c>
      <c r="X1478" s="50" t="s">
        <v>119</v>
      </c>
      <c r="Y1478" s="50"/>
    </row>
    <row r="1479" spans="1:25" x14ac:dyDescent="0.25">
      <c r="A1479" s="25" t="s">
        <v>115</v>
      </c>
      <c r="B1479" t="b">
        <v>0</v>
      </c>
      <c r="C1479" s="43" t="s">
        <v>1752</v>
      </c>
      <c r="D1479" s="43">
        <v>17070585724</v>
      </c>
      <c r="E1479" s="43">
        <v>17064263225</v>
      </c>
      <c r="F1479" s="43" t="s">
        <v>173</v>
      </c>
      <c r="G1479" s="43" t="b">
        <v>0</v>
      </c>
      <c r="H1479" s="43" t="b">
        <v>0</v>
      </c>
      <c r="I1479" s="43"/>
      <c r="M1479" s="48" t="s">
        <v>1752</v>
      </c>
      <c r="N1479" s="48">
        <v>17088571169</v>
      </c>
      <c r="O1479" s="48">
        <v>17088565696</v>
      </c>
      <c r="P1479" s="48" t="s">
        <v>173</v>
      </c>
      <c r="Q1479" s="49" t="s">
        <v>1752</v>
      </c>
      <c r="R1479" s="49">
        <v>17083127370</v>
      </c>
      <c r="S1479" s="49">
        <v>17083124028</v>
      </c>
      <c r="T1479" s="49" t="s">
        <v>173</v>
      </c>
      <c r="U1479" s="50" t="s">
        <v>1752</v>
      </c>
      <c r="V1479" s="50">
        <v>17083127370</v>
      </c>
      <c r="W1479" s="50">
        <v>17083124028</v>
      </c>
      <c r="X1479" s="50" t="s">
        <v>173</v>
      </c>
      <c r="Y1479" s="50"/>
    </row>
    <row r="1480" spans="1:25" x14ac:dyDescent="0.25">
      <c r="A1480" s="25" t="s">
        <v>115</v>
      </c>
      <c r="B1480" t="b">
        <v>0</v>
      </c>
      <c r="C1480" s="43" t="s">
        <v>1753</v>
      </c>
      <c r="D1480" s="43">
        <v>17070587772</v>
      </c>
      <c r="E1480" s="43">
        <v>17064260153</v>
      </c>
      <c r="F1480" s="43" t="s">
        <v>173</v>
      </c>
      <c r="G1480" s="43" t="b">
        <v>0</v>
      </c>
      <c r="H1480" s="43" t="b">
        <v>0</v>
      </c>
      <c r="I1480" s="43"/>
      <c r="M1480" s="48" t="s">
        <v>1753</v>
      </c>
      <c r="N1480" s="48">
        <v>17088573206</v>
      </c>
      <c r="O1480" s="48">
        <v>17088572240</v>
      </c>
      <c r="P1480" s="48" t="s">
        <v>173</v>
      </c>
      <c r="Q1480" s="49" t="s">
        <v>1753</v>
      </c>
      <c r="R1480" s="49">
        <v>17083127113</v>
      </c>
      <c r="S1480" s="49">
        <v>17083127476</v>
      </c>
      <c r="T1480" s="49" t="s">
        <v>173</v>
      </c>
      <c r="U1480" s="50" t="s">
        <v>1753</v>
      </c>
      <c r="V1480" s="50">
        <v>17083127113</v>
      </c>
      <c r="W1480" s="50">
        <v>17083127476</v>
      </c>
      <c r="X1480" s="50" t="s">
        <v>173</v>
      </c>
      <c r="Y1480" s="50"/>
    </row>
    <row r="1481" spans="1:25" x14ac:dyDescent="0.25">
      <c r="A1481" s="25" t="s">
        <v>115</v>
      </c>
      <c r="B1481" t="b">
        <v>0</v>
      </c>
      <c r="C1481" s="43" t="s">
        <v>1754</v>
      </c>
      <c r="D1481" s="43">
        <v>17070584060</v>
      </c>
      <c r="E1481" s="43">
        <v>17064262457</v>
      </c>
      <c r="F1481" s="43" t="s">
        <v>173</v>
      </c>
      <c r="G1481" s="43" t="b">
        <v>0</v>
      </c>
      <c r="H1481" s="43" t="b">
        <v>0</v>
      </c>
      <c r="I1481" s="43"/>
      <c r="M1481" s="48" t="s">
        <v>1754</v>
      </c>
      <c r="N1481" s="48">
        <v>17088570529</v>
      </c>
      <c r="O1481" s="48">
        <v>17088568000</v>
      </c>
      <c r="P1481" s="48" t="s">
        <v>173</v>
      </c>
      <c r="Q1481" s="49" t="s">
        <v>1754</v>
      </c>
      <c r="R1481" s="49">
        <v>17083128138</v>
      </c>
      <c r="S1481" s="49">
        <v>17083123260</v>
      </c>
      <c r="T1481" s="49" t="s">
        <v>173</v>
      </c>
      <c r="U1481" s="50" t="s">
        <v>1754</v>
      </c>
      <c r="V1481" s="50">
        <v>17083128138</v>
      </c>
      <c r="W1481" s="50">
        <v>17083123260</v>
      </c>
      <c r="X1481" s="50" t="s">
        <v>173</v>
      </c>
      <c r="Y1481" s="50"/>
    </row>
    <row r="1482" spans="1:25" x14ac:dyDescent="0.25">
      <c r="A1482" s="25" t="s">
        <v>115</v>
      </c>
      <c r="B1482" t="b">
        <v>0</v>
      </c>
      <c r="C1482" s="43" t="s">
        <v>1755</v>
      </c>
      <c r="D1482" s="43">
        <v>17070586108</v>
      </c>
      <c r="E1482" s="43">
        <v>17064262841</v>
      </c>
      <c r="F1482" s="43" t="s">
        <v>173</v>
      </c>
      <c r="G1482" s="43" t="b">
        <v>0</v>
      </c>
      <c r="H1482" s="43" t="b">
        <v>0</v>
      </c>
      <c r="I1482" s="43"/>
      <c r="M1482" s="48" t="s">
        <v>1755</v>
      </c>
      <c r="N1482" s="48">
        <v>17088571366</v>
      </c>
      <c r="O1482" s="48">
        <v>17088570704</v>
      </c>
      <c r="P1482" s="48" t="s">
        <v>173</v>
      </c>
      <c r="Q1482" s="49" t="s">
        <v>1755</v>
      </c>
      <c r="R1482" s="49">
        <v>17083126409</v>
      </c>
      <c r="S1482" s="49">
        <v>17083129012</v>
      </c>
      <c r="T1482" s="49" t="s">
        <v>173</v>
      </c>
      <c r="U1482" s="50" t="s">
        <v>1755</v>
      </c>
      <c r="V1482" s="50">
        <v>17083126409</v>
      </c>
      <c r="W1482" s="50">
        <v>17083129012</v>
      </c>
      <c r="X1482" s="50" t="s">
        <v>173</v>
      </c>
      <c r="Y1482" s="50"/>
    </row>
    <row r="1483" spans="1:25" x14ac:dyDescent="0.25">
      <c r="A1483" s="25" t="s">
        <v>115</v>
      </c>
      <c r="B1483" t="b">
        <v>0</v>
      </c>
      <c r="C1483" s="43" t="s">
        <v>1756</v>
      </c>
      <c r="D1483" s="43">
        <v>17070585084</v>
      </c>
      <c r="E1483" s="43">
        <v>17064259769</v>
      </c>
      <c r="F1483" s="43" t="s">
        <v>173</v>
      </c>
      <c r="G1483" s="43" t="b">
        <v>0</v>
      </c>
      <c r="H1483" s="43" t="b">
        <v>0</v>
      </c>
      <c r="I1483" s="43"/>
      <c r="M1483" s="48" t="s">
        <v>1756</v>
      </c>
      <c r="N1483" s="48">
        <v>17088570657</v>
      </c>
      <c r="O1483" s="48">
        <v>17088566464</v>
      </c>
      <c r="P1483" s="48" t="s">
        <v>173</v>
      </c>
      <c r="Q1483" s="49" t="s">
        <v>1756</v>
      </c>
      <c r="R1483" s="49">
        <v>17083126858</v>
      </c>
      <c r="S1483" s="49">
        <v>17083124796</v>
      </c>
      <c r="T1483" s="49" t="s">
        <v>173</v>
      </c>
      <c r="U1483" s="50" t="s">
        <v>1756</v>
      </c>
      <c r="V1483" s="50">
        <v>17083126858</v>
      </c>
      <c r="W1483" s="50">
        <v>17083124796</v>
      </c>
      <c r="X1483" s="50" t="s">
        <v>173</v>
      </c>
      <c r="Y1483" s="50"/>
    </row>
    <row r="1484" spans="1:25" x14ac:dyDescent="0.25">
      <c r="A1484" s="25" t="s">
        <v>248</v>
      </c>
      <c r="B1484" t="b">
        <v>0</v>
      </c>
      <c r="C1484" s="43" t="s">
        <v>1757</v>
      </c>
      <c r="D1484" s="43">
        <v>17070587132</v>
      </c>
      <c r="E1484" s="43">
        <v>17064261305</v>
      </c>
      <c r="F1484" s="43" t="s">
        <v>132</v>
      </c>
      <c r="G1484" s="43" t="b">
        <v>0</v>
      </c>
      <c r="H1484" s="43" t="b">
        <v>0</v>
      </c>
      <c r="I1484" s="43"/>
      <c r="J1484" s="45" t="s">
        <v>1757</v>
      </c>
      <c r="K1484" s="46">
        <v>17064261305</v>
      </c>
      <c r="L1484" s="47">
        <v>990000631</v>
      </c>
      <c r="M1484" s="48" t="s">
        <v>1757</v>
      </c>
      <c r="N1484" s="48">
        <v>17088573372</v>
      </c>
      <c r="O1484" s="48">
        <v>17088565886</v>
      </c>
      <c r="P1484" s="48" t="s">
        <v>119</v>
      </c>
      <c r="Q1484" s="49" t="s">
        <v>1757</v>
      </c>
      <c r="R1484" s="49">
        <v>17083129558</v>
      </c>
      <c r="S1484" s="49">
        <v>17083125333</v>
      </c>
      <c r="T1484" s="49" t="s">
        <v>132</v>
      </c>
      <c r="U1484" s="50" t="s">
        <v>1757</v>
      </c>
      <c r="V1484" s="50">
        <v>17083129558</v>
      </c>
      <c r="W1484" s="50">
        <v>17083125333</v>
      </c>
      <c r="X1484" s="50" t="s">
        <v>132</v>
      </c>
      <c r="Y1484" s="50"/>
    </row>
    <row r="1485" spans="1:25" x14ac:dyDescent="0.25">
      <c r="A1485" s="25" t="s">
        <v>115</v>
      </c>
      <c r="B1485" t="b">
        <v>0</v>
      </c>
      <c r="C1485" s="43" t="s">
        <v>1758</v>
      </c>
      <c r="D1485" s="43">
        <v>17070584572</v>
      </c>
      <c r="E1485" s="43">
        <v>17064263097</v>
      </c>
      <c r="F1485" s="43" t="s">
        <v>117</v>
      </c>
      <c r="G1485" s="43" t="b">
        <v>0</v>
      </c>
      <c r="H1485" s="43" t="b">
        <v>0</v>
      </c>
      <c r="I1485" s="43"/>
      <c r="M1485" s="48" t="s">
        <v>1758</v>
      </c>
      <c r="N1485" s="48">
        <v>17088572250</v>
      </c>
      <c r="O1485" s="48">
        <v>17088567759</v>
      </c>
      <c r="P1485" s="48" t="s">
        <v>117</v>
      </c>
      <c r="Q1485" s="49" t="s">
        <v>1758</v>
      </c>
      <c r="R1485" s="49">
        <v>17083125921</v>
      </c>
      <c r="S1485" s="49">
        <v>17083126728</v>
      </c>
      <c r="T1485" s="49" t="s">
        <v>117</v>
      </c>
      <c r="U1485" s="50" t="s">
        <v>1758</v>
      </c>
      <c r="V1485" s="50">
        <v>17083125921</v>
      </c>
      <c r="W1485" s="50">
        <v>17083126728</v>
      </c>
      <c r="X1485" s="50" t="s">
        <v>117</v>
      </c>
      <c r="Y1485" s="50"/>
    </row>
    <row r="1486" spans="1:25" x14ac:dyDescent="0.25">
      <c r="A1486" s="25" t="s">
        <v>115</v>
      </c>
      <c r="B1486" t="b">
        <v>0</v>
      </c>
      <c r="C1486" s="43" t="s">
        <v>1759</v>
      </c>
      <c r="D1486" s="43">
        <v>17070586620</v>
      </c>
      <c r="E1486" s="43">
        <v>17064263609</v>
      </c>
      <c r="F1486" s="43" t="s">
        <v>186</v>
      </c>
      <c r="G1486" s="43" t="b">
        <v>0</v>
      </c>
      <c r="H1486" s="43" t="b">
        <v>0</v>
      </c>
      <c r="I1486" s="43"/>
      <c r="M1486" s="48" t="s">
        <v>1759</v>
      </c>
      <c r="N1486" s="48">
        <v>17088570202</v>
      </c>
      <c r="O1486" s="48">
        <v>17088566991</v>
      </c>
      <c r="P1486" s="48" t="s">
        <v>186</v>
      </c>
      <c r="Q1486" s="49" t="s">
        <v>1759</v>
      </c>
      <c r="R1486" s="49">
        <v>17083129633</v>
      </c>
      <c r="S1486" s="49">
        <v>17083128264</v>
      </c>
      <c r="T1486" s="49" t="s">
        <v>186</v>
      </c>
      <c r="U1486" s="50" t="s">
        <v>1759</v>
      </c>
      <c r="V1486" s="50">
        <v>17083129633</v>
      </c>
      <c r="W1486" s="50">
        <v>17083128264</v>
      </c>
      <c r="X1486" s="50" t="s">
        <v>186</v>
      </c>
      <c r="Y1486" s="50"/>
    </row>
    <row r="1487" spans="1:25" x14ac:dyDescent="0.25">
      <c r="A1487" s="25" t="s">
        <v>115</v>
      </c>
      <c r="B1487" t="b">
        <v>0</v>
      </c>
      <c r="C1487" s="43" t="s">
        <v>1760</v>
      </c>
      <c r="D1487" s="43">
        <v>17070585596</v>
      </c>
      <c r="E1487" s="43">
        <v>17064260537</v>
      </c>
      <c r="F1487" s="43" t="s">
        <v>186</v>
      </c>
      <c r="G1487" s="43" t="b">
        <v>0</v>
      </c>
      <c r="H1487" s="43" t="b">
        <v>0</v>
      </c>
      <c r="I1487" s="43"/>
      <c r="M1487" s="48" t="s">
        <v>1760</v>
      </c>
      <c r="N1487" s="48">
        <v>17088571316</v>
      </c>
      <c r="O1487" s="48">
        <v>17088565980</v>
      </c>
      <c r="P1487" s="48" t="s">
        <v>186</v>
      </c>
      <c r="Q1487" s="49" t="s">
        <v>1760</v>
      </c>
      <c r="R1487" s="49">
        <v>17083128570</v>
      </c>
      <c r="S1487" s="49">
        <v>17083122934</v>
      </c>
      <c r="T1487" s="49" t="s">
        <v>186</v>
      </c>
      <c r="U1487" s="50" t="s">
        <v>1760</v>
      </c>
      <c r="V1487" s="50">
        <v>17083128570</v>
      </c>
      <c r="W1487" s="50">
        <v>17083122934</v>
      </c>
      <c r="X1487" s="50" t="s">
        <v>186</v>
      </c>
      <c r="Y1487" s="50"/>
    </row>
    <row r="1488" spans="1:25" x14ac:dyDescent="0.25">
      <c r="A1488" s="25" t="s">
        <v>115</v>
      </c>
      <c r="B1488" t="b">
        <v>0</v>
      </c>
      <c r="C1488" s="43" t="s">
        <v>1761</v>
      </c>
      <c r="D1488" s="43">
        <v>17070587644</v>
      </c>
      <c r="E1488" s="43">
        <v>17064260729</v>
      </c>
      <c r="F1488" s="43" t="s">
        <v>117</v>
      </c>
      <c r="G1488" s="43" t="b">
        <v>0</v>
      </c>
      <c r="H1488" s="43" t="b">
        <v>0</v>
      </c>
      <c r="I1488" s="43"/>
      <c r="M1488" s="48" t="s">
        <v>1761</v>
      </c>
      <c r="N1488" s="48">
        <v>17088569658</v>
      </c>
      <c r="O1488" s="48">
        <v>17088570368</v>
      </c>
      <c r="P1488" s="48" t="s">
        <v>117</v>
      </c>
      <c r="Q1488" s="49" t="s">
        <v>1761</v>
      </c>
      <c r="R1488" s="49">
        <v>17083128849</v>
      </c>
      <c r="S1488" s="49">
        <v>17083128516</v>
      </c>
      <c r="T1488" s="49" t="s">
        <v>117</v>
      </c>
      <c r="U1488" s="50" t="s">
        <v>1761</v>
      </c>
      <c r="V1488" s="50">
        <v>17083128849</v>
      </c>
      <c r="W1488" s="50">
        <v>17083128516</v>
      </c>
      <c r="X1488" s="50" t="s">
        <v>117</v>
      </c>
      <c r="Y1488" s="50"/>
    </row>
    <row r="1489" spans="1:25" x14ac:dyDescent="0.25">
      <c r="A1489" s="25" t="s">
        <v>115</v>
      </c>
      <c r="B1489" t="b">
        <v>0</v>
      </c>
      <c r="C1489" s="43" t="s">
        <v>1762</v>
      </c>
      <c r="D1489" s="43">
        <v>17070584316</v>
      </c>
      <c r="E1489" s="43">
        <v>17064262265</v>
      </c>
      <c r="F1489" s="43" t="s">
        <v>117</v>
      </c>
      <c r="G1489" s="43" t="b">
        <v>0</v>
      </c>
      <c r="H1489" s="43" t="b">
        <v>0</v>
      </c>
      <c r="I1489" s="43"/>
      <c r="M1489" s="48" t="s">
        <v>1762</v>
      </c>
      <c r="N1489" s="48">
        <v>17088569690</v>
      </c>
      <c r="O1489" s="48">
        <v>17088566695</v>
      </c>
      <c r="P1489" s="48" t="s">
        <v>117</v>
      </c>
      <c r="Q1489" s="49" t="s">
        <v>1762</v>
      </c>
      <c r="R1489" s="49">
        <v>17083128097</v>
      </c>
      <c r="S1489" s="49">
        <v>17083127968</v>
      </c>
      <c r="T1489" s="49" t="s">
        <v>117</v>
      </c>
      <c r="U1489" s="50" t="s">
        <v>1762</v>
      </c>
      <c r="V1489" s="50">
        <v>17083128097</v>
      </c>
      <c r="W1489" s="50">
        <v>17083127968</v>
      </c>
      <c r="X1489" s="50" t="s">
        <v>117</v>
      </c>
      <c r="Y1489" s="50"/>
    </row>
    <row r="1490" spans="1:25" x14ac:dyDescent="0.25">
      <c r="A1490" s="25" t="s">
        <v>115</v>
      </c>
      <c r="B1490" t="b">
        <v>0</v>
      </c>
      <c r="C1490" s="43" t="s">
        <v>1763</v>
      </c>
      <c r="D1490" s="43">
        <v>17070586364</v>
      </c>
      <c r="E1490" s="43">
        <v>17064259961</v>
      </c>
      <c r="F1490" s="43" t="s">
        <v>123</v>
      </c>
      <c r="G1490" s="43" t="b">
        <v>0</v>
      </c>
      <c r="H1490" s="43" t="b">
        <v>0</v>
      </c>
      <c r="I1490" s="43"/>
      <c r="M1490" s="48" t="s">
        <v>1763</v>
      </c>
      <c r="N1490" s="48">
        <v>17088571014</v>
      </c>
      <c r="O1490" s="48">
        <v>17088573008</v>
      </c>
      <c r="P1490" s="48" t="s">
        <v>123</v>
      </c>
      <c r="Q1490" s="49" t="s">
        <v>1763</v>
      </c>
      <c r="R1490" s="49">
        <v>17083129265</v>
      </c>
      <c r="S1490" s="49">
        <v>17083125940</v>
      </c>
      <c r="T1490" s="49" t="s">
        <v>123</v>
      </c>
      <c r="U1490" s="50" t="s">
        <v>1763</v>
      </c>
      <c r="V1490" s="50">
        <v>17083129265</v>
      </c>
      <c r="W1490" s="50">
        <v>17083125940</v>
      </c>
      <c r="X1490" s="50" t="s">
        <v>123</v>
      </c>
      <c r="Y1490" s="50"/>
    </row>
    <row r="1491" spans="1:25" x14ac:dyDescent="0.25">
      <c r="A1491" s="25" t="s">
        <v>115</v>
      </c>
      <c r="B1491" t="b">
        <v>0</v>
      </c>
      <c r="C1491" s="43" t="s">
        <v>1764</v>
      </c>
      <c r="D1491" s="43">
        <v>17070585340</v>
      </c>
      <c r="E1491" s="43">
        <v>17064263033</v>
      </c>
      <c r="F1491" s="43" t="s">
        <v>123</v>
      </c>
      <c r="G1491" s="43" t="b">
        <v>0</v>
      </c>
      <c r="H1491" s="43" t="b">
        <v>0</v>
      </c>
      <c r="I1491" s="43"/>
      <c r="M1491" s="48" t="s">
        <v>1764</v>
      </c>
      <c r="N1491" s="48">
        <v>17088571538</v>
      </c>
      <c r="O1491" s="48">
        <v>17088568249</v>
      </c>
      <c r="P1491" s="48" t="s">
        <v>123</v>
      </c>
      <c r="Q1491" s="49" t="s">
        <v>1764</v>
      </c>
      <c r="R1491" s="49">
        <v>17083128782</v>
      </c>
      <c r="S1491" s="49">
        <v>17083124675</v>
      </c>
      <c r="T1491" s="49" t="s">
        <v>123</v>
      </c>
      <c r="U1491" s="50" t="s">
        <v>1764</v>
      </c>
      <c r="V1491" s="50">
        <v>17083128782</v>
      </c>
      <c r="W1491" s="50">
        <v>17083124675</v>
      </c>
      <c r="X1491" s="50" t="s">
        <v>123</v>
      </c>
      <c r="Y1491" s="50"/>
    </row>
    <row r="1492" spans="1:25" x14ac:dyDescent="0.25">
      <c r="A1492" s="25" t="s">
        <v>115</v>
      </c>
      <c r="B1492" t="b">
        <v>0</v>
      </c>
      <c r="C1492" s="43" t="s">
        <v>1765</v>
      </c>
      <c r="D1492" s="43">
        <v>21067226036</v>
      </c>
      <c r="E1492" s="43">
        <v>21067225140</v>
      </c>
      <c r="F1492" s="43" t="s">
        <v>117</v>
      </c>
      <c r="G1492" s="43" t="b">
        <v>0</v>
      </c>
      <c r="H1492" s="43" t="b">
        <v>0</v>
      </c>
      <c r="I1492" s="43"/>
      <c r="M1492" s="48" t="s">
        <v>1765</v>
      </c>
      <c r="N1492" s="48">
        <v>17088572106</v>
      </c>
      <c r="O1492" s="48">
        <v>17088569245</v>
      </c>
      <c r="P1492" s="48" t="s">
        <v>117</v>
      </c>
      <c r="Q1492" s="49" t="s">
        <v>1765</v>
      </c>
      <c r="R1492" s="49">
        <v>17083127870</v>
      </c>
      <c r="S1492" s="49">
        <v>17083123835</v>
      </c>
      <c r="T1492" s="49" t="s">
        <v>117</v>
      </c>
      <c r="U1492" s="50" t="s">
        <v>1765</v>
      </c>
      <c r="V1492" s="50">
        <v>17083127870</v>
      </c>
      <c r="W1492" s="50">
        <v>17083123835</v>
      </c>
      <c r="X1492" s="50" t="s">
        <v>117</v>
      </c>
      <c r="Y1492" s="50"/>
    </row>
    <row r="1493" spans="1:25" x14ac:dyDescent="0.25">
      <c r="A1493" s="25" t="s">
        <v>115</v>
      </c>
      <c r="B1493" t="b">
        <v>0</v>
      </c>
      <c r="C1493" s="43" t="s">
        <v>1766</v>
      </c>
      <c r="D1493" s="43">
        <v>21067225012</v>
      </c>
      <c r="E1493" s="43">
        <v>21067223348</v>
      </c>
      <c r="F1493" s="43" t="s">
        <v>186</v>
      </c>
      <c r="G1493" s="43" t="b">
        <v>0</v>
      </c>
      <c r="H1493" s="43" t="b">
        <v>0</v>
      </c>
      <c r="I1493" s="43"/>
      <c r="M1493" s="48" t="s">
        <v>1766</v>
      </c>
      <c r="N1493" s="48">
        <v>17088571518</v>
      </c>
      <c r="O1493" s="48">
        <v>17088562631</v>
      </c>
      <c r="P1493" s="48" t="s">
        <v>186</v>
      </c>
      <c r="Q1493" s="49" t="s">
        <v>1766</v>
      </c>
      <c r="R1493" s="49">
        <v>17083125970</v>
      </c>
      <c r="S1493" s="49">
        <v>17083125048</v>
      </c>
      <c r="T1493" s="49" t="s">
        <v>186</v>
      </c>
      <c r="U1493" s="50" t="s">
        <v>1766</v>
      </c>
      <c r="V1493" s="50">
        <v>17083125970</v>
      </c>
      <c r="W1493" s="50">
        <v>17083125048</v>
      </c>
      <c r="X1493" s="50" t="s">
        <v>186</v>
      </c>
      <c r="Y1493" s="50"/>
    </row>
    <row r="1494" spans="1:25" x14ac:dyDescent="0.25">
      <c r="A1494" s="25" t="s">
        <v>115</v>
      </c>
      <c r="B1494" t="b">
        <v>0</v>
      </c>
      <c r="C1494" s="43" t="s">
        <v>1767</v>
      </c>
      <c r="D1494" s="43">
        <v>21067227060</v>
      </c>
      <c r="E1494" s="43">
        <v>21067226420</v>
      </c>
      <c r="F1494" s="43" t="s">
        <v>186</v>
      </c>
      <c r="G1494" s="43" t="b">
        <v>0</v>
      </c>
      <c r="H1494" s="43" t="b">
        <v>0</v>
      </c>
      <c r="I1494" s="43"/>
      <c r="M1494" s="48" t="s">
        <v>1767</v>
      </c>
      <c r="N1494" s="48">
        <v>17088572220</v>
      </c>
      <c r="O1494" s="48">
        <v>17088569222</v>
      </c>
      <c r="P1494" s="48" t="s">
        <v>186</v>
      </c>
      <c r="Q1494" s="49" t="s">
        <v>1767</v>
      </c>
      <c r="R1494" s="49">
        <v>17083126166</v>
      </c>
      <c r="S1494" s="49">
        <v>17083123657</v>
      </c>
      <c r="T1494" s="49" t="s">
        <v>186</v>
      </c>
      <c r="U1494" s="50" t="s">
        <v>1767</v>
      </c>
      <c r="V1494" s="50">
        <v>17083126166</v>
      </c>
      <c r="W1494" s="50">
        <v>17083123657</v>
      </c>
      <c r="X1494" s="50" t="s">
        <v>186</v>
      </c>
      <c r="Y1494" s="50"/>
    </row>
    <row r="1495" spans="1:25" x14ac:dyDescent="0.25">
      <c r="A1495" s="25" t="s">
        <v>115</v>
      </c>
      <c r="B1495" t="b">
        <v>0</v>
      </c>
      <c r="C1495" s="43" t="s">
        <v>1768</v>
      </c>
      <c r="D1495" s="43">
        <v>21067223156</v>
      </c>
      <c r="E1495" s="43">
        <v>21067226292</v>
      </c>
      <c r="F1495" s="43" t="s">
        <v>186</v>
      </c>
      <c r="G1495" s="43" t="b">
        <v>0</v>
      </c>
      <c r="H1495" s="43" t="b">
        <v>0</v>
      </c>
      <c r="I1495" s="43"/>
      <c r="M1495" s="48" t="s">
        <v>1768</v>
      </c>
      <c r="N1495" s="48">
        <v>17088572828</v>
      </c>
      <c r="O1495" s="48">
        <v>17088565610</v>
      </c>
      <c r="P1495" s="48" t="s">
        <v>186</v>
      </c>
      <c r="Q1495" s="49" t="s">
        <v>1768</v>
      </c>
      <c r="R1495" s="49">
        <v>17083128806</v>
      </c>
      <c r="S1495" s="49">
        <v>17083125009</v>
      </c>
      <c r="T1495" s="49" t="s">
        <v>186</v>
      </c>
      <c r="U1495" s="50" t="s">
        <v>1768</v>
      </c>
      <c r="V1495" s="50">
        <v>17083128806</v>
      </c>
      <c r="W1495" s="50">
        <v>17083125009</v>
      </c>
      <c r="X1495" s="50" t="s">
        <v>186</v>
      </c>
      <c r="Y1495" s="50"/>
    </row>
    <row r="1496" spans="1:25" x14ac:dyDescent="0.25">
      <c r="A1496" s="25" t="s">
        <v>115</v>
      </c>
      <c r="B1496" t="b">
        <v>0</v>
      </c>
      <c r="C1496" s="43" t="s">
        <v>1769</v>
      </c>
      <c r="D1496" s="43">
        <v>21067225204</v>
      </c>
      <c r="E1496" s="43">
        <v>21067223220</v>
      </c>
      <c r="F1496" s="43" t="s">
        <v>186</v>
      </c>
      <c r="G1496" s="43" t="b">
        <v>0</v>
      </c>
      <c r="H1496" s="43" t="b">
        <v>0</v>
      </c>
      <c r="I1496" s="43"/>
      <c r="M1496" s="48" t="s">
        <v>1769</v>
      </c>
      <c r="N1496" s="48">
        <v>17088572478</v>
      </c>
      <c r="O1496" s="48">
        <v>17088566309</v>
      </c>
      <c r="P1496" s="48" t="s">
        <v>186</v>
      </c>
      <c r="Q1496" s="49" t="s">
        <v>1769</v>
      </c>
      <c r="R1496" s="49">
        <v>17083129234</v>
      </c>
      <c r="S1496" s="49">
        <v>17083125651</v>
      </c>
      <c r="T1496" s="49" t="s">
        <v>186</v>
      </c>
      <c r="U1496" s="50" t="s">
        <v>1769</v>
      </c>
      <c r="V1496" s="50">
        <v>17083129234</v>
      </c>
      <c r="W1496" s="50">
        <v>17083125651</v>
      </c>
      <c r="X1496" s="50" t="s">
        <v>186</v>
      </c>
      <c r="Y1496" s="50"/>
    </row>
    <row r="1497" spans="1:25" x14ac:dyDescent="0.25">
      <c r="A1497" s="25" t="s">
        <v>115</v>
      </c>
      <c r="B1497" t="b">
        <v>0</v>
      </c>
      <c r="C1497" s="43" t="s">
        <v>1770</v>
      </c>
      <c r="D1497" s="43">
        <v>21067224180</v>
      </c>
      <c r="E1497" s="43">
        <v>21067224420</v>
      </c>
      <c r="F1497" s="43" t="s">
        <v>125</v>
      </c>
      <c r="G1497" s="43" t="b">
        <v>1</v>
      </c>
      <c r="H1497" s="43" t="b">
        <v>0</v>
      </c>
      <c r="I1497" s="43" t="s">
        <v>126</v>
      </c>
      <c r="M1497" s="48" t="s">
        <v>1770</v>
      </c>
      <c r="N1497" s="48">
        <v>17088572922</v>
      </c>
      <c r="O1497" s="48">
        <v>17088569183</v>
      </c>
      <c r="P1497" s="48" t="s">
        <v>125</v>
      </c>
      <c r="Q1497" s="49" t="s">
        <v>1770</v>
      </c>
      <c r="R1497" s="49">
        <v>17083126673</v>
      </c>
      <c r="S1497" s="49">
        <v>17083127000</v>
      </c>
      <c r="T1497" s="49" t="s">
        <v>125</v>
      </c>
      <c r="U1497" s="50" t="s">
        <v>1770</v>
      </c>
      <c r="V1497" s="50">
        <v>17083126673</v>
      </c>
      <c r="W1497" s="50">
        <v>17083127000</v>
      </c>
      <c r="X1497" s="50" t="s">
        <v>125</v>
      </c>
      <c r="Y1497" s="50">
        <v>120350</v>
      </c>
    </row>
    <row r="1498" spans="1:25" x14ac:dyDescent="0.25">
      <c r="A1498" s="25" t="s">
        <v>115</v>
      </c>
      <c r="B1498" t="b">
        <v>0</v>
      </c>
      <c r="C1498" s="43" t="s">
        <v>1771</v>
      </c>
      <c r="D1498" s="43">
        <v>21067226228</v>
      </c>
      <c r="E1498" s="43">
        <v>21067226724</v>
      </c>
      <c r="F1498" s="43" t="s">
        <v>125</v>
      </c>
      <c r="G1498" s="43" t="b">
        <v>1</v>
      </c>
      <c r="H1498" s="43" t="b">
        <v>0</v>
      </c>
      <c r="I1498" s="43" t="s">
        <v>126</v>
      </c>
      <c r="M1498" s="48" t="s">
        <v>1771</v>
      </c>
      <c r="N1498" s="48">
        <v>17088572474</v>
      </c>
      <c r="O1498" s="48">
        <v>17088568311</v>
      </c>
      <c r="P1498" s="48" t="s">
        <v>125</v>
      </c>
      <c r="Q1498" s="49" t="s">
        <v>1771</v>
      </c>
      <c r="R1498" s="49">
        <v>17083126689</v>
      </c>
      <c r="S1498" s="49">
        <v>17083127024</v>
      </c>
      <c r="T1498" s="49" t="s">
        <v>125</v>
      </c>
      <c r="U1498" s="50" t="s">
        <v>1771</v>
      </c>
      <c r="V1498" s="50">
        <v>17083126689</v>
      </c>
      <c r="W1498" s="50">
        <v>17083127024</v>
      </c>
      <c r="X1498" s="50" t="s">
        <v>125</v>
      </c>
      <c r="Y1498" s="50">
        <v>120348</v>
      </c>
    </row>
    <row r="1499" spans="1:25" x14ac:dyDescent="0.25">
      <c r="A1499" s="25" t="s">
        <v>115</v>
      </c>
      <c r="B1499" t="b">
        <v>0</v>
      </c>
      <c r="C1499" s="43" t="s">
        <v>1772</v>
      </c>
      <c r="D1499" s="43">
        <v>21067223668</v>
      </c>
      <c r="E1499" s="43">
        <v>21067225956</v>
      </c>
      <c r="F1499" s="43" t="s">
        <v>125</v>
      </c>
      <c r="G1499" s="43" t="b">
        <v>1</v>
      </c>
      <c r="H1499" s="43" t="b">
        <v>0</v>
      </c>
      <c r="I1499" s="43" t="s">
        <v>126</v>
      </c>
      <c r="M1499" s="48" t="s">
        <v>1772</v>
      </c>
      <c r="N1499" s="48">
        <v>17088572122</v>
      </c>
      <c r="O1499" s="48">
        <v>17088566775</v>
      </c>
      <c r="P1499" s="48" t="s">
        <v>125</v>
      </c>
      <c r="Q1499" s="49" t="s">
        <v>1772</v>
      </c>
      <c r="R1499" s="49">
        <v>17083129249</v>
      </c>
      <c r="S1499" s="49">
        <v>17083129712</v>
      </c>
      <c r="T1499" s="49" t="s">
        <v>125</v>
      </c>
      <c r="U1499" s="50" t="s">
        <v>1772</v>
      </c>
      <c r="V1499" s="50">
        <v>17083129249</v>
      </c>
      <c r="W1499" s="50">
        <v>17083129712</v>
      </c>
      <c r="X1499" s="50" t="s">
        <v>125</v>
      </c>
      <c r="Y1499" s="50">
        <v>120349</v>
      </c>
    </row>
    <row r="1500" spans="1:25" x14ac:dyDescent="0.25">
      <c r="A1500" s="25" t="s">
        <v>115</v>
      </c>
      <c r="B1500" t="b">
        <v>0</v>
      </c>
      <c r="C1500" s="43" t="s">
        <v>1773</v>
      </c>
      <c r="D1500" s="43">
        <v>21067225716</v>
      </c>
      <c r="E1500" s="43">
        <v>21067223476</v>
      </c>
      <c r="F1500" s="43" t="s">
        <v>125</v>
      </c>
      <c r="G1500" s="43" t="b">
        <v>1</v>
      </c>
      <c r="H1500" s="43" t="b">
        <v>0</v>
      </c>
      <c r="I1500" s="43" t="s">
        <v>126</v>
      </c>
      <c r="M1500" s="48" t="s">
        <v>1773</v>
      </c>
      <c r="N1500" s="48">
        <v>17088571702</v>
      </c>
      <c r="O1500" s="48">
        <v>17088558540</v>
      </c>
      <c r="P1500" s="48" t="s">
        <v>125</v>
      </c>
      <c r="Q1500" s="49" t="s">
        <v>1773</v>
      </c>
      <c r="R1500" s="49">
        <v>17083128601</v>
      </c>
      <c r="S1500" s="49">
        <v>17083089130</v>
      </c>
      <c r="T1500" s="49" t="s">
        <v>125</v>
      </c>
      <c r="U1500" s="50" t="s">
        <v>1773</v>
      </c>
      <c r="V1500" s="50">
        <v>17083128601</v>
      </c>
      <c r="W1500" s="50">
        <v>17083089130</v>
      </c>
      <c r="X1500" s="50" t="s">
        <v>125</v>
      </c>
      <c r="Y1500" s="50">
        <v>120499</v>
      </c>
    </row>
    <row r="1501" spans="1:25" x14ac:dyDescent="0.25">
      <c r="A1501" s="25" t="s">
        <v>115</v>
      </c>
      <c r="B1501" t="b">
        <v>0</v>
      </c>
      <c r="C1501" s="43" t="s">
        <v>1774</v>
      </c>
      <c r="D1501" s="43">
        <v>21067224692</v>
      </c>
      <c r="E1501" s="43">
        <v>21067225828</v>
      </c>
      <c r="F1501" s="43" t="s">
        <v>125</v>
      </c>
      <c r="G1501" s="43" t="b">
        <v>1</v>
      </c>
      <c r="H1501" s="43" t="b">
        <v>0</v>
      </c>
      <c r="I1501" s="43" t="s">
        <v>126</v>
      </c>
      <c r="M1501" s="48" t="s">
        <v>1774</v>
      </c>
      <c r="N1501" s="48">
        <v>17088572534</v>
      </c>
      <c r="O1501" s="48">
        <v>17088561100</v>
      </c>
      <c r="P1501" s="48" t="s">
        <v>125</v>
      </c>
      <c r="Q1501" s="49" t="s">
        <v>1774</v>
      </c>
      <c r="R1501" s="49">
        <v>17083127385</v>
      </c>
      <c r="S1501" s="49">
        <v>17083092330</v>
      </c>
      <c r="T1501" s="49" t="s">
        <v>125</v>
      </c>
      <c r="U1501" s="50" t="s">
        <v>1774</v>
      </c>
      <c r="V1501" s="50">
        <v>17083127385</v>
      </c>
      <c r="W1501" s="50">
        <v>17083092330</v>
      </c>
      <c r="X1501" s="50" t="s">
        <v>125</v>
      </c>
      <c r="Y1501" s="50">
        <v>120505</v>
      </c>
    </row>
    <row r="1502" spans="1:25" x14ac:dyDescent="0.25">
      <c r="A1502" s="25" t="s">
        <v>115</v>
      </c>
      <c r="B1502" t="b">
        <v>0</v>
      </c>
      <c r="C1502" s="43" t="s">
        <v>1775</v>
      </c>
      <c r="D1502" s="43">
        <v>21067226740</v>
      </c>
      <c r="E1502" s="43">
        <v>21067224548</v>
      </c>
      <c r="F1502" s="43" t="s">
        <v>125</v>
      </c>
      <c r="G1502" s="43" t="b">
        <v>1</v>
      </c>
      <c r="H1502" s="43" t="b">
        <v>0</v>
      </c>
      <c r="I1502" s="43" t="s">
        <v>126</v>
      </c>
      <c r="M1502" s="48" t="s">
        <v>1775</v>
      </c>
      <c r="N1502" s="48">
        <v>17088571578</v>
      </c>
      <c r="O1502" s="48">
        <v>17088567903</v>
      </c>
      <c r="P1502" s="48" t="s">
        <v>125</v>
      </c>
      <c r="Q1502" s="49" t="s">
        <v>1775</v>
      </c>
      <c r="R1502" s="49">
        <v>17083127569</v>
      </c>
      <c r="S1502" s="49">
        <v>17083126104</v>
      </c>
      <c r="T1502" s="49" t="s">
        <v>125</v>
      </c>
      <c r="U1502" s="50" t="s">
        <v>1775</v>
      </c>
      <c r="V1502" s="50">
        <v>17083127569</v>
      </c>
      <c r="W1502" s="50">
        <v>17083126104</v>
      </c>
      <c r="X1502" s="50" t="s">
        <v>125</v>
      </c>
      <c r="Y1502" s="50">
        <v>120484</v>
      </c>
    </row>
    <row r="1503" spans="1:25" x14ac:dyDescent="0.25">
      <c r="A1503" s="25" t="s">
        <v>115</v>
      </c>
      <c r="B1503" t="b">
        <v>0</v>
      </c>
      <c r="C1503" s="43" t="s">
        <v>1776</v>
      </c>
      <c r="D1503" s="43">
        <v>21067223412</v>
      </c>
      <c r="E1503" s="43">
        <v>21067223268</v>
      </c>
      <c r="F1503" s="43" t="s">
        <v>125</v>
      </c>
      <c r="G1503" s="43" t="b">
        <v>1</v>
      </c>
      <c r="H1503" s="43" t="b">
        <v>0</v>
      </c>
      <c r="I1503" s="43" t="s">
        <v>126</v>
      </c>
      <c r="M1503" s="48" t="s">
        <v>1776</v>
      </c>
      <c r="N1503" s="48">
        <v>17088572986</v>
      </c>
      <c r="O1503" s="48">
        <v>17088566623</v>
      </c>
      <c r="P1503" s="48" t="s">
        <v>125</v>
      </c>
      <c r="Q1503" s="49" t="s">
        <v>1776</v>
      </c>
      <c r="R1503" s="49">
        <v>17083129137</v>
      </c>
      <c r="S1503" s="49">
        <v>17083128664</v>
      </c>
      <c r="T1503" s="49" t="s">
        <v>125</v>
      </c>
      <c r="U1503" s="50" t="s">
        <v>1776</v>
      </c>
      <c r="V1503" s="50">
        <v>17083129137</v>
      </c>
      <c r="W1503" s="50">
        <v>17083128664</v>
      </c>
      <c r="X1503" s="50" t="s">
        <v>125</v>
      </c>
      <c r="Y1503" s="50">
        <v>120479</v>
      </c>
    </row>
    <row r="1504" spans="1:25" x14ac:dyDescent="0.25">
      <c r="A1504" s="25" t="s">
        <v>115</v>
      </c>
      <c r="B1504" t="b">
        <v>0</v>
      </c>
      <c r="C1504" s="43" t="s">
        <v>1777</v>
      </c>
      <c r="D1504" s="43">
        <v>21067225460</v>
      </c>
      <c r="E1504" s="43">
        <v>21067227108</v>
      </c>
      <c r="F1504" s="43" t="s">
        <v>125</v>
      </c>
      <c r="G1504" s="43" t="b">
        <v>1</v>
      </c>
      <c r="H1504" s="43" t="b">
        <v>0</v>
      </c>
      <c r="I1504" s="43" t="s">
        <v>126</v>
      </c>
      <c r="M1504" s="48" t="s">
        <v>1777</v>
      </c>
      <c r="N1504" s="48">
        <v>17088571834</v>
      </c>
      <c r="O1504" s="48">
        <v>17088565343</v>
      </c>
      <c r="P1504" s="48" t="s">
        <v>125</v>
      </c>
      <c r="Q1504" s="49" t="s">
        <v>1777</v>
      </c>
      <c r="R1504" s="49">
        <v>17083126353</v>
      </c>
      <c r="S1504" s="49">
        <v>17083128920</v>
      </c>
      <c r="T1504" s="49" t="s">
        <v>125</v>
      </c>
      <c r="U1504" s="50" t="s">
        <v>1777</v>
      </c>
      <c r="V1504" s="50">
        <v>17083126353</v>
      </c>
      <c r="W1504" s="50">
        <v>17083128920</v>
      </c>
      <c r="X1504" s="50" t="s">
        <v>125</v>
      </c>
      <c r="Y1504" s="50">
        <v>120490</v>
      </c>
    </row>
    <row r="1505" spans="1:25" x14ac:dyDescent="0.25">
      <c r="A1505" s="25" t="s">
        <v>115</v>
      </c>
      <c r="B1505" t="b">
        <v>0</v>
      </c>
      <c r="C1505" s="43" t="s">
        <v>1778</v>
      </c>
      <c r="D1505" s="43">
        <v>21067224436</v>
      </c>
      <c r="E1505" s="43">
        <v>21067223572</v>
      </c>
      <c r="F1505" s="43" t="s">
        <v>125</v>
      </c>
      <c r="G1505" s="43" t="b">
        <v>1</v>
      </c>
      <c r="H1505" s="43" t="b">
        <v>0</v>
      </c>
      <c r="I1505" s="43" t="s">
        <v>126</v>
      </c>
      <c r="M1505" s="48" t="s">
        <v>1778</v>
      </c>
      <c r="N1505" s="48">
        <v>17088572026</v>
      </c>
      <c r="O1505" s="48">
        <v>17088568735</v>
      </c>
      <c r="P1505" s="48" t="s">
        <v>125</v>
      </c>
      <c r="Q1505" s="49" t="s">
        <v>1778</v>
      </c>
      <c r="R1505" s="49">
        <v>17083126993</v>
      </c>
      <c r="S1505" s="49">
        <v>17083127704</v>
      </c>
      <c r="T1505" s="49" t="s">
        <v>125</v>
      </c>
      <c r="U1505" s="50" t="s">
        <v>1778</v>
      </c>
      <c r="V1505" s="50">
        <v>17083126993</v>
      </c>
      <c r="W1505" s="50">
        <v>17083127704</v>
      </c>
      <c r="X1505" s="50" t="s">
        <v>125</v>
      </c>
      <c r="Y1505" s="50">
        <v>120494</v>
      </c>
    </row>
    <row r="1506" spans="1:25" x14ac:dyDescent="0.25">
      <c r="A1506" s="25" t="s">
        <v>115</v>
      </c>
      <c r="B1506" t="b">
        <v>0</v>
      </c>
      <c r="C1506" s="43" t="s">
        <v>1779</v>
      </c>
      <c r="D1506" s="43">
        <v>21067226484</v>
      </c>
      <c r="E1506" s="43">
        <v>21067225364</v>
      </c>
      <c r="F1506" s="43" t="s">
        <v>125</v>
      </c>
      <c r="G1506" s="43" t="b">
        <v>1</v>
      </c>
      <c r="H1506" s="43" t="b">
        <v>0</v>
      </c>
      <c r="I1506" s="43" t="s">
        <v>126</v>
      </c>
      <c r="M1506" s="48" t="s">
        <v>1779</v>
      </c>
      <c r="N1506" s="48">
        <v>17088570450</v>
      </c>
      <c r="O1506" s="48">
        <v>17088568345</v>
      </c>
      <c r="P1506" s="48" t="s">
        <v>125</v>
      </c>
      <c r="Q1506" s="49" t="s">
        <v>1779</v>
      </c>
      <c r="R1506" s="49">
        <v>17083126958</v>
      </c>
      <c r="S1506" s="49">
        <v>17083125117</v>
      </c>
      <c r="T1506" s="49" t="s">
        <v>125</v>
      </c>
      <c r="U1506" s="50" t="s">
        <v>1779</v>
      </c>
      <c r="V1506" s="50">
        <v>17083126958</v>
      </c>
      <c r="W1506" s="50">
        <v>17083125117</v>
      </c>
      <c r="X1506" s="50" t="s">
        <v>125</v>
      </c>
      <c r="Y1506" s="50">
        <v>120466</v>
      </c>
    </row>
    <row r="1507" spans="1:25" x14ac:dyDescent="0.25">
      <c r="A1507" s="25" t="s">
        <v>115</v>
      </c>
      <c r="B1507" t="b">
        <v>0</v>
      </c>
      <c r="C1507" s="43" t="s">
        <v>1780</v>
      </c>
      <c r="D1507" s="43">
        <v>21067223924</v>
      </c>
      <c r="E1507" s="43">
        <v>21067223828</v>
      </c>
      <c r="F1507" s="43" t="s">
        <v>125</v>
      </c>
      <c r="G1507" s="43" t="b">
        <v>0</v>
      </c>
      <c r="H1507" s="43" t="b">
        <v>0</v>
      </c>
      <c r="I1507" s="43" t="s">
        <v>126</v>
      </c>
      <c r="M1507" s="48" t="s">
        <v>1780</v>
      </c>
      <c r="N1507" s="48">
        <v>17088573290</v>
      </c>
      <c r="O1507" s="48">
        <v>17088565403</v>
      </c>
      <c r="P1507" s="48" t="s">
        <v>125</v>
      </c>
      <c r="Q1507" s="49" t="s">
        <v>1780</v>
      </c>
      <c r="R1507" s="49">
        <v>17083128577</v>
      </c>
      <c r="S1507" s="49">
        <v>17083123231</v>
      </c>
      <c r="T1507" s="49" t="s">
        <v>125</v>
      </c>
      <c r="U1507" s="50" t="s">
        <v>1780</v>
      </c>
      <c r="V1507" s="50">
        <v>17083128577</v>
      </c>
      <c r="W1507" s="50">
        <v>17083123231</v>
      </c>
      <c r="X1507" s="50" t="s">
        <v>125</v>
      </c>
      <c r="Y1507" s="50"/>
    </row>
    <row r="1508" spans="1:25" x14ac:dyDescent="0.25">
      <c r="A1508" s="25" t="s">
        <v>115</v>
      </c>
      <c r="B1508" t="b">
        <v>0</v>
      </c>
      <c r="C1508" s="43" t="s">
        <v>1781</v>
      </c>
      <c r="D1508" s="43">
        <v>21067225972</v>
      </c>
      <c r="E1508" s="43">
        <v>21067224212</v>
      </c>
      <c r="F1508" s="43" t="s">
        <v>125</v>
      </c>
      <c r="G1508" s="43" t="b">
        <v>1</v>
      </c>
      <c r="H1508" s="43" t="b">
        <v>0</v>
      </c>
      <c r="I1508" s="43" t="s">
        <v>126</v>
      </c>
      <c r="M1508" s="48" t="s">
        <v>1781</v>
      </c>
      <c r="N1508" s="48">
        <v>17088570906</v>
      </c>
      <c r="O1508" s="48">
        <v>17088568091</v>
      </c>
      <c r="P1508" s="48" t="s">
        <v>125</v>
      </c>
      <c r="Q1508" s="49" t="s">
        <v>1781</v>
      </c>
      <c r="R1508" s="49">
        <v>17083128961</v>
      </c>
      <c r="S1508" s="49">
        <v>17083124767</v>
      </c>
      <c r="T1508" s="49" t="s">
        <v>125</v>
      </c>
      <c r="U1508" s="50" t="s">
        <v>1781</v>
      </c>
      <c r="V1508" s="50">
        <v>17083128961</v>
      </c>
      <c r="W1508" s="50">
        <v>17083124767</v>
      </c>
      <c r="X1508" s="50" t="s">
        <v>125</v>
      </c>
      <c r="Y1508" s="50">
        <v>120504</v>
      </c>
    </row>
    <row r="1509" spans="1:25" x14ac:dyDescent="0.25">
      <c r="A1509" s="25" t="s">
        <v>115</v>
      </c>
      <c r="B1509" t="b">
        <v>0</v>
      </c>
      <c r="C1509" s="43" t="s">
        <v>1782</v>
      </c>
      <c r="D1509" s="43">
        <v>21067224948</v>
      </c>
      <c r="E1509" s="43">
        <v>21067223444</v>
      </c>
      <c r="F1509" s="43" t="s">
        <v>125</v>
      </c>
      <c r="G1509" s="43" t="b">
        <v>1</v>
      </c>
      <c r="H1509" s="43" t="b">
        <v>0</v>
      </c>
      <c r="I1509" s="43" t="s">
        <v>126</v>
      </c>
      <c r="M1509" s="48" t="s">
        <v>1782</v>
      </c>
      <c r="N1509" s="48">
        <v>17088571402</v>
      </c>
      <c r="O1509" s="48">
        <v>17088567645</v>
      </c>
      <c r="P1509" s="48" t="s">
        <v>125</v>
      </c>
      <c r="Q1509" s="49" t="s">
        <v>1782</v>
      </c>
      <c r="R1509" s="49">
        <v>17083127774</v>
      </c>
      <c r="S1509" s="49">
        <v>17083122107</v>
      </c>
      <c r="T1509" s="49" t="s">
        <v>125</v>
      </c>
      <c r="U1509" s="50" t="s">
        <v>1782</v>
      </c>
      <c r="V1509" s="50">
        <v>17083127774</v>
      </c>
      <c r="W1509" s="50">
        <v>17083122107</v>
      </c>
      <c r="X1509" s="50" t="s">
        <v>125</v>
      </c>
      <c r="Y1509" s="50">
        <v>120489</v>
      </c>
    </row>
    <row r="1510" spans="1:25" x14ac:dyDescent="0.25">
      <c r="A1510" s="25" t="s">
        <v>115</v>
      </c>
      <c r="B1510" t="b">
        <v>0</v>
      </c>
      <c r="C1510" s="43" t="s">
        <v>1783</v>
      </c>
      <c r="D1510" s="43">
        <v>21067226996</v>
      </c>
      <c r="E1510" s="43">
        <v>21067226516</v>
      </c>
      <c r="F1510" s="43" t="s">
        <v>125</v>
      </c>
      <c r="G1510" s="43" t="b">
        <v>1</v>
      </c>
      <c r="H1510" s="43" t="b">
        <v>0</v>
      </c>
      <c r="I1510" s="43" t="s">
        <v>126</v>
      </c>
      <c r="M1510" s="48" t="s">
        <v>1783</v>
      </c>
      <c r="N1510" s="48">
        <v>17088571658</v>
      </c>
      <c r="O1510" s="48">
        <v>17088566877</v>
      </c>
      <c r="P1510" s="48" t="s">
        <v>125</v>
      </c>
      <c r="Q1510" s="49" t="s">
        <v>1783</v>
      </c>
      <c r="R1510" s="49">
        <v>17083126366</v>
      </c>
      <c r="S1510" s="49">
        <v>17083124411</v>
      </c>
      <c r="T1510" s="49" t="s">
        <v>125</v>
      </c>
      <c r="U1510" s="50" t="s">
        <v>1783</v>
      </c>
      <c r="V1510" s="50">
        <v>17083126366</v>
      </c>
      <c r="W1510" s="50">
        <v>17083124411</v>
      </c>
      <c r="X1510" s="50" t="s">
        <v>125</v>
      </c>
      <c r="Y1510" s="50">
        <v>120495</v>
      </c>
    </row>
    <row r="1511" spans="1:25" x14ac:dyDescent="0.25">
      <c r="A1511" s="25" t="s">
        <v>115</v>
      </c>
      <c r="B1511" t="b">
        <v>0</v>
      </c>
      <c r="C1511" s="43" t="s">
        <v>1784</v>
      </c>
      <c r="D1511" s="43">
        <v>21067223284</v>
      </c>
      <c r="E1511" s="43">
        <v>21067224980</v>
      </c>
      <c r="F1511" s="43" t="s">
        <v>123</v>
      </c>
      <c r="G1511" s="43" t="b">
        <v>0</v>
      </c>
      <c r="H1511" s="43" t="b">
        <v>0</v>
      </c>
      <c r="I1511" s="43" t="s">
        <v>126</v>
      </c>
      <c r="M1511" s="48" t="s">
        <v>1784</v>
      </c>
      <c r="N1511" s="48">
        <v>17088572010</v>
      </c>
      <c r="O1511" s="48">
        <v>17088567539</v>
      </c>
      <c r="P1511" s="48" t="s">
        <v>123</v>
      </c>
      <c r="Q1511" s="49" t="s">
        <v>1784</v>
      </c>
      <c r="R1511" s="49">
        <v>17083129598</v>
      </c>
      <c r="S1511" s="49">
        <v>17083122191</v>
      </c>
      <c r="T1511" s="49" t="s">
        <v>123</v>
      </c>
      <c r="U1511" s="50" t="s">
        <v>1784</v>
      </c>
      <c r="V1511" s="50">
        <v>17083129598</v>
      </c>
      <c r="W1511" s="50">
        <v>17083122191</v>
      </c>
      <c r="X1511" s="50" t="s">
        <v>123</v>
      </c>
      <c r="Y1511" s="50"/>
    </row>
    <row r="1512" spans="1:25" x14ac:dyDescent="0.25">
      <c r="A1512" s="25" t="s">
        <v>115</v>
      </c>
      <c r="B1512" t="b">
        <v>0</v>
      </c>
      <c r="C1512" s="43" t="s">
        <v>1785</v>
      </c>
      <c r="D1512" s="43">
        <v>21067225332</v>
      </c>
      <c r="E1512" s="43">
        <v>21067225684</v>
      </c>
      <c r="F1512" s="43" t="s">
        <v>123</v>
      </c>
      <c r="G1512" s="43" t="b">
        <v>1</v>
      </c>
      <c r="H1512" s="43" t="b">
        <v>0</v>
      </c>
      <c r="I1512" s="43" t="s">
        <v>134</v>
      </c>
      <c r="M1512" s="48" t="s">
        <v>1785</v>
      </c>
      <c r="N1512" s="48">
        <v>17088572338</v>
      </c>
      <c r="O1512" s="48">
        <v>17088565517</v>
      </c>
      <c r="P1512" s="48" t="s">
        <v>123</v>
      </c>
      <c r="Q1512" s="49" t="s">
        <v>1785</v>
      </c>
      <c r="R1512" s="49">
        <v>17083128222</v>
      </c>
      <c r="S1512" s="49">
        <v>17083124267</v>
      </c>
      <c r="T1512" s="49" t="s">
        <v>123</v>
      </c>
      <c r="U1512" s="50" t="s">
        <v>1785</v>
      </c>
      <c r="V1512" s="50">
        <v>17083128222</v>
      </c>
      <c r="W1512" s="50">
        <v>17083124267</v>
      </c>
      <c r="X1512" s="50" t="s">
        <v>123</v>
      </c>
      <c r="Y1512" s="50">
        <v>150127</v>
      </c>
    </row>
    <row r="1513" spans="1:25" x14ac:dyDescent="0.25">
      <c r="A1513" s="25" t="s">
        <v>115</v>
      </c>
      <c r="B1513" t="b">
        <v>0</v>
      </c>
      <c r="C1513" s="43" t="s">
        <v>1786</v>
      </c>
      <c r="D1513" s="43">
        <v>21067224308</v>
      </c>
      <c r="E1513" s="43">
        <v>21067223892</v>
      </c>
      <c r="F1513" s="43" t="s">
        <v>123</v>
      </c>
      <c r="G1513" s="43" t="b">
        <v>1</v>
      </c>
      <c r="H1513" s="43" t="b">
        <v>0</v>
      </c>
      <c r="I1513" s="43" t="s">
        <v>134</v>
      </c>
      <c r="M1513" s="48" t="s">
        <v>1786</v>
      </c>
      <c r="N1513" s="48">
        <v>17088572978</v>
      </c>
      <c r="O1513" s="48">
        <v>17088565589</v>
      </c>
      <c r="P1513" s="48" t="s">
        <v>123</v>
      </c>
      <c r="Q1513" s="49" t="s">
        <v>1786</v>
      </c>
      <c r="R1513" s="49">
        <v>17083127662</v>
      </c>
      <c r="S1513" s="49">
        <v>17083124979</v>
      </c>
      <c r="T1513" s="49" t="s">
        <v>123</v>
      </c>
      <c r="U1513" s="50" t="s">
        <v>1786</v>
      </c>
      <c r="V1513" s="50">
        <v>17083127662</v>
      </c>
      <c r="W1513" s="50">
        <v>17083124979</v>
      </c>
      <c r="X1513" s="50" t="s">
        <v>123</v>
      </c>
      <c r="Y1513" s="50">
        <v>150125</v>
      </c>
    </row>
    <row r="1514" spans="1:25" x14ac:dyDescent="0.25">
      <c r="A1514" s="25" t="s">
        <v>115</v>
      </c>
      <c r="B1514" t="b">
        <v>0</v>
      </c>
      <c r="C1514" s="43" t="s">
        <v>1787</v>
      </c>
      <c r="D1514" s="43">
        <v>21067226356</v>
      </c>
      <c r="E1514" s="43">
        <v>21067226324</v>
      </c>
      <c r="F1514" s="43" t="s">
        <v>123</v>
      </c>
      <c r="G1514" s="43" t="b">
        <v>1</v>
      </c>
      <c r="H1514" s="43" t="b">
        <v>0</v>
      </c>
      <c r="I1514" s="43" t="s">
        <v>134</v>
      </c>
      <c r="M1514" s="48" t="s">
        <v>1787</v>
      </c>
      <c r="N1514" s="48">
        <v>17088569394</v>
      </c>
      <c r="O1514" s="48">
        <v>17088567381</v>
      </c>
      <c r="P1514" s="48" t="s">
        <v>123</v>
      </c>
      <c r="Q1514" s="49" t="s">
        <v>1787</v>
      </c>
      <c r="R1514" s="49">
        <v>17083125790</v>
      </c>
      <c r="S1514" s="49">
        <v>17083122547</v>
      </c>
      <c r="T1514" s="49" t="s">
        <v>123</v>
      </c>
      <c r="U1514" s="50" t="s">
        <v>1787</v>
      </c>
      <c r="V1514" s="50">
        <v>17083125790</v>
      </c>
      <c r="W1514" s="50">
        <v>17083122547</v>
      </c>
      <c r="X1514" s="50" t="s">
        <v>123</v>
      </c>
      <c r="Y1514" s="50">
        <v>150128</v>
      </c>
    </row>
    <row r="1515" spans="1:25" x14ac:dyDescent="0.25">
      <c r="A1515" s="25" t="s">
        <v>115</v>
      </c>
      <c r="B1515" t="b">
        <v>0</v>
      </c>
      <c r="C1515" s="43" t="s">
        <v>1788</v>
      </c>
      <c r="D1515" s="43">
        <v>21067223796</v>
      </c>
      <c r="E1515" s="43">
        <v>21067224532</v>
      </c>
      <c r="F1515" s="43" t="s">
        <v>123</v>
      </c>
      <c r="G1515" s="43" t="b">
        <v>1</v>
      </c>
      <c r="H1515" s="43" t="b">
        <v>0</v>
      </c>
      <c r="I1515" s="43" t="s">
        <v>134</v>
      </c>
      <c r="M1515" s="48" t="s">
        <v>1788</v>
      </c>
      <c r="N1515" s="48">
        <v>17088569372</v>
      </c>
      <c r="O1515" s="48">
        <v>17088569234</v>
      </c>
      <c r="P1515" s="48" t="s">
        <v>123</v>
      </c>
      <c r="Q1515" s="49" t="s">
        <v>1788</v>
      </c>
      <c r="R1515" s="49">
        <v>17083126182</v>
      </c>
      <c r="S1515" s="49">
        <v>17083122878</v>
      </c>
      <c r="T1515" s="49" t="s">
        <v>123</v>
      </c>
      <c r="U1515" s="50" t="s">
        <v>1788</v>
      </c>
      <c r="V1515" s="50">
        <v>17083126182</v>
      </c>
      <c r="W1515" s="50">
        <v>17083122878</v>
      </c>
      <c r="X1515" s="50" t="s">
        <v>123</v>
      </c>
      <c r="Y1515" s="50">
        <v>150126</v>
      </c>
    </row>
    <row r="1516" spans="1:25" x14ac:dyDescent="0.25">
      <c r="A1516" s="25" t="s">
        <v>115</v>
      </c>
      <c r="B1516" t="b">
        <v>0</v>
      </c>
      <c r="C1516" s="43" t="s">
        <v>1789</v>
      </c>
      <c r="D1516" s="43">
        <v>21067225844</v>
      </c>
      <c r="E1516" s="43">
        <v>21067226900</v>
      </c>
      <c r="F1516" s="43" t="s">
        <v>125</v>
      </c>
      <c r="G1516" s="43" t="b">
        <v>0</v>
      </c>
      <c r="H1516" s="43" t="b">
        <v>0</v>
      </c>
      <c r="I1516" s="43" t="s">
        <v>126</v>
      </c>
      <c r="M1516" s="48" t="s">
        <v>1789</v>
      </c>
      <c r="N1516" s="48">
        <v>17088571146</v>
      </c>
      <c r="O1516" s="48">
        <v>17088569181</v>
      </c>
      <c r="P1516" s="48" t="s">
        <v>125</v>
      </c>
      <c r="Q1516" s="49" t="s">
        <v>1789</v>
      </c>
      <c r="R1516" s="49">
        <v>17083128798</v>
      </c>
      <c r="S1516" s="49">
        <v>17083123643</v>
      </c>
      <c r="T1516" s="49" t="s">
        <v>125</v>
      </c>
      <c r="U1516" s="50" t="s">
        <v>1789</v>
      </c>
      <c r="V1516" s="50">
        <v>17083128798</v>
      </c>
      <c r="W1516" s="50">
        <v>17083123643</v>
      </c>
      <c r="X1516" s="50" t="s">
        <v>125</v>
      </c>
      <c r="Y1516" s="50"/>
    </row>
    <row r="1517" spans="1:25" x14ac:dyDescent="0.25">
      <c r="A1517" s="25" t="s">
        <v>115</v>
      </c>
      <c r="B1517" t="b">
        <v>0</v>
      </c>
      <c r="C1517" s="43" t="s">
        <v>1790</v>
      </c>
      <c r="D1517" s="43">
        <v>21067224820</v>
      </c>
      <c r="E1517" s="43">
        <v>21067225748</v>
      </c>
      <c r="F1517" s="43" t="s">
        <v>125</v>
      </c>
      <c r="G1517" s="43" t="b">
        <v>1</v>
      </c>
      <c r="H1517" s="43" t="b">
        <v>0</v>
      </c>
      <c r="I1517" s="43" t="s">
        <v>126</v>
      </c>
      <c r="M1517" s="48" t="s">
        <v>1790</v>
      </c>
      <c r="N1517" s="48">
        <v>17088569354</v>
      </c>
      <c r="O1517" s="48">
        <v>17088566109</v>
      </c>
      <c r="P1517" s="48" t="s">
        <v>125</v>
      </c>
      <c r="Q1517" s="49" t="s">
        <v>1790</v>
      </c>
      <c r="R1517" s="49">
        <v>17083125982</v>
      </c>
      <c r="S1517" s="49">
        <v>17083125179</v>
      </c>
      <c r="T1517" s="49" t="s">
        <v>125</v>
      </c>
      <c r="U1517" s="50" t="s">
        <v>1790</v>
      </c>
      <c r="V1517" s="50">
        <v>17083125982</v>
      </c>
      <c r="W1517" s="50">
        <v>17083125179</v>
      </c>
      <c r="X1517" s="50" t="s">
        <v>125</v>
      </c>
      <c r="Y1517" s="50">
        <v>120485</v>
      </c>
    </row>
    <row r="1518" spans="1:25" x14ac:dyDescent="0.25">
      <c r="A1518" s="25" t="b">
        <v>1</v>
      </c>
      <c r="B1518" t="b">
        <v>0</v>
      </c>
      <c r="C1518" s="43" t="s">
        <v>1791</v>
      </c>
      <c r="D1518" s="43">
        <v>377322730497</v>
      </c>
      <c r="E1518" s="43">
        <v>377322731518</v>
      </c>
      <c r="F1518" s="43" t="s">
        <v>173</v>
      </c>
      <c r="G1518" s="43" t="b">
        <v>0</v>
      </c>
      <c r="H1518" s="43" t="b">
        <v>0</v>
      </c>
      <c r="I1518" s="43"/>
      <c r="J1518" s="45" t="s">
        <v>1791</v>
      </c>
      <c r="K1518" s="46">
        <v>377322731518</v>
      </c>
      <c r="L1518" s="47">
        <v>990000295</v>
      </c>
      <c r="M1518" s="48"/>
      <c r="N1518" s="48"/>
      <c r="O1518" s="48"/>
      <c r="P1518" s="48"/>
      <c r="Q1518" s="49" t="s">
        <v>1791</v>
      </c>
      <c r="R1518" s="49">
        <v>17092211921</v>
      </c>
      <c r="S1518" s="49">
        <v>17092211281</v>
      </c>
      <c r="T1518" s="49" t="s">
        <v>173</v>
      </c>
      <c r="U1518" s="50" t="s">
        <v>1791</v>
      </c>
      <c r="V1518" s="50">
        <v>17102547085</v>
      </c>
      <c r="W1518" s="50">
        <v>17101192360</v>
      </c>
      <c r="X1518" s="50" t="s">
        <v>173</v>
      </c>
      <c r="Y1518" s="50"/>
    </row>
    <row r="1519" spans="1:25" x14ac:dyDescent="0.25">
      <c r="A1519" s="25" t="s">
        <v>115</v>
      </c>
      <c r="B1519" t="b">
        <v>0</v>
      </c>
      <c r="C1519" s="43" t="s">
        <v>1792</v>
      </c>
      <c r="D1519" s="43">
        <v>317791</v>
      </c>
      <c r="E1519" s="43">
        <v>301196</v>
      </c>
      <c r="F1519" s="43" t="s">
        <v>117</v>
      </c>
      <c r="G1519" s="43" t="b">
        <v>0</v>
      </c>
      <c r="H1519" s="43" t="b">
        <v>0</v>
      </c>
      <c r="I1519" s="43"/>
      <c r="M1519" s="48" t="s">
        <v>1792</v>
      </c>
      <c r="N1519" s="48">
        <v>17088570772</v>
      </c>
      <c r="O1519" s="48">
        <v>17088568460</v>
      </c>
      <c r="P1519" s="48" t="s">
        <v>117</v>
      </c>
      <c r="Q1519" s="49" t="s">
        <v>1792</v>
      </c>
      <c r="R1519" s="49">
        <v>17083126746</v>
      </c>
      <c r="S1519" s="49">
        <v>17083124758</v>
      </c>
      <c r="T1519" s="49" t="s">
        <v>117</v>
      </c>
      <c r="U1519" s="50" t="s">
        <v>1792</v>
      </c>
      <c r="V1519" s="50">
        <v>17083126746</v>
      </c>
      <c r="W1519" s="50">
        <v>17083124758</v>
      </c>
      <c r="X1519" s="50" t="s">
        <v>117</v>
      </c>
      <c r="Y1519" s="50"/>
    </row>
    <row r="1520" spans="1:25" x14ac:dyDescent="0.25">
      <c r="A1520" s="25" t="s">
        <v>115</v>
      </c>
      <c r="B1520" t="b">
        <v>0</v>
      </c>
      <c r="C1520" s="43" t="s">
        <v>1793</v>
      </c>
      <c r="D1520" s="43">
        <v>316767</v>
      </c>
      <c r="E1520" s="43">
        <v>302988</v>
      </c>
      <c r="F1520" s="43" t="s">
        <v>117</v>
      </c>
      <c r="G1520" s="43" t="b">
        <v>0</v>
      </c>
      <c r="H1520" s="43" t="b">
        <v>0</v>
      </c>
      <c r="I1520" s="43"/>
      <c r="M1520" s="48" t="s">
        <v>1793</v>
      </c>
      <c r="N1520" s="48">
        <v>17088572980</v>
      </c>
      <c r="O1520" s="48">
        <v>17088567820</v>
      </c>
      <c r="P1520" s="48" t="s">
        <v>117</v>
      </c>
      <c r="Q1520" s="49" t="s">
        <v>1793</v>
      </c>
      <c r="R1520" s="49">
        <v>17083129466</v>
      </c>
      <c r="S1520" s="49">
        <v>17083124454</v>
      </c>
      <c r="T1520" s="49" t="s">
        <v>117</v>
      </c>
      <c r="U1520" s="50" t="s">
        <v>1793</v>
      </c>
      <c r="V1520" s="50">
        <v>17083129466</v>
      </c>
      <c r="W1520" s="50">
        <v>17083124454</v>
      </c>
      <c r="X1520" s="50" t="s">
        <v>117</v>
      </c>
      <c r="Y1520" s="50"/>
    </row>
    <row r="1521" spans="1:25" x14ac:dyDescent="0.25">
      <c r="A1521" s="25" t="s">
        <v>115</v>
      </c>
      <c r="B1521" t="b">
        <v>0</v>
      </c>
      <c r="C1521" s="43" t="s">
        <v>1794</v>
      </c>
      <c r="D1521" s="43">
        <v>318815</v>
      </c>
      <c r="E1521" s="43">
        <v>301772</v>
      </c>
      <c r="F1521" s="43" t="s">
        <v>119</v>
      </c>
      <c r="G1521" s="43" t="b">
        <v>0</v>
      </c>
      <c r="H1521" s="43" t="b">
        <v>0</v>
      </c>
      <c r="I1521" s="43"/>
      <c r="M1521" s="48" t="s">
        <v>1794</v>
      </c>
      <c r="N1521" s="48">
        <v>17088571796</v>
      </c>
      <c r="O1521" s="48">
        <v>17088567028</v>
      </c>
      <c r="P1521" s="48" t="s">
        <v>119</v>
      </c>
      <c r="Q1521" s="49" t="s">
        <v>1794</v>
      </c>
      <c r="R1521" s="49">
        <v>17083129306</v>
      </c>
      <c r="S1521" s="49">
        <v>17083123302</v>
      </c>
      <c r="T1521" s="49" t="s">
        <v>119</v>
      </c>
      <c r="U1521" s="50" t="s">
        <v>1794</v>
      </c>
      <c r="V1521" s="50">
        <v>17083129306</v>
      </c>
      <c r="W1521" s="50">
        <v>17083123302</v>
      </c>
      <c r="X1521" s="50" t="s">
        <v>119</v>
      </c>
      <c r="Y1521" s="50"/>
    </row>
    <row r="1522" spans="1:25" x14ac:dyDescent="0.25">
      <c r="A1522" s="25" t="s">
        <v>115</v>
      </c>
      <c r="B1522" t="b">
        <v>0</v>
      </c>
      <c r="C1522" s="43" t="s">
        <v>1795</v>
      </c>
      <c r="D1522" s="43">
        <v>316255</v>
      </c>
      <c r="E1522" s="43">
        <v>300268</v>
      </c>
      <c r="F1522" s="43" t="s">
        <v>186</v>
      </c>
      <c r="G1522" s="43" t="b">
        <v>0</v>
      </c>
      <c r="H1522" s="43" t="b">
        <v>0</v>
      </c>
      <c r="I1522" s="43"/>
      <c r="M1522" s="48" t="s">
        <v>1795</v>
      </c>
      <c r="N1522" s="48">
        <v>17088570084</v>
      </c>
      <c r="O1522" s="48">
        <v>17088566900</v>
      </c>
      <c r="P1522" s="48" t="s">
        <v>186</v>
      </c>
      <c r="Q1522" s="49" t="s">
        <v>1795</v>
      </c>
      <c r="R1522" s="49">
        <v>17083127194</v>
      </c>
      <c r="S1522" s="49">
        <v>17083123366</v>
      </c>
      <c r="T1522" s="49" t="s">
        <v>186</v>
      </c>
      <c r="U1522" s="50" t="s">
        <v>1795</v>
      </c>
      <c r="V1522" s="50">
        <v>17083127194</v>
      </c>
      <c r="W1522" s="50">
        <v>17083123366</v>
      </c>
      <c r="X1522" s="50" t="s">
        <v>186</v>
      </c>
      <c r="Y1522" s="50"/>
    </row>
    <row r="1523" spans="1:25" x14ac:dyDescent="0.25">
      <c r="A1523" s="25" t="s">
        <v>115</v>
      </c>
      <c r="B1523" t="b">
        <v>0</v>
      </c>
      <c r="C1523" s="43" t="s">
        <v>1796</v>
      </c>
      <c r="D1523" s="43">
        <v>318303</v>
      </c>
      <c r="E1523" s="43">
        <v>301140</v>
      </c>
      <c r="F1523" s="43" t="s">
        <v>125</v>
      </c>
      <c r="G1523" s="43" t="b">
        <v>1</v>
      </c>
      <c r="H1523" s="43" t="b">
        <v>0</v>
      </c>
      <c r="I1523" s="43" t="s">
        <v>126</v>
      </c>
      <c r="M1523" s="48" t="s">
        <v>1796</v>
      </c>
      <c r="N1523" s="48">
        <v>17088569618</v>
      </c>
      <c r="O1523" s="48">
        <v>17088568849</v>
      </c>
      <c r="P1523" s="48" t="s">
        <v>125</v>
      </c>
      <c r="Q1523" s="49" t="s">
        <v>1796</v>
      </c>
      <c r="R1523" s="49">
        <v>17083128910</v>
      </c>
      <c r="S1523" s="49">
        <v>17083123277</v>
      </c>
      <c r="T1523" s="49" t="s">
        <v>125</v>
      </c>
      <c r="U1523" s="50" t="s">
        <v>1796</v>
      </c>
      <c r="V1523" s="50">
        <v>17083128910</v>
      </c>
      <c r="W1523" s="50">
        <v>17083123277</v>
      </c>
      <c r="X1523" s="50" t="s">
        <v>125</v>
      </c>
      <c r="Y1523" s="50">
        <v>120497</v>
      </c>
    </row>
    <row r="1524" spans="1:25" x14ac:dyDescent="0.25">
      <c r="A1524" s="25" t="s">
        <v>115</v>
      </c>
      <c r="B1524" t="b">
        <v>0</v>
      </c>
      <c r="C1524" s="43" t="s">
        <v>1797</v>
      </c>
      <c r="D1524" s="43">
        <v>317279</v>
      </c>
      <c r="E1524" s="43">
        <v>300948</v>
      </c>
      <c r="F1524" s="43" t="s">
        <v>125</v>
      </c>
      <c r="G1524" s="43" t="b">
        <v>0</v>
      </c>
      <c r="H1524" s="43" t="b">
        <v>0</v>
      </c>
      <c r="I1524" s="43"/>
      <c r="M1524" s="48" t="s">
        <v>1797</v>
      </c>
      <c r="N1524" s="48">
        <v>17088572898</v>
      </c>
      <c r="O1524" s="48">
        <v>17088566033</v>
      </c>
      <c r="P1524" s="48" t="s">
        <v>125</v>
      </c>
      <c r="Q1524" s="49" t="s">
        <v>1797</v>
      </c>
      <c r="R1524" s="49">
        <v>17083128462</v>
      </c>
      <c r="S1524" s="49">
        <v>17083125069</v>
      </c>
      <c r="T1524" s="49" t="s">
        <v>125</v>
      </c>
      <c r="U1524" s="50" t="s">
        <v>1797</v>
      </c>
      <c r="V1524" s="50">
        <v>17083128462</v>
      </c>
      <c r="W1524" s="50">
        <v>17083125069</v>
      </c>
      <c r="X1524" s="50" t="s">
        <v>125</v>
      </c>
      <c r="Y1524" s="50"/>
    </row>
    <row r="1525" spans="1:25" x14ac:dyDescent="0.25">
      <c r="A1525" s="25" t="s">
        <v>115</v>
      </c>
      <c r="B1525" t="b">
        <v>0</v>
      </c>
      <c r="C1525" s="43" t="s">
        <v>1798</v>
      </c>
      <c r="D1525" s="43">
        <v>318687</v>
      </c>
      <c r="E1525" s="43">
        <v>299404</v>
      </c>
      <c r="F1525" s="43" t="s">
        <v>117</v>
      </c>
      <c r="G1525" s="43" t="b">
        <v>0</v>
      </c>
      <c r="H1525" s="43" t="b">
        <v>0</v>
      </c>
      <c r="I1525" s="43"/>
      <c r="M1525" s="48" t="s">
        <v>1798</v>
      </c>
      <c r="N1525" s="48">
        <v>17088572644</v>
      </c>
      <c r="O1525" s="48">
        <v>17088566028</v>
      </c>
      <c r="P1525" s="48" t="s">
        <v>117</v>
      </c>
      <c r="Q1525" s="49" t="s">
        <v>1798</v>
      </c>
      <c r="R1525" s="49">
        <v>17083128218</v>
      </c>
      <c r="S1525" s="49">
        <v>17083122662</v>
      </c>
      <c r="T1525" s="49" t="s">
        <v>117</v>
      </c>
      <c r="U1525" s="50" t="s">
        <v>1798</v>
      </c>
      <c r="V1525" s="50">
        <v>17083128218</v>
      </c>
      <c r="W1525" s="50">
        <v>17083122662</v>
      </c>
      <c r="X1525" s="50" t="s">
        <v>117</v>
      </c>
      <c r="Y1525" s="50"/>
    </row>
    <row r="1526" spans="1:25" x14ac:dyDescent="0.25">
      <c r="A1526" s="25" t="s">
        <v>115</v>
      </c>
      <c r="B1526" t="b">
        <v>0</v>
      </c>
      <c r="C1526" s="43" t="s">
        <v>1799</v>
      </c>
      <c r="D1526" s="43">
        <v>318175</v>
      </c>
      <c r="E1526" s="43">
        <v>300516</v>
      </c>
      <c r="F1526" s="43" t="s">
        <v>119</v>
      </c>
      <c r="G1526" s="43" t="b">
        <v>0</v>
      </c>
      <c r="H1526" s="43" t="b">
        <v>0</v>
      </c>
      <c r="I1526" s="43"/>
      <c r="M1526" s="48" t="s">
        <v>1799</v>
      </c>
      <c r="N1526" s="48">
        <v>17088572946</v>
      </c>
      <c r="O1526" s="48">
        <v>17088565841</v>
      </c>
      <c r="P1526" s="48" t="s">
        <v>119</v>
      </c>
      <c r="Q1526" s="49" t="s">
        <v>1799</v>
      </c>
      <c r="R1526" s="49">
        <v>17083126862</v>
      </c>
      <c r="S1526" s="49">
        <v>17083124781</v>
      </c>
      <c r="T1526" s="49" t="s">
        <v>119</v>
      </c>
      <c r="U1526" s="50" t="s">
        <v>1799</v>
      </c>
      <c r="V1526" s="50">
        <v>17083126862</v>
      </c>
      <c r="W1526" s="50">
        <v>17083124781</v>
      </c>
      <c r="X1526" s="50" t="s">
        <v>119</v>
      </c>
      <c r="Y1526" s="50"/>
    </row>
    <row r="1527" spans="1:25" x14ac:dyDescent="0.25">
      <c r="A1527" s="25" t="s">
        <v>115</v>
      </c>
      <c r="B1527" t="b">
        <v>0</v>
      </c>
      <c r="C1527" s="43" t="s">
        <v>1800</v>
      </c>
      <c r="D1527" s="43">
        <v>319199</v>
      </c>
      <c r="E1527" s="43">
        <v>302068</v>
      </c>
      <c r="F1527" s="43" t="s">
        <v>123</v>
      </c>
      <c r="G1527" s="43" t="b">
        <v>0</v>
      </c>
      <c r="H1527" s="43" t="b">
        <v>0</v>
      </c>
      <c r="I1527" s="43" t="s">
        <v>134</v>
      </c>
      <c r="M1527" s="48" t="s">
        <v>1800</v>
      </c>
      <c r="N1527" s="48">
        <v>17088573204</v>
      </c>
      <c r="O1527" s="48">
        <v>17088565836</v>
      </c>
      <c r="P1527" s="48" t="s">
        <v>123</v>
      </c>
      <c r="Q1527" s="49" t="s">
        <v>1800</v>
      </c>
      <c r="R1527" s="49">
        <v>17083125978</v>
      </c>
      <c r="S1527" s="49">
        <v>17083122326</v>
      </c>
      <c r="T1527" s="49" t="s">
        <v>123</v>
      </c>
      <c r="U1527" s="50" t="s">
        <v>1800</v>
      </c>
      <c r="V1527" s="50">
        <v>17083125978</v>
      </c>
      <c r="W1527" s="50">
        <v>17083122326</v>
      </c>
      <c r="X1527" s="50" t="s">
        <v>123</v>
      </c>
      <c r="Y1527" s="50"/>
    </row>
    <row r="1528" spans="1:25" x14ac:dyDescent="0.25">
      <c r="A1528" s="25" t="s">
        <v>115</v>
      </c>
      <c r="B1528" t="b">
        <v>0</v>
      </c>
      <c r="C1528" s="43" t="s">
        <v>1801</v>
      </c>
      <c r="D1528" s="43">
        <v>315871</v>
      </c>
      <c r="E1528" s="43">
        <v>299532</v>
      </c>
      <c r="F1528" s="43" t="s">
        <v>123</v>
      </c>
      <c r="G1528" s="43" t="b">
        <v>0</v>
      </c>
      <c r="H1528" s="43" t="b">
        <v>0</v>
      </c>
      <c r="I1528" s="43"/>
      <c r="M1528" s="48" t="s">
        <v>1801</v>
      </c>
      <c r="N1528" s="48">
        <v>17088571348</v>
      </c>
      <c r="O1528" s="48">
        <v>17088567372</v>
      </c>
      <c r="P1528" s="48" t="s">
        <v>123</v>
      </c>
      <c r="Q1528" s="49" t="s">
        <v>1801</v>
      </c>
      <c r="R1528" s="49">
        <v>17083128250</v>
      </c>
      <c r="S1528" s="49">
        <v>17083123862</v>
      </c>
      <c r="T1528" s="49" t="s">
        <v>123</v>
      </c>
      <c r="U1528" s="50" t="s">
        <v>1801</v>
      </c>
      <c r="V1528" s="50">
        <v>17083128250</v>
      </c>
      <c r="W1528" s="50">
        <v>17083123862</v>
      </c>
      <c r="X1528" s="50" t="s">
        <v>123</v>
      </c>
      <c r="Y1528" s="50"/>
    </row>
    <row r="1529" spans="1:25" x14ac:dyDescent="0.25">
      <c r="A1529" s="25" t="s">
        <v>115</v>
      </c>
      <c r="B1529" t="b">
        <v>0</v>
      </c>
      <c r="C1529" s="43" t="s">
        <v>1802</v>
      </c>
      <c r="D1529" s="43">
        <v>317919</v>
      </c>
      <c r="E1529" s="43">
        <v>301596</v>
      </c>
      <c r="F1529" s="43" t="s">
        <v>383</v>
      </c>
      <c r="G1529" s="43" t="b">
        <v>0</v>
      </c>
      <c r="H1529" s="43" t="b">
        <v>0</v>
      </c>
      <c r="I1529" s="43"/>
      <c r="M1529" s="48" t="s">
        <v>1802</v>
      </c>
      <c r="N1529" s="48">
        <v>17088573076</v>
      </c>
      <c r="O1529" s="48">
        <v>17088567988</v>
      </c>
      <c r="P1529" s="48" t="s">
        <v>383</v>
      </c>
      <c r="Q1529" s="49" t="s">
        <v>1802</v>
      </c>
      <c r="R1529" s="49">
        <v>17083128282</v>
      </c>
      <c r="S1529" s="49">
        <v>17083124262</v>
      </c>
      <c r="T1529" s="49" t="s">
        <v>383</v>
      </c>
      <c r="U1529" s="50" t="s">
        <v>1802</v>
      </c>
      <c r="V1529" s="50">
        <v>17083128282</v>
      </c>
      <c r="W1529" s="50">
        <v>17083124262</v>
      </c>
      <c r="X1529" s="50" t="s">
        <v>383</v>
      </c>
      <c r="Y1529" s="50"/>
    </row>
    <row r="1530" spans="1:25" x14ac:dyDescent="0.25">
      <c r="A1530" s="25" t="s">
        <v>115</v>
      </c>
      <c r="B1530" t="b">
        <v>0</v>
      </c>
      <c r="C1530" s="43" t="s">
        <v>1803</v>
      </c>
      <c r="D1530" s="43">
        <v>316895</v>
      </c>
      <c r="E1530" s="43">
        <v>299892</v>
      </c>
      <c r="F1530" s="43" t="s">
        <v>132</v>
      </c>
      <c r="G1530" s="43" t="b">
        <v>0</v>
      </c>
      <c r="H1530" s="43" t="b">
        <v>0</v>
      </c>
      <c r="I1530" s="43"/>
      <c r="M1530" s="48" t="s">
        <v>1803</v>
      </c>
      <c r="N1530" s="48">
        <v>17088571364</v>
      </c>
      <c r="O1530" s="48">
        <v>17088566476</v>
      </c>
      <c r="P1530" s="48" t="s">
        <v>132</v>
      </c>
      <c r="Q1530" s="49" t="s">
        <v>1803</v>
      </c>
      <c r="R1530" s="49">
        <v>17083127898</v>
      </c>
      <c r="S1530" s="49">
        <v>17083122774</v>
      </c>
      <c r="T1530" s="49" t="s">
        <v>132</v>
      </c>
      <c r="U1530" s="50" t="s">
        <v>1803</v>
      </c>
      <c r="V1530" s="50">
        <v>17083127898</v>
      </c>
      <c r="W1530" s="50">
        <v>17083122774</v>
      </c>
      <c r="X1530" s="50" t="s">
        <v>132</v>
      </c>
      <c r="Y1530" s="50"/>
    </row>
    <row r="1531" spans="1:25" x14ac:dyDescent="0.25">
      <c r="A1531" s="25" t="s">
        <v>115</v>
      </c>
      <c r="B1531" t="b">
        <v>0</v>
      </c>
      <c r="C1531" s="43" t="s">
        <v>1804</v>
      </c>
      <c r="D1531" s="43">
        <v>318943</v>
      </c>
      <c r="E1531" s="43">
        <v>299412</v>
      </c>
      <c r="F1531" s="43" t="s">
        <v>173</v>
      </c>
      <c r="G1531" s="43" t="b">
        <v>0</v>
      </c>
      <c r="H1531" s="43" t="b">
        <v>0</v>
      </c>
      <c r="I1531" s="43"/>
      <c r="M1531" s="48" t="s">
        <v>1804</v>
      </c>
      <c r="N1531" s="48">
        <v>17088572690</v>
      </c>
      <c r="O1531" s="48">
        <v>17088566417</v>
      </c>
      <c r="P1531" s="48" t="s">
        <v>173</v>
      </c>
      <c r="Q1531" s="49" t="s">
        <v>1804</v>
      </c>
      <c r="R1531" s="49">
        <v>17083129422</v>
      </c>
      <c r="S1531" s="49">
        <v>17083123917</v>
      </c>
      <c r="T1531" s="49" t="s">
        <v>173</v>
      </c>
      <c r="U1531" s="50" t="s">
        <v>1804</v>
      </c>
      <c r="V1531" s="50">
        <v>17083129422</v>
      </c>
      <c r="W1531" s="50">
        <v>17083123917</v>
      </c>
      <c r="X1531" s="50" t="s">
        <v>173</v>
      </c>
      <c r="Y1531" s="50"/>
    </row>
    <row r="1532" spans="1:25" x14ac:dyDescent="0.25">
      <c r="A1532" s="25" t="s">
        <v>115</v>
      </c>
      <c r="B1532" t="b">
        <v>0</v>
      </c>
      <c r="C1532" s="43" t="s">
        <v>1805</v>
      </c>
      <c r="D1532" s="43">
        <v>316383</v>
      </c>
      <c r="E1532" s="43">
        <v>301716</v>
      </c>
      <c r="F1532" s="43" t="s">
        <v>173</v>
      </c>
      <c r="G1532" s="43" t="b">
        <v>0</v>
      </c>
      <c r="H1532" s="43" t="b">
        <v>0</v>
      </c>
      <c r="I1532" s="43"/>
      <c r="M1532" s="48" t="s">
        <v>1805</v>
      </c>
      <c r="N1532" s="48">
        <v>17088569874</v>
      </c>
      <c r="O1532" s="48">
        <v>17088567953</v>
      </c>
      <c r="P1532" s="48" t="s">
        <v>173</v>
      </c>
      <c r="Q1532" s="49" t="s">
        <v>1805</v>
      </c>
      <c r="R1532" s="49">
        <v>17083129742</v>
      </c>
      <c r="S1532" s="49">
        <v>17083122381</v>
      </c>
      <c r="T1532" s="49" t="s">
        <v>173</v>
      </c>
      <c r="U1532" s="50" t="s">
        <v>1805</v>
      </c>
      <c r="V1532" s="50">
        <v>17083129742</v>
      </c>
      <c r="W1532" s="50">
        <v>17083122381</v>
      </c>
      <c r="X1532" s="50" t="s">
        <v>173</v>
      </c>
      <c r="Y1532" s="50"/>
    </row>
    <row r="1533" spans="1:25" x14ac:dyDescent="0.25">
      <c r="A1533" s="25" t="s">
        <v>115</v>
      </c>
      <c r="B1533" t="b">
        <v>0</v>
      </c>
      <c r="C1533" s="43" t="s">
        <v>1806</v>
      </c>
      <c r="D1533" s="43">
        <v>319455</v>
      </c>
      <c r="E1533" s="43">
        <v>299052</v>
      </c>
      <c r="F1533" s="43" t="s">
        <v>117</v>
      </c>
      <c r="G1533" s="43" t="b">
        <v>0</v>
      </c>
      <c r="H1533" s="43" t="b">
        <v>0</v>
      </c>
      <c r="I1533" s="43"/>
      <c r="M1533" s="48" t="s">
        <v>1806</v>
      </c>
      <c r="N1533" s="48">
        <v>17088573268</v>
      </c>
      <c r="O1533" s="48">
        <v>17088569204</v>
      </c>
      <c r="P1533" s="48" t="s">
        <v>117</v>
      </c>
      <c r="Q1533" s="49" t="s">
        <v>1806</v>
      </c>
      <c r="R1533" s="49">
        <v>17083129658</v>
      </c>
      <c r="S1533" s="49">
        <v>17083125670</v>
      </c>
      <c r="T1533" s="49" t="s">
        <v>117</v>
      </c>
      <c r="U1533" s="50" t="s">
        <v>1806</v>
      </c>
      <c r="V1533" s="50">
        <v>17083129658</v>
      </c>
      <c r="W1533" s="50">
        <v>17083125670</v>
      </c>
      <c r="X1533" s="50" t="s">
        <v>117</v>
      </c>
      <c r="Y1533" s="50"/>
    </row>
    <row r="1534" spans="1:25" x14ac:dyDescent="0.25">
      <c r="A1534" s="25" t="s">
        <v>115</v>
      </c>
      <c r="B1534" t="b">
        <v>0</v>
      </c>
      <c r="C1534" s="43" t="s">
        <v>1807</v>
      </c>
      <c r="D1534" s="43">
        <v>315455</v>
      </c>
      <c r="E1534" s="43">
        <v>300788</v>
      </c>
      <c r="F1534" s="43" t="s">
        <v>117</v>
      </c>
      <c r="G1534" s="43" t="b">
        <v>0</v>
      </c>
      <c r="H1534" s="43" t="b">
        <v>0</v>
      </c>
      <c r="I1534" s="43"/>
      <c r="M1534" s="48" t="s">
        <v>1807</v>
      </c>
      <c r="N1534" s="48">
        <v>17088572388</v>
      </c>
      <c r="O1534" s="48">
        <v>17088568652</v>
      </c>
      <c r="P1534" s="48" t="s">
        <v>117</v>
      </c>
      <c r="Q1534" s="49" t="s">
        <v>1807</v>
      </c>
      <c r="R1534" s="49">
        <v>17083125850</v>
      </c>
      <c r="S1534" s="49">
        <v>17083125142</v>
      </c>
      <c r="T1534" s="49" t="s">
        <v>117</v>
      </c>
      <c r="U1534" s="50" t="s">
        <v>1807</v>
      </c>
      <c r="V1534" s="50">
        <v>17083125850</v>
      </c>
      <c r="W1534" s="50">
        <v>17083125142</v>
      </c>
      <c r="X1534" s="50" t="s">
        <v>117</v>
      </c>
      <c r="Y1534" s="50"/>
    </row>
    <row r="1535" spans="1:25" x14ac:dyDescent="0.25">
      <c r="A1535" s="25" t="s">
        <v>115</v>
      </c>
      <c r="B1535" t="b">
        <v>0</v>
      </c>
      <c r="C1535" s="43" t="s">
        <v>1808</v>
      </c>
      <c r="D1535" s="43">
        <v>317503</v>
      </c>
      <c r="E1535" s="43">
        <v>300716</v>
      </c>
      <c r="F1535" s="43" t="s">
        <v>132</v>
      </c>
      <c r="G1535" s="43" t="b">
        <v>0</v>
      </c>
      <c r="H1535" s="43" t="b">
        <v>0</v>
      </c>
      <c r="I1535" s="43"/>
      <c r="M1535" s="48" t="s">
        <v>1808</v>
      </c>
      <c r="N1535" s="48">
        <v>17088570340</v>
      </c>
      <c r="O1535" s="48">
        <v>17088566132</v>
      </c>
      <c r="P1535" s="48" t="s">
        <v>132</v>
      </c>
      <c r="Q1535" s="49" t="s">
        <v>1808</v>
      </c>
      <c r="R1535" s="49">
        <v>17083129754</v>
      </c>
      <c r="S1535" s="49">
        <v>17083122598</v>
      </c>
      <c r="T1535" s="49" t="s">
        <v>132</v>
      </c>
      <c r="U1535" s="50" t="s">
        <v>1808</v>
      </c>
      <c r="V1535" s="50">
        <v>17083129754</v>
      </c>
      <c r="W1535" s="50">
        <v>17083122598</v>
      </c>
      <c r="X1535" s="50" t="s">
        <v>132</v>
      </c>
      <c r="Y1535" s="50"/>
    </row>
    <row r="1536" spans="1:25" x14ac:dyDescent="0.25">
      <c r="A1536" s="25" t="s">
        <v>115</v>
      </c>
      <c r="B1536" t="b">
        <v>0</v>
      </c>
      <c r="C1536" s="43" t="s">
        <v>1809</v>
      </c>
      <c r="D1536" s="43">
        <v>316479</v>
      </c>
      <c r="E1536" s="43">
        <v>299948</v>
      </c>
      <c r="F1536" s="43" t="s">
        <v>125</v>
      </c>
      <c r="G1536" s="43" t="b">
        <v>0</v>
      </c>
      <c r="H1536" s="43" t="b">
        <v>0</v>
      </c>
      <c r="I1536" s="43" t="s">
        <v>126</v>
      </c>
      <c r="M1536" s="48" t="s">
        <v>1809</v>
      </c>
      <c r="N1536" s="48">
        <v>17088570932</v>
      </c>
      <c r="O1536" s="48">
        <v>17088567668</v>
      </c>
      <c r="P1536" s="48" t="s">
        <v>125</v>
      </c>
      <c r="Q1536" s="49" t="s">
        <v>1809</v>
      </c>
      <c r="R1536" s="49">
        <v>17083127418</v>
      </c>
      <c r="S1536" s="49">
        <v>17083124134</v>
      </c>
      <c r="T1536" s="49" t="s">
        <v>125</v>
      </c>
      <c r="U1536" s="50" t="s">
        <v>1809</v>
      </c>
      <c r="V1536" s="50">
        <v>17083127418</v>
      </c>
      <c r="W1536" s="50">
        <v>17083124134</v>
      </c>
      <c r="X1536" s="50" t="s">
        <v>125</v>
      </c>
      <c r="Y1536" s="50"/>
    </row>
    <row r="1537" spans="1:25" x14ac:dyDescent="0.25">
      <c r="A1537" s="25" t="s">
        <v>115</v>
      </c>
      <c r="B1537" t="b">
        <v>0</v>
      </c>
      <c r="C1537" s="43" t="s">
        <v>1810</v>
      </c>
      <c r="D1537" s="43">
        <v>318527</v>
      </c>
      <c r="E1537" s="43">
        <v>299572</v>
      </c>
      <c r="F1537" s="43" t="s">
        <v>117</v>
      </c>
      <c r="G1537" s="43" t="b">
        <v>0</v>
      </c>
      <c r="H1537" s="43" t="b">
        <v>0</v>
      </c>
      <c r="I1537" s="43"/>
      <c r="M1537" s="48" t="s">
        <v>1810</v>
      </c>
      <c r="N1537" s="48">
        <v>17088569628</v>
      </c>
      <c r="O1537" s="48">
        <v>17088568198</v>
      </c>
      <c r="P1537" s="48" t="s">
        <v>117</v>
      </c>
      <c r="Q1537" s="49" t="s">
        <v>1810</v>
      </c>
      <c r="R1537" s="49">
        <v>17083128422</v>
      </c>
      <c r="S1537" s="49">
        <v>17083122633</v>
      </c>
      <c r="T1537" s="49" t="s">
        <v>117</v>
      </c>
      <c r="U1537" s="50" t="s">
        <v>1810</v>
      </c>
      <c r="V1537" s="50">
        <v>17083128422</v>
      </c>
      <c r="W1537" s="50">
        <v>17083122633</v>
      </c>
      <c r="X1537" s="50" t="s">
        <v>117</v>
      </c>
      <c r="Y1537" s="50"/>
    </row>
    <row r="1538" spans="1:25" x14ac:dyDescent="0.25">
      <c r="A1538" s="25" t="s">
        <v>115</v>
      </c>
      <c r="B1538" t="b">
        <v>0</v>
      </c>
      <c r="C1538" s="43" t="s">
        <v>1811</v>
      </c>
      <c r="D1538" s="43">
        <v>315967</v>
      </c>
      <c r="E1538" s="43">
        <v>300052</v>
      </c>
      <c r="F1538" s="43" t="s">
        <v>119</v>
      </c>
      <c r="G1538" s="43" t="b">
        <v>0</v>
      </c>
      <c r="H1538" s="43" t="b">
        <v>0</v>
      </c>
      <c r="I1538" s="43"/>
      <c r="M1538" s="48" t="s">
        <v>1811</v>
      </c>
      <c r="N1538" s="48">
        <v>17088569362</v>
      </c>
      <c r="O1538" s="48">
        <v>17088569233</v>
      </c>
      <c r="P1538" s="48" t="s">
        <v>119</v>
      </c>
      <c r="Q1538" s="49" t="s">
        <v>1811</v>
      </c>
      <c r="R1538" s="49">
        <v>17083126670</v>
      </c>
      <c r="S1538" s="49">
        <v>17083123661</v>
      </c>
      <c r="T1538" s="49" t="s">
        <v>119</v>
      </c>
      <c r="U1538" s="50" t="s">
        <v>1811</v>
      </c>
      <c r="V1538" s="50">
        <v>17083126670</v>
      </c>
      <c r="W1538" s="50">
        <v>17083123661</v>
      </c>
      <c r="X1538" s="50" t="s">
        <v>119</v>
      </c>
      <c r="Y1538" s="50"/>
    </row>
    <row r="1539" spans="1:25" x14ac:dyDescent="0.25">
      <c r="A1539" s="25" t="s">
        <v>115</v>
      </c>
      <c r="B1539" t="b">
        <v>0</v>
      </c>
      <c r="C1539" s="43" t="s">
        <v>1812</v>
      </c>
      <c r="D1539" s="43">
        <v>317759</v>
      </c>
      <c r="E1539" s="43">
        <v>299212</v>
      </c>
      <c r="F1539" s="43" t="s">
        <v>119</v>
      </c>
      <c r="G1539" s="43" t="b">
        <v>0</v>
      </c>
      <c r="H1539" s="43" t="b">
        <v>0</v>
      </c>
      <c r="I1539" s="43"/>
      <c r="M1539" s="48" t="s">
        <v>1812</v>
      </c>
      <c r="N1539" s="48">
        <v>17088572884</v>
      </c>
      <c r="O1539" s="48">
        <v>17088568820</v>
      </c>
      <c r="P1539" s="48" t="s">
        <v>119</v>
      </c>
      <c r="Q1539" s="49" t="s">
        <v>1812</v>
      </c>
      <c r="R1539" s="49">
        <v>17083127482</v>
      </c>
      <c r="S1539" s="49">
        <v>17083125094</v>
      </c>
      <c r="T1539" s="49" t="s">
        <v>119</v>
      </c>
      <c r="U1539" s="50" t="s">
        <v>1812</v>
      </c>
      <c r="V1539" s="50">
        <v>17083127482</v>
      </c>
      <c r="W1539" s="50">
        <v>17083125094</v>
      </c>
      <c r="X1539" s="50" t="s">
        <v>119</v>
      </c>
      <c r="Y1539" s="50"/>
    </row>
    <row r="1540" spans="1:25" x14ac:dyDescent="0.25">
      <c r="A1540" s="25" t="s">
        <v>115</v>
      </c>
      <c r="B1540" t="b">
        <v>0</v>
      </c>
      <c r="C1540" s="43" t="s">
        <v>1813</v>
      </c>
      <c r="D1540" s="43">
        <v>316735</v>
      </c>
      <c r="E1540" s="43">
        <v>299804</v>
      </c>
      <c r="F1540" s="43" t="s">
        <v>125</v>
      </c>
      <c r="G1540" s="43" t="b">
        <v>0</v>
      </c>
      <c r="H1540" s="43" t="b">
        <v>0</v>
      </c>
      <c r="I1540" s="43"/>
      <c r="M1540" s="48" t="s">
        <v>1813</v>
      </c>
      <c r="N1540" s="48">
        <v>17088572180</v>
      </c>
      <c r="O1540" s="48">
        <v>17088566452</v>
      </c>
      <c r="P1540" s="48" t="s">
        <v>125</v>
      </c>
      <c r="Q1540" s="49" t="s">
        <v>1813</v>
      </c>
      <c r="R1540" s="49">
        <v>17083127642</v>
      </c>
      <c r="S1540" s="49">
        <v>17083122726</v>
      </c>
      <c r="T1540" s="49" t="s">
        <v>125</v>
      </c>
      <c r="U1540" s="50" t="s">
        <v>1813</v>
      </c>
      <c r="V1540" s="50">
        <v>17083127642</v>
      </c>
      <c r="W1540" s="50">
        <v>17083122726</v>
      </c>
      <c r="X1540" s="50" t="s">
        <v>125</v>
      </c>
      <c r="Y1540" s="50"/>
    </row>
    <row r="1541" spans="1:25" x14ac:dyDescent="0.25">
      <c r="A1541" s="25" t="s">
        <v>115</v>
      </c>
      <c r="B1541" t="b">
        <v>0</v>
      </c>
      <c r="C1541" s="43" t="s">
        <v>1814</v>
      </c>
      <c r="D1541" s="43">
        <v>318783</v>
      </c>
      <c r="E1541" s="43">
        <v>302412</v>
      </c>
      <c r="F1541" s="43" t="s">
        <v>119</v>
      </c>
      <c r="G1541" s="43" t="b">
        <v>0</v>
      </c>
      <c r="H1541" s="43" t="b">
        <v>0</v>
      </c>
      <c r="I1541" s="43"/>
      <c r="M1541" s="48" t="s">
        <v>1814</v>
      </c>
      <c r="N1541" s="48">
        <v>17088570964</v>
      </c>
      <c r="O1541" s="48">
        <v>17088565260</v>
      </c>
      <c r="P1541" s="48" t="s">
        <v>119</v>
      </c>
      <c r="Q1541" s="49" t="s">
        <v>1814</v>
      </c>
      <c r="R1541" s="49">
        <v>17083127354</v>
      </c>
      <c r="S1541" s="49">
        <v>17083121894</v>
      </c>
      <c r="T1541" s="49" t="s">
        <v>119</v>
      </c>
      <c r="U1541" s="50" t="s">
        <v>1814</v>
      </c>
      <c r="V1541" s="50">
        <v>17083127354</v>
      </c>
      <c r="W1541" s="50">
        <v>17083121894</v>
      </c>
      <c r="X1541" s="50" t="s">
        <v>119</v>
      </c>
      <c r="Y1541" s="50"/>
    </row>
    <row r="1542" spans="1:25" x14ac:dyDescent="0.25">
      <c r="A1542" s="25" t="s">
        <v>115</v>
      </c>
      <c r="B1542" t="b">
        <v>0</v>
      </c>
      <c r="C1542" s="43" t="s">
        <v>1815</v>
      </c>
      <c r="D1542" s="43">
        <v>316223</v>
      </c>
      <c r="E1542" s="43">
        <v>301428</v>
      </c>
      <c r="F1542" s="43" t="s">
        <v>123</v>
      </c>
      <c r="G1542" s="43" t="b">
        <v>0</v>
      </c>
      <c r="H1542" s="43" t="b">
        <v>0</v>
      </c>
      <c r="I1542" s="43"/>
      <c r="M1542" s="48" t="s">
        <v>1815</v>
      </c>
      <c r="N1542" s="48">
        <v>17088572956</v>
      </c>
      <c r="O1542" s="48">
        <v>17088568966</v>
      </c>
      <c r="P1542" s="48" t="s">
        <v>123</v>
      </c>
      <c r="Q1542" s="49" t="s">
        <v>1815</v>
      </c>
      <c r="R1542" s="49">
        <v>17083126374</v>
      </c>
      <c r="S1542" s="49">
        <v>17083123401</v>
      </c>
      <c r="T1542" s="49" t="s">
        <v>123</v>
      </c>
      <c r="U1542" s="50" t="s">
        <v>1815</v>
      </c>
      <c r="V1542" s="50">
        <v>17083126374</v>
      </c>
      <c r="W1542" s="50">
        <v>17083123401</v>
      </c>
      <c r="X1542" s="50" t="s">
        <v>123</v>
      </c>
      <c r="Y1542" s="50"/>
    </row>
    <row r="1543" spans="1:25" x14ac:dyDescent="0.25">
      <c r="A1543" s="25" t="s">
        <v>115</v>
      </c>
      <c r="B1543" t="b">
        <v>0</v>
      </c>
      <c r="C1543" s="43" t="s">
        <v>1816</v>
      </c>
      <c r="D1543" s="43">
        <v>318271</v>
      </c>
      <c r="E1543" s="43">
        <v>300276</v>
      </c>
      <c r="F1543" s="43" t="s">
        <v>119</v>
      </c>
      <c r="G1543" s="43" t="b">
        <v>0</v>
      </c>
      <c r="H1543" s="43" t="b">
        <v>0</v>
      </c>
      <c r="I1543" s="43"/>
      <c r="M1543" s="48" t="s">
        <v>1816</v>
      </c>
      <c r="N1543" s="48">
        <v>17088571324</v>
      </c>
      <c r="O1543" s="48">
        <v>17088568502</v>
      </c>
      <c r="P1543" s="48" t="s">
        <v>119</v>
      </c>
      <c r="Q1543" s="49" t="s">
        <v>1816</v>
      </c>
      <c r="R1543" s="49">
        <v>17083129430</v>
      </c>
      <c r="S1543" s="49">
        <v>17083123385</v>
      </c>
      <c r="T1543" s="49" t="s">
        <v>119</v>
      </c>
      <c r="U1543" s="50" t="s">
        <v>1816</v>
      </c>
      <c r="V1543" s="50">
        <v>17083129430</v>
      </c>
      <c r="W1543" s="50">
        <v>17083123385</v>
      </c>
      <c r="X1543" s="50" t="s">
        <v>119</v>
      </c>
      <c r="Y1543" s="50"/>
    </row>
    <row r="1544" spans="1:25" x14ac:dyDescent="0.25">
      <c r="A1544" s="25" t="s">
        <v>115</v>
      </c>
      <c r="B1544" t="b">
        <v>1</v>
      </c>
      <c r="C1544" s="43" t="s">
        <v>1817</v>
      </c>
      <c r="D1544" s="43">
        <v>317247</v>
      </c>
      <c r="E1544" s="43">
        <v>301876</v>
      </c>
      <c r="F1544" s="43" t="s">
        <v>125</v>
      </c>
      <c r="G1544" s="43" t="b">
        <v>1</v>
      </c>
      <c r="H1544" s="43" t="b">
        <v>0</v>
      </c>
      <c r="I1544" s="43"/>
      <c r="M1544" s="48" t="s">
        <v>1817</v>
      </c>
      <c r="N1544" s="48">
        <v>17088572818</v>
      </c>
      <c r="O1544" s="48">
        <v>17088566769</v>
      </c>
      <c r="P1544" s="48" t="s">
        <v>125</v>
      </c>
      <c r="Q1544" s="49" t="s">
        <v>1817</v>
      </c>
      <c r="R1544" s="49">
        <v>17083129038</v>
      </c>
      <c r="S1544" s="49">
        <v>17083123181</v>
      </c>
      <c r="T1544" s="49" t="s">
        <v>125</v>
      </c>
      <c r="U1544" s="50" t="s">
        <v>1817</v>
      </c>
      <c r="V1544" s="50">
        <v>17083129038</v>
      </c>
      <c r="W1544" s="50">
        <v>17083123181</v>
      </c>
      <c r="X1544" s="50" t="s">
        <v>125</v>
      </c>
      <c r="Y1544" s="50">
        <v>110336</v>
      </c>
    </row>
    <row r="1545" spans="1:25" x14ac:dyDescent="0.25">
      <c r="A1545" s="25" t="s">
        <v>115</v>
      </c>
      <c r="B1545" t="b">
        <v>0</v>
      </c>
      <c r="C1545" s="43" t="s">
        <v>1818</v>
      </c>
      <c r="D1545" s="43">
        <v>316607</v>
      </c>
      <c r="E1545" s="43">
        <v>300860</v>
      </c>
      <c r="F1545" s="43" t="s">
        <v>117</v>
      </c>
      <c r="G1545" s="43" t="b">
        <v>0</v>
      </c>
      <c r="H1545" s="43" t="b">
        <v>0</v>
      </c>
      <c r="I1545" s="43"/>
      <c r="M1545" s="48" t="s">
        <v>1818</v>
      </c>
      <c r="N1545" s="48">
        <v>17088572916</v>
      </c>
      <c r="O1545" s="48">
        <v>17088568284</v>
      </c>
      <c r="P1545" s="48" t="s">
        <v>117</v>
      </c>
      <c r="Q1545" s="49" t="s">
        <v>1818</v>
      </c>
      <c r="R1545" s="49">
        <v>17083128838</v>
      </c>
      <c r="S1545" s="49">
        <v>17083125238</v>
      </c>
      <c r="T1545" s="49" t="s">
        <v>117</v>
      </c>
      <c r="U1545" s="50" t="s">
        <v>1818</v>
      </c>
      <c r="V1545" s="50">
        <v>17083128838</v>
      </c>
      <c r="W1545" s="50">
        <v>17083125238</v>
      </c>
      <c r="X1545" s="50" t="s">
        <v>117</v>
      </c>
      <c r="Y1545" s="50"/>
    </row>
    <row r="1546" spans="1:25" x14ac:dyDescent="0.25">
      <c r="A1546" s="25" t="s">
        <v>115</v>
      </c>
      <c r="B1546" t="b">
        <v>0</v>
      </c>
      <c r="C1546" s="43" t="s">
        <v>1819</v>
      </c>
      <c r="D1546" s="43">
        <v>321028</v>
      </c>
      <c r="E1546" s="43">
        <v>300259</v>
      </c>
      <c r="F1546" s="43" t="s">
        <v>117</v>
      </c>
      <c r="G1546" s="43" t="b">
        <v>0</v>
      </c>
      <c r="H1546" s="43" t="b">
        <v>0</v>
      </c>
      <c r="I1546" s="43"/>
      <c r="J1546" s="45" t="s">
        <v>1819</v>
      </c>
      <c r="K1546" s="46">
        <v>300259</v>
      </c>
      <c r="L1546" s="47">
        <v>990000665</v>
      </c>
      <c r="M1546" s="48" t="s">
        <v>1819</v>
      </c>
      <c r="N1546" s="48">
        <v>17088570042</v>
      </c>
      <c r="O1546" s="48">
        <v>17088572192</v>
      </c>
      <c r="P1546" s="48" t="s">
        <v>117</v>
      </c>
      <c r="Q1546" s="49" t="s">
        <v>1819</v>
      </c>
      <c r="R1546" s="49">
        <v>17083127953</v>
      </c>
      <c r="S1546" s="49">
        <v>17083129828</v>
      </c>
      <c r="T1546" s="49" t="s">
        <v>117</v>
      </c>
      <c r="U1546" s="50" t="s">
        <v>1819</v>
      </c>
      <c r="V1546" s="50">
        <v>17083127953</v>
      </c>
      <c r="W1546" s="50">
        <v>17083129828</v>
      </c>
      <c r="X1546" s="50" t="s">
        <v>117</v>
      </c>
      <c r="Y1546" s="50"/>
    </row>
    <row r="1547" spans="1:25" x14ac:dyDescent="0.25">
      <c r="A1547" s="25" t="s">
        <v>115</v>
      </c>
      <c r="B1547" t="b">
        <v>0</v>
      </c>
      <c r="C1547" s="43" t="s">
        <v>1820</v>
      </c>
      <c r="D1547" s="43">
        <v>323076</v>
      </c>
      <c r="E1547" s="43">
        <v>300563</v>
      </c>
      <c r="F1547" s="43" t="s">
        <v>132</v>
      </c>
      <c r="G1547" s="43" t="b">
        <v>0</v>
      </c>
      <c r="H1547" s="43" t="b">
        <v>0</v>
      </c>
      <c r="I1547" s="43"/>
      <c r="M1547" s="48" t="s">
        <v>1820</v>
      </c>
      <c r="N1547" s="48">
        <v>17088572602</v>
      </c>
      <c r="O1547" s="48">
        <v>17088571680</v>
      </c>
      <c r="P1547" s="48" t="s">
        <v>132</v>
      </c>
      <c r="Q1547" s="49" t="s">
        <v>1820</v>
      </c>
      <c r="R1547" s="49">
        <v>17083125905</v>
      </c>
      <c r="S1547" s="49">
        <v>17083129316</v>
      </c>
      <c r="T1547" s="49" t="s">
        <v>132</v>
      </c>
      <c r="U1547" s="50" t="s">
        <v>1820</v>
      </c>
      <c r="V1547" s="50">
        <v>17083125905</v>
      </c>
      <c r="W1547" s="50">
        <v>17083129316</v>
      </c>
      <c r="X1547" s="50" t="s">
        <v>132</v>
      </c>
      <c r="Y1547" s="50"/>
    </row>
    <row r="1548" spans="1:25" x14ac:dyDescent="0.25">
      <c r="A1548" s="25" t="s">
        <v>115</v>
      </c>
      <c r="B1548" t="b">
        <v>0</v>
      </c>
      <c r="C1548" s="43" t="s">
        <v>1821</v>
      </c>
      <c r="D1548" s="43">
        <v>319748</v>
      </c>
      <c r="E1548" s="43">
        <v>301955</v>
      </c>
      <c r="F1548" s="43" t="s">
        <v>125</v>
      </c>
      <c r="G1548" s="43" t="b">
        <v>1</v>
      </c>
      <c r="H1548" s="43" t="b">
        <v>0</v>
      </c>
      <c r="I1548" s="43" t="s">
        <v>126</v>
      </c>
      <c r="M1548" s="48" t="s">
        <v>1821</v>
      </c>
      <c r="N1548" s="48">
        <v>17088570446</v>
      </c>
      <c r="O1548" s="48">
        <v>17088559484</v>
      </c>
      <c r="P1548" s="48" t="s">
        <v>125</v>
      </c>
      <c r="Q1548" s="49" t="s">
        <v>1821</v>
      </c>
      <c r="R1548" s="49">
        <v>17083128889</v>
      </c>
      <c r="S1548" s="49">
        <v>17083089414</v>
      </c>
      <c r="T1548" s="49" t="s">
        <v>125</v>
      </c>
      <c r="U1548" s="50" t="s">
        <v>1821</v>
      </c>
      <c r="V1548" s="50">
        <v>17083128889</v>
      </c>
      <c r="W1548" s="50">
        <v>17083089414</v>
      </c>
      <c r="X1548" s="50" t="s">
        <v>125</v>
      </c>
      <c r="Y1548" s="50">
        <v>120407</v>
      </c>
    </row>
    <row r="1549" spans="1:25" x14ac:dyDescent="0.25">
      <c r="A1549" s="25" t="s">
        <v>115</v>
      </c>
      <c r="B1549" t="b">
        <v>0</v>
      </c>
      <c r="C1549" s="43" t="s">
        <v>1822</v>
      </c>
      <c r="D1549" s="43">
        <v>321796</v>
      </c>
      <c r="E1549" s="43">
        <v>299869</v>
      </c>
      <c r="F1549" s="43" t="s">
        <v>383</v>
      </c>
      <c r="G1549" s="43" t="b">
        <v>0</v>
      </c>
      <c r="H1549" s="43" t="b">
        <v>0</v>
      </c>
      <c r="I1549" s="43"/>
      <c r="M1549" s="48" t="s">
        <v>1822</v>
      </c>
      <c r="N1549" s="48">
        <v>17088571137</v>
      </c>
      <c r="O1549" s="48">
        <v>17088561275</v>
      </c>
      <c r="P1549" s="48" t="s">
        <v>383</v>
      </c>
      <c r="Q1549" s="49" t="s">
        <v>1822</v>
      </c>
      <c r="R1549" s="49">
        <v>17083128658</v>
      </c>
      <c r="S1549" s="49">
        <v>17083122664</v>
      </c>
      <c r="T1549" s="49" t="s">
        <v>383</v>
      </c>
      <c r="U1549" s="50" t="s">
        <v>1822</v>
      </c>
      <c r="V1549" s="50">
        <v>17083128658</v>
      </c>
      <c r="W1549" s="50">
        <v>17083122664</v>
      </c>
      <c r="X1549" s="50" t="s">
        <v>383</v>
      </c>
      <c r="Y1549" s="50"/>
    </row>
    <row r="1550" spans="1:25" x14ac:dyDescent="0.25">
      <c r="A1550" s="25" t="s">
        <v>115</v>
      </c>
      <c r="B1550" t="b">
        <v>0</v>
      </c>
      <c r="C1550" s="43" t="s">
        <v>1823</v>
      </c>
      <c r="D1550" s="43">
        <v>320772</v>
      </c>
      <c r="E1550" s="43">
        <v>299051</v>
      </c>
      <c r="F1550" s="43" t="s">
        <v>132</v>
      </c>
      <c r="G1550" s="43" t="b">
        <v>0</v>
      </c>
      <c r="H1550" s="43" t="b">
        <v>0</v>
      </c>
      <c r="I1550" s="43"/>
      <c r="M1550" s="48" t="s">
        <v>1823</v>
      </c>
      <c r="N1550" s="48">
        <v>17088569674</v>
      </c>
      <c r="O1550" s="48">
        <v>17088565787</v>
      </c>
      <c r="P1550" s="48" t="s">
        <v>132</v>
      </c>
      <c r="Q1550" s="49" t="s">
        <v>1823</v>
      </c>
      <c r="R1550" s="49">
        <v>17083127422</v>
      </c>
      <c r="S1550" s="49">
        <v>17083123183</v>
      </c>
      <c r="T1550" s="49" t="s">
        <v>132</v>
      </c>
      <c r="U1550" s="50" t="s">
        <v>1823</v>
      </c>
      <c r="V1550" s="50">
        <v>17083127422</v>
      </c>
      <c r="W1550" s="50">
        <v>17083123183</v>
      </c>
      <c r="X1550" s="50" t="s">
        <v>132</v>
      </c>
      <c r="Y1550" s="50"/>
    </row>
    <row r="1551" spans="1:25" x14ac:dyDescent="0.25">
      <c r="A1551" s="25" t="s">
        <v>115</v>
      </c>
      <c r="B1551" t="b">
        <v>0</v>
      </c>
      <c r="C1551" s="43" t="s">
        <v>1824</v>
      </c>
      <c r="D1551" s="43">
        <v>322820</v>
      </c>
      <c r="E1551" s="43">
        <v>300947</v>
      </c>
      <c r="F1551" s="43" t="s">
        <v>119</v>
      </c>
      <c r="G1551" s="43" t="b">
        <v>0</v>
      </c>
      <c r="H1551" s="43" t="b">
        <v>0</v>
      </c>
      <c r="I1551" s="43"/>
      <c r="M1551" s="48" t="s">
        <v>1824</v>
      </c>
      <c r="N1551" s="48">
        <v>17088571386</v>
      </c>
      <c r="O1551" s="48">
        <v>17088571424</v>
      </c>
      <c r="P1551" s="48" t="s">
        <v>119</v>
      </c>
      <c r="Q1551" s="49" t="s">
        <v>1824</v>
      </c>
      <c r="R1551" s="49">
        <v>17083129809</v>
      </c>
      <c r="S1551" s="49">
        <v>17083129060</v>
      </c>
      <c r="T1551" s="49" t="s">
        <v>119</v>
      </c>
      <c r="U1551" s="50" t="s">
        <v>1824</v>
      </c>
      <c r="V1551" s="50">
        <v>17083129809</v>
      </c>
      <c r="W1551" s="50">
        <v>17083129060</v>
      </c>
      <c r="X1551" s="50" t="s">
        <v>119</v>
      </c>
      <c r="Y1551" s="50"/>
    </row>
    <row r="1552" spans="1:25" x14ac:dyDescent="0.25">
      <c r="A1552" s="25" t="s">
        <v>115</v>
      </c>
      <c r="B1552" t="b">
        <v>0</v>
      </c>
      <c r="C1552" s="43" t="s">
        <v>1825</v>
      </c>
      <c r="D1552" s="43">
        <v>320260</v>
      </c>
      <c r="E1552" s="43">
        <v>300211</v>
      </c>
      <c r="F1552" s="43" t="s">
        <v>123</v>
      </c>
      <c r="G1552" s="43" t="b">
        <v>0</v>
      </c>
      <c r="H1552" s="43" t="b">
        <v>0</v>
      </c>
      <c r="I1552" s="43"/>
      <c r="M1552" s="48" t="s">
        <v>1825</v>
      </c>
      <c r="N1552" s="48">
        <v>17088569722</v>
      </c>
      <c r="O1552" s="48">
        <v>17088569600</v>
      </c>
      <c r="P1552" s="48" t="s">
        <v>123</v>
      </c>
      <c r="Q1552" s="49" t="s">
        <v>1825</v>
      </c>
      <c r="R1552" s="49">
        <v>17083129425</v>
      </c>
      <c r="S1552" s="49">
        <v>17083129284</v>
      </c>
      <c r="T1552" s="49" t="s">
        <v>123</v>
      </c>
      <c r="U1552" s="50" t="s">
        <v>1825</v>
      </c>
      <c r="V1552" s="50">
        <v>17083129425</v>
      </c>
      <c r="W1552" s="50">
        <v>17083129284</v>
      </c>
      <c r="X1552" s="50" t="s">
        <v>123</v>
      </c>
      <c r="Y1552" s="50"/>
    </row>
    <row r="1553" spans="1:25" x14ac:dyDescent="0.25">
      <c r="A1553" s="25" t="s">
        <v>115</v>
      </c>
      <c r="B1553" t="b">
        <v>0</v>
      </c>
      <c r="C1553" s="43" t="s">
        <v>1826</v>
      </c>
      <c r="D1553" s="43">
        <v>321284</v>
      </c>
      <c r="E1553" s="43">
        <v>301875</v>
      </c>
      <c r="F1553" s="43" t="s">
        <v>123</v>
      </c>
      <c r="G1553" s="43" t="b">
        <v>0</v>
      </c>
      <c r="H1553" s="43" t="b">
        <v>0</v>
      </c>
      <c r="I1553" s="43"/>
      <c r="M1553" s="48" t="s">
        <v>1826</v>
      </c>
      <c r="N1553" s="48">
        <v>17088569594</v>
      </c>
      <c r="O1553" s="48">
        <v>17088572160</v>
      </c>
      <c r="P1553" s="48" t="s">
        <v>123</v>
      </c>
      <c r="Q1553" s="49" t="s">
        <v>1826</v>
      </c>
      <c r="R1553" s="49">
        <v>17083128529</v>
      </c>
      <c r="S1553" s="49">
        <v>17083125796</v>
      </c>
      <c r="T1553" s="49" t="s">
        <v>123</v>
      </c>
      <c r="U1553" s="50" t="s">
        <v>1826</v>
      </c>
      <c r="V1553" s="50">
        <v>17083128529</v>
      </c>
      <c r="W1553" s="50">
        <v>17083125796</v>
      </c>
      <c r="X1553" s="50" t="s">
        <v>123</v>
      </c>
      <c r="Y1553" s="50"/>
    </row>
    <row r="1554" spans="1:25" x14ac:dyDescent="0.25">
      <c r="A1554" s="25" t="s">
        <v>115</v>
      </c>
      <c r="B1554" t="b">
        <v>0</v>
      </c>
      <c r="C1554" s="43" t="s">
        <v>1827</v>
      </c>
      <c r="D1554" s="43">
        <v>323332</v>
      </c>
      <c r="E1554" s="43">
        <v>301795</v>
      </c>
      <c r="F1554" s="43" t="s">
        <v>117</v>
      </c>
      <c r="G1554" s="43" t="b">
        <v>0</v>
      </c>
      <c r="H1554" s="43" t="b">
        <v>0</v>
      </c>
      <c r="I1554" s="43"/>
      <c r="M1554" s="48" t="s">
        <v>1827</v>
      </c>
      <c r="N1554" s="48">
        <v>17088570298</v>
      </c>
      <c r="O1554" s="48">
        <v>17088570656</v>
      </c>
      <c r="P1554" s="48" t="s">
        <v>117</v>
      </c>
      <c r="Q1554" s="49" t="s">
        <v>1827</v>
      </c>
      <c r="R1554" s="49">
        <v>17083129489</v>
      </c>
      <c r="S1554" s="49">
        <v>17083126756</v>
      </c>
      <c r="T1554" s="49" t="s">
        <v>117</v>
      </c>
      <c r="U1554" s="50" t="s">
        <v>1827</v>
      </c>
      <c r="V1554" s="50">
        <v>17083129489</v>
      </c>
      <c r="W1554" s="50">
        <v>17083126756</v>
      </c>
      <c r="X1554" s="50" t="s">
        <v>117</v>
      </c>
      <c r="Y1554" s="50"/>
    </row>
    <row r="1555" spans="1:25" x14ac:dyDescent="0.25">
      <c r="A1555" s="25" t="s">
        <v>115</v>
      </c>
      <c r="B1555" t="b">
        <v>0</v>
      </c>
      <c r="C1555" s="43" t="s">
        <v>1828</v>
      </c>
      <c r="D1555" s="43">
        <v>319620</v>
      </c>
      <c r="E1555" s="43">
        <v>299965</v>
      </c>
      <c r="F1555" s="43" t="s">
        <v>119</v>
      </c>
      <c r="G1555" s="43" t="b">
        <v>0</v>
      </c>
      <c r="H1555" s="43" t="b">
        <v>0</v>
      </c>
      <c r="I1555" s="43"/>
      <c r="J1555" s="45" t="s">
        <v>1828</v>
      </c>
      <c r="K1555" s="46">
        <v>299965</v>
      </c>
      <c r="L1555" s="47">
        <v>990000679</v>
      </c>
      <c r="M1555" s="48" t="s">
        <v>1828</v>
      </c>
      <c r="N1555" s="48">
        <v>17088570318</v>
      </c>
      <c r="O1555" s="48">
        <v>17088558588</v>
      </c>
      <c r="P1555" s="48" t="s">
        <v>119</v>
      </c>
      <c r="Q1555" s="49" t="s">
        <v>1828</v>
      </c>
      <c r="R1555" s="49">
        <v>17083128249</v>
      </c>
      <c r="S1555" s="49">
        <v>17083091590</v>
      </c>
      <c r="T1555" s="49" t="s">
        <v>119</v>
      </c>
      <c r="U1555" s="50" t="s">
        <v>1828</v>
      </c>
      <c r="V1555" s="50">
        <v>17083128249</v>
      </c>
      <c r="W1555" s="50">
        <v>17083091590</v>
      </c>
      <c r="X1555" s="50" t="s">
        <v>119</v>
      </c>
      <c r="Y1555" s="50"/>
    </row>
    <row r="1556" spans="1:25" x14ac:dyDescent="0.25">
      <c r="A1556" s="25" t="s">
        <v>115</v>
      </c>
      <c r="B1556" t="b">
        <v>0</v>
      </c>
      <c r="C1556" s="43" t="s">
        <v>1829</v>
      </c>
      <c r="D1556" s="43">
        <v>321668</v>
      </c>
      <c r="E1556" s="43">
        <v>302851</v>
      </c>
      <c r="F1556" s="43" t="s">
        <v>119</v>
      </c>
      <c r="G1556" s="43" t="b">
        <v>0</v>
      </c>
      <c r="H1556" s="43" t="b">
        <v>0</v>
      </c>
      <c r="I1556" s="43"/>
      <c r="M1556" s="48" t="s">
        <v>1829</v>
      </c>
      <c r="N1556" s="48">
        <v>17088572878</v>
      </c>
      <c r="O1556" s="48">
        <v>17088557948</v>
      </c>
      <c r="P1556" s="48" t="s">
        <v>119</v>
      </c>
      <c r="Q1556" s="49" t="s">
        <v>1829</v>
      </c>
      <c r="R1556" s="49">
        <v>17083126201</v>
      </c>
      <c r="S1556" s="49">
        <v>17083092486</v>
      </c>
      <c r="T1556" s="49" t="s">
        <v>119</v>
      </c>
      <c r="U1556" s="50" t="s">
        <v>1829</v>
      </c>
      <c r="V1556" s="50">
        <v>17083126201</v>
      </c>
      <c r="W1556" s="50">
        <v>17083092486</v>
      </c>
      <c r="X1556" s="50" t="s">
        <v>119</v>
      </c>
      <c r="Y1556" s="50"/>
    </row>
    <row r="1557" spans="1:25" x14ac:dyDescent="0.25">
      <c r="A1557" s="25" t="s">
        <v>115</v>
      </c>
      <c r="B1557" t="b">
        <v>0</v>
      </c>
      <c r="C1557" s="43" t="s">
        <v>1830</v>
      </c>
      <c r="D1557" s="43">
        <v>320644</v>
      </c>
      <c r="E1557" s="43">
        <v>300429</v>
      </c>
      <c r="F1557" s="43" t="s">
        <v>125</v>
      </c>
      <c r="G1557" s="43" t="b">
        <v>0</v>
      </c>
      <c r="H1557" s="43" t="b">
        <v>0</v>
      </c>
      <c r="I1557" s="43"/>
      <c r="M1557" s="48" t="s">
        <v>1830</v>
      </c>
      <c r="N1557" s="48">
        <v>17088569921</v>
      </c>
      <c r="O1557" s="48">
        <v>17088564795</v>
      </c>
      <c r="P1557" s="48" t="s">
        <v>125</v>
      </c>
      <c r="Q1557" s="49" t="s">
        <v>1830</v>
      </c>
      <c r="R1557" s="49">
        <v>17083128370</v>
      </c>
      <c r="S1557" s="49">
        <v>17083124840</v>
      </c>
      <c r="T1557" s="49" t="s">
        <v>125</v>
      </c>
      <c r="U1557" s="50" t="s">
        <v>1830</v>
      </c>
      <c r="V1557" s="50">
        <v>17083128370</v>
      </c>
      <c r="W1557" s="50">
        <v>17083124840</v>
      </c>
      <c r="X1557" s="50" t="s">
        <v>125</v>
      </c>
      <c r="Y1557" s="50"/>
    </row>
    <row r="1558" spans="1:25" x14ac:dyDescent="0.25">
      <c r="A1558" s="25" t="s">
        <v>115</v>
      </c>
      <c r="B1558" t="b">
        <v>0</v>
      </c>
      <c r="C1558" s="43" t="s">
        <v>1831</v>
      </c>
      <c r="D1558" s="43">
        <v>322180</v>
      </c>
      <c r="E1558" s="43">
        <v>301373</v>
      </c>
      <c r="F1558" s="43" t="s">
        <v>123</v>
      </c>
      <c r="G1558" s="43" t="b">
        <v>0</v>
      </c>
      <c r="H1558" s="43" t="b">
        <v>0</v>
      </c>
      <c r="I1558" s="43" t="s">
        <v>134</v>
      </c>
      <c r="M1558" s="48" t="s">
        <v>1831</v>
      </c>
      <c r="N1558" s="48">
        <v>17088571470</v>
      </c>
      <c r="O1558" s="48">
        <v>17088560386</v>
      </c>
      <c r="P1558" s="48" t="s">
        <v>123</v>
      </c>
      <c r="Q1558" s="49" t="s">
        <v>1831</v>
      </c>
      <c r="R1558" s="49">
        <v>17083126841</v>
      </c>
      <c r="S1558" s="49">
        <v>17083090502</v>
      </c>
      <c r="T1558" s="49" t="s">
        <v>123</v>
      </c>
      <c r="U1558" s="50" t="s">
        <v>1831</v>
      </c>
      <c r="V1558" s="50">
        <v>17083126841</v>
      </c>
      <c r="W1558" s="50">
        <v>17083090502</v>
      </c>
      <c r="X1558" s="50" t="s">
        <v>123</v>
      </c>
      <c r="Y1558" s="50"/>
    </row>
    <row r="1559" spans="1:25" x14ac:dyDescent="0.25">
      <c r="A1559" s="25" t="s">
        <v>115</v>
      </c>
      <c r="B1559" t="b">
        <v>0</v>
      </c>
      <c r="C1559" s="43" t="s">
        <v>1832</v>
      </c>
      <c r="D1559" s="43">
        <v>321156</v>
      </c>
      <c r="E1559" s="43">
        <v>301981</v>
      </c>
      <c r="F1559" s="43" t="s">
        <v>125</v>
      </c>
      <c r="G1559" s="43" t="b">
        <v>0</v>
      </c>
      <c r="H1559" s="43" t="b">
        <v>0</v>
      </c>
      <c r="I1559" s="43" t="s">
        <v>126</v>
      </c>
      <c r="M1559" s="48" t="s">
        <v>1832</v>
      </c>
      <c r="N1559" s="48">
        <v>17088572993</v>
      </c>
      <c r="O1559" s="48">
        <v>17088561403</v>
      </c>
      <c r="P1559" s="48" t="s">
        <v>125</v>
      </c>
      <c r="Q1559" s="49" t="s">
        <v>1832</v>
      </c>
      <c r="R1559" s="49">
        <v>17083127090</v>
      </c>
      <c r="S1559" s="49">
        <v>17083122968</v>
      </c>
      <c r="T1559" s="49" t="s">
        <v>125</v>
      </c>
      <c r="U1559" s="50" t="s">
        <v>1832</v>
      </c>
      <c r="V1559" s="50">
        <v>17083127090</v>
      </c>
      <c r="W1559" s="50">
        <v>17083122968</v>
      </c>
      <c r="X1559" s="50" t="s">
        <v>125</v>
      </c>
      <c r="Y1559" s="50"/>
    </row>
    <row r="1560" spans="1:25" x14ac:dyDescent="0.25">
      <c r="A1560" s="25" t="s">
        <v>115</v>
      </c>
      <c r="B1560" t="b">
        <v>0</v>
      </c>
      <c r="C1560" s="43" t="s">
        <v>1833</v>
      </c>
      <c r="D1560" s="43">
        <v>323204</v>
      </c>
      <c r="E1560" s="43">
        <v>300205</v>
      </c>
      <c r="F1560" s="43" t="s">
        <v>117</v>
      </c>
      <c r="G1560" s="43" t="b">
        <v>0</v>
      </c>
      <c r="H1560" s="43" t="b">
        <v>0</v>
      </c>
      <c r="I1560" s="43"/>
      <c r="M1560" s="48" t="s">
        <v>1833</v>
      </c>
      <c r="N1560" s="48">
        <v>17088570945</v>
      </c>
      <c r="O1560" s="48">
        <v>17088564359</v>
      </c>
      <c r="P1560" s="48" t="s">
        <v>117</v>
      </c>
      <c r="Q1560" s="49" t="s">
        <v>1833</v>
      </c>
      <c r="R1560" s="49">
        <v>17083128114</v>
      </c>
      <c r="S1560" s="49">
        <v>17083124568</v>
      </c>
      <c r="T1560" s="49" t="s">
        <v>117</v>
      </c>
      <c r="U1560" s="50" t="s">
        <v>1833</v>
      </c>
      <c r="V1560" s="50">
        <v>17083128114</v>
      </c>
      <c r="W1560" s="50">
        <v>17083124568</v>
      </c>
      <c r="X1560" s="50" t="s">
        <v>117</v>
      </c>
      <c r="Y1560" s="50"/>
    </row>
    <row r="1561" spans="1:25" x14ac:dyDescent="0.25">
      <c r="A1561" s="25" t="s">
        <v>115</v>
      </c>
      <c r="B1561" t="b">
        <v>0</v>
      </c>
      <c r="C1561" s="43" t="s">
        <v>1834</v>
      </c>
      <c r="D1561" s="43">
        <v>319876</v>
      </c>
      <c r="E1561" s="43">
        <v>302157</v>
      </c>
      <c r="F1561" s="43" t="s">
        <v>125</v>
      </c>
      <c r="G1561" s="43" t="b">
        <v>0</v>
      </c>
      <c r="H1561" s="43" t="b">
        <v>0</v>
      </c>
      <c r="I1561" s="43"/>
      <c r="M1561" s="48" t="s">
        <v>1834</v>
      </c>
      <c r="N1561" s="48">
        <v>17088570241</v>
      </c>
      <c r="O1561" s="48">
        <v>17088564615</v>
      </c>
      <c r="P1561" s="48" t="s">
        <v>125</v>
      </c>
      <c r="Q1561" s="49" t="s">
        <v>1834</v>
      </c>
      <c r="R1561" s="49">
        <v>17083127762</v>
      </c>
      <c r="S1561" s="49">
        <v>17083124440</v>
      </c>
      <c r="T1561" s="49" t="s">
        <v>125</v>
      </c>
      <c r="U1561" s="50" t="s">
        <v>1834</v>
      </c>
      <c r="V1561" s="50">
        <v>17083127762</v>
      </c>
      <c r="W1561" s="50">
        <v>17083124440</v>
      </c>
      <c r="X1561" s="50" t="s">
        <v>125</v>
      </c>
      <c r="Y1561" s="50"/>
    </row>
    <row r="1562" spans="1:25" x14ac:dyDescent="0.25">
      <c r="A1562" s="25" t="s">
        <v>115</v>
      </c>
      <c r="B1562" t="b">
        <v>0</v>
      </c>
      <c r="C1562" s="43" t="s">
        <v>1835</v>
      </c>
      <c r="D1562" s="43">
        <v>321924</v>
      </c>
      <c r="E1562" s="43">
        <v>300755</v>
      </c>
      <c r="F1562" s="43" t="s">
        <v>119</v>
      </c>
      <c r="G1562" s="43" t="b">
        <v>0</v>
      </c>
      <c r="H1562" s="43" t="b">
        <v>0</v>
      </c>
      <c r="I1562" s="43"/>
      <c r="M1562" s="48" t="s">
        <v>1835</v>
      </c>
      <c r="N1562" s="48">
        <v>17088572678</v>
      </c>
      <c r="O1562" s="48">
        <v>17088569792</v>
      </c>
      <c r="P1562" s="48" t="s">
        <v>119</v>
      </c>
      <c r="Q1562" s="49" t="s">
        <v>1835</v>
      </c>
      <c r="R1562" s="49">
        <v>17083126577</v>
      </c>
      <c r="S1562" s="49">
        <v>17083127140</v>
      </c>
      <c r="T1562" s="49" t="s">
        <v>119</v>
      </c>
      <c r="U1562" s="50" t="s">
        <v>1835</v>
      </c>
      <c r="V1562" s="50">
        <v>17083126577</v>
      </c>
      <c r="W1562" s="50">
        <v>17083127140</v>
      </c>
      <c r="X1562" s="50" t="s">
        <v>119</v>
      </c>
      <c r="Y1562" s="50"/>
    </row>
    <row r="1563" spans="1:25" x14ac:dyDescent="0.25">
      <c r="A1563" s="25" t="s">
        <v>115</v>
      </c>
      <c r="B1563" t="b">
        <v>0</v>
      </c>
      <c r="C1563" s="43" t="s">
        <v>1836</v>
      </c>
      <c r="D1563" s="43">
        <v>320900</v>
      </c>
      <c r="E1563" s="43">
        <v>302771</v>
      </c>
      <c r="F1563" s="43" t="s">
        <v>383</v>
      </c>
      <c r="G1563" s="43" t="b">
        <v>0</v>
      </c>
      <c r="H1563" s="43" t="b">
        <v>0</v>
      </c>
      <c r="I1563" s="43"/>
      <c r="M1563" s="48" t="s">
        <v>1836</v>
      </c>
      <c r="N1563" s="48">
        <v>17088573050</v>
      </c>
      <c r="O1563" s="48">
        <v>17088571904</v>
      </c>
      <c r="P1563" s="48" t="s">
        <v>383</v>
      </c>
      <c r="Q1563" s="49" t="s">
        <v>1836</v>
      </c>
      <c r="R1563" s="49">
        <v>17083127377</v>
      </c>
      <c r="S1563" s="49">
        <v>17083126212</v>
      </c>
      <c r="T1563" s="49" t="s">
        <v>383</v>
      </c>
      <c r="U1563" s="50" t="s">
        <v>1836</v>
      </c>
      <c r="V1563" s="50">
        <v>17083127377</v>
      </c>
      <c r="W1563" s="50">
        <v>17083126212</v>
      </c>
      <c r="X1563" s="50" t="s">
        <v>383</v>
      </c>
      <c r="Y1563" s="50"/>
    </row>
    <row r="1564" spans="1:25" x14ac:dyDescent="0.25">
      <c r="A1564" s="25" t="s">
        <v>115</v>
      </c>
      <c r="B1564" t="b">
        <v>0</v>
      </c>
      <c r="C1564" s="43" t="s">
        <v>1837</v>
      </c>
      <c r="D1564" s="43">
        <v>322948</v>
      </c>
      <c r="E1564" s="43">
        <v>302941</v>
      </c>
      <c r="F1564" s="43" t="s">
        <v>123</v>
      </c>
      <c r="G1564" s="43" t="b">
        <v>0</v>
      </c>
      <c r="H1564" s="43" t="b">
        <v>0</v>
      </c>
      <c r="I1564" s="43"/>
      <c r="M1564" s="48" t="s">
        <v>1837</v>
      </c>
      <c r="N1564" s="48">
        <v>17088572481</v>
      </c>
      <c r="O1564" s="48">
        <v>17088563643</v>
      </c>
      <c r="P1564" s="48" t="s">
        <v>123</v>
      </c>
      <c r="Q1564" s="49" t="s">
        <v>1837</v>
      </c>
      <c r="R1564" s="49">
        <v>17083126322</v>
      </c>
      <c r="S1564" s="49">
        <v>17083124456</v>
      </c>
      <c r="T1564" s="49" t="s">
        <v>123</v>
      </c>
      <c r="U1564" s="50" t="s">
        <v>1837</v>
      </c>
      <c r="V1564" s="50">
        <v>17083126322</v>
      </c>
      <c r="W1564" s="50">
        <v>17083124456</v>
      </c>
      <c r="X1564" s="50" t="s">
        <v>123</v>
      </c>
      <c r="Y1564" s="50"/>
    </row>
    <row r="1565" spans="1:25" x14ac:dyDescent="0.25">
      <c r="A1565" s="25" t="s">
        <v>115</v>
      </c>
      <c r="B1565" t="b">
        <v>0</v>
      </c>
      <c r="C1565" s="43" t="s">
        <v>1838</v>
      </c>
      <c r="D1565" s="43">
        <v>321412</v>
      </c>
      <c r="E1565" s="43">
        <v>303059</v>
      </c>
      <c r="F1565" s="43" t="s">
        <v>125</v>
      </c>
      <c r="G1565" s="43" t="b">
        <v>0</v>
      </c>
      <c r="H1565" s="43" t="b">
        <v>0</v>
      </c>
      <c r="I1565" s="43" t="s">
        <v>126</v>
      </c>
      <c r="M1565" s="48" t="s">
        <v>1838</v>
      </c>
      <c r="N1565" s="48">
        <v>17088573306</v>
      </c>
      <c r="O1565" s="48">
        <v>17088571584</v>
      </c>
      <c r="P1565" s="48" t="s">
        <v>125</v>
      </c>
      <c r="Q1565" s="49" t="s">
        <v>1838</v>
      </c>
      <c r="R1565" s="49">
        <v>17083126481</v>
      </c>
      <c r="S1565" s="49">
        <v>17083128932</v>
      </c>
      <c r="T1565" s="49" t="s">
        <v>125</v>
      </c>
      <c r="U1565" s="50" t="s">
        <v>1838</v>
      </c>
      <c r="V1565" s="50">
        <v>17083126481</v>
      </c>
      <c r="W1565" s="50">
        <v>17083128932</v>
      </c>
      <c r="X1565" s="50" t="s">
        <v>125</v>
      </c>
      <c r="Y1565" s="50"/>
    </row>
    <row r="1566" spans="1:25" x14ac:dyDescent="0.25">
      <c r="A1566" s="25" t="s">
        <v>115</v>
      </c>
      <c r="B1566" t="b">
        <v>0</v>
      </c>
      <c r="C1566" s="43" t="s">
        <v>1839</v>
      </c>
      <c r="D1566" s="43">
        <v>323460</v>
      </c>
      <c r="E1566" s="43">
        <v>299315</v>
      </c>
      <c r="F1566" s="43" t="s">
        <v>123</v>
      </c>
      <c r="G1566" s="43" t="b">
        <v>0</v>
      </c>
      <c r="H1566" s="43" t="b">
        <v>0</v>
      </c>
      <c r="I1566" s="43" t="s">
        <v>134</v>
      </c>
      <c r="M1566" s="48" t="s">
        <v>1839</v>
      </c>
      <c r="N1566" s="48">
        <v>17088571002</v>
      </c>
      <c r="O1566" s="48">
        <v>17088570944</v>
      </c>
      <c r="P1566" s="48" t="s">
        <v>123</v>
      </c>
      <c r="Q1566" s="49" t="s">
        <v>1839</v>
      </c>
      <c r="R1566" s="49">
        <v>17083128401</v>
      </c>
      <c r="S1566" s="49">
        <v>17083128228</v>
      </c>
      <c r="T1566" s="49" t="s">
        <v>123</v>
      </c>
      <c r="U1566" s="50" t="s">
        <v>1839</v>
      </c>
      <c r="V1566" s="50">
        <v>17083128401</v>
      </c>
      <c r="W1566" s="50">
        <v>17083128228</v>
      </c>
      <c r="X1566" s="50" t="s">
        <v>123</v>
      </c>
      <c r="Y1566" s="50"/>
    </row>
    <row r="1567" spans="1:25" x14ac:dyDescent="0.25">
      <c r="A1567" s="25" t="s">
        <v>115</v>
      </c>
      <c r="B1567" t="b">
        <v>0</v>
      </c>
      <c r="C1567" s="43" t="s">
        <v>1840</v>
      </c>
      <c r="D1567" s="43">
        <v>319556</v>
      </c>
      <c r="E1567" s="43">
        <v>302333</v>
      </c>
      <c r="F1567" s="43" t="s">
        <v>132</v>
      </c>
      <c r="G1567" s="43" t="b">
        <v>0</v>
      </c>
      <c r="H1567" s="43" t="b">
        <v>0</v>
      </c>
      <c r="I1567" s="43"/>
      <c r="M1567" s="48" t="s">
        <v>1840</v>
      </c>
      <c r="N1567" s="48">
        <v>17088573134</v>
      </c>
      <c r="O1567" s="48">
        <v>17088557820</v>
      </c>
      <c r="P1567" s="48" t="s">
        <v>132</v>
      </c>
      <c r="Q1567" s="49" t="s">
        <v>1840</v>
      </c>
      <c r="R1567" s="49">
        <v>17083127609</v>
      </c>
      <c r="S1567" s="49">
        <v>17083092742</v>
      </c>
      <c r="T1567" s="49" t="s">
        <v>132</v>
      </c>
      <c r="U1567" s="50" t="s">
        <v>1840</v>
      </c>
      <c r="V1567" s="50">
        <v>17083127609</v>
      </c>
      <c r="W1567" s="50">
        <v>17083092742</v>
      </c>
      <c r="X1567" s="50" t="s">
        <v>132</v>
      </c>
      <c r="Y1567" s="50"/>
    </row>
    <row r="1568" spans="1:25" x14ac:dyDescent="0.25">
      <c r="A1568" s="25" t="s">
        <v>115</v>
      </c>
      <c r="B1568" t="b">
        <v>0</v>
      </c>
      <c r="C1568" s="43" t="s">
        <v>1841</v>
      </c>
      <c r="D1568" s="43">
        <v>321604</v>
      </c>
      <c r="E1568" s="43">
        <v>299261</v>
      </c>
      <c r="F1568" s="43" t="s">
        <v>132</v>
      </c>
      <c r="G1568" s="43" t="b">
        <v>0</v>
      </c>
      <c r="H1568" s="43" t="b">
        <v>0</v>
      </c>
      <c r="I1568" s="43"/>
      <c r="M1568" s="48" t="s">
        <v>1841</v>
      </c>
      <c r="N1568" s="48">
        <v>17088570766</v>
      </c>
      <c r="O1568" s="48">
        <v>17088560892</v>
      </c>
      <c r="P1568" s="48" t="s">
        <v>132</v>
      </c>
      <c r="Q1568" s="49" t="s">
        <v>1841</v>
      </c>
      <c r="R1568" s="49">
        <v>17083127769</v>
      </c>
      <c r="S1568" s="49">
        <v>17083090054</v>
      </c>
      <c r="T1568" s="49" t="s">
        <v>132</v>
      </c>
      <c r="U1568" s="50" t="s">
        <v>1841</v>
      </c>
      <c r="V1568" s="50">
        <v>17083127769</v>
      </c>
      <c r="W1568" s="50">
        <v>17083090054</v>
      </c>
      <c r="X1568" s="50" t="s">
        <v>132</v>
      </c>
      <c r="Y1568" s="50"/>
    </row>
    <row r="1569" spans="1:25" x14ac:dyDescent="0.25">
      <c r="A1569" s="25" t="s">
        <v>115</v>
      </c>
      <c r="B1569" t="b">
        <v>0</v>
      </c>
      <c r="C1569" s="43" t="s">
        <v>1842</v>
      </c>
      <c r="D1569" s="43">
        <v>320580</v>
      </c>
      <c r="E1569" s="43">
        <v>299293</v>
      </c>
      <c r="F1569" s="43" t="s">
        <v>123</v>
      </c>
      <c r="G1569" s="43" t="b">
        <v>0</v>
      </c>
      <c r="H1569" s="43" t="b">
        <v>0</v>
      </c>
      <c r="I1569" s="43"/>
      <c r="M1569" s="48" t="s">
        <v>1842</v>
      </c>
      <c r="N1569" s="48">
        <v>17088573121</v>
      </c>
      <c r="O1569" s="48">
        <v>17088564475</v>
      </c>
      <c r="P1569" s="48" t="s">
        <v>123</v>
      </c>
      <c r="Q1569" s="49" t="s">
        <v>1842</v>
      </c>
      <c r="R1569" s="49">
        <v>17083127218</v>
      </c>
      <c r="S1569" s="49">
        <v>17083124504</v>
      </c>
      <c r="T1569" s="49" t="s">
        <v>123</v>
      </c>
      <c r="U1569" s="50" t="s">
        <v>1842</v>
      </c>
      <c r="V1569" s="50">
        <v>17083127218</v>
      </c>
      <c r="W1569" s="50">
        <v>17083124504</v>
      </c>
      <c r="X1569" s="50" t="s">
        <v>123</v>
      </c>
      <c r="Y1569" s="50"/>
    </row>
    <row r="1570" spans="1:25" x14ac:dyDescent="0.25">
      <c r="A1570" s="25" t="s">
        <v>115</v>
      </c>
      <c r="B1570" t="b">
        <v>0</v>
      </c>
      <c r="C1570" s="43" t="s">
        <v>1843</v>
      </c>
      <c r="D1570" s="43">
        <v>322628</v>
      </c>
      <c r="E1570" s="43">
        <v>300653</v>
      </c>
      <c r="F1570" s="43" t="s">
        <v>117</v>
      </c>
      <c r="G1570" s="43" t="b">
        <v>0</v>
      </c>
      <c r="H1570" s="43" t="b">
        <v>0</v>
      </c>
      <c r="I1570" s="43"/>
      <c r="M1570" s="48" t="s">
        <v>1843</v>
      </c>
      <c r="N1570" s="48">
        <v>17088570433</v>
      </c>
      <c r="O1570" s="48">
        <v>17088561159</v>
      </c>
      <c r="P1570" s="48" t="s">
        <v>117</v>
      </c>
      <c r="Q1570" s="49" t="s">
        <v>1843</v>
      </c>
      <c r="R1570" s="49">
        <v>17083128882</v>
      </c>
      <c r="S1570" s="49">
        <v>17083123096</v>
      </c>
      <c r="T1570" s="49" t="s">
        <v>117</v>
      </c>
      <c r="U1570" s="50" t="s">
        <v>1843</v>
      </c>
      <c r="V1570" s="50">
        <v>17083128882</v>
      </c>
      <c r="W1570" s="50">
        <v>17083123096</v>
      </c>
      <c r="X1570" s="50" t="s">
        <v>117</v>
      </c>
      <c r="Y1570" s="50"/>
    </row>
    <row r="1571" spans="1:25" x14ac:dyDescent="0.25">
      <c r="A1571" s="25" t="s">
        <v>115</v>
      </c>
      <c r="B1571" t="b">
        <v>0</v>
      </c>
      <c r="C1571" s="43" t="s">
        <v>1844</v>
      </c>
      <c r="D1571" s="43">
        <v>320068</v>
      </c>
      <c r="E1571" s="43">
        <v>300491</v>
      </c>
      <c r="F1571" s="43" t="s">
        <v>117</v>
      </c>
      <c r="G1571" s="43" t="b">
        <v>0</v>
      </c>
      <c r="H1571" s="43" t="b">
        <v>0</v>
      </c>
      <c r="I1571" s="43"/>
      <c r="M1571" s="48" t="s">
        <v>1844</v>
      </c>
      <c r="N1571" s="48">
        <v>17088569542</v>
      </c>
      <c r="O1571" s="48">
        <v>17088572936</v>
      </c>
      <c r="P1571" s="48" t="s">
        <v>117</v>
      </c>
      <c r="Q1571" s="49" t="s">
        <v>1844</v>
      </c>
      <c r="R1571" s="49">
        <v>17083127537</v>
      </c>
      <c r="S1571" s="49">
        <v>17083125964</v>
      </c>
      <c r="T1571" s="49" t="s">
        <v>117</v>
      </c>
      <c r="U1571" s="50" t="s">
        <v>1844</v>
      </c>
      <c r="V1571" s="50">
        <v>17083127537</v>
      </c>
      <c r="W1571" s="50">
        <v>17083125964</v>
      </c>
      <c r="X1571" s="50" t="s">
        <v>117</v>
      </c>
      <c r="Y1571" s="50"/>
    </row>
    <row r="1572" spans="1:25" x14ac:dyDescent="0.25">
      <c r="A1572" s="25" t="s">
        <v>115</v>
      </c>
      <c r="B1572" t="b">
        <v>0</v>
      </c>
      <c r="C1572" s="43" t="s">
        <v>1845</v>
      </c>
      <c r="D1572" s="43">
        <v>322116</v>
      </c>
      <c r="E1572" s="43">
        <v>300819</v>
      </c>
      <c r="F1572" s="43" t="s">
        <v>132</v>
      </c>
      <c r="G1572" s="43" t="b">
        <v>0</v>
      </c>
      <c r="H1572" s="43" t="b">
        <v>0</v>
      </c>
      <c r="I1572" s="43"/>
      <c r="M1572" s="48" t="s">
        <v>1845</v>
      </c>
      <c r="N1572" s="48">
        <v>17088569518</v>
      </c>
      <c r="O1572" s="48">
        <v>17088559442</v>
      </c>
      <c r="P1572" s="48" t="s">
        <v>132</v>
      </c>
      <c r="Q1572" s="49" t="s">
        <v>1845</v>
      </c>
      <c r="R1572" s="49">
        <v>17083129721</v>
      </c>
      <c r="S1572" s="49">
        <v>17083117887</v>
      </c>
      <c r="T1572" s="49" t="s">
        <v>132</v>
      </c>
      <c r="U1572" s="50" t="s">
        <v>1845</v>
      </c>
      <c r="V1572" s="50">
        <v>17083129721</v>
      </c>
      <c r="W1572" s="50">
        <v>17083117887</v>
      </c>
      <c r="X1572" s="50" t="s">
        <v>132</v>
      </c>
      <c r="Y1572" s="50"/>
    </row>
    <row r="1573" spans="1:25" x14ac:dyDescent="0.25">
      <c r="A1573" s="25" t="s">
        <v>115</v>
      </c>
      <c r="B1573" t="b">
        <v>0</v>
      </c>
      <c r="C1573" s="43" t="s">
        <v>1846</v>
      </c>
      <c r="D1573" s="43">
        <v>321092</v>
      </c>
      <c r="E1573" s="43">
        <v>302507</v>
      </c>
      <c r="F1573" s="43" t="s">
        <v>123</v>
      </c>
      <c r="G1573" s="43" t="b">
        <v>0</v>
      </c>
      <c r="H1573" s="43" t="b">
        <v>0</v>
      </c>
      <c r="I1573" s="43"/>
      <c r="M1573" s="48" t="s">
        <v>1846</v>
      </c>
      <c r="N1573" s="48">
        <v>17088570918</v>
      </c>
      <c r="O1573" s="48">
        <v>17088571088</v>
      </c>
      <c r="P1573" s="48" t="s">
        <v>123</v>
      </c>
      <c r="Q1573" s="49" t="s">
        <v>1846</v>
      </c>
      <c r="R1573" s="49">
        <v>17083127049</v>
      </c>
      <c r="S1573" s="49">
        <v>17083129780</v>
      </c>
      <c r="T1573" s="49" t="s">
        <v>123</v>
      </c>
      <c r="U1573" s="50" t="s">
        <v>1846</v>
      </c>
      <c r="V1573" s="50">
        <v>17083127049</v>
      </c>
      <c r="W1573" s="50">
        <v>17083129780</v>
      </c>
      <c r="X1573" s="50" t="s">
        <v>123</v>
      </c>
      <c r="Y1573" s="50"/>
    </row>
    <row r="1574" spans="1:25" x14ac:dyDescent="0.25">
      <c r="A1574" s="25" t="s">
        <v>115</v>
      </c>
      <c r="B1574" t="b">
        <v>0</v>
      </c>
      <c r="C1574" s="43" t="s">
        <v>1847</v>
      </c>
      <c r="D1574" s="43">
        <v>323140</v>
      </c>
      <c r="E1574" s="43">
        <v>299691</v>
      </c>
      <c r="F1574" s="43" t="s">
        <v>123</v>
      </c>
      <c r="G1574" s="43" t="b">
        <v>0</v>
      </c>
      <c r="H1574" s="43" t="b">
        <v>0</v>
      </c>
      <c r="I1574" s="43"/>
      <c r="M1574" s="48" t="s">
        <v>1847</v>
      </c>
      <c r="N1574" s="48">
        <v>17088572038</v>
      </c>
      <c r="O1574" s="48">
        <v>17088572368</v>
      </c>
      <c r="P1574" s="48" t="s">
        <v>123</v>
      </c>
      <c r="Q1574" s="49" t="s">
        <v>1847</v>
      </c>
      <c r="R1574" s="49">
        <v>17083127217</v>
      </c>
      <c r="S1574" s="49">
        <v>17083127412</v>
      </c>
      <c r="T1574" s="49" t="s">
        <v>123</v>
      </c>
      <c r="U1574" s="50" t="s">
        <v>1847</v>
      </c>
      <c r="V1574" s="50">
        <v>17083127217</v>
      </c>
      <c r="W1574" s="50">
        <v>17083127412</v>
      </c>
      <c r="X1574" s="50" t="s">
        <v>123</v>
      </c>
      <c r="Y1574" s="50"/>
    </row>
    <row r="1575" spans="1:25" x14ac:dyDescent="0.25">
      <c r="A1575" s="25" t="s">
        <v>115</v>
      </c>
      <c r="B1575" t="b">
        <v>0</v>
      </c>
      <c r="C1575" s="43" t="s">
        <v>1848</v>
      </c>
      <c r="D1575" s="43">
        <v>319812</v>
      </c>
      <c r="E1575" s="43">
        <v>302163</v>
      </c>
      <c r="F1575" s="43" t="s">
        <v>132</v>
      </c>
      <c r="G1575" s="43" t="b">
        <v>0</v>
      </c>
      <c r="H1575" s="43" t="b">
        <v>0</v>
      </c>
      <c r="I1575" s="43"/>
      <c r="M1575" s="48" t="s">
        <v>1848</v>
      </c>
      <c r="N1575" s="48">
        <v>17088573230</v>
      </c>
      <c r="O1575" s="48">
        <v>17088558674</v>
      </c>
      <c r="P1575" s="48" t="s">
        <v>132</v>
      </c>
      <c r="Q1575" s="49" t="s">
        <v>1848</v>
      </c>
      <c r="R1575" s="49">
        <v>17083127673</v>
      </c>
      <c r="S1575" s="49">
        <v>17083120191</v>
      </c>
      <c r="T1575" s="49" t="s">
        <v>132</v>
      </c>
      <c r="U1575" s="50" t="s">
        <v>1848</v>
      </c>
      <c r="V1575" s="50">
        <v>17083127673</v>
      </c>
      <c r="W1575" s="50">
        <v>17083120191</v>
      </c>
      <c r="X1575" s="50" t="s">
        <v>132</v>
      </c>
      <c r="Y1575" s="50"/>
    </row>
    <row r="1576" spans="1:25" x14ac:dyDescent="0.25">
      <c r="A1576" s="25" t="s">
        <v>115</v>
      </c>
      <c r="B1576" t="b">
        <v>0</v>
      </c>
      <c r="C1576" s="43" t="s">
        <v>1849</v>
      </c>
      <c r="D1576" s="43">
        <v>321860</v>
      </c>
      <c r="E1576" s="43">
        <v>301667</v>
      </c>
      <c r="F1576" s="43" t="s">
        <v>117</v>
      </c>
      <c r="G1576" s="43" t="b">
        <v>0</v>
      </c>
      <c r="H1576" s="43" t="b">
        <v>0</v>
      </c>
      <c r="I1576" s="43"/>
      <c r="M1576" s="48" t="s">
        <v>1849</v>
      </c>
      <c r="N1576" s="48">
        <v>17088571822</v>
      </c>
      <c r="O1576" s="48">
        <v>17088559154</v>
      </c>
      <c r="P1576" s="48" t="s">
        <v>117</v>
      </c>
      <c r="Q1576" s="49" t="s">
        <v>1849</v>
      </c>
      <c r="R1576" s="49">
        <v>17083128825</v>
      </c>
      <c r="S1576" s="49">
        <v>17083117695</v>
      </c>
      <c r="T1576" s="49" t="s">
        <v>117</v>
      </c>
      <c r="U1576" s="50" t="s">
        <v>1849</v>
      </c>
      <c r="V1576" s="50">
        <v>17083128825</v>
      </c>
      <c r="W1576" s="50">
        <v>17083117695</v>
      </c>
      <c r="X1576" s="50" t="s">
        <v>117</v>
      </c>
      <c r="Y1576" s="50"/>
    </row>
    <row r="1577" spans="1:25" x14ac:dyDescent="0.25">
      <c r="A1577" s="25" t="s">
        <v>115</v>
      </c>
      <c r="B1577" t="b">
        <v>0</v>
      </c>
      <c r="C1577" s="43" t="s">
        <v>1850</v>
      </c>
      <c r="D1577" s="43">
        <v>320836</v>
      </c>
      <c r="E1577" s="43">
        <v>301675</v>
      </c>
      <c r="F1577" s="43" t="s">
        <v>383</v>
      </c>
      <c r="G1577" s="43" t="b">
        <v>0</v>
      </c>
      <c r="H1577" s="43" t="b">
        <v>0</v>
      </c>
      <c r="I1577" s="43"/>
      <c r="M1577" s="48" t="s">
        <v>1850</v>
      </c>
      <c r="N1577" s="48">
        <v>17088569926</v>
      </c>
      <c r="O1577" s="48">
        <v>17088569552</v>
      </c>
      <c r="P1577" s="48" t="s">
        <v>383</v>
      </c>
      <c r="Q1577" s="49" t="s">
        <v>1850</v>
      </c>
      <c r="R1577" s="49">
        <v>17083129713</v>
      </c>
      <c r="S1577" s="49">
        <v>17083128244</v>
      </c>
      <c r="T1577" s="49" t="s">
        <v>383</v>
      </c>
      <c r="U1577" s="50" t="s">
        <v>1850</v>
      </c>
      <c r="V1577" s="50">
        <v>17083129713</v>
      </c>
      <c r="W1577" s="50">
        <v>17083128244</v>
      </c>
      <c r="X1577" s="50" t="s">
        <v>383</v>
      </c>
      <c r="Y1577" s="50"/>
    </row>
    <row r="1578" spans="1:25" x14ac:dyDescent="0.25">
      <c r="A1578" s="25" t="s">
        <v>115</v>
      </c>
      <c r="B1578" t="b">
        <v>0</v>
      </c>
      <c r="C1578" s="43" t="s">
        <v>1851</v>
      </c>
      <c r="D1578" s="43">
        <v>322884</v>
      </c>
      <c r="E1578" s="43">
        <v>302787</v>
      </c>
      <c r="F1578" s="43" t="s">
        <v>123</v>
      </c>
      <c r="G1578" s="43" t="b">
        <v>0</v>
      </c>
      <c r="H1578" s="43" t="b">
        <v>0</v>
      </c>
      <c r="I1578" s="43"/>
      <c r="M1578" s="48" t="s">
        <v>1851</v>
      </c>
      <c r="N1578" s="48">
        <v>17088571681</v>
      </c>
      <c r="O1578" s="48">
        <v>17088564823</v>
      </c>
      <c r="P1578" s="48" t="s">
        <v>123</v>
      </c>
      <c r="Q1578" s="49" t="s">
        <v>1851</v>
      </c>
      <c r="R1578" s="49">
        <v>17083126514</v>
      </c>
      <c r="S1578" s="49">
        <v>17083121700</v>
      </c>
      <c r="T1578" s="49" t="s">
        <v>123</v>
      </c>
      <c r="U1578" s="50" t="s">
        <v>1851</v>
      </c>
      <c r="V1578" s="50">
        <v>17083126514</v>
      </c>
      <c r="W1578" s="50">
        <v>17083121700</v>
      </c>
      <c r="X1578" s="50" t="s">
        <v>123</v>
      </c>
      <c r="Y1578" s="50"/>
    </row>
    <row r="1579" spans="1:25" x14ac:dyDescent="0.25">
      <c r="A1579" s="25" t="s">
        <v>115</v>
      </c>
      <c r="B1579" t="b">
        <v>0</v>
      </c>
      <c r="C1579" s="43" t="s">
        <v>1852</v>
      </c>
      <c r="D1579" s="43">
        <v>320324</v>
      </c>
      <c r="E1579" s="43">
        <v>300419</v>
      </c>
      <c r="F1579" s="43" t="s">
        <v>125</v>
      </c>
      <c r="G1579" s="43" t="b">
        <v>1</v>
      </c>
      <c r="H1579" s="43" t="b">
        <v>0</v>
      </c>
      <c r="I1579" s="43" t="s">
        <v>126</v>
      </c>
      <c r="M1579" s="48" t="s">
        <v>1852</v>
      </c>
      <c r="N1579" s="48">
        <v>17088569441</v>
      </c>
      <c r="O1579" s="48">
        <v>17088563927</v>
      </c>
      <c r="P1579" s="48" t="s">
        <v>125</v>
      </c>
      <c r="Q1579" s="49" t="s">
        <v>1852</v>
      </c>
      <c r="R1579" s="49">
        <v>17083127946</v>
      </c>
      <c r="S1579" s="49">
        <v>17083123492</v>
      </c>
      <c r="T1579" s="49" t="s">
        <v>125</v>
      </c>
      <c r="U1579" s="50" t="s">
        <v>1852</v>
      </c>
      <c r="V1579" s="50">
        <v>17083127946</v>
      </c>
      <c r="W1579" s="50">
        <v>17083123492</v>
      </c>
      <c r="X1579" s="50" t="s">
        <v>125</v>
      </c>
      <c r="Y1579" s="50">
        <v>120478</v>
      </c>
    </row>
    <row r="1580" spans="1:25" x14ac:dyDescent="0.25">
      <c r="A1580" s="25" t="s">
        <v>115</v>
      </c>
      <c r="B1580" t="b">
        <v>0</v>
      </c>
      <c r="C1580" s="43" t="s">
        <v>1853</v>
      </c>
      <c r="D1580" s="43">
        <v>322372</v>
      </c>
      <c r="E1580" s="43">
        <v>300035</v>
      </c>
      <c r="F1580" s="43" t="s">
        <v>117</v>
      </c>
      <c r="G1580" s="43" t="b">
        <v>1</v>
      </c>
      <c r="H1580" s="43" t="b">
        <v>0</v>
      </c>
      <c r="I1580" s="43" t="s">
        <v>134</v>
      </c>
      <c r="M1580" s="48" t="s">
        <v>1853</v>
      </c>
      <c r="N1580" s="48">
        <v>17088573345</v>
      </c>
      <c r="O1580" s="48">
        <v>17088561463</v>
      </c>
      <c r="P1580" s="48" t="s">
        <v>117</v>
      </c>
      <c r="Q1580" s="49" t="s">
        <v>1853</v>
      </c>
      <c r="R1580" s="49">
        <v>17083125898</v>
      </c>
      <c r="S1580" s="49">
        <v>17083123812</v>
      </c>
      <c r="T1580" s="49" t="s">
        <v>117</v>
      </c>
      <c r="U1580" s="50" t="s">
        <v>1853</v>
      </c>
      <c r="V1580" s="50">
        <v>17083125898</v>
      </c>
      <c r="W1580" s="50">
        <v>17083123812</v>
      </c>
      <c r="X1580" s="50" t="s">
        <v>117</v>
      </c>
      <c r="Y1580" s="50">
        <v>150045</v>
      </c>
    </row>
    <row r="1581" spans="1:25" x14ac:dyDescent="0.25">
      <c r="A1581" s="25" t="s">
        <v>115</v>
      </c>
      <c r="B1581" t="b">
        <v>0</v>
      </c>
      <c r="C1581" s="43" t="s">
        <v>1854</v>
      </c>
      <c r="D1581" s="43">
        <v>321348</v>
      </c>
      <c r="E1581" s="43">
        <v>303101</v>
      </c>
      <c r="F1581" s="43" t="s">
        <v>125</v>
      </c>
      <c r="G1581" s="43" t="b">
        <v>0</v>
      </c>
      <c r="H1581" s="43" t="b">
        <v>0</v>
      </c>
      <c r="I1581" s="43" t="s">
        <v>126</v>
      </c>
      <c r="M1581" s="48" t="s">
        <v>1854</v>
      </c>
      <c r="N1581" s="48">
        <v>17088571297</v>
      </c>
      <c r="O1581" s="48">
        <v>17088563767</v>
      </c>
      <c r="P1581" s="48" t="s">
        <v>125</v>
      </c>
      <c r="Q1581" s="49" t="s">
        <v>1854</v>
      </c>
      <c r="R1581" s="49">
        <v>17083129610</v>
      </c>
      <c r="S1581" s="49">
        <v>17083123620</v>
      </c>
      <c r="T1581" s="49" t="s">
        <v>125</v>
      </c>
      <c r="U1581" s="50" t="s">
        <v>1854</v>
      </c>
      <c r="V1581" s="50">
        <v>17083129610</v>
      </c>
      <c r="W1581" s="50">
        <v>17083123620</v>
      </c>
      <c r="X1581" s="50" t="s">
        <v>125</v>
      </c>
      <c r="Y1581" s="50"/>
    </row>
    <row r="1582" spans="1:25" x14ac:dyDescent="0.25">
      <c r="A1582" s="25" t="s">
        <v>115</v>
      </c>
      <c r="B1582" t="b">
        <v>0</v>
      </c>
      <c r="C1582" s="43" t="s">
        <v>1855</v>
      </c>
      <c r="D1582" s="43">
        <v>323396</v>
      </c>
      <c r="E1582" s="43">
        <v>300587</v>
      </c>
      <c r="F1582" s="43" t="s">
        <v>119</v>
      </c>
      <c r="G1582" s="43" t="b">
        <v>0</v>
      </c>
      <c r="H1582" s="43" t="b">
        <v>0</v>
      </c>
      <c r="I1582" s="43"/>
      <c r="M1582" s="48" t="s">
        <v>1855</v>
      </c>
      <c r="N1582" s="48">
        <v>17088572358</v>
      </c>
      <c r="O1582" s="48">
        <v>17088569904</v>
      </c>
      <c r="P1582" s="48" t="s">
        <v>119</v>
      </c>
      <c r="Q1582" s="49" t="s">
        <v>1855</v>
      </c>
      <c r="R1582" s="49">
        <v>17083128841</v>
      </c>
      <c r="S1582" s="49">
        <v>17083128692</v>
      </c>
      <c r="T1582" s="49" t="s">
        <v>119</v>
      </c>
      <c r="U1582" s="50" t="s">
        <v>1855</v>
      </c>
      <c r="V1582" s="50">
        <v>17083128841</v>
      </c>
      <c r="W1582" s="50">
        <v>17083128692</v>
      </c>
      <c r="X1582" s="50" t="s">
        <v>119</v>
      </c>
      <c r="Y1582" s="50"/>
    </row>
    <row r="1583" spans="1:25" x14ac:dyDescent="0.25">
      <c r="A1583" s="25" t="s">
        <v>115</v>
      </c>
      <c r="B1583" t="b">
        <v>0</v>
      </c>
      <c r="C1583" s="43" t="s">
        <v>1856</v>
      </c>
      <c r="D1583" s="43">
        <v>319684</v>
      </c>
      <c r="E1583" s="43">
        <v>301939</v>
      </c>
      <c r="F1583" s="43" t="s">
        <v>123</v>
      </c>
      <c r="G1583" s="43" t="b">
        <v>0</v>
      </c>
      <c r="H1583" s="43" t="b">
        <v>0</v>
      </c>
      <c r="I1583" s="43"/>
      <c r="M1583" s="48" t="s">
        <v>1856</v>
      </c>
      <c r="N1583" s="48">
        <v>17088571942</v>
      </c>
      <c r="O1583" s="48">
        <v>17088570248</v>
      </c>
      <c r="P1583" s="48" t="s">
        <v>123</v>
      </c>
      <c r="Q1583" s="49" t="s">
        <v>1856</v>
      </c>
      <c r="R1583" s="49">
        <v>17083128073</v>
      </c>
      <c r="S1583" s="49">
        <v>17083128364</v>
      </c>
      <c r="T1583" s="49" t="s">
        <v>123</v>
      </c>
      <c r="U1583" s="50" t="s">
        <v>1856</v>
      </c>
      <c r="V1583" s="50">
        <v>17083128073</v>
      </c>
      <c r="W1583" s="50">
        <v>17083128364</v>
      </c>
      <c r="X1583" s="50" t="s">
        <v>123</v>
      </c>
      <c r="Y1583" s="50"/>
    </row>
    <row r="1584" spans="1:25" x14ac:dyDescent="0.25">
      <c r="A1584" s="25" t="s">
        <v>115</v>
      </c>
      <c r="B1584" t="b">
        <v>0</v>
      </c>
      <c r="C1584" s="43" t="s">
        <v>1857</v>
      </c>
      <c r="D1584" s="43">
        <v>321732</v>
      </c>
      <c r="E1584" s="43">
        <v>302027</v>
      </c>
      <c r="F1584" s="43" t="s">
        <v>132</v>
      </c>
      <c r="G1584" s="43" t="b">
        <v>0</v>
      </c>
      <c r="H1584" s="43" t="b">
        <v>0</v>
      </c>
      <c r="I1584" s="43"/>
      <c r="M1584" s="48" t="s">
        <v>1857</v>
      </c>
      <c r="N1584" s="48">
        <v>17088570310</v>
      </c>
      <c r="O1584" s="48">
        <v>17088569864</v>
      </c>
      <c r="P1584" s="48" t="s">
        <v>132</v>
      </c>
      <c r="Q1584" s="49" t="s">
        <v>1857</v>
      </c>
      <c r="R1584" s="49">
        <v>17083126793</v>
      </c>
      <c r="S1584" s="49">
        <v>17083128652</v>
      </c>
      <c r="T1584" s="49" t="s">
        <v>132</v>
      </c>
      <c r="U1584" s="50" t="s">
        <v>1857</v>
      </c>
      <c r="V1584" s="50">
        <v>17083126793</v>
      </c>
      <c r="W1584" s="50">
        <v>17083128652</v>
      </c>
      <c r="X1584" s="50" t="s">
        <v>132</v>
      </c>
      <c r="Y1584" s="50"/>
    </row>
    <row r="1585" spans="1:25" x14ac:dyDescent="0.25">
      <c r="A1585" s="25" t="s">
        <v>115</v>
      </c>
      <c r="B1585" t="b">
        <v>0</v>
      </c>
      <c r="C1585" s="43" t="s">
        <v>1858</v>
      </c>
      <c r="D1585" s="43">
        <v>320708</v>
      </c>
      <c r="E1585" s="43">
        <v>300627</v>
      </c>
      <c r="F1585" s="43" t="s">
        <v>132</v>
      </c>
      <c r="G1585" s="43" t="b">
        <v>0</v>
      </c>
      <c r="H1585" s="43" t="b">
        <v>0</v>
      </c>
      <c r="I1585" s="43"/>
      <c r="M1585" s="48" t="s">
        <v>1858</v>
      </c>
      <c r="N1585" s="48">
        <v>17088571310</v>
      </c>
      <c r="O1585" s="48">
        <v>17088560210</v>
      </c>
      <c r="P1585" s="48" t="s">
        <v>132</v>
      </c>
      <c r="Q1585" s="49" t="s">
        <v>1858</v>
      </c>
      <c r="R1585" s="49">
        <v>17083127301</v>
      </c>
      <c r="S1585" s="49">
        <v>17083118655</v>
      </c>
      <c r="T1585" s="49" t="s">
        <v>132</v>
      </c>
      <c r="U1585" s="50" t="s">
        <v>1858</v>
      </c>
      <c r="V1585" s="50">
        <v>17083127301</v>
      </c>
      <c r="W1585" s="50">
        <v>17083118655</v>
      </c>
      <c r="X1585" s="50" t="s">
        <v>132</v>
      </c>
      <c r="Y1585" s="50"/>
    </row>
    <row r="1586" spans="1:25" x14ac:dyDescent="0.25">
      <c r="A1586" s="25" t="s">
        <v>115</v>
      </c>
      <c r="B1586" t="b">
        <v>0</v>
      </c>
      <c r="C1586" s="43" t="s">
        <v>1859</v>
      </c>
      <c r="D1586" s="43">
        <v>328805</v>
      </c>
      <c r="E1586" s="43">
        <v>291488</v>
      </c>
      <c r="F1586" s="43" t="s">
        <v>132</v>
      </c>
      <c r="G1586" s="43" t="b">
        <v>0</v>
      </c>
      <c r="H1586" s="43" t="b">
        <v>0</v>
      </c>
      <c r="I1586" s="43"/>
      <c r="M1586" s="48" t="s">
        <v>1859</v>
      </c>
      <c r="N1586" s="48">
        <v>17088570644</v>
      </c>
      <c r="O1586" s="48">
        <v>17088566840</v>
      </c>
      <c r="P1586" s="48" t="s">
        <v>132</v>
      </c>
      <c r="Q1586" s="49" t="s">
        <v>1859</v>
      </c>
      <c r="R1586" s="49">
        <v>17083128682</v>
      </c>
      <c r="S1586" s="49">
        <v>17083123914</v>
      </c>
      <c r="T1586" s="49" t="s">
        <v>132</v>
      </c>
      <c r="U1586" s="50" t="s">
        <v>1859</v>
      </c>
      <c r="V1586" s="50">
        <v>17083128682</v>
      </c>
      <c r="W1586" s="50">
        <v>17083123914</v>
      </c>
      <c r="X1586" s="50" t="s">
        <v>132</v>
      </c>
      <c r="Y1586" s="50"/>
    </row>
    <row r="1587" spans="1:25" x14ac:dyDescent="0.25">
      <c r="A1587" s="25" t="s">
        <v>115</v>
      </c>
      <c r="B1587" t="b">
        <v>0</v>
      </c>
      <c r="C1587" s="43" t="s">
        <v>1860</v>
      </c>
      <c r="D1587" s="43">
        <v>328293</v>
      </c>
      <c r="E1587" s="43">
        <v>288703</v>
      </c>
      <c r="F1587" s="43" t="s">
        <v>125</v>
      </c>
      <c r="G1587" s="43" t="b">
        <v>0</v>
      </c>
      <c r="H1587" s="43" t="b">
        <v>0</v>
      </c>
      <c r="I1587" s="43"/>
      <c r="M1587" s="48" t="s">
        <v>1860</v>
      </c>
      <c r="N1587" s="48">
        <v>17088572188</v>
      </c>
      <c r="O1587" s="48">
        <v>17088567746</v>
      </c>
      <c r="P1587" s="48" t="s">
        <v>125</v>
      </c>
      <c r="Q1587" s="49" t="s">
        <v>1860</v>
      </c>
      <c r="R1587" s="49">
        <v>17083127750</v>
      </c>
      <c r="S1587" s="49">
        <v>17083124590</v>
      </c>
      <c r="T1587" s="49" t="s">
        <v>125</v>
      </c>
      <c r="U1587" s="50" t="s">
        <v>1860</v>
      </c>
      <c r="V1587" s="50">
        <v>17083127750</v>
      </c>
      <c r="W1587" s="50">
        <v>17083124590</v>
      </c>
      <c r="X1587" s="50" t="s">
        <v>125</v>
      </c>
      <c r="Y1587" s="50"/>
    </row>
    <row r="1588" spans="1:25" x14ac:dyDescent="0.25">
      <c r="A1588" s="25" t="s">
        <v>115</v>
      </c>
      <c r="B1588" t="b">
        <v>0</v>
      </c>
      <c r="C1588" s="43" t="s">
        <v>1861</v>
      </c>
      <c r="D1588" s="43">
        <v>330085</v>
      </c>
      <c r="E1588" s="43">
        <v>292072</v>
      </c>
      <c r="F1588" s="43" t="s">
        <v>117</v>
      </c>
      <c r="G1588" s="43" t="b">
        <v>0</v>
      </c>
      <c r="H1588" s="43" t="b">
        <v>0</v>
      </c>
      <c r="I1588" s="43"/>
      <c r="M1588" s="48" t="s">
        <v>1861</v>
      </c>
      <c r="N1588" s="48">
        <v>17088571358</v>
      </c>
      <c r="O1588" s="48">
        <v>17088564175</v>
      </c>
      <c r="P1588" s="48" t="s">
        <v>117</v>
      </c>
      <c r="Q1588" s="49" t="s">
        <v>1861</v>
      </c>
      <c r="R1588" s="49">
        <v>17083126610</v>
      </c>
      <c r="S1588" s="49">
        <v>17083124916</v>
      </c>
      <c r="T1588" s="49" t="s">
        <v>117</v>
      </c>
      <c r="U1588" s="50" t="s">
        <v>1861</v>
      </c>
      <c r="V1588" s="50">
        <v>17083126610</v>
      </c>
      <c r="W1588" s="50">
        <v>17083124916</v>
      </c>
      <c r="X1588" s="50" t="s">
        <v>117</v>
      </c>
      <c r="Y1588" s="50"/>
    </row>
    <row r="1589" spans="1:25" x14ac:dyDescent="0.25">
      <c r="A1589" s="25" t="s">
        <v>115</v>
      </c>
      <c r="B1589" t="b">
        <v>0</v>
      </c>
      <c r="C1589" s="43" t="s">
        <v>1862</v>
      </c>
      <c r="D1589" s="43">
        <v>329061</v>
      </c>
      <c r="E1589" s="43">
        <v>294552</v>
      </c>
      <c r="F1589" s="43" t="s">
        <v>119</v>
      </c>
      <c r="G1589" s="43" t="b">
        <v>0</v>
      </c>
      <c r="H1589" s="43" t="b">
        <v>0</v>
      </c>
      <c r="I1589" s="43"/>
      <c r="M1589" s="48" t="s">
        <v>1862</v>
      </c>
      <c r="N1589" s="48">
        <v>17088571710</v>
      </c>
      <c r="O1589" s="48">
        <v>17088562511</v>
      </c>
      <c r="P1589" s="48" t="s">
        <v>119</v>
      </c>
      <c r="Q1589" s="49" t="s">
        <v>1862</v>
      </c>
      <c r="R1589" s="49">
        <v>17083128786</v>
      </c>
      <c r="S1589" s="49">
        <v>17083121716</v>
      </c>
      <c r="T1589" s="49" t="s">
        <v>119</v>
      </c>
      <c r="U1589" s="50" t="s">
        <v>1862</v>
      </c>
      <c r="V1589" s="50">
        <v>17083128786</v>
      </c>
      <c r="W1589" s="50">
        <v>17083121716</v>
      </c>
      <c r="X1589" s="50" t="s">
        <v>119</v>
      </c>
      <c r="Y1589" s="50"/>
    </row>
    <row r="1590" spans="1:25" x14ac:dyDescent="0.25">
      <c r="A1590" s="25" t="s">
        <v>115</v>
      </c>
      <c r="B1590" t="b">
        <v>0</v>
      </c>
      <c r="C1590" s="43" t="s">
        <v>1863</v>
      </c>
      <c r="D1590" s="43">
        <v>331109</v>
      </c>
      <c r="E1590" s="43">
        <v>293424</v>
      </c>
      <c r="F1590" s="43" t="s">
        <v>186</v>
      </c>
      <c r="G1590" s="43" t="b">
        <v>0</v>
      </c>
      <c r="H1590" s="43" t="b">
        <v>0</v>
      </c>
      <c r="I1590" s="43"/>
      <c r="M1590" s="48" t="s">
        <v>1863</v>
      </c>
      <c r="N1590" s="48">
        <v>17088569868</v>
      </c>
      <c r="O1590" s="48">
        <v>17088569092</v>
      </c>
      <c r="P1590" s="48" t="s">
        <v>186</v>
      </c>
      <c r="Q1590" s="49" t="s">
        <v>1863</v>
      </c>
      <c r="R1590" s="49">
        <v>17083128442</v>
      </c>
      <c r="S1590" s="49">
        <v>17083124970</v>
      </c>
      <c r="T1590" s="49" t="s">
        <v>186</v>
      </c>
      <c r="U1590" s="50" t="s">
        <v>1863</v>
      </c>
      <c r="V1590" s="50">
        <v>17083128442</v>
      </c>
      <c r="W1590" s="50">
        <v>17083124970</v>
      </c>
      <c r="X1590" s="50" t="s">
        <v>186</v>
      </c>
      <c r="Y1590" s="50"/>
    </row>
    <row r="1591" spans="1:25" x14ac:dyDescent="0.25">
      <c r="A1591" s="25" t="s">
        <v>115</v>
      </c>
      <c r="B1591" t="b">
        <v>0</v>
      </c>
      <c r="C1591" s="43" t="s">
        <v>1864</v>
      </c>
      <c r="D1591" s="43">
        <v>328549</v>
      </c>
      <c r="E1591" s="43">
        <v>293088</v>
      </c>
      <c r="F1591" s="43" t="s">
        <v>119</v>
      </c>
      <c r="G1591" s="43" t="b">
        <v>0</v>
      </c>
      <c r="H1591" s="43" t="b">
        <v>0</v>
      </c>
      <c r="I1591" s="43"/>
      <c r="M1591" s="48" t="s">
        <v>1864</v>
      </c>
      <c r="N1591" s="48">
        <v>17088572732</v>
      </c>
      <c r="O1591" s="48">
        <v>17088569226</v>
      </c>
      <c r="P1591" s="48" t="s">
        <v>119</v>
      </c>
      <c r="Q1591" s="49" t="s">
        <v>1864</v>
      </c>
      <c r="R1591" s="49">
        <v>17083126502</v>
      </c>
      <c r="S1591" s="49">
        <v>17083124257</v>
      </c>
      <c r="T1591" s="49" t="s">
        <v>119</v>
      </c>
      <c r="U1591" s="50" t="s">
        <v>1864</v>
      </c>
      <c r="V1591" s="50">
        <v>17083126502</v>
      </c>
      <c r="W1591" s="50">
        <v>17083124257</v>
      </c>
      <c r="X1591" s="50" t="s">
        <v>119</v>
      </c>
      <c r="Y1591" s="50"/>
    </row>
    <row r="1592" spans="1:25" x14ac:dyDescent="0.25">
      <c r="A1592" s="25" t="s">
        <v>248</v>
      </c>
      <c r="B1592" t="b">
        <v>0</v>
      </c>
      <c r="C1592" s="43" t="s">
        <v>1865</v>
      </c>
      <c r="D1592" s="43">
        <v>330597</v>
      </c>
      <c r="E1592" s="43">
        <v>294176</v>
      </c>
      <c r="F1592" s="43" t="s">
        <v>173</v>
      </c>
      <c r="G1592" s="43" t="b">
        <v>0</v>
      </c>
      <c r="H1592" s="43" t="b">
        <v>0</v>
      </c>
      <c r="I1592" s="43"/>
      <c r="J1592" s="45" t="s">
        <v>1865</v>
      </c>
      <c r="K1592" s="46">
        <v>294176</v>
      </c>
      <c r="L1592" s="47">
        <v>990000409</v>
      </c>
      <c r="M1592" s="48" t="s">
        <v>1865</v>
      </c>
      <c r="N1592" s="48">
        <v>17088573148</v>
      </c>
      <c r="O1592" s="48">
        <v>17088567498</v>
      </c>
      <c r="P1592" s="48" t="s">
        <v>173</v>
      </c>
      <c r="Q1592" s="49" t="s">
        <v>1865</v>
      </c>
      <c r="R1592" s="49">
        <v>17083127142</v>
      </c>
      <c r="S1592" s="49">
        <v>17083125409</v>
      </c>
      <c r="T1592" s="49" t="s">
        <v>173</v>
      </c>
      <c r="U1592" s="50" t="s">
        <v>1865</v>
      </c>
      <c r="V1592" s="50">
        <v>17083127142</v>
      </c>
      <c r="W1592" s="50">
        <v>17083125409</v>
      </c>
      <c r="X1592" s="50" t="s">
        <v>173</v>
      </c>
      <c r="Y1592" s="50"/>
    </row>
    <row r="1593" spans="1:25" x14ac:dyDescent="0.25">
      <c r="A1593" s="25" t="s">
        <v>115</v>
      </c>
      <c r="B1593" t="b">
        <v>0</v>
      </c>
      <c r="C1593" s="43" t="s">
        <v>1866</v>
      </c>
      <c r="D1593" s="43">
        <v>329573</v>
      </c>
      <c r="E1593" s="43">
        <v>291984</v>
      </c>
      <c r="F1593" s="43" t="s">
        <v>186</v>
      </c>
      <c r="G1593" s="43" t="b">
        <v>0</v>
      </c>
      <c r="H1593" s="43" t="b">
        <v>0</v>
      </c>
      <c r="I1593" s="43"/>
      <c r="M1593" s="48" t="s">
        <v>1866</v>
      </c>
      <c r="N1593" s="48">
        <v>17088571612</v>
      </c>
      <c r="O1593" s="48">
        <v>17088565874</v>
      </c>
      <c r="P1593" s="48" t="s">
        <v>186</v>
      </c>
      <c r="Q1593" s="49" t="s">
        <v>1866</v>
      </c>
      <c r="R1593" s="49">
        <v>17083128934</v>
      </c>
      <c r="S1593" s="49">
        <v>17083122945</v>
      </c>
      <c r="T1593" s="49" t="s">
        <v>186</v>
      </c>
      <c r="U1593" s="50" t="s">
        <v>1866</v>
      </c>
      <c r="V1593" s="50">
        <v>17083128934</v>
      </c>
      <c r="W1593" s="50">
        <v>17083122945</v>
      </c>
      <c r="X1593" s="50" t="s">
        <v>186</v>
      </c>
      <c r="Y1593" s="50"/>
    </row>
    <row r="1594" spans="1:25" x14ac:dyDescent="0.25">
      <c r="A1594" s="25" t="s">
        <v>115</v>
      </c>
      <c r="B1594" t="b">
        <v>0</v>
      </c>
      <c r="C1594" s="43" t="s">
        <v>1867</v>
      </c>
      <c r="D1594" s="43">
        <v>331621</v>
      </c>
      <c r="E1594" s="43">
        <v>292160</v>
      </c>
      <c r="F1594" s="43" t="s">
        <v>119</v>
      </c>
      <c r="G1594" s="43" t="b">
        <v>0</v>
      </c>
      <c r="H1594" s="43" t="b">
        <v>0</v>
      </c>
      <c r="I1594" s="43"/>
      <c r="M1594" s="48" t="s">
        <v>1867</v>
      </c>
      <c r="N1594" s="48">
        <v>17088572348</v>
      </c>
      <c r="O1594" s="48">
        <v>17088567594</v>
      </c>
      <c r="P1594" s="48" t="s">
        <v>119</v>
      </c>
      <c r="Q1594" s="49" t="s">
        <v>1867</v>
      </c>
      <c r="R1594" s="49">
        <v>17083126806</v>
      </c>
      <c r="S1594" s="49">
        <v>17083125601</v>
      </c>
      <c r="T1594" s="49" t="s">
        <v>119</v>
      </c>
      <c r="U1594" s="50" t="s">
        <v>1867</v>
      </c>
      <c r="V1594" s="50">
        <v>17083126806</v>
      </c>
      <c r="W1594" s="50">
        <v>17083125601</v>
      </c>
      <c r="X1594" s="50" t="s">
        <v>119</v>
      </c>
      <c r="Y1594" s="50"/>
    </row>
    <row r="1595" spans="1:25" x14ac:dyDescent="0.25">
      <c r="A1595" s="25" t="s">
        <v>115</v>
      </c>
      <c r="B1595" t="b">
        <v>0</v>
      </c>
      <c r="C1595" s="43" t="s">
        <v>1868</v>
      </c>
      <c r="D1595" s="43">
        <v>328933</v>
      </c>
      <c r="E1595" s="43">
        <v>300296</v>
      </c>
      <c r="F1595" s="43" t="s">
        <v>383</v>
      </c>
      <c r="G1595" s="43" t="b">
        <v>0</v>
      </c>
      <c r="H1595" s="43" t="b">
        <v>0</v>
      </c>
      <c r="I1595" s="43"/>
      <c r="M1595" s="48" t="s">
        <v>1868</v>
      </c>
      <c r="N1595" s="48">
        <v>17088572606</v>
      </c>
      <c r="O1595" s="48">
        <v>17088562063</v>
      </c>
      <c r="P1595" s="48" t="s">
        <v>383</v>
      </c>
      <c r="Q1595" s="49" t="s">
        <v>1868</v>
      </c>
      <c r="R1595" s="49">
        <v>17083128242</v>
      </c>
      <c r="S1595" s="49">
        <v>17083122900</v>
      </c>
      <c r="T1595" s="49" t="s">
        <v>383</v>
      </c>
      <c r="U1595" s="50" t="s">
        <v>1868</v>
      </c>
      <c r="V1595" s="50">
        <v>17083128242</v>
      </c>
      <c r="W1595" s="50">
        <v>17083122900</v>
      </c>
      <c r="X1595" s="50" t="s">
        <v>383</v>
      </c>
      <c r="Y1595" s="50"/>
    </row>
    <row r="1596" spans="1:25" x14ac:dyDescent="0.25">
      <c r="A1596" s="25" t="s">
        <v>115</v>
      </c>
      <c r="B1596" t="b">
        <v>0</v>
      </c>
      <c r="C1596" s="43" t="s">
        <v>1869</v>
      </c>
      <c r="D1596" s="43">
        <v>330981</v>
      </c>
      <c r="E1596" s="43">
        <v>292520</v>
      </c>
      <c r="F1596" s="43" t="s">
        <v>117</v>
      </c>
      <c r="G1596" s="43" t="b">
        <v>0</v>
      </c>
      <c r="H1596" s="43" t="b">
        <v>0</v>
      </c>
      <c r="I1596" s="43"/>
      <c r="M1596" s="48" t="s">
        <v>1869</v>
      </c>
      <c r="N1596" s="48">
        <v>17088572094</v>
      </c>
      <c r="O1596" s="48">
        <v>17088563631</v>
      </c>
      <c r="P1596" s="48" t="s">
        <v>117</v>
      </c>
      <c r="Q1596" s="49" t="s">
        <v>1869</v>
      </c>
      <c r="R1596" s="49">
        <v>17083125874</v>
      </c>
      <c r="S1596" s="49">
        <v>17083125620</v>
      </c>
      <c r="T1596" s="49" t="s">
        <v>117</v>
      </c>
      <c r="U1596" s="50" t="s">
        <v>1869</v>
      </c>
      <c r="V1596" s="50">
        <v>17083125874</v>
      </c>
      <c r="W1596" s="50">
        <v>17083125620</v>
      </c>
      <c r="X1596" s="50" t="s">
        <v>117</v>
      </c>
      <c r="Y1596" s="50"/>
    </row>
    <row r="1597" spans="1:25" x14ac:dyDescent="0.25">
      <c r="A1597" s="25" t="s">
        <v>115</v>
      </c>
      <c r="B1597" t="b">
        <v>0</v>
      </c>
      <c r="C1597" s="43" t="s">
        <v>1870</v>
      </c>
      <c r="D1597" s="43">
        <v>328421</v>
      </c>
      <c r="E1597" s="43">
        <v>290832</v>
      </c>
      <c r="F1597" s="43" t="s">
        <v>119</v>
      </c>
      <c r="G1597" s="43" t="b">
        <v>0</v>
      </c>
      <c r="H1597" s="43" t="b">
        <v>0</v>
      </c>
      <c r="I1597" s="43"/>
      <c r="M1597" s="48" t="s">
        <v>1870</v>
      </c>
      <c r="N1597" s="48">
        <v>17088570044</v>
      </c>
      <c r="O1597" s="48">
        <v>17088569202</v>
      </c>
      <c r="P1597" s="48" t="s">
        <v>119</v>
      </c>
      <c r="Q1597" s="49" t="s">
        <v>1870</v>
      </c>
      <c r="R1597" s="49">
        <v>17083128294</v>
      </c>
      <c r="S1597" s="49">
        <v>17083124353</v>
      </c>
      <c r="T1597" s="49" t="s">
        <v>119</v>
      </c>
      <c r="U1597" s="50" t="s">
        <v>1870</v>
      </c>
      <c r="V1597" s="50">
        <v>17083128294</v>
      </c>
      <c r="W1597" s="50">
        <v>17083124353</v>
      </c>
      <c r="X1597" s="50" t="s">
        <v>119</v>
      </c>
      <c r="Y1597" s="50"/>
    </row>
    <row r="1598" spans="1:25" x14ac:dyDescent="0.25">
      <c r="A1598" s="25" t="s">
        <v>115</v>
      </c>
      <c r="B1598" t="b">
        <v>0</v>
      </c>
      <c r="C1598" s="43" t="s">
        <v>1871</v>
      </c>
      <c r="D1598" s="43">
        <v>330469</v>
      </c>
      <c r="E1598" s="43">
        <v>294272</v>
      </c>
      <c r="F1598" s="43" t="s">
        <v>119</v>
      </c>
      <c r="G1598" s="43" t="b">
        <v>0</v>
      </c>
      <c r="H1598" s="43" t="b">
        <v>0</v>
      </c>
      <c r="I1598" s="43"/>
      <c r="M1598" s="48" t="s">
        <v>1871</v>
      </c>
      <c r="N1598" s="48">
        <v>17088572604</v>
      </c>
      <c r="O1598" s="48">
        <v>17088566442</v>
      </c>
      <c r="P1598" s="48" t="s">
        <v>119</v>
      </c>
      <c r="Q1598" s="49" t="s">
        <v>1871</v>
      </c>
      <c r="R1598" s="49">
        <v>17083126246</v>
      </c>
      <c r="S1598" s="49">
        <v>17083122145</v>
      </c>
      <c r="T1598" s="49" t="s">
        <v>119</v>
      </c>
      <c r="U1598" s="50" t="s">
        <v>1871</v>
      </c>
      <c r="V1598" s="50">
        <v>17083126246</v>
      </c>
      <c r="W1598" s="50">
        <v>17083122145</v>
      </c>
      <c r="X1598" s="50" t="s">
        <v>119</v>
      </c>
      <c r="Y1598" s="50"/>
    </row>
    <row r="1599" spans="1:25" x14ac:dyDescent="0.25">
      <c r="A1599" s="25" t="s">
        <v>115</v>
      </c>
      <c r="B1599" t="b">
        <v>0</v>
      </c>
      <c r="C1599" s="43" t="s">
        <v>1872</v>
      </c>
      <c r="D1599" s="43">
        <v>331493</v>
      </c>
      <c r="E1599" s="43">
        <v>301192</v>
      </c>
      <c r="F1599" s="43" t="s">
        <v>383</v>
      </c>
      <c r="G1599" s="43" t="b">
        <v>0</v>
      </c>
      <c r="H1599" s="43" t="b">
        <v>0</v>
      </c>
      <c r="I1599" s="43"/>
      <c r="M1599" s="48" t="s">
        <v>1872</v>
      </c>
      <c r="N1599" s="48">
        <v>17088570046</v>
      </c>
      <c r="O1599" s="48">
        <v>17088563855</v>
      </c>
      <c r="P1599" s="48" t="s">
        <v>383</v>
      </c>
      <c r="Q1599" s="49" t="s">
        <v>1872</v>
      </c>
      <c r="R1599" s="49">
        <v>17083129778</v>
      </c>
      <c r="S1599" s="49">
        <v>17083125076</v>
      </c>
      <c r="T1599" s="49" t="s">
        <v>383</v>
      </c>
      <c r="U1599" s="50" t="s">
        <v>1872</v>
      </c>
      <c r="V1599" s="50">
        <v>17083129778</v>
      </c>
      <c r="W1599" s="50">
        <v>17083125076</v>
      </c>
      <c r="X1599" s="50" t="s">
        <v>383</v>
      </c>
      <c r="Y1599" s="50"/>
    </row>
    <row r="1600" spans="1:25" x14ac:dyDescent="0.25">
      <c r="A1600" s="25" t="s">
        <v>115</v>
      </c>
      <c r="B1600" t="b">
        <v>0</v>
      </c>
      <c r="C1600" s="43" t="s">
        <v>1873</v>
      </c>
      <c r="D1600" s="43">
        <v>328165</v>
      </c>
      <c r="E1600" s="43">
        <v>292296</v>
      </c>
      <c r="F1600" s="43" t="s">
        <v>117</v>
      </c>
      <c r="G1600" s="43" t="b">
        <v>0</v>
      </c>
      <c r="H1600" s="43" t="b">
        <v>0</v>
      </c>
      <c r="I1600" s="43"/>
      <c r="M1600" s="48" t="s">
        <v>1873</v>
      </c>
      <c r="N1600" s="48">
        <v>17088569662</v>
      </c>
      <c r="O1600" s="48">
        <v>17088563951</v>
      </c>
      <c r="P1600" s="48" t="s">
        <v>117</v>
      </c>
      <c r="Q1600" s="49" t="s">
        <v>1873</v>
      </c>
      <c r="R1600" s="49">
        <v>17083126738</v>
      </c>
      <c r="S1600" s="49">
        <v>17083125004</v>
      </c>
      <c r="T1600" s="49" t="s">
        <v>117</v>
      </c>
      <c r="U1600" s="50" t="s">
        <v>1873</v>
      </c>
      <c r="V1600" s="50">
        <v>17083126738</v>
      </c>
      <c r="W1600" s="50">
        <v>17083125004</v>
      </c>
      <c r="X1600" s="50" t="s">
        <v>117</v>
      </c>
      <c r="Y1600" s="50"/>
    </row>
    <row r="1601" spans="1:25" x14ac:dyDescent="0.25">
      <c r="A1601" s="25" t="s">
        <v>115</v>
      </c>
      <c r="B1601" t="b">
        <v>0</v>
      </c>
      <c r="C1601" s="43" t="s">
        <v>1874</v>
      </c>
      <c r="D1601" s="43">
        <v>330213</v>
      </c>
      <c r="E1601" s="43">
        <v>293800</v>
      </c>
      <c r="F1601" s="43" t="s">
        <v>117</v>
      </c>
      <c r="G1601" s="43" t="b">
        <v>0</v>
      </c>
      <c r="H1601" s="43" t="b">
        <v>0</v>
      </c>
      <c r="I1601" s="43"/>
      <c r="M1601" s="48" t="s">
        <v>1874</v>
      </c>
      <c r="N1601" s="48">
        <v>17088573246</v>
      </c>
      <c r="O1601" s="48">
        <v>17088562351</v>
      </c>
      <c r="P1601" s="48" t="s">
        <v>117</v>
      </c>
      <c r="Q1601" s="49" t="s">
        <v>1874</v>
      </c>
      <c r="R1601" s="49">
        <v>17083126066</v>
      </c>
      <c r="S1601" s="49">
        <v>17083122036</v>
      </c>
      <c r="T1601" s="49" t="s">
        <v>117</v>
      </c>
      <c r="U1601" s="50" t="s">
        <v>1874</v>
      </c>
      <c r="V1601" s="50">
        <v>17083126066</v>
      </c>
      <c r="W1601" s="50">
        <v>17083122036</v>
      </c>
      <c r="X1601" s="50" t="s">
        <v>117</v>
      </c>
      <c r="Y1601" s="50"/>
    </row>
    <row r="1602" spans="1:25" x14ac:dyDescent="0.25">
      <c r="A1602" s="25" t="s">
        <v>115</v>
      </c>
      <c r="B1602" t="b">
        <v>0</v>
      </c>
      <c r="C1602" s="43" t="s">
        <v>1875</v>
      </c>
      <c r="D1602" s="43">
        <v>329189</v>
      </c>
      <c r="E1602" s="43">
        <v>293392</v>
      </c>
      <c r="F1602" s="43" t="s">
        <v>119</v>
      </c>
      <c r="G1602" s="43" t="b">
        <v>0</v>
      </c>
      <c r="H1602" s="43" t="b">
        <v>0</v>
      </c>
      <c r="I1602" s="43"/>
      <c r="M1602" s="48" t="s">
        <v>1875</v>
      </c>
      <c r="N1602" s="48">
        <v>17088570332</v>
      </c>
      <c r="O1602" s="48">
        <v>17088566642</v>
      </c>
      <c r="P1602" s="48" t="s">
        <v>119</v>
      </c>
      <c r="Q1602" s="49" t="s">
        <v>1875</v>
      </c>
      <c r="R1602" s="49">
        <v>17083126630</v>
      </c>
      <c r="S1602" s="49">
        <v>17083121793</v>
      </c>
      <c r="T1602" s="49" t="s">
        <v>119</v>
      </c>
      <c r="U1602" s="50" t="s">
        <v>1875</v>
      </c>
      <c r="V1602" s="50">
        <v>17083126630</v>
      </c>
      <c r="W1602" s="50">
        <v>17083121793</v>
      </c>
      <c r="X1602" s="50" t="s">
        <v>119</v>
      </c>
      <c r="Y1602" s="50"/>
    </row>
    <row r="1603" spans="1:25" x14ac:dyDescent="0.25">
      <c r="A1603" s="25" t="s">
        <v>115</v>
      </c>
      <c r="B1603" t="b">
        <v>0</v>
      </c>
      <c r="C1603" s="43" t="s">
        <v>1876</v>
      </c>
      <c r="D1603" s="43">
        <v>331237</v>
      </c>
      <c r="E1603" s="43">
        <v>293648</v>
      </c>
      <c r="F1603" s="43" t="s">
        <v>125</v>
      </c>
      <c r="G1603" s="43" t="b">
        <v>0</v>
      </c>
      <c r="H1603" s="43" t="b">
        <v>0</v>
      </c>
      <c r="I1603" s="43" t="s">
        <v>126</v>
      </c>
      <c r="M1603" s="48" t="s">
        <v>1876</v>
      </c>
      <c r="N1603" s="48">
        <v>17088570556</v>
      </c>
      <c r="O1603" s="48">
        <v>17088568946</v>
      </c>
      <c r="P1603" s="48" t="s">
        <v>125</v>
      </c>
      <c r="Q1603" s="49" t="s">
        <v>1876</v>
      </c>
      <c r="R1603" s="49">
        <v>17083129574</v>
      </c>
      <c r="S1603" s="49">
        <v>17083124481</v>
      </c>
      <c r="T1603" s="49" t="s">
        <v>125</v>
      </c>
      <c r="U1603" s="50" t="s">
        <v>1876</v>
      </c>
      <c r="V1603" s="50">
        <v>17083129574</v>
      </c>
      <c r="W1603" s="50">
        <v>17083124481</v>
      </c>
      <c r="X1603" s="50" t="s">
        <v>125</v>
      </c>
      <c r="Y1603" s="50"/>
    </row>
    <row r="1604" spans="1:25" x14ac:dyDescent="0.25">
      <c r="A1604" s="25" t="s">
        <v>115</v>
      </c>
      <c r="B1604" t="b">
        <v>0</v>
      </c>
      <c r="C1604" s="43" t="s">
        <v>1877</v>
      </c>
      <c r="D1604" s="43">
        <v>328677</v>
      </c>
      <c r="E1604" s="43">
        <v>294368</v>
      </c>
      <c r="F1604" s="43" t="s">
        <v>119</v>
      </c>
      <c r="G1604" s="43" t="b">
        <v>0</v>
      </c>
      <c r="H1604" s="43" t="b">
        <v>0</v>
      </c>
      <c r="I1604" s="43"/>
      <c r="M1604" s="48" t="s">
        <v>1877</v>
      </c>
      <c r="N1604" s="48">
        <v>17088569564</v>
      </c>
      <c r="O1604" s="48">
        <v>17088566002</v>
      </c>
      <c r="P1604" s="48" t="s">
        <v>119</v>
      </c>
      <c r="Q1604" s="49" t="s">
        <v>1877</v>
      </c>
      <c r="R1604" s="49">
        <v>17083126886</v>
      </c>
      <c r="S1604" s="49">
        <v>17083123073</v>
      </c>
      <c r="T1604" s="49" t="s">
        <v>119</v>
      </c>
      <c r="U1604" s="50" t="s">
        <v>1877</v>
      </c>
      <c r="V1604" s="50">
        <v>17083126886</v>
      </c>
      <c r="W1604" s="50">
        <v>17083123073</v>
      </c>
      <c r="X1604" s="50" t="s">
        <v>119</v>
      </c>
      <c r="Y1604" s="50"/>
    </row>
    <row r="1605" spans="1:25" x14ac:dyDescent="0.25">
      <c r="A1605" s="25" t="s">
        <v>115</v>
      </c>
      <c r="B1605" t="b">
        <v>0</v>
      </c>
      <c r="C1605" s="43" t="s">
        <v>1878</v>
      </c>
      <c r="D1605" s="43">
        <v>327701</v>
      </c>
      <c r="E1605" s="43">
        <v>291432</v>
      </c>
      <c r="F1605" s="43" t="s">
        <v>117</v>
      </c>
      <c r="G1605" s="43" t="b">
        <v>0</v>
      </c>
      <c r="H1605" s="43" t="b">
        <v>0</v>
      </c>
      <c r="I1605" s="43"/>
      <c r="M1605" s="48" t="s">
        <v>1878</v>
      </c>
      <c r="N1605" s="48">
        <v>17088570558</v>
      </c>
      <c r="O1605" s="48">
        <v>17088564527</v>
      </c>
      <c r="P1605" s="48" t="s">
        <v>117</v>
      </c>
      <c r="Q1605" s="49" t="s">
        <v>1878</v>
      </c>
      <c r="R1605" s="49">
        <v>17083126194</v>
      </c>
      <c r="S1605" s="49">
        <v>17083123828</v>
      </c>
      <c r="T1605" s="49" t="s">
        <v>117</v>
      </c>
      <c r="U1605" s="50" t="s">
        <v>1878</v>
      </c>
      <c r="V1605" s="50">
        <v>17083126194</v>
      </c>
      <c r="W1605" s="50">
        <v>17083123828</v>
      </c>
      <c r="X1605" s="50" t="s">
        <v>117</v>
      </c>
      <c r="Y1605" s="50"/>
    </row>
    <row r="1606" spans="1:25" x14ac:dyDescent="0.25">
      <c r="A1606" s="25" t="s">
        <v>115</v>
      </c>
      <c r="B1606" t="b">
        <v>0</v>
      </c>
      <c r="C1606" s="43" t="s">
        <v>1879</v>
      </c>
      <c r="D1606" s="43">
        <v>329749</v>
      </c>
      <c r="E1606" s="43">
        <v>294248</v>
      </c>
      <c r="F1606" s="43" t="s">
        <v>117</v>
      </c>
      <c r="G1606" s="43" t="b">
        <v>0</v>
      </c>
      <c r="H1606" s="43" t="b">
        <v>0</v>
      </c>
      <c r="I1606" s="43"/>
      <c r="M1606" s="48" t="s">
        <v>1879</v>
      </c>
      <c r="N1606" s="48">
        <v>17088571198</v>
      </c>
      <c r="O1606" s="48">
        <v>17088561711</v>
      </c>
      <c r="P1606" s="48" t="s">
        <v>117</v>
      </c>
      <c r="Q1606" s="49" t="s">
        <v>1879</v>
      </c>
      <c r="R1606" s="49">
        <v>17083129394</v>
      </c>
      <c r="S1606" s="49">
        <v>17083123124</v>
      </c>
      <c r="T1606" s="49" t="s">
        <v>117</v>
      </c>
      <c r="U1606" s="50" t="s">
        <v>1879</v>
      </c>
      <c r="V1606" s="50">
        <v>17083129394</v>
      </c>
      <c r="W1606" s="50">
        <v>17083123124</v>
      </c>
      <c r="X1606" s="50" t="s">
        <v>117</v>
      </c>
      <c r="Y1606" s="50"/>
    </row>
    <row r="1607" spans="1:25" x14ac:dyDescent="0.25">
      <c r="A1607" s="25" t="s">
        <v>115</v>
      </c>
      <c r="B1607" t="b">
        <v>0</v>
      </c>
      <c r="C1607" s="43" t="s">
        <v>1880</v>
      </c>
      <c r="D1607" s="43">
        <v>328725</v>
      </c>
      <c r="E1607" s="43">
        <v>294016</v>
      </c>
      <c r="F1607" s="43" t="s">
        <v>119</v>
      </c>
      <c r="G1607" s="43" t="b">
        <v>0</v>
      </c>
      <c r="H1607" s="43" t="b">
        <v>0</v>
      </c>
      <c r="I1607" s="43"/>
      <c r="M1607" s="48" t="s">
        <v>1880</v>
      </c>
      <c r="N1607" s="48">
        <v>17088570300</v>
      </c>
      <c r="O1607" s="48">
        <v>17088566698</v>
      </c>
      <c r="P1607" s="48" t="s">
        <v>119</v>
      </c>
      <c r="Q1607" s="49" t="s">
        <v>1880</v>
      </c>
      <c r="R1607" s="49">
        <v>17083127830</v>
      </c>
      <c r="S1607" s="49">
        <v>17083121681</v>
      </c>
      <c r="T1607" s="49" t="s">
        <v>119</v>
      </c>
      <c r="U1607" s="50" t="s">
        <v>1880</v>
      </c>
      <c r="V1607" s="50">
        <v>17083127830</v>
      </c>
      <c r="W1607" s="50">
        <v>17083121681</v>
      </c>
      <c r="X1607" s="50" t="s">
        <v>119</v>
      </c>
      <c r="Y1607" s="50"/>
    </row>
    <row r="1608" spans="1:25" x14ac:dyDescent="0.25">
      <c r="A1608" s="25" t="b">
        <v>1</v>
      </c>
      <c r="B1608" t="b">
        <v>0</v>
      </c>
      <c r="C1608" s="43" t="s">
        <v>1881</v>
      </c>
      <c r="D1608" s="43">
        <v>330773</v>
      </c>
      <c r="E1608" s="43">
        <v>291104</v>
      </c>
      <c r="F1608" s="43" t="s">
        <v>173</v>
      </c>
      <c r="G1608" s="43" t="b">
        <v>0</v>
      </c>
      <c r="H1608" s="43" t="b">
        <v>0</v>
      </c>
      <c r="I1608" s="43"/>
      <c r="J1608" s="45" t="s">
        <v>1881</v>
      </c>
      <c r="K1608" s="46">
        <v>291104</v>
      </c>
      <c r="M1608" s="48" t="s">
        <v>1881</v>
      </c>
      <c r="N1608" s="48">
        <v>17088570684</v>
      </c>
      <c r="O1608" s="48">
        <v>17088565962</v>
      </c>
      <c r="P1608" s="48" t="s">
        <v>173</v>
      </c>
      <c r="Q1608" s="49" t="s">
        <v>1881</v>
      </c>
      <c r="R1608" s="49">
        <v>17083129062</v>
      </c>
      <c r="S1608" s="49">
        <v>17083123105</v>
      </c>
      <c r="T1608" s="49" t="s">
        <v>173</v>
      </c>
      <c r="U1608" s="50" t="s">
        <v>1881</v>
      </c>
      <c r="V1608" s="50">
        <v>17083129062</v>
      </c>
      <c r="W1608" s="50">
        <v>17083123105</v>
      </c>
      <c r="X1608" s="50" t="s">
        <v>173</v>
      </c>
      <c r="Y1608" s="50"/>
    </row>
    <row r="1609" spans="1:25" x14ac:dyDescent="0.25">
      <c r="A1609" s="25" t="s">
        <v>115</v>
      </c>
      <c r="B1609" t="b">
        <v>0</v>
      </c>
      <c r="C1609" s="43" t="s">
        <v>1882</v>
      </c>
      <c r="D1609" s="43">
        <v>328213</v>
      </c>
      <c r="E1609" s="43">
        <v>294080</v>
      </c>
      <c r="F1609" s="43" t="s">
        <v>119</v>
      </c>
      <c r="G1609" s="43" t="b">
        <v>0</v>
      </c>
      <c r="H1609" s="43" t="b">
        <v>0</v>
      </c>
      <c r="I1609" s="43"/>
      <c r="M1609" s="48" t="s">
        <v>1882</v>
      </c>
      <c r="N1609" s="48">
        <v>17088569788</v>
      </c>
      <c r="O1609" s="48">
        <v>17088565290</v>
      </c>
      <c r="P1609" s="48" t="s">
        <v>119</v>
      </c>
      <c r="Q1609" s="49" t="s">
        <v>1882</v>
      </c>
      <c r="R1609" s="49">
        <v>17083126758</v>
      </c>
      <c r="S1609" s="49">
        <v>17083123297</v>
      </c>
      <c r="T1609" s="49" t="s">
        <v>119</v>
      </c>
      <c r="U1609" s="50" t="s">
        <v>1882</v>
      </c>
      <c r="V1609" s="50">
        <v>17083126758</v>
      </c>
      <c r="W1609" s="50">
        <v>17083123297</v>
      </c>
      <c r="X1609" s="50" t="s">
        <v>119</v>
      </c>
      <c r="Y1609" s="50"/>
    </row>
    <row r="1610" spans="1:25" x14ac:dyDescent="0.25">
      <c r="A1610" s="25" t="s">
        <v>115</v>
      </c>
      <c r="B1610" t="b">
        <v>0</v>
      </c>
      <c r="C1610" s="43" t="s">
        <v>1883</v>
      </c>
      <c r="D1610" s="43">
        <v>329237</v>
      </c>
      <c r="E1610" s="43">
        <v>293192</v>
      </c>
      <c r="F1610" s="43" t="s">
        <v>125</v>
      </c>
      <c r="G1610" s="43" t="b">
        <v>0</v>
      </c>
      <c r="H1610" s="43" t="b">
        <v>0</v>
      </c>
      <c r="I1610" s="43"/>
      <c r="M1610" s="48" t="s">
        <v>1883</v>
      </c>
      <c r="N1610" s="48">
        <v>17088569972</v>
      </c>
      <c r="O1610" s="48">
        <v>17088567672</v>
      </c>
      <c r="P1610" s="48" t="s">
        <v>125</v>
      </c>
      <c r="Q1610" s="49" t="s">
        <v>1883</v>
      </c>
      <c r="R1610" s="49">
        <v>17083129562</v>
      </c>
      <c r="S1610" s="49">
        <v>17083124522</v>
      </c>
      <c r="T1610" s="49" t="s">
        <v>125</v>
      </c>
      <c r="U1610" s="50" t="s">
        <v>1883</v>
      </c>
      <c r="V1610" s="50">
        <v>17083129562</v>
      </c>
      <c r="W1610" s="50">
        <v>17083124522</v>
      </c>
      <c r="X1610" s="50" t="s">
        <v>125</v>
      </c>
      <c r="Y1610" s="50"/>
    </row>
    <row r="1611" spans="1:25" x14ac:dyDescent="0.25">
      <c r="A1611" s="25" t="s">
        <v>115</v>
      </c>
      <c r="B1611" t="b">
        <v>0</v>
      </c>
      <c r="C1611" s="43" t="s">
        <v>1884</v>
      </c>
      <c r="D1611" s="43">
        <v>28637630864</v>
      </c>
      <c r="E1611" s="43">
        <v>28637630992</v>
      </c>
      <c r="F1611" s="43" t="s">
        <v>125</v>
      </c>
      <c r="G1611" s="43" t="b">
        <v>0</v>
      </c>
      <c r="H1611" s="43" t="b">
        <v>0</v>
      </c>
      <c r="I1611" s="43"/>
      <c r="M1611" s="48" t="s">
        <v>1884</v>
      </c>
      <c r="N1611" s="48">
        <v>17088595469</v>
      </c>
      <c r="O1611" s="48">
        <v>17088594933</v>
      </c>
      <c r="P1611" s="48" t="s">
        <v>125</v>
      </c>
      <c r="Q1611" s="49"/>
      <c r="R1611" s="49"/>
      <c r="S1611" s="49"/>
      <c r="T1611" s="49"/>
      <c r="U1611" s="50"/>
      <c r="V1611" s="50"/>
      <c r="W1611" s="50"/>
      <c r="X1611" s="50"/>
      <c r="Y1611" s="50"/>
    </row>
    <row r="1612" spans="1:25" x14ac:dyDescent="0.25">
      <c r="A1612" s="25" t="s">
        <v>115</v>
      </c>
      <c r="B1612" t="b">
        <v>0</v>
      </c>
      <c r="C1612" s="43" t="s">
        <v>1885</v>
      </c>
      <c r="D1612" s="43">
        <v>28637632912</v>
      </c>
      <c r="E1612" s="43">
        <v>28637632784</v>
      </c>
      <c r="F1612" s="43" t="s">
        <v>123</v>
      </c>
      <c r="G1612" s="43" t="b">
        <v>0</v>
      </c>
      <c r="H1612" s="43" t="b">
        <v>0</v>
      </c>
      <c r="I1612" s="43"/>
      <c r="M1612" s="48" t="s">
        <v>1885</v>
      </c>
      <c r="N1612" s="48">
        <v>17088597517</v>
      </c>
      <c r="O1612" s="48">
        <v>17088595981</v>
      </c>
      <c r="P1612" s="48" t="s">
        <v>123</v>
      </c>
      <c r="Q1612" s="49"/>
      <c r="R1612" s="49"/>
      <c r="S1612" s="49"/>
      <c r="T1612" s="49"/>
      <c r="U1612" s="50"/>
      <c r="V1612" s="50"/>
      <c r="W1612" s="50"/>
      <c r="X1612" s="50"/>
      <c r="Y1612" s="50"/>
    </row>
    <row r="1613" spans="1:25" x14ac:dyDescent="0.25">
      <c r="A1613" s="25" t="s">
        <v>115</v>
      </c>
      <c r="B1613" t="b">
        <v>0</v>
      </c>
      <c r="C1613" s="43" t="s">
        <v>1886</v>
      </c>
      <c r="D1613" s="43">
        <v>28637631888</v>
      </c>
      <c r="E1613" s="43">
        <v>28637633680</v>
      </c>
      <c r="F1613" s="43" t="s">
        <v>123</v>
      </c>
      <c r="G1613" s="43" t="b">
        <v>0</v>
      </c>
      <c r="H1613" s="43" t="b">
        <v>0</v>
      </c>
      <c r="I1613" s="43"/>
      <c r="M1613" s="48" t="s">
        <v>1886</v>
      </c>
      <c r="N1613" s="48">
        <v>17088594423</v>
      </c>
      <c r="O1613" s="48">
        <v>17088588881</v>
      </c>
      <c r="P1613" s="48" t="s">
        <v>123</v>
      </c>
      <c r="Q1613" s="49"/>
      <c r="R1613" s="49"/>
      <c r="S1613" s="49"/>
      <c r="T1613" s="49"/>
      <c r="U1613" s="50"/>
      <c r="V1613" s="50"/>
      <c r="W1613" s="50"/>
      <c r="X1613" s="50"/>
      <c r="Y1613" s="50"/>
    </row>
    <row r="1614" spans="1:25" x14ac:dyDescent="0.25">
      <c r="A1614" s="25" t="s">
        <v>115</v>
      </c>
      <c r="B1614" t="b">
        <v>0</v>
      </c>
      <c r="C1614" s="43" t="s">
        <v>1887</v>
      </c>
      <c r="D1614" s="43">
        <v>28637633936</v>
      </c>
      <c r="E1614" s="43">
        <v>28637632272</v>
      </c>
      <c r="F1614" s="43" t="s">
        <v>125</v>
      </c>
      <c r="G1614" s="43" t="b">
        <v>0</v>
      </c>
      <c r="H1614" s="43" t="b">
        <v>0</v>
      </c>
      <c r="I1614" s="43"/>
      <c r="M1614" s="48" t="s">
        <v>1887</v>
      </c>
      <c r="N1614" s="48">
        <v>17088596471</v>
      </c>
      <c r="O1614" s="48">
        <v>17088587665</v>
      </c>
      <c r="P1614" s="48" t="s">
        <v>125</v>
      </c>
      <c r="Q1614" s="49"/>
      <c r="R1614" s="49"/>
      <c r="S1614" s="49"/>
      <c r="T1614" s="49"/>
      <c r="U1614" s="50"/>
      <c r="V1614" s="50"/>
      <c r="W1614" s="50"/>
      <c r="X1614" s="50"/>
      <c r="Y1614" s="50"/>
    </row>
    <row r="1615" spans="1:25" x14ac:dyDescent="0.25">
      <c r="A1615" s="25" t="s">
        <v>115</v>
      </c>
      <c r="B1615" t="b">
        <v>0</v>
      </c>
      <c r="C1615" s="43" t="s">
        <v>1888</v>
      </c>
      <c r="D1615" s="43">
        <v>30315521962</v>
      </c>
      <c r="E1615" s="43">
        <v>30315520938</v>
      </c>
      <c r="F1615" s="43" t="s">
        <v>1124</v>
      </c>
      <c r="G1615" s="43" t="b">
        <v>0</v>
      </c>
      <c r="H1615" s="43" t="b">
        <v>0</v>
      </c>
      <c r="I1615" s="43"/>
      <c r="M1615" s="48" t="s">
        <v>1888</v>
      </c>
      <c r="N1615" s="48">
        <v>17102149607</v>
      </c>
      <c r="O1615" s="48">
        <v>17102151143</v>
      </c>
      <c r="P1615" s="48" t="s">
        <v>1124</v>
      </c>
      <c r="Q1615" s="49" t="s">
        <v>1888</v>
      </c>
      <c r="R1615" s="49">
        <v>17083663082</v>
      </c>
      <c r="S1615" s="49">
        <v>17083663594</v>
      </c>
      <c r="T1615" s="49" t="s">
        <v>1124</v>
      </c>
      <c r="U1615" s="50" t="s">
        <v>1888</v>
      </c>
      <c r="V1615" s="50">
        <v>17083663082</v>
      </c>
      <c r="W1615" s="50">
        <v>17083663594</v>
      </c>
      <c r="X1615" s="50" t="s">
        <v>1124</v>
      </c>
      <c r="Y1615" s="50"/>
    </row>
    <row r="1616" spans="1:25" x14ac:dyDescent="0.25">
      <c r="A1616" s="25" t="s">
        <v>115</v>
      </c>
      <c r="B1616" t="b">
        <v>0</v>
      </c>
      <c r="C1616" s="43" t="s">
        <v>1889</v>
      </c>
      <c r="D1616" s="43">
        <v>30315524010</v>
      </c>
      <c r="E1616" s="43">
        <v>30315523498</v>
      </c>
      <c r="F1616" s="43" t="s">
        <v>1122</v>
      </c>
      <c r="G1616" s="43" t="b">
        <v>0</v>
      </c>
      <c r="H1616" s="43" t="b">
        <v>0</v>
      </c>
      <c r="I1616" s="43"/>
      <c r="M1616" s="48" t="s">
        <v>1889</v>
      </c>
      <c r="N1616" s="48">
        <v>17102147607</v>
      </c>
      <c r="O1616" s="48">
        <v>17102150631</v>
      </c>
      <c r="P1616" s="48" t="s">
        <v>1122</v>
      </c>
      <c r="Q1616" s="49" t="s">
        <v>1889</v>
      </c>
      <c r="R1616" s="49">
        <v>17083665130</v>
      </c>
      <c r="S1616" s="49">
        <v>17083664618</v>
      </c>
      <c r="T1616" s="49" t="s">
        <v>1122</v>
      </c>
      <c r="U1616" s="50" t="s">
        <v>1889</v>
      </c>
      <c r="V1616" s="50">
        <v>17083665130</v>
      </c>
      <c r="W1616" s="50">
        <v>17083664618</v>
      </c>
      <c r="X1616" s="50" t="s">
        <v>1122</v>
      </c>
      <c r="Y1616" s="50"/>
    </row>
    <row r="1617" spans="1:25" x14ac:dyDescent="0.25">
      <c r="A1617" s="25" t="s">
        <v>115</v>
      </c>
      <c r="B1617" t="b">
        <v>0</v>
      </c>
      <c r="C1617" s="43" t="s">
        <v>1890</v>
      </c>
      <c r="D1617" s="43">
        <v>30315520106</v>
      </c>
      <c r="E1617" s="43">
        <v>30315522986</v>
      </c>
      <c r="F1617" s="43" t="s">
        <v>1891</v>
      </c>
      <c r="G1617" s="43" t="b">
        <v>0</v>
      </c>
      <c r="H1617" s="43" t="b">
        <v>0</v>
      </c>
      <c r="I1617" s="43"/>
      <c r="M1617" s="48" t="s">
        <v>1890</v>
      </c>
      <c r="N1617" s="48">
        <v>17102151655</v>
      </c>
      <c r="O1617" s="48">
        <v>17102148583</v>
      </c>
      <c r="P1617" s="48" t="s">
        <v>1891</v>
      </c>
      <c r="Q1617" s="49" t="s">
        <v>1890</v>
      </c>
      <c r="R1617" s="49">
        <v>17083664106</v>
      </c>
      <c r="S1617" s="49">
        <v>17083665642</v>
      </c>
      <c r="T1617" s="49" t="s">
        <v>1891</v>
      </c>
      <c r="U1617" s="50" t="s">
        <v>1890</v>
      </c>
      <c r="V1617" s="50">
        <v>17083664106</v>
      </c>
      <c r="W1617" s="50">
        <v>17083665642</v>
      </c>
      <c r="X1617" s="50" t="s">
        <v>1891</v>
      </c>
      <c r="Y1617" s="50"/>
    </row>
    <row r="1618" spans="1:25" x14ac:dyDescent="0.25">
      <c r="A1618" s="25" t="s">
        <v>115</v>
      </c>
      <c r="B1618" t="b">
        <v>0</v>
      </c>
      <c r="C1618" s="43" t="s">
        <v>1892</v>
      </c>
      <c r="D1618" s="43">
        <v>319295</v>
      </c>
      <c r="E1618" s="43">
        <v>302636</v>
      </c>
      <c r="F1618" s="43" t="s">
        <v>132</v>
      </c>
      <c r="G1618" s="43" t="b">
        <v>0</v>
      </c>
      <c r="H1618" s="43" t="b">
        <v>0</v>
      </c>
      <c r="I1618" s="43"/>
      <c r="M1618" s="48" t="s">
        <v>1892</v>
      </c>
      <c r="N1618" s="48">
        <v>17088571580</v>
      </c>
      <c r="O1618" s="48">
        <v>17088565814</v>
      </c>
      <c r="P1618" s="48" t="s">
        <v>132</v>
      </c>
      <c r="Q1618" s="49" t="s">
        <v>1892</v>
      </c>
      <c r="R1618" s="49">
        <v>17083127702</v>
      </c>
      <c r="S1618" s="49">
        <v>17083125305</v>
      </c>
      <c r="T1618" s="49" t="s">
        <v>132</v>
      </c>
      <c r="U1618" s="50" t="s">
        <v>1892</v>
      </c>
      <c r="V1618" s="50">
        <v>17083127702</v>
      </c>
      <c r="W1618" s="50">
        <v>17083125305</v>
      </c>
      <c r="X1618" s="50" t="s">
        <v>132</v>
      </c>
      <c r="Y1618" s="50"/>
    </row>
    <row r="1619" spans="1:25" x14ac:dyDescent="0.25">
      <c r="A1619" s="25" t="s">
        <v>115</v>
      </c>
      <c r="B1619" t="b">
        <v>0</v>
      </c>
      <c r="C1619" s="43" t="s">
        <v>1893</v>
      </c>
      <c r="D1619" s="43">
        <v>315583</v>
      </c>
      <c r="E1619" s="43">
        <v>300332</v>
      </c>
      <c r="F1619" s="43" t="s">
        <v>132</v>
      </c>
      <c r="G1619" s="43" t="b">
        <v>0</v>
      </c>
      <c r="H1619" s="43" t="b">
        <v>0</v>
      </c>
      <c r="I1619" s="43"/>
      <c r="M1619" s="48" t="s">
        <v>1893</v>
      </c>
      <c r="N1619" s="48">
        <v>17088569532</v>
      </c>
      <c r="O1619" s="48">
        <v>17088567350</v>
      </c>
      <c r="P1619" s="48" t="s">
        <v>132</v>
      </c>
      <c r="Q1619" s="49" t="s">
        <v>1893</v>
      </c>
      <c r="R1619" s="49">
        <v>17083128726</v>
      </c>
      <c r="S1619" s="49">
        <v>17083122233</v>
      </c>
      <c r="T1619" s="49" t="s">
        <v>132</v>
      </c>
      <c r="U1619" s="50" t="s">
        <v>1893</v>
      </c>
      <c r="V1619" s="50">
        <v>17083128726</v>
      </c>
      <c r="W1619" s="50">
        <v>17083122233</v>
      </c>
      <c r="X1619" s="50" t="s">
        <v>132</v>
      </c>
      <c r="Y1619" s="50"/>
    </row>
    <row r="1620" spans="1:25" x14ac:dyDescent="0.25">
      <c r="A1620" s="25" t="s">
        <v>115</v>
      </c>
      <c r="B1620" t="b">
        <v>0</v>
      </c>
      <c r="C1620" s="43" t="s">
        <v>1894</v>
      </c>
      <c r="D1620" s="43">
        <v>317631</v>
      </c>
      <c r="E1620" s="43">
        <v>301468</v>
      </c>
      <c r="F1620" s="43" t="s">
        <v>132</v>
      </c>
      <c r="G1620" s="43" t="b">
        <v>0</v>
      </c>
      <c r="H1620" s="43" t="b">
        <v>0</v>
      </c>
      <c r="I1620" s="43"/>
      <c r="J1620" s="45" t="s">
        <v>1894</v>
      </c>
      <c r="K1620" s="46">
        <v>301468</v>
      </c>
      <c r="L1620" s="47">
        <v>990000630</v>
      </c>
      <c r="M1620" s="48" t="s">
        <v>1894</v>
      </c>
      <c r="N1620" s="48">
        <v>17088571892</v>
      </c>
      <c r="O1620" s="48">
        <v>17088565692</v>
      </c>
      <c r="P1620" s="48" t="s">
        <v>132</v>
      </c>
      <c r="Q1620" s="49" t="s">
        <v>1894</v>
      </c>
      <c r="R1620" s="49">
        <v>17083126790</v>
      </c>
      <c r="S1620" s="49">
        <v>17083123342</v>
      </c>
      <c r="T1620" s="49" t="s">
        <v>132</v>
      </c>
      <c r="U1620" s="50" t="s">
        <v>1894</v>
      </c>
      <c r="V1620" s="50">
        <v>17083126790</v>
      </c>
      <c r="W1620" s="50">
        <v>17083123342</v>
      </c>
      <c r="X1620" s="50" t="s">
        <v>132</v>
      </c>
      <c r="Y1620" s="50"/>
    </row>
    <row r="1621" spans="1:25" x14ac:dyDescent="0.25">
      <c r="A1621" s="25" t="s">
        <v>115</v>
      </c>
      <c r="B1621" t="b">
        <v>0</v>
      </c>
      <c r="C1621" s="43" t="s">
        <v>1895</v>
      </c>
      <c r="D1621" s="43">
        <v>318655</v>
      </c>
      <c r="E1621" s="43">
        <v>302028</v>
      </c>
      <c r="F1621" s="43" t="s">
        <v>132</v>
      </c>
      <c r="G1621" s="43" t="b">
        <v>0</v>
      </c>
      <c r="H1621" s="43" t="b">
        <v>0</v>
      </c>
      <c r="I1621" s="43"/>
      <c r="M1621" s="48" t="s">
        <v>1895</v>
      </c>
      <c r="N1621" s="48">
        <v>17088573276</v>
      </c>
      <c r="O1621" s="48">
        <v>17088568886</v>
      </c>
      <c r="P1621" s="48" t="s">
        <v>132</v>
      </c>
      <c r="Q1621" s="49" t="s">
        <v>1895</v>
      </c>
      <c r="R1621" s="49">
        <v>17083128342</v>
      </c>
      <c r="S1621" s="49">
        <v>17083123001</v>
      </c>
      <c r="T1621" s="49" t="s">
        <v>132</v>
      </c>
      <c r="U1621" s="50" t="s">
        <v>1895</v>
      </c>
      <c r="V1621" s="50">
        <v>17083128342</v>
      </c>
      <c r="W1621" s="50">
        <v>17083123001</v>
      </c>
      <c r="X1621" s="50" t="s">
        <v>132</v>
      </c>
      <c r="Y1621" s="50"/>
    </row>
    <row r="1622" spans="1:25" x14ac:dyDescent="0.25">
      <c r="A1622" s="25" t="s">
        <v>115</v>
      </c>
      <c r="B1622" t="b">
        <v>0</v>
      </c>
      <c r="C1622" s="43" t="s">
        <v>1896</v>
      </c>
      <c r="D1622" s="43">
        <v>316095</v>
      </c>
      <c r="E1622" s="43">
        <v>299932</v>
      </c>
      <c r="F1622" s="43" t="s">
        <v>125</v>
      </c>
      <c r="G1622" s="43" t="b">
        <v>1</v>
      </c>
      <c r="H1622" s="43" t="b">
        <v>0</v>
      </c>
      <c r="I1622" s="43" t="s">
        <v>126</v>
      </c>
      <c r="M1622" s="48" t="s">
        <v>1896</v>
      </c>
      <c r="N1622" s="48">
        <v>17088571636</v>
      </c>
      <c r="O1622" s="48">
        <v>17088567996</v>
      </c>
      <c r="P1622" s="48" t="s">
        <v>125</v>
      </c>
      <c r="Q1622" s="49" t="s">
        <v>1896</v>
      </c>
      <c r="R1622" s="49">
        <v>17083129850</v>
      </c>
      <c r="S1622" s="49">
        <v>17083124878</v>
      </c>
      <c r="T1622" s="49" t="s">
        <v>125</v>
      </c>
      <c r="U1622" s="50" t="s">
        <v>1896</v>
      </c>
      <c r="V1622" s="50">
        <v>17083129850</v>
      </c>
      <c r="W1622" s="50">
        <v>17083124878</v>
      </c>
      <c r="X1622" s="50" t="s">
        <v>125</v>
      </c>
      <c r="Y1622" s="50">
        <v>120414</v>
      </c>
    </row>
    <row r="1623" spans="1:25" x14ac:dyDescent="0.25">
      <c r="A1623" s="25" t="s">
        <v>115</v>
      </c>
      <c r="B1623" t="b">
        <v>0</v>
      </c>
      <c r="C1623" s="43" t="s">
        <v>1897</v>
      </c>
      <c r="D1623" s="43">
        <v>318143</v>
      </c>
      <c r="E1623" s="43">
        <v>302652</v>
      </c>
      <c r="F1623" s="43" t="s">
        <v>117</v>
      </c>
      <c r="G1623" s="43" t="b">
        <v>0</v>
      </c>
      <c r="H1623" s="43" t="b">
        <v>0</v>
      </c>
      <c r="I1623" s="43"/>
      <c r="M1623" s="48" t="s">
        <v>1897</v>
      </c>
      <c r="N1623" s="48">
        <v>17088569588</v>
      </c>
      <c r="O1623" s="48">
        <v>17088565820</v>
      </c>
      <c r="P1623" s="48" t="s">
        <v>117</v>
      </c>
      <c r="Q1623" s="49" t="s">
        <v>1897</v>
      </c>
      <c r="R1623" s="49">
        <v>17083127802</v>
      </c>
      <c r="S1623" s="49">
        <v>17083122702</v>
      </c>
      <c r="T1623" s="49" t="s">
        <v>117</v>
      </c>
      <c r="U1623" s="50" t="s">
        <v>1897</v>
      </c>
      <c r="V1623" s="50">
        <v>17083127802</v>
      </c>
      <c r="W1623" s="50">
        <v>17083122702</v>
      </c>
      <c r="X1623" s="50" t="s">
        <v>117</v>
      </c>
      <c r="Y1623" s="50"/>
    </row>
    <row r="1624" spans="1:25" x14ac:dyDescent="0.25">
      <c r="A1624" s="25" t="s">
        <v>115</v>
      </c>
      <c r="B1624" t="b">
        <v>0</v>
      </c>
      <c r="C1624" s="43" t="s">
        <v>1898</v>
      </c>
      <c r="D1624" s="43">
        <v>317119</v>
      </c>
      <c r="E1624" s="43">
        <v>302876</v>
      </c>
      <c r="F1624" s="43" t="s">
        <v>123</v>
      </c>
      <c r="G1624" s="43" t="b">
        <v>0</v>
      </c>
      <c r="H1624" s="43" t="b">
        <v>0</v>
      </c>
      <c r="I1624" s="43"/>
      <c r="M1624" s="48" t="s">
        <v>1898</v>
      </c>
      <c r="N1624" s="48">
        <v>17088571708</v>
      </c>
      <c r="O1624" s="48">
        <v>17088568278</v>
      </c>
      <c r="P1624" s="48" t="s">
        <v>123</v>
      </c>
      <c r="Q1624" s="49" t="s">
        <v>1898</v>
      </c>
      <c r="R1624" s="49">
        <v>17083126678</v>
      </c>
      <c r="S1624" s="49">
        <v>17083121721</v>
      </c>
      <c r="T1624" s="49" t="s">
        <v>123</v>
      </c>
      <c r="U1624" s="50" t="s">
        <v>1898</v>
      </c>
      <c r="V1624" s="50">
        <v>17083126678</v>
      </c>
      <c r="W1624" s="50">
        <v>17083121721</v>
      </c>
      <c r="X1624" s="50" t="s">
        <v>123</v>
      </c>
      <c r="Y1624" s="50"/>
    </row>
    <row r="1625" spans="1:25" x14ac:dyDescent="0.25">
      <c r="A1625" s="25" t="b">
        <v>1</v>
      </c>
      <c r="B1625" t="b">
        <v>0</v>
      </c>
      <c r="C1625" s="43" t="s">
        <v>1899</v>
      </c>
      <c r="D1625" s="43">
        <v>319167</v>
      </c>
      <c r="E1625" s="43">
        <v>301484</v>
      </c>
      <c r="F1625" s="43" t="s">
        <v>173</v>
      </c>
      <c r="G1625" s="43" t="b">
        <v>0</v>
      </c>
      <c r="H1625" s="43" t="b">
        <v>0</v>
      </c>
      <c r="I1625" s="43"/>
      <c r="J1625" s="45" t="s">
        <v>1899</v>
      </c>
      <c r="K1625" s="46">
        <v>301484</v>
      </c>
      <c r="M1625" s="48" t="s">
        <v>1899</v>
      </c>
      <c r="N1625" s="48">
        <v>17088569660</v>
      </c>
      <c r="O1625" s="48">
        <v>17088567254</v>
      </c>
      <c r="P1625" s="48" t="s">
        <v>173</v>
      </c>
      <c r="Q1625" s="49" t="s">
        <v>1899</v>
      </c>
      <c r="R1625" s="49">
        <v>17083129238</v>
      </c>
      <c r="S1625" s="49">
        <v>17083123769</v>
      </c>
      <c r="T1625" s="49" t="s">
        <v>173</v>
      </c>
      <c r="U1625" s="50" t="s">
        <v>1899</v>
      </c>
      <c r="V1625" s="50">
        <v>17083129238</v>
      </c>
      <c r="W1625" s="50">
        <v>17083123769</v>
      </c>
      <c r="X1625" s="50" t="s">
        <v>173</v>
      </c>
      <c r="Y1625" s="50"/>
    </row>
    <row r="1626" spans="1:25" x14ac:dyDescent="0.25">
      <c r="A1626" s="25" t="s">
        <v>115</v>
      </c>
      <c r="B1626" t="b">
        <v>0</v>
      </c>
      <c r="C1626" s="43" t="s">
        <v>1900</v>
      </c>
      <c r="D1626" s="43">
        <v>317887</v>
      </c>
      <c r="E1626" s="43">
        <v>302044</v>
      </c>
      <c r="F1626" s="43" t="s">
        <v>117</v>
      </c>
      <c r="G1626" s="43" t="b">
        <v>0</v>
      </c>
      <c r="H1626" s="43" t="b">
        <v>0</v>
      </c>
      <c r="I1626" s="43"/>
      <c r="M1626" s="48" t="s">
        <v>1900</v>
      </c>
      <c r="N1626" s="48">
        <v>17088569844</v>
      </c>
      <c r="O1626" s="48">
        <v>17088568636</v>
      </c>
      <c r="P1626" s="48" t="s">
        <v>117</v>
      </c>
      <c r="Q1626" s="49" t="s">
        <v>1900</v>
      </c>
      <c r="R1626" s="49">
        <v>17083127814</v>
      </c>
      <c r="S1626" s="49">
        <v>17083123982</v>
      </c>
      <c r="T1626" s="49" t="s">
        <v>117</v>
      </c>
      <c r="U1626" s="50" t="s">
        <v>1900</v>
      </c>
      <c r="V1626" s="50">
        <v>17083127814</v>
      </c>
      <c r="W1626" s="50">
        <v>17083123982</v>
      </c>
      <c r="X1626" s="50" t="s">
        <v>117</v>
      </c>
      <c r="Y1626" s="50"/>
    </row>
    <row r="1627" spans="1:25" x14ac:dyDescent="0.25">
      <c r="A1627" s="25" t="s">
        <v>115</v>
      </c>
      <c r="B1627" t="b">
        <v>0</v>
      </c>
      <c r="C1627" s="43" t="s">
        <v>1901</v>
      </c>
      <c r="D1627" s="43">
        <v>316863</v>
      </c>
      <c r="E1627" s="43">
        <v>300476</v>
      </c>
      <c r="F1627" s="43" t="s">
        <v>132</v>
      </c>
      <c r="G1627" s="43" t="b">
        <v>0</v>
      </c>
      <c r="H1627" s="43" t="b">
        <v>0</v>
      </c>
      <c r="I1627" s="43"/>
      <c r="M1627" s="48" t="s">
        <v>1901</v>
      </c>
      <c r="N1627" s="48">
        <v>17088571404</v>
      </c>
      <c r="O1627" s="48">
        <v>17088566748</v>
      </c>
      <c r="P1627" s="48" t="s">
        <v>132</v>
      </c>
      <c r="Q1627" s="49" t="s">
        <v>1901</v>
      </c>
      <c r="R1627" s="49">
        <v>17083129350</v>
      </c>
      <c r="S1627" s="49">
        <v>17083122166</v>
      </c>
      <c r="T1627" s="49" t="s">
        <v>132</v>
      </c>
      <c r="U1627" s="50" t="s">
        <v>1901</v>
      </c>
      <c r="V1627" s="50">
        <v>17083129350</v>
      </c>
      <c r="W1627" s="50">
        <v>17083122166</v>
      </c>
      <c r="X1627" s="50" t="s">
        <v>132</v>
      </c>
      <c r="Y1627" s="50"/>
    </row>
    <row r="1628" spans="1:25" x14ac:dyDescent="0.25">
      <c r="A1628" s="25" t="s">
        <v>115</v>
      </c>
      <c r="B1628" t="b">
        <v>0</v>
      </c>
      <c r="C1628" s="43" t="s">
        <v>1902</v>
      </c>
      <c r="D1628" s="43">
        <v>318911</v>
      </c>
      <c r="E1628" s="43">
        <v>302604</v>
      </c>
      <c r="F1628" s="43" t="s">
        <v>119</v>
      </c>
      <c r="G1628" s="43" t="b">
        <v>0</v>
      </c>
      <c r="H1628" s="43" t="b">
        <v>0</v>
      </c>
      <c r="I1628" s="43"/>
      <c r="M1628" s="48" t="s">
        <v>1902</v>
      </c>
      <c r="N1628" s="48">
        <v>17088572476</v>
      </c>
      <c r="O1628" s="48">
        <v>17088568118</v>
      </c>
      <c r="P1628" s="48" t="s">
        <v>119</v>
      </c>
      <c r="Q1628" s="49" t="s">
        <v>1902</v>
      </c>
      <c r="R1628" s="49">
        <v>17083128470</v>
      </c>
      <c r="S1628" s="49">
        <v>17083121849</v>
      </c>
      <c r="T1628" s="49" t="s">
        <v>119</v>
      </c>
      <c r="U1628" s="50" t="s">
        <v>1902</v>
      </c>
      <c r="V1628" s="50">
        <v>17083128470</v>
      </c>
      <c r="W1628" s="50">
        <v>17083121849</v>
      </c>
      <c r="X1628" s="50" t="s">
        <v>119</v>
      </c>
      <c r="Y1628" s="50"/>
    </row>
    <row r="1629" spans="1:25" x14ac:dyDescent="0.25">
      <c r="A1629" s="25" t="s">
        <v>115</v>
      </c>
      <c r="B1629" t="b">
        <v>0</v>
      </c>
      <c r="C1629" s="43" t="s">
        <v>1903</v>
      </c>
      <c r="D1629" s="43">
        <v>316351</v>
      </c>
      <c r="E1629" s="43">
        <v>300492</v>
      </c>
      <c r="F1629" s="43" t="s">
        <v>132</v>
      </c>
      <c r="G1629" s="43" t="b">
        <v>0</v>
      </c>
      <c r="H1629" s="43" t="b">
        <v>0</v>
      </c>
      <c r="I1629" s="43"/>
      <c r="M1629" s="48" t="s">
        <v>1903</v>
      </c>
      <c r="N1629" s="48">
        <v>17088570428</v>
      </c>
      <c r="O1629" s="48">
        <v>17088566582</v>
      </c>
      <c r="P1629" s="48" t="s">
        <v>132</v>
      </c>
      <c r="Q1629" s="49" t="s">
        <v>1903</v>
      </c>
      <c r="R1629" s="49">
        <v>17083126422</v>
      </c>
      <c r="S1629" s="49">
        <v>17083124537</v>
      </c>
      <c r="T1629" s="49" t="s">
        <v>132</v>
      </c>
      <c r="U1629" s="50" t="s">
        <v>1903</v>
      </c>
      <c r="V1629" s="50">
        <v>17083126422</v>
      </c>
      <c r="W1629" s="50">
        <v>17083124537</v>
      </c>
      <c r="X1629" s="50" t="s">
        <v>132</v>
      </c>
      <c r="Y1629" s="50"/>
    </row>
    <row r="1630" spans="1:25" x14ac:dyDescent="0.25">
      <c r="A1630" s="25" t="s">
        <v>115</v>
      </c>
      <c r="B1630" t="b">
        <v>0</v>
      </c>
      <c r="C1630" s="43" t="s">
        <v>1904</v>
      </c>
      <c r="D1630" s="43">
        <v>318399</v>
      </c>
      <c r="E1630" s="43">
        <v>299188</v>
      </c>
      <c r="F1630" s="43" t="s">
        <v>125</v>
      </c>
      <c r="G1630" s="43" t="b">
        <v>0</v>
      </c>
      <c r="H1630" s="43" t="b">
        <v>0</v>
      </c>
      <c r="I1630" s="43"/>
      <c r="M1630" s="48" t="s">
        <v>1904</v>
      </c>
      <c r="N1630" s="48">
        <v>17088571986</v>
      </c>
      <c r="O1630" s="48">
        <v>17088569073</v>
      </c>
      <c r="P1630" s="48" t="s">
        <v>125</v>
      </c>
      <c r="Q1630" s="49" t="s">
        <v>1904</v>
      </c>
      <c r="R1630" s="49">
        <v>17083126222</v>
      </c>
      <c r="S1630" s="49">
        <v>17083125485</v>
      </c>
      <c r="T1630" s="49" t="s">
        <v>125</v>
      </c>
      <c r="U1630" s="50" t="s">
        <v>1904</v>
      </c>
      <c r="V1630" s="50">
        <v>17083126222</v>
      </c>
      <c r="W1630" s="50">
        <v>17083125485</v>
      </c>
      <c r="X1630" s="50" t="s">
        <v>125</v>
      </c>
      <c r="Y1630" s="50"/>
    </row>
    <row r="1631" spans="1:25" x14ac:dyDescent="0.25">
      <c r="A1631" s="25" t="s">
        <v>115</v>
      </c>
      <c r="B1631" t="b">
        <v>0</v>
      </c>
      <c r="C1631" s="43" t="s">
        <v>1905</v>
      </c>
      <c r="D1631" s="43">
        <v>319423</v>
      </c>
      <c r="E1631" s="43">
        <v>300290</v>
      </c>
      <c r="F1631" s="43" t="s">
        <v>125</v>
      </c>
      <c r="G1631" s="43" t="b">
        <v>0</v>
      </c>
      <c r="H1631" s="43" t="b">
        <v>0</v>
      </c>
      <c r="I1631" s="43"/>
      <c r="M1631" s="48" t="s">
        <v>1905</v>
      </c>
      <c r="N1631" s="48">
        <v>17088573068</v>
      </c>
      <c r="O1631" s="48">
        <v>17088568594</v>
      </c>
      <c r="P1631" s="48" t="s">
        <v>125</v>
      </c>
      <c r="Q1631" s="49" t="s">
        <v>1905</v>
      </c>
      <c r="R1631" s="49">
        <v>17083129478</v>
      </c>
      <c r="S1631" s="49">
        <v>17083123678</v>
      </c>
      <c r="T1631" s="49" t="s">
        <v>125</v>
      </c>
      <c r="U1631" s="50" t="s">
        <v>1905</v>
      </c>
      <c r="V1631" s="50">
        <v>17083129478</v>
      </c>
      <c r="W1631" s="50">
        <v>17083123678</v>
      </c>
      <c r="X1631" s="50" t="s">
        <v>125</v>
      </c>
      <c r="Y1631" s="50"/>
    </row>
    <row r="1632" spans="1:25" x14ac:dyDescent="0.25">
      <c r="A1632" s="25" t="s">
        <v>115</v>
      </c>
      <c r="B1632" t="b">
        <v>0</v>
      </c>
      <c r="C1632" s="43" t="s">
        <v>1906</v>
      </c>
      <c r="D1632" s="43">
        <v>315519</v>
      </c>
      <c r="E1632" s="43">
        <v>301420</v>
      </c>
      <c r="F1632" s="43" t="s">
        <v>125</v>
      </c>
      <c r="G1632" s="43" t="b">
        <v>0</v>
      </c>
      <c r="H1632" s="43" t="b">
        <v>0</v>
      </c>
      <c r="I1632" s="43" t="s">
        <v>126</v>
      </c>
      <c r="M1632" s="48" t="s">
        <v>1906</v>
      </c>
      <c r="N1632" s="48">
        <v>17088571602</v>
      </c>
      <c r="O1632" s="48">
        <v>17088567465</v>
      </c>
      <c r="P1632" s="48" t="s">
        <v>125</v>
      </c>
      <c r="Q1632" s="49" t="s">
        <v>1906</v>
      </c>
      <c r="R1632" s="49">
        <v>17083127342</v>
      </c>
      <c r="S1632" s="49">
        <v>17083122653</v>
      </c>
      <c r="T1632" s="49" t="s">
        <v>125</v>
      </c>
      <c r="U1632" s="50" t="s">
        <v>1906</v>
      </c>
      <c r="V1632" s="50">
        <v>17083127342</v>
      </c>
      <c r="W1632" s="50">
        <v>17083122653</v>
      </c>
      <c r="X1632" s="50" t="s">
        <v>125</v>
      </c>
      <c r="Y1632" s="50"/>
    </row>
    <row r="1633" spans="1:25" x14ac:dyDescent="0.25">
      <c r="A1633" s="25" t="s">
        <v>115</v>
      </c>
      <c r="B1633" t="b">
        <v>0</v>
      </c>
      <c r="C1633" s="43" t="s">
        <v>1907</v>
      </c>
      <c r="D1633" s="43">
        <v>317567</v>
      </c>
      <c r="E1633" s="43">
        <v>300620</v>
      </c>
      <c r="F1633" s="43" t="s">
        <v>119</v>
      </c>
      <c r="G1633" s="43" t="b">
        <v>0</v>
      </c>
      <c r="H1633" s="43" t="b">
        <v>0</v>
      </c>
      <c r="I1633" s="43"/>
      <c r="M1633" s="48" t="s">
        <v>1907</v>
      </c>
      <c r="N1633" s="48">
        <v>17088572754</v>
      </c>
      <c r="O1633" s="48">
        <v>17088568041</v>
      </c>
      <c r="P1633" s="48" t="s">
        <v>119</v>
      </c>
      <c r="Q1633" s="49" t="s">
        <v>1907</v>
      </c>
      <c r="R1633" s="49">
        <v>17083126734</v>
      </c>
      <c r="S1633" s="49">
        <v>17083121789</v>
      </c>
      <c r="T1633" s="49" t="s">
        <v>119</v>
      </c>
      <c r="U1633" s="50" t="s">
        <v>1907</v>
      </c>
      <c r="V1633" s="50">
        <v>17083126734</v>
      </c>
      <c r="W1633" s="50">
        <v>17083121789</v>
      </c>
      <c r="X1633" s="50" t="s">
        <v>119</v>
      </c>
      <c r="Y1633" s="50"/>
    </row>
    <row r="1634" spans="1:25" x14ac:dyDescent="0.25">
      <c r="A1634" s="25" t="s">
        <v>115</v>
      </c>
      <c r="B1634" t="b">
        <v>0</v>
      </c>
      <c r="C1634" s="43" t="s">
        <v>1908</v>
      </c>
      <c r="D1634" s="43">
        <v>316543</v>
      </c>
      <c r="E1634" s="43">
        <v>302964</v>
      </c>
      <c r="F1634" s="43" t="s">
        <v>125</v>
      </c>
      <c r="G1634" s="43" t="b">
        <v>0</v>
      </c>
      <c r="H1634" s="43" t="b">
        <v>0</v>
      </c>
      <c r="I1634" s="43"/>
      <c r="M1634" s="48" t="s">
        <v>1908</v>
      </c>
      <c r="N1634" s="48">
        <v>17088573266</v>
      </c>
      <c r="O1634" s="48">
        <v>17088566761</v>
      </c>
      <c r="P1634" s="48" t="s">
        <v>125</v>
      </c>
      <c r="Q1634" s="49" t="s">
        <v>1908</v>
      </c>
      <c r="R1634" s="49">
        <v>17083125806</v>
      </c>
      <c r="S1634" s="49">
        <v>17083124349</v>
      </c>
      <c r="T1634" s="49" t="s">
        <v>125</v>
      </c>
      <c r="U1634" s="50" t="s">
        <v>1908</v>
      </c>
      <c r="V1634" s="50">
        <v>17083125806</v>
      </c>
      <c r="W1634" s="50">
        <v>17083124349</v>
      </c>
      <c r="X1634" s="50" t="s">
        <v>125</v>
      </c>
      <c r="Y1634" s="50"/>
    </row>
    <row r="1635" spans="1:25" x14ac:dyDescent="0.25">
      <c r="A1635" s="25" t="s">
        <v>115</v>
      </c>
      <c r="B1635" t="b">
        <v>0</v>
      </c>
      <c r="C1635" s="43" t="s">
        <v>1909</v>
      </c>
      <c r="D1635" s="43">
        <v>318591</v>
      </c>
      <c r="E1635" s="43">
        <v>302572</v>
      </c>
      <c r="F1635" s="43" t="s">
        <v>123</v>
      </c>
      <c r="G1635" s="43" t="b">
        <v>0</v>
      </c>
      <c r="H1635" s="43" t="b">
        <v>0</v>
      </c>
      <c r="I1635" s="43"/>
      <c r="M1635" s="48" t="s">
        <v>1909</v>
      </c>
      <c r="N1635" s="48">
        <v>17088571858</v>
      </c>
      <c r="O1635" s="48">
        <v>17088567849</v>
      </c>
      <c r="P1635" s="48" t="s">
        <v>123</v>
      </c>
      <c r="Q1635" s="49" t="s">
        <v>1909</v>
      </c>
      <c r="R1635" s="49">
        <v>17083129006</v>
      </c>
      <c r="S1635" s="49">
        <v>17083121885</v>
      </c>
      <c r="T1635" s="49" t="s">
        <v>123</v>
      </c>
      <c r="U1635" s="50" t="s">
        <v>1909</v>
      </c>
      <c r="V1635" s="50">
        <v>17083129006</v>
      </c>
      <c r="W1635" s="50">
        <v>17083121885</v>
      </c>
      <c r="X1635" s="50" t="s">
        <v>123</v>
      </c>
      <c r="Y1635" s="50"/>
    </row>
    <row r="1636" spans="1:25" x14ac:dyDescent="0.25">
      <c r="A1636" s="25" t="s">
        <v>115</v>
      </c>
      <c r="B1636" t="b">
        <v>0</v>
      </c>
      <c r="C1636" s="43" t="s">
        <v>1910</v>
      </c>
      <c r="D1636" s="43">
        <v>316031</v>
      </c>
      <c r="E1636" s="43">
        <v>301868</v>
      </c>
      <c r="F1636" s="43" t="s">
        <v>132</v>
      </c>
      <c r="G1636" s="43" t="b">
        <v>0</v>
      </c>
      <c r="H1636" s="43" t="b">
        <v>0</v>
      </c>
      <c r="I1636" s="43"/>
      <c r="M1636" s="48" t="s">
        <v>1910</v>
      </c>
      <c r="N1636" s="48">
        <v>17088570066</v>
      </c>
      <c r="O1636" s="48">
        <v>17088566185</v>
      </c>
      <c r="P1636" s="48" t="s">
        <v>132</v>
      </c>
      <c r="Q1636" s="49" t="s">
        <v>1910</v>
      </c>
      <c r="R1636" s="49">
        <v>17083127086</v>
      </c>
      <c r="S1636" s="49">
        <v>17083125309</v>
      </c>
      <c r="T1636" s="49" t="s">
        <v>132</v>
      </c>
      <c r="U1636" s="50" t="s">
        <v>1910</v>
      </c>
      <c r="V1636" s="50">
        <v>17083127086</v>
      </c>
      <c r="W1636" s="50">
        <v>17083125309</v>
      </c>
      <c r="X1636" s="50" t="s">
        <v>132</v>
      </c>
      <c r="Y1636" s="50"/>
    </row>
    <row r="1637" spans="1:25" x14ac:dyDescent="0.25">
      <c r="A1637" s="25" t="s">
        <v>115</v>
      </c>
      <c r="B1637" t="b">
        <v>0</v>
      </c>
      <c r="C1637" s="43" t="s">
        <v>1911</v>
      </c>
      <c r="D1637" s="43">
        <v>317055</v>
      </c>
      <c r="E1637" s="43">
        <v>300340</v>
      </c>
      <c r="F1637" s="43" t="s">
        <v>123</v>
      </c>
      <c r="G1637" s="43" t="b">
        <v>0</v>
      </c>
      <c r="H1637" s="43" t="b">
        <v>0</v>
      </c>
      <c r="I1637" s="43"/>
      <c r="M1637" s="48" t="s">
        <v>1911</v>
      </c>
      <c r="N1637" s="48">
        <v>17088570282</v>
      </c>
      <c r="O1637" s="48">
        <v>17088567837</v>
      </c>
      <c r="P1637" s="48" t="s">
        <v>123</v>
      </c>
      <c r="Q1637" s="49" t="s">
        <v>1911</v>
      </c>
      <c r="R1637" s="49">
        <v>17083126590</v>
      </c>
      <c r="S1637" s="49">
        <v>17083125211</v>
      </c>
      <c r="T1637" s="49" t="s">
        <v>123</v>
      </c>
      <c r="U1637" s="50" t="s">
        <v>1911</v>
      </c>
      <c r="V1637" s="50">
        <v>17083126590</v>
      </c>
      <c r="W1637" s="50">
        <v>17083125211</v>
      </c>
      <c r="X1637" s="50" t="s">
        <v>123</v>
      </c>
      <c r="Y1637" s="50"/>
    </row>
    <row r="1638" spans="1:25" x14ac:dyDescent="0.25">
      <c r="A1638" s="25" t="s">
        <v>115</v>
      </c>
      <c r="B1638" t="b">
        <v>0</v>
      </c>
      <c r="C1638" s="43" t="s">
        <v>1912</v>
      </c>
      <c r="D1638" s="43">
        <v>319103</v>
      </c>
      <c r="E1638" s="43">
        <v>299516</v>
      </c>
      <c r="F1638" s="43" t="s">
        <v>132</v>
      </c>
      <c r="G1638" s="43" t="b">
        <v>0</v>
      </c>
      <c r="H1638" s="43" t="b">
        <v>0</v>
      </c>
      <c r="I1638" s="43"/>
      <c r="M1638" s="48" t="s">
        <v>1912</v>
      </c>
      <c r="N1638" s="48">
        <v>17088571020</v>
      </c>
      <c r="O1638" s="48">
        <v>17088567058</v>
      </c>
      <c r="P1638" s="48" t="s">
        <v>132</v>
      </c>
      <c r="Q1638" s="49" t="s">
        <v>1912</v>
      </c>
      <c r="R1638" s="49">
        <v>17083127430</v>
      </c>
      <c r="S1638" s="49">
        <v>17083123774</v>
      </c>
      <c r="T1638" s="49" t="s">
        <v>132</v>
      </c>
      <c r="U1638" s="50" t="s">
        <v>1912</v>
      </c>
      <c r="V1638" s="50">
        <v>17083127430</v>
      </c>
      <c r="W1638" s="50">
        <v>17083123774</v>
      </c>
      <c r="X1638" s="50" t="s">
        <v>132</v>
      </c>
      <c r="Y1638" s="50"/>
    </row>
    <row r="1639" spans="1:25" x14ac:dyDescent="0.25">
      <c r="A1639" s="25" t="s">
        <v>115</v>
      </c>
      <c r="B1639" t="b">
        <v>0</v>
      </c>
      <c r="C1639" s="43" t="s">
        <v>1913</v>
      </c>
      <c r="D1639" s="43">
        <v>315775</v>
      </c>
      <c r="E1639" s="43">
        <v>299580</v>
      </c>
      <c r="F1639" s="43" t="s">
        <v>117</v>
      </c>
      <c r="G1639" s="43" t="b">
        <v>0</v>
      </c>
      <c r="H1639" s="43" t="b">
        <v>0</v>
      </c>
      <c r="I1639" s="43"/>
      <c r="M1639" s="48" t="s">
        <v>1913</v>
      </c>
      <c r="N1639" s="48">
        <v>17088573436</v>
      </c>
      <c r="O1639" s="48">
        <v>17088565918</v>
      </c>
      <c r="P1639" s="48" t="s">
        <v>117</v>
      </c>
      <c r="Q1639" s="49" t="s">
        <v>1913</v>
      </c>
      <c r="R1639" s="49">
        <v>17083129398</v>
      </c>
      <c r="S1639" s="49">
        <v>17083123429</v>
      </c>
      <c r="T1639" s="49" t="s">
        <v>117</v>
      </c>
      <c r="U1639" s="50" t="s">
        <v>1913</v>
      </c>
      <c r="V1639" s="50">
        <v>17083129398</v>
      </c>
      <c r="W1639" s="50">
        <v>17083123429</v>
      </c>
      <c r="X1639" s="50" t="s">
        <v>117</v>
      </c>
      <c r="Y1639" s="50"/>
    </row>
    <row r="1640" spans="1:25" x14ac:dyDescent="0.25">
      <c r="A1640" s="25" t="s">
        <v>115</v>
      </c>
      <c r="B1640" t="b">
        <v>1</v>
      </c>
      <c r="C1640" s="43" t="s">
        <v>1914</v>
      </c>
      <c r="D1640" s="43">
        <v>317823</v>
      </c>
      <c r="E1640" s="43">
        <v>299180</v>
      </c>
      <c r="F1640" s="43" t="s">
        <v>132</v>
      </c>
      <c r="G1640" s="43" t="b">
        <v>0</v>
      </c>
      <c r="H1640" s="43" t="b">
        <v>0</v>
      </c>
      <c r="I1640" s="43"/>
      <c r="J1640" s="45" t="s">
        <v>1914</v>
      </c>
      <c r="K1640" s="46">
        <v>299180</v>
      </c>
      <c r="L1640" s="47">
        <v>990000616</v>
      </c>
      <c r="M1640" s="48" t="s">
        <v>1914</v>
      </c>
      <c r="N1640" s="48">
        <v>17088572626</v>
      </c>
      <c r="O1640" s="48">
        <v>17088565673</v>
      </c>
      <c r="P1640" s="48" t="s">
        <v>132</v>
      </c>
      <c r="Q1640" s="49" t="s">
        <v>1914</v>
      </c>
      <c r="R1640" s="49">
        <v>17083128110</v>
      </c>
      <c r="S1640" s="49">
        <v>17083124797</v>
      </c>
      <c r="T1640" s="49" t="s">
        <v>132</v>
      </c>
      <c r="U1640" s="50" t="s">
        <v>1914</v>
      </c>
      <c r="V1640" s="50">
        <v>17083128110</v>
      </c>
      <c r="W1640" s="50">
        <v>17083124797</v>
      </c>
      <c r="X1640" s="50" t="s">
        <v>132</v>
      </c>
      <c r="Y1640" s="50"/>
    </row>
    <row r="1641" spans="1:25" x14ac:dyDescent="0.25">
      <c r="A1641" s="25" t="s">
        <v>115</v>
      </c>
      <c r="B1641" t="b">
        <v>0</v>
      </c>
      <c r="C1641" s="43" t="s">
        <v>1915</v>
      </c>
      <c r="D1641" s="43">
        <v>316799</v>
      </c>
      <c r="E1641" s="43">
        <v>299500</v>
      </c>
      <c r="F1641" s="43" t="s">
        <v>125</v>
      </c>
      <c r="G1641" s="43" t="b">
        <v>0</v>
      </c>
      <c r="H1641" s="43" t="b">
        <v>0</v>
      </c>
      <c r="I1641" s="43"/>
      <c r="M1641" s="48" t="s">
        <v>1915</v>
      </c>
      <c r="N1641" s="48">
        <v>17088570578</v>
      </c>
      <c r="O1641" s="48">
        <v>17088565545</v>
      </c>
      <c r="P1641" s="48" t="s">
        <v>125</v>
      </c>
      <c r="Q1641" s="49" t="s">
        <v>1915</v>
      </c>
      <c r="R1641" s="49">
        <v>17083126062</v>
      </c>
      <c r="S1641" s="49">
        <v>17083124957</v>
      </c>
      <c r="T1641" s="49" t="s">
        <v>125</v>
      </c>
      <c r="U1641" s="50" t="s">
        <v>1915</v>
      </c>
      <c r="V1641" s="50">
        <v>17083126062</v>
      </c>
      <c r="W1641" s="50">
        <v>17083124957</v>
      </c>
      <c r="X1641" s="50" t="s">
        <v>125</v>
      </c>
      <c r="Y1641" s="50"/>
    </row>
    <row r="1642" spans="1:25" x14ac:dyDescent="0.25">
      <c r="A1642" s="25" t="s">
        <v>115</v>
      </c>
      <c r="B1642" t="b">
        <v>0</v>
      </c>
      <c r="C1642" s="43" t="s">
        <v>1916</v>
      </c>
      <c r="D1642" s="43">
        <v>318847</v>
      </c>
      <c r="E1642" s="43">
        <v>299884</v>
      </c>
      <c r="F1642" s="43" t="s">
        <v>125</v>
      </c>
      <c r="G1642" s="43" t="b">
        <v>0</v>
      </c>
      <c r="H1642" s="43" t="b">
        <v>0</v>
      </c>
      <c r="I1642" s="43" t="s">
        <v>126</v>
      </c>
      <c r="M1642" s="48" t="s">
        <v>1916</v>
      </c>
      <c r="N1642" s="48">
        <v>17088573138</v>
      </c>
      <c r="O1642" s="48">
        <v>17088567081</v>
      </c>
      <c r="P1642" s="48" t="s">
        <v>125</v>
      </c>
      <c r="Q1642" s="49" t="s">
        <v>1916</v>
      </c>
      <c r="R1642" s="49">
        <v>17083126574</v>
      </c>
      <c r="S1642" s="49">
        <v>17083124189</v>
      </c>
      <c r="T1642" s="49" t="s">
        <v>125</v>
      </c>
      <c r="U1642" s="50" t="s">
        <v>1916</v>
      </c>
      <c r="V1642" s="50">
        <v>17083126574</v>
      </c>
      <c r="W1642" s="50">
        <v>17083124189</v>
      </c>
      <c r="X1642" s="50" t="s">
        <v>125</v>
      </c>
      <c r="Y1642" s="50"/>
    </row>
    <row r="1643" spans="1:25" x14ac:dyDescent="0.25">
      <c r="A1643" s="25" t="s">
        <v>115</v>
      </c>
      <c r="B1643" t="b">
        <v>1</v>
      </c>
      <c r="C1643" s="43" t="s">
        <v>1917</v>
      </c>
      <c r="D1643" s="43">
        <v>316287</v>
      </c>
      <c r="E1643" s="43">
        <v>302956</v>
      </c>
      <c r="F1643" s="43" t="s">
        <v>125</v>
      </c>
      <c r="G1643" s="43" t="b">
        <v>1</v>
      </c>
      <c r="H1643" s="43" t="b">
        <v>0</v>
      </c>
      <c r="I1643" s="43"/>
      <c r="M1643" s="48" t="s">
        <v>1917</v>
      </c>
      <c r="N1643" s="48">
        <v>17088571218</v>
      </c>
      <c r="O1643" s="48">
        <v>17088568617</v>
      </c>
      <c r="P1643" s="48" t="s">
        <v>125</v>
      </c>
      <c r="Q1643" s="49" t="s">
        <v>1917</v>
      </c>
      <c r="R1643" s="49">
        <v>17083129806</v>
      </c>
      <c r="S1643" s="49">
        <v>17083123421</v>
      </c>
      <c r="T1643" s="49" t="s">
        <v>125</v>
      </c>
      <c r="U1643" s="50" t="s">
        <v>1917</v>
      </c>
      <c r="V1643" s="50">
        <v>17083129806</v>
      </c>
      <c r="W1643" s="50">
        <v>17083123421</v>
      </c>
      <c r="X1643" s="50" t="s">
        <v>125</v>
      </c>
      <c r="Y1643" s="50">
        <v>110337</v>
      </c>
    </row>
    <row r="1644" spans="1:25" x14ac:dyDescent="0.25">
      <c r="A1644" s="25" t="s">
        <v>115</v>
      </c>
      <c r="B1644" t="b">
        <v>0</v>
      </c>
      <c r="C1644" s="43" t="s">
        <v>1918</v>
      </c>
      <c r="D1644" s="43">
        <v>318335</v>
      </c>
      <c r="E1644" s="43">
        <v>302252</v>
      </c>
      <c r="F1644" s="43" t="s">
        <v>132</v>
      </c>
      <c r="G1644" s="43" t="b">
        <v>0</v>
      </c>
      <c r="H1644" s="43" t="b">
        <v>0</v>
      </c>
      <c r="I1644" s="43"/>
      <c r="J1644" s="45" t="s">
        <v>1918</v>
      </c>
      <c r="K1644" s="46">
        <v>302252</v>
      </c>
      <c r="L1644" s="47">
        <v>990000619</v>
      </c>
      <c r="M1644" s="48" t="s">
        <v>1918</v>
      </c>
      <c r="N1644" s="48">
        <v>17088569810</v>
      </c>
      <c r="O1644" s="48">
        <v>17088565929</v>
      </c>
      <c r="P1644" s="48" t="s">
        <v>132</v>
      </c>
      <c r="Q1644" s="49" t="s">
        <v>1918</v>
      </c>
      <c r="R1644" s="49">
        <v>17083128622</v>
      </c>
      <c r="S1644" s="49">
        <v>17083125725</v>
      </c>
      <c r="T1644" s="49" t="s">
        <v>132</v>
      </c>
      <c r="U1644" s="50" t="s">
        <v>1918</v>
      </c>
      <c r="V1644" s="50">
        <v>17083128622</v>
      </c>
      <c r="W1644" s="50">
        <v>17083125725</v>
      </c>
      <c r="X1644" s="50" t="s">
        <v>132</v>
      </c>
      <c r="Y1644" s="50"/>
    </row>
    <row r="1645" spans="1:25" x14ac:dyDescent="0.25">
      <c r="A1645" s="25" t="s">
        <v>115</v>
      </c>
      <c r="B1645" t="b">
        <v>0</v>
      </c>
      <c r="C1645" s="43" t="s">
        <v>1919</v>
      </c>
      <c r="D1645" s="43">
        <v>319359</v>
      </c>
      <c r="E1645" s="43">
        <v>301666</v>
      </c>
      <c r="F1645" s="43" t="s">
        <v>119</v>
      </c>
      <c r="G1645" s="43" t="b">
        <v>0</v>
      </c>
      <c r="H1645" s="43" t="b">
        <v>0</v>
      </c>
      <c r="I1645" s="43"/>
      <c r="M1645" s="48" t="s">
        <v>1919</v>
      </c>
      <c r="N1645" s="48">
        <v>17088571852</v>
      </c>
      <c r="O1645" s="48">
        <v>17088565770</v>
      </c>
      <c r="P1645" s="48" t="s">
        <v>119</v>
      </c>
      <c r="Q1645" s="49" t="s">
        <v>1919</v>
      </c>
      <c r="R1645" s="49">
        <v>17083126598</v>
      </c>
      <c r="S1645" s="49">
        <v>17083123009</v>
      </c>
      <c r="T1645" s="49" t="s">
        <v>119</v>
      </c>
      <c r="U1645" s="50" t="s">
        <v>1919</v>
      </c>
      <c r="V1645" s="50">
        <v>17083126598</v>
      </c>
      <c r="W1645" s="50">
        <v>17083123009</v>
      </c>
      <c r="X1645" s="50" t="s">
        <v>119</v>
      </c>
      <c r="Y1645" s="50"/>
    </row>
    <row r="1646" spans="1:25" x14ac:dyDescent="0.25">
      <c r="A1646" s="25" t="s">
        <v>115</v>
      </c>
      <c r="B1646" t="b">
        <v>0</v>
      </c>
      <c r="C1646" s="43" t="s">
        <v>1920</v>
      </c>
      <c r="D1646" s="43">
        <v>315647</v>
      </c>
      <c r="E1646" s="43">
        <v>299868</v>
      </c>
      <c r="F1646" s="43" t="s">
        <v>119</v>
      </c>
      <c r="G1646" s="43" t="b">
        <v>0</v>
      </c>
      <c r="H1646" s="43" t="b">
        <v>0</v>
      </c>
      <c r="I1646" s="43"/>
      <c r="M1646" s="48" t="s">
        <v>1920</v>
      </c>
      <c r="N1646" s="48">
        <v>17088572210</v>
      </c>
      <c r="O1646" s="48">
        <v>17088566341</v>
      </c>
      <c r="P1646" s="48" t="s">
        <v>119</v>
      </c>
      <c r="Q1646" s="49" t="s">
        <v>1920</v>
      </c>
      <c r="R1646" s="49">
        <v>17083126894</v>
      </c>
      <c r="S1646" s="49">
        <v>17083122707</v>
      </c>
      <c r="T1646" s="49" t="s">
        <v>119</v>
      </c>
      <c r="U1646" s="50" t="s">
        <v>1920</v>
      </c>
      <c r="V1646" s="50">
        <v>17083126894</v>
      </c>
      <c r="W1646" s="50">
        <v>17083122707</v>
      </c>
      <c r="X1646" s="50" t="s">
        <v>119</v>
      </c>
      <c r="Y1646" s="50"/>
    </row>
    <row r="1647" spans="1:25" x14ac:dyDescent="0.25">
      <c r="A1647" s="25" t="s">
        <v>115</v>
      </c>
      <c r="B1647" t="b">
        <v>0</v>
      </c>
      <c r="C1647" s="43" t="s">
        <v>1921</v>
      </c>
      <c r="D1647" s="43">
        <v>317695</v>
      </c>
      <c r="E1647" s="43">
        <v>301820</v>
      </c>
      <c r="F1647" s="43" t="s">
        <v>119</v>
      </c>
      <c r="G1647" s="43" t="b">
        <v>0</v>
      </c>
      <c r="H1647" s="43" t="b">
        <v>0</v>
      </c>
      <c r="I1647" s="43"/>
      <c r="J1647" s="45" t="s">
        <v>1921</v>
      </c>
      <c r="K1647" s="46">
        <v>301820</v>
      </c>
      <c r="L1647" s="47">
        <v>990000681</v>
      </c>
      <c r="M1647" s="48" t="s">
        <v>1921</v>
      </c>
      <c r="N1647" s="48">
        <v>17088571778</v>
      </c>
      <c r="O1647" s="48">
        <v>17088566014</v>
      </c>
      <c r="P1647" s="48" t="s">
        <v>119</v>
      </c>
      <c r="Q1647" s="49" t="s">
        <v>1921</v>
      </c>
      <c r="R1647" s="49">
        <v>17083127926</v>
      </c>
      <c r="S1647" s="49">
        <v>17083124437</v>
      </c>
      <c r="T1647" s="49" t="s">
        <v>119</v>
      </c>
      <c r="U1647" s="50" t="s">
        <v>1921</v>
      </c>
      <c r="V1647" s="50">
        <v>17083127926</v>
      </c>
      <c r="W1647" s="50">
        <v>17083124437</v>
      </c>
      <c r="X1647" s="50" t="s">
        <v>119</v>
      </c>
      <c r="Y1647" s="50"/>
    </row>
    <row r="1648" spans="1:25" x14ac:dyDescent="0.25">
      <c r="A1648" s="25" t="s">
        <v>115</v>
      </c>
      <c r="B1648" t="b">
        <v>0</v>
      </c>
      <c r="C1648" s="43" t="s">
        <v>1922</v>
      </c>
      <c r="D1648" s="43">
        <v>316671</v>
      </c>
      <c r="E1648" s="43">
        <v>302588</v>
      </c>
      <c r="F1648" s="43" t="s">
        <v>117</v>
      </c>
      <c r="G1648" s="43" t="b">
        <v>0</v>
      </c>
      <c r="H1648" s="43" t="b">
        <v>0</v>
      </c>
      <c r="I1648" s="43"/>
      <c r="M1648" s="48" t="s">
        <v>1922</v>
      </c>
      <c r="N1648" s="48">
        <v>17088572546</v>
      </c>
      <c r="O1648" s="48">
        <v>17088567550</v>
      </c>
      <c r="P1648" s="48" t="s">
        <v>117</v>
      </c>
      <c r="Q1648" s="49" t="s">
        <v>1922</v>
      </c>
      <c r="R1648" s="49">
        <v>17083126710</v>
      </c>
      <c r="S1648" s="49">
        <v>17083122901</v>
      </c>
      <c r="T1648" s="49" t="s">
        <v>117</v>
      </c>
      <c r="U1648" s="50" t="s">
        <v>1922</v>
      </c>
      <c r="V1648" s="50">
        <v>17083126710</v>
      </c>
      <c r="W1648" s="50">
        <v>17083122901</v>
      </c>
      <c r="X1648" s="50" t="s">
        <v>117</v>
      </c>
      <c r="Y1648" s="50"/>
    </row>
    <row r="1649" spans="1:25" x14ac:dyDescent="0.25">
      <c r="A1649" s="25" t="s">
        <v>115</v>
      </c>
      <c r="B1649" t="b">
        <v>0</v>
      </c>
      <c r="C1649" s="43" t="s">
        <v>1923</v>
      </c>
      <c r="D1649" s="43">
        <v>318719</v>
      </c>
      <c r="E1649" s="43">
        <v>301330</v>
      </c>
      <c r="F1649" s="43" t="s">
        <v>125</v>
      </c>
      <c r="G1649" s="43" t="b">
        <v>0</v>
      </c>
      <c r="H1649" s="43" t="b">
        <v>0</v>
      </c>
      <c r="I1649" s="43"/>
      <c r="M1649" s="48" t="s">
        <v>1923</v>
      </c>
      <c r="N1649" s="48">
        <v>17088573260</v>
      </c>
      <c r="O1649" s="48">
        <v>17088567794</v>
      </c>
      <c r="P1649" s="48" t="s">
        <v>125</v>
      </c>
      <c r="Q1649" s="49" t="s">
        <v>1923</v>
      </c>
      <c r="R1649" s="49">
        <v>17083126086</v>
      </c>
      <c r="S1649" s="49">
        <v>17083125633</v>
      </c>
      <c r="T1649" s="49" t="s">
        <v>125</v>
      </c>
      <c r="U1649" s="50" t="s">
        <v>1923</v>
      </c>
      <c r="V1649" s="50">
        <v>17083126086</v>
      </c>
      <c r="W1649" s="50">
        <v>17083125633</v>
      </c>
      <c r="X1649" s="50" t="s">
        <v>125</v>
      </c>
      <c r="Y1649" s="50"/>
    </row>
    <row r="1650" spans="1:25" x14ac:dyDescent="0.25">
      <c r="A1650" s="25" t="s">
        <v>115</v>
      </c>
      <c r="B1650" t="b">
        <v>0</v>
      </c>
      <c r="C1650" s="43" t="s">
        <v>1924</v>
      </c>
      <c r="D1650" s="43">
        <v>316159</v>
      </c>
      <c r="E1650" s="43">
        <v>303004</v>
      </c>
      <c r="F1650" s="43" t="s">
        <v>125</v>
      </c>
      <c r="G1650" s="43" t="b">
        <v>1</v>
      </c>
      <c r="H1650" s="43" t="b">
        <v>0</v>
      </c>
      <c r="I1650" s="43" t="s">
        <v>126</v>
      </c>
      <c r="M1650" s="48" t="s">
        <v>1924</v>
      </c>
      <c r="N1650" s="48">
        <v>17088570034</v>
      </c>
      <c r="O1650" s="48">
        <v>17088567493</v>
      </c>
      <c r="P1650" s="48" t="s">
        <v>125</v>
      </c>
      <c r="Q1650" s="49" t="s">
        <v>1924</v>
      </c>
      <c r="R1650" s="49">
        <v>17083127150</v>
      </c>
      <c r="S1650" s="49">
        <v>17083123859</v>
      </c>
      <c r="T1650" s="49" t="s">
        <v>125</v>
      </c>
      <c r="U1650" s="50" t="s">
        <v>1924</v>
      </c>
      <c r="V1650" s="50">
        <v>17083127150</v>
      </c>
      <c r="W1650" s="50">
        <v>17083123859</v>
      </c>
      <c r="X1650" s="50" t="s">
        <v>125</v>
      </c>
      <c r="Y1650" s="50">
        <v>120411</v>
      </c>
    </row>
    <row r="1651" spans="1:25" x14ac:dyDescent="0.25">
      <c r="A1651" s="25" t="s">
        <v>115</v>
      </c>
      <c r="B1651" t="b">
        <v>0</v>
      </c>
      <c r="C1651" s="43" t="s">
        <v>1925</v>
      </c>
      <c r="D1651" s="43">
        <v>318207</v>
      </c>
      <c r="E1651" s="43">
        <v>299628</v>
      </c>
      <c r="F1651" s="43" t="s">
        <v>123</v>
      </c>
      <c r="G1651" s="43" t="b">
        <v>0</v>
      </c>
      <c r="H1651" s="43" t="b">
        <v>0</v>
      </c>
      <c r="I1651" s="43"/>
      <c r="M1651" s="48" t="s">
        <v>1925</v>
      </c>
      <c r="N1651" s="48">
        <v>17088570346</v>
      </c>
      <c r="O1651" s="48">
        <v>17088567293</v>
      </c>
      <c r="P1651" s="48" t="s">
        <v>123</v>
      </c>
      <c r="Q1651" s="49" t="s">
        <v>1925</v>
      </c>
      <c r="R1651" s="49">
        <v>17083128446</v>
      </c>
      <c r="S1651" s="49">
        <v>17083124551</v>
      </c>
      <c r="T1651" s="49" t="s">
        <v>123</v>
      </c>
      <c r="U1651" s="50" t="s">
        <v>1925</v>
      </c>
      <c r="V1651" s="50">
        <v>17083128446</v>
      </c>
      <c r="W1651" s="50">
        <v>17083124551</v>
      </c>
      <c r="X1651" s="50" t="s">
        <v>123</v>
      </c>
      <c r="Y1651" s="50"/>
    </row>
    <row r="1652" spans="1:25" x14ac:dyDescent="0.25">
      <c r="A1652" s="25" t="s">
        <v>115</v>
      </c>
      <c r="B1652" t="b">
        <v>0</v>
      </c>
      <c r="C1652" s="43" t="s">
        <v>1926</v>
      </c>
      <c r="D1652" s="43">
        <v>317183</v>
      </c>
      <c r="E1652" s="43">
        <v>300386</v>
      </c>
      <c r="F1652" s="43" t="s">
        <v>119</v>
      </c>
      <c r="G1652" s="43" t="b">
        <v>0</v>
      </c>
      <c r="H1652" s="43" t="b">
        <v>0</v>
      </c>
      <c r="I1652" s="43"/>
      <c r="M1652" s="48" t="s">
        <v>1926</v>
      </c>
      <c r="N1652" s="48">
        <v>17088570924</v>
      </c>
      <c r="O1652" s="48">
        <v>17088569330</v>
      </c>
      <c r="P1652" s="48" t="s">
        <v>119</v>
      </c>
      <c r="Q1652" s="49" t="s">
        <v>1926</v>
      </c>
      <c r="R1652" s="49">
        <v>17083126982</v>
      </c>
      <c r="S1652" s="49">
        <v>17083124289</v>
      </c>
      <c r="T1652" s="49" t="s">
        <v>119</v>
      </c>
      <c r="U1652" s="50" t="s">
        <v>1926</v>
      </c>
      <c r="V1652" s="50">
        <v>17083126982</v>
      </c>
      <c r="W1652" s="50">
        <v>17083124289</v>
      </c>
      <c r="X1652" s="50" t="s">
        <v>119</v>
      </c>
      <c r="Y1652" s="50"/>
    </row>
    <row r="1653" spans="1:25" x14ac:dyDescent="0.25">
      <c r="A1653" s="25" t="s">
        <v>115</v>
      </c>
      <c r="B1653" t="b">
        <v>0</v>
      </c>
      <c r="C1653" s="43" t="s">
        <v>1927</v>
      </c>
      <c r="D1653" s="43">
        <v>319231</v>
      </c>
      <c r="E1653" s="43">
        <v>302098</v>
      </c>
      <c r="F1653" s="43" t="s">
        <v>125</v>
      </c>
      <c r="G1653" s="43" t="b">
        <v>0</v>
      </c>
      <c r="H1653" s="43" t="b">
        <v>0</v>
      </c>
      <c r="I1653" s="43"/>
      <c r="M1653" s="48" t="s">
        <v>1927</v>
      </c>
      <c r="N1653" s="48">
        <v>17088569804</v>
      </c>
      <c r="O1653" s="48">
        <v>17088566258</v>
      </c>
      <c r="P1653" s="48" t="s">
        <v>125</v>
      </c>
      <c r="Q1653" s="49" t="s">
        <v>1927</v>
      </c>
      <c r="R1653" s="49">
        <v>17083129158</v>
      </c>
      <c r="S1653" s="49">
        <v>17083122753</v>
      </c>
      <c r="T1653" s="49" t="s">
        <v>125</v>
      </c>
      <c r="U1653" s="50" t="s">
        <v>1927</v>
      </c>
      <c r="V1653" s="50">
        <v>17083129158</v>
      </c>
      <c r="W1653" s="50">
        <v>17083122753</v>
      </c>
      <c r="X1653" s="50" t="s">
        <v>125</v>
      </c>
      <c r="Y1653" s="50"/>
    </row>
    <row r="1654" spans="1:25" x14ac:dyDescent="0.25">
      <c r="A1654" s="25" t="s">
        <v>115</v>
      </c>
      <c r="B1654" t="b">
        <v>0</v>
      </c>
      <c r="C1654" s="43" t="s">
        <v>1928</v>
      </c>
      <c r="D1654" s="43">
        <v>315903</v>
      </c>
      <c r="E1654" s="43">
        <v>299676</v>
      </c>
      <c r="F1654" s="43" t="s">
        <v>119</v>
      </c>
      <c r="G1654" s="43" t="b">
        <v>0</v>
      </c>
      <c r="H1654" s="43" t="b">
        <v>0</v>
      </c>
      <c r="I1654" s="43"/>
      <c r="J1654" s="45" t="s">
        <v>1928</v>
      </c>
      <c r="K1654" s="46">
        <v>299676</v>
      </c>
      <c r="L1654" s="47">
        <v>990000678</v>
      </c>
      <c r="M1654" s="48" t="s">
        <v>1928</v>
      </c>
      <c r="N1654" s="48">
        <v>17088570162</v>
      </c>
      <c r="O1654" s="48">
        <v>17088566725</v>
      </c>
      <c r="P1654" s="48" t="s">
        <v>119</v>
      </c>
      <c r="Q1654" s="49" t="s">
        <v>1928</v>
      </c>
      <c r="R1654" s="49">
        <v>17083127918</v>
      </c>
      <c r="S1654" s="49">
        <v>17083123091</v>
      </c>
      <c r="T1654" s="49" t="s">
        <v>119</v>
      </c>
      <c r="U1654" s="50" t="s">
        <v>1928</v>
      </c>
      <c r="V1654" s="50">
        <v>17083127918</v>
      </c>
      <c r="W1654" s="50">
        <v>17083123091</v>
      </c>
      <c r="X1654" s="50" t="s">
        <v>119</v>
      </c>
      <c r="Y1654" s="50"/>
    </row>
    <row r="1655" spans="1:25" x14ac:dyDescent="0.25">
      <c r="A1655" s="25" t="s">
        <v>115</v>
      </c>
      <c r="B1655" t="b">
        <v>0</v>
      </c>
      <c r="C1655" s="43" t="s">
        <v>1929</v>
      </c>
      <c r="D1655" s="43">
        <v>317951</v>
      </c>
      <c r="E1655" s="43">
        <v>301436</v>
      </c>
      <c r="F1655" s="43" t="s">
        <v>132</v>
      </c>
      <c r="G1655" s="43" t="b">
        <v>0</v>
      </c>
      <c r="H1655" s="43" t="b">
        <v>0</v>
      </c>
      <c r="I1655" s="43"/>
      <c r="M1655" s="48" t="s">
        <v>1929</v>
      </c>
      <c r="N1655" s="48">
        <v>17088572722</v>
      </c>
      <c r="O1655" s="48">
        <v>17088568837</v>
      </c>
      <c r="P1655" s="48" t="s">
        <v>132</v>
      </c>
      <c r="Q1655" s="49" t="s">
        <v>1929</v>
      </c>
      <c r="R1655" s="49">
        <v>17083125870</v>
      </c>
      <c r="S1655" s="49">
        <v>17083125347</v>
      </c>
      <c r="T1655" s="49" t="s">
        <v>132</v>
      </c>
      <c r="U1655" s="50" t="s">
        <v>1929</v>
      </c>
      <c r="V1655" s="50">
        <v>17083125870</v>
      </c>
      <c r="W1655" s="50">
        <v>17083125347</v>
      </c>
      <c r="X1655" s="50" t="s">
        <v>132</v>
      </c>
      <c r="Y1655" s="50"/>
    </row>
    <row r="1656" spans="1:25" x14ac:dyDescent="0.25">
      <c r="A1656" s="25" t="s">
        <v>115</v>
      </c>
      <c r="B1656" t="b">
        <v>0</v>
      </c>
      <c r="C1656" s="43" t="s">
        <v>1930</v>
      </c>
      <c r="D1656" s="43">
        <v>316927</v>
      </c>
      <c r="E1656" s="43">
        <v>301756</v>
      </c>
      <c r="F1656" s="43" t="s">
        <v>119</v>
      </c>
      <c r="G1656" s="43" t="b">
        <v>0</v>
      </c>
      <c r="H1656" s="43" t="b">
        <v>0</v>
      </c>
      <c r="I1656" s="43"/>
      <c r="M1656" s="48" t="s">
        <v>1930</v>
      </c>
      <c r="N1656" s="48">
        <v>17088570930</v>
      </c>
      <c r="O1656" s="48">
        <v>17088565637</v>
      </c>
      <c r="P1656" s="48" t="s">
        <v>119</v>
      </c>
      <c r="Q1656" s="49" t="s">
        <v>1930</v>
      </c>
      <c r="R1656" s="49">
        <v>17083129262</v>
      </c>
      <c r="S1656" s="49">
        <v>17083122147</v>
      </c>
      <c r="T1656" s="49" t="s">
        <v>119</v>
      </c>
      <c r="U1656" s="50" t="s">
        <v>1930</v>
      </c>
      <c r="V1656" s="50">
        <v>17083129262</v>
      </c>
      <c r="W1656" s="50">
        <v>17083122147</v>
      </c>
      <c r="X1656" s="50" t="s">
        <v>119</v>
      </c>
      <c r="Y1656" s="50"/>
    </row>
    <row r="1657" spans="1:25" x14ac:dyDescent="0.25">
      <c r="A1657" s="25" t="s">
        <v>115</v>
      </c>
      <c r="B1657" t="b">
        <v>0</v>
      </c>
      <c r="C1657" s="43" t="s">
        <v>1931</v>
      </c>
      <c r="D1657" s="43">
        <v>318975</v>
      </c>
      <c r="E1657" s="43">
        <v>303020</v>
      </c>
      <c r="F1657" s="43" t="s">
        <v>123</v>
      </c>
      <c r="G1657" s="43" t="b">
        <v>0</v>
      </c>
      <c r="H1657" s="43" t="b">
        <v>0</v>
      </c>
      <c r="I1657" s="43"/>
      <c r="M1657" s="48" t="s">
        <v>1931</v>
      </c>
      <c r="N1657" s="48">
        <v>17088570602</v>
      </c>
      <c r="O1657" s="48">
        <v>17088568323</v>
      </c>
      <c r="P1657" s="48" t="s">
        <v>123</v>
      </c>
      <c r="Q1657" s="49" t="s">
        <v>1931</v>
      </c>
      <c r="R1657" s="49">
        <v>17083129790</v>
      </c>
      <c r="S1657" s="49">
        <v>17083122887</v>
      </c>
      <c r="T1657" s="49" t="s">
        <v>123</v>
      </c>
      <c r="U1657" s="50" t="s">
        <v>1931</v>
      </c>
      <c r="V1657" s="50">
        <v>17083129790</v>
      </c>
      <c r="W1657" s="50">
        <v>17083122887</v>
      </c>
      <c r="X1657" s="50" t="s">
        <v>123</v>
      </c>
      <c r="Y1657" s="50"/>
    </row>
    <row r="1658" spans="1:25" x14ac:dyDescent="0.25">
      <c r="A1658" s="25" t="s">
        <v>115</v>
      </c>
      <c r="B1658" t="b">
        <v>0</v>
      </c>
      <c r="C1658" s="43" t="s">
        <v>1932</v>
      </c>
      <c r="D1658" s="43">
        <v>322756</v>
      </c>
      <c r="E1658" s="43">
        <v>302723</v>
      </c>
      <c r="F1658" s="43" t="s">
        <v>125</v>
      </c>
      <c r="G1658" s="43" t="b">
        <v>0</v>
      </c>
      <c r="H1658" s="43" t="b">
        <v>0</v>
      </c>
      <c r="I1658" s="43" t="s">
        <v>126</v>
      </c>
      <c r="M1658" s="48" t="s">
        <v>1932</v>
      </c>
      <c r="N1658" s="48">
        <v>17088571553</v>
      </c>
      <c r="O1658" s="48">
        <v>17088561623</v>
      </c>
      <c r="P1658" s="48" t="s">
        <v>125</v>
      </c>
      <c r="Q1658" s="49" t="s">
        <v>1932</v>
      </c>
      <c r="R1658" s="49">
        <v>17083128818</v>
      </c>
      <c r="S1658" s="49">
        <v>17083123876</v>
      </c>
      <c r="T1658" s="49" t="s">
        <v>125</v>
      </c>
      <c r="U1658" s="50" t="s">
        <v>1932</v>
      </c>
      <c r="V1658" s="50">
        <v>17083128818</v>
      </c>
      <c r="W1658" s="50">
        <v>17083123876</v>
      </c>
      <c r="X1658" s="50" t="s">
        <v>125</v>
      </c>
      <c r="Y1658" s="50"/>
    </row>
    <row r="1659" spans="1:25" x14ac:dyDescent="0.25">
      <c r="A1659" s="25" t="s">
        <v>115</v>
      </c>
      <c r="B1659" t="b">
        <v>0</v>
      </c>
      <c r="C1659" s="43" t="s">
        <v>1933</v>
      </c>
      <c r="D1659" s="43">
        <v>320196</v>
      </c>
      <c r="E1659" s="43">
        <v>302461</v>
      </c>
      <c r="F1659" s="43" t="s">
        <v>117</v>
      </c>
      <c r="G1659" s="43" t="b">
        <v>0</v>
      </c>
      <c r="H1659" s="43" t="b">
        <v>0</v>
      </c>
      <c r="I1659" s="43"/>
      <c r="M1659" s="48" t="s">
        <v>1933</v>
      </c>
      <c r="N1659" s="48">
        <v>17088571425</v>
      </c>
      <c r="O1659" s="48">
        <v>17088562999</v>
      </c>
      <c r="P1659" s="48" t="s">
        <v>117</v>
      </c>
      <c r="Q1659" s="49" t="s">
        <v>1933</v>
      </c>
      <c r="R1659" s="49">
        <v>17083127410</v>
      </c>
      <c r="S1659" s="49">
        <v>17083125348</v>
      </c>
      <c r="T1659" s="49" t="s">
        <v>117</v>
      </c>
      <c r="U1659" s="50" t="s">
        <v>1933</v>
      </c>
      <c r="V1659" s="50">
        <v>17083127410</v>
      </c>
      <c r="W1659" s="50">
        <v>17083125348</v>
      </c>
      <c r="X1659" s="50" t="s">
        <v>117</v>
      </c>
      <c r="Y1659" s="50"/>
    </row>
    <row r="1660" spans="1:25" x14ac:dyDescent="0.25">
      <c r="A1660" s="25" t="s">
        <v>115</v>
      </c>
      <c r="B1660" t="b">
        <v>0</v>
      </c>
      <c r="C1660" s="43" t="s">
        <v>1934</v>
      </c>
      <c r="D1660" s="43">
        <v>322244</v>
      </c>
      <c r="E1660" s="43">
        <v>299075</v>
      </c>
      <c r="F1660" s="43" t="s">
        <v>123</v>
      </c>
      <c r="G1660" s="43" t="b">
        <v>0</v>
      </c>
      <c r="H1660" s="43" t="b">
        <v>0</v>
      </c>
      <c r="I1660" s="43"/>
      <c r="M1660" s="48" t="s">
        <v>1934</v>
      </c>
      <c r="N1660" s="48">
        <v>17088569633</v>
      </c>
      <c r="O1660" s="48">
        <v>17088563031</v>
      </c>
      <c r="P1660" s="48" t="s">
        <v>123</v>
      </c>
      <c r="Q1660" s="49" t="s">
        <v>1934</v>
      </c>
      <c r="R1660" s="49">
        <v>17083129074</v>
      </c>
      <c r="S1660" s="49">
        <v>17083125284</v>
      </c>
      <c r="T1660" s="49" t="s">
        <v>123</v>
      </c>
      <c r="U1660" s="50" t="s">
        <v>1934</v>
      </c>
      <c r="V1660" s="50">
        <v>17083129074</v>
      </c>
      <c r="W1660" s="50">
        <v>17083125284</v>
      </c>
      <c r="X1660" s="50" t="s">
        <v>123</v>
      </c>
      <c r="Y1660" s="50"/>
    </row>
    <row r="1661" spans="1:25" x14ac:dyDescent="0.25">
      <c r="A1661" s="25" t="s">
        <v>115</v>
      </c>
      <c r="B1661" t="b">
        <v>0</v>
      </c>
      <c r="C1661" s="43" t="s">
        <v>1935</v>
      </c>
      <c r="D1661" s="43">
        <v>321220</v>
      </c>
      <c r="E1661" s="43">
        <v>299851</v>
      </c>
      <c r="F1661" s="43" t="s">
        <v>186</v>
      </c>
      <c r="G1661" s="43" t="b">
        <v>0</v>
      </c>
      <c r="H1661" s="43" t="b">
        <v>0</v>
      </c>
      <c r="I1661" s="43"/>
      <c r="M1661" s="48" t="s">
        <v>1935</v>
      </c>
      <c r="N1661" s="48">
        <v>17088571270</v>
      </c>
      <c r="O1661" s="48">
        <v>17088569480</v>
      </c>
      <c r="P1661" s="48" t="s">
        <v>186</v>
      </c>
      <c r="Q1661" s="49" t="s">
        <v>1935</v>
      </c>
      <c r="R1661" s="49">
        <v>17083127409</v>
      </c>
      <c r="S1661" s="49">
        <v>17083128268</v>
      </c>
      <c r="T1661" s="49" t="s">
        <v>186</v>
      </c>
      <c r="U1661" s="50" t="s">
        <v>1935</v>
      </c>
      <c r="V1661" s="50">
        <v>17083127409</v>
      </c>
      <c r="W1661" s="50">
        <v>17083128268</v>
      </c>
      <c r="X1661" s="50" t="s">
        <v>186</v>
      </c>
      <c r="Y1661" s="50"/>
    </row>
    <row r="1662" spans="1:25" x14ac:dyDescent="0.25">
      <c r="A1662" s="25" t="s">
        <v>115</v>
      </c>
      <c r="B1662" t="b">
        <v>0</v>
      </c>
      <c r="C1662" s="43" t="s">
        <v>1936</v>
      </c>
      <c r="D1662" s="43">
        <v>323268</v>
      </c>
      <c r="E1662" s="43">
        <v>302923</v>
      </c>
      <c r="F1662" s="43" t="s">
        <v>186</v>
      </c>
      <c r="G1662" s="43" t="b">
        <v>0</v>
      </c>
      <c r="H1662" s="43" t="b">
        <v>0</v>
      </c>
      <c r="I1662" s="43"/>
      <c r="M1662" s="48" t="s">
        <v>1936</v>
      </c>
      <c r="N1662" s="48">
        <v>17088573254</v>
      </c>
      <c r="O1662" s="48">
        <v>17088572168</v>
      </c>
      <c r="P1662" s="48" t="s">
        <v>186</v>
      </c>
      <c r="Q1662" s="49" t="s">
        <v>1936</v>
      </c>
      <c r="R1662" s="49">
        <v>17083128561</v>
      </c>
      <c r="S1662" s="49">
        <v>17083127500</v>
      </c>
      <c r="T1662" s="49" t="s">
        <v>186</v>
      </c>
      <c r="U1662" s="50" t="s">
        <v>1936</v>
      </c>
      <c r="V1662" s="50">
        <v>17083128561</v>
      </c>
      <c r="W1662" s="50">
        <v>17083127500</v>
      </c>
      <c r="X1662" s="50" t="s">
        <v>186</v>
      </c>
      <c r="Y1662" s="50"/>
    </row>
    <row r="1663" spans="1:25" x14ac:dyDescent="0.25">
      <c r="A1663" s="25" t="s">
        <v>115</v>
      </c>
      <c r="B1663" t="b">
        <v>0</v>
      </c>
      <c r="C1663" s="43" t="s">
        <v>1937</v>
      </c>
      <c r="D1663" s="43">
        <v>319940</v>
      </c>
      <c r="E1663" s="43">
        <v>301181</v>
      </c>
      <c r="F1663" s="43" t="s">
        <v>123</v>
      </c>
      <c r="G1663" s="43" t="b">
        <v>0</v>
      </c>
      <c r="H1663" s="43" t="b">
        <v>0</v>
      </c>
      <c r="I1663" s="43"/>
      <c r="M1663" s="48" t="s">
        <v>1937</v>
      </c>
      <c r="N1663" s="48">
        <v>17088572193</v>
      </c>
      <c r="O1663" s="48">
        <v>17088564407</v>
      </c>
      <c r="P1663" s="48" t="s">
        <v>123</v>
      </c>
      <c r="Q1663" s="49" t="s">
        <v>1937</v>
      </c>
      <c r="R1663" s="49">
        <v>17083126258</v>
      </c>
      <c r="S1663" s="49">
        <v>17083122532</v>
      </c>
      <c r="T1663" s="49" t="s">
        <v>123</v>
      </c>
      <c r="U1663" s="50" t="s">
        <v>1937</v>
      </c>
      <c r="V1663" s="50">
        <v>17083126258</v>
      </c>
      <c r="W1663" s="50">
        <v>17083122532</v>
      </c>
      <c r="X1663" s="50" t="s">
        <v>123</v>
      </c>
      <c r="Y1663" s="50"/>
    </row>
    <row r="1664" spans="1:25" x14ac:dyDescent="0.25">
      <c r="A1664" s="25" t="s">
        <v>115</v>
      </c>
      <c r="B1664" t="b">
        <v>0</v>
      </c>
      <c r="C1664" s="43" t="s">
        <v>1938</v>
      </c>
      <c r="D1664" s="43">
        <v>321988</v>
      </c>
      <c r="E1664" s="43">
        <v>302795</v>
      </c>
      <c r="F1664" s="43" t="s">
        <v>186</v>
      </c>
      <c r="G1664" s="43" t="b">
        <v>0</v>
      </c>
      <c r="H1664" s="43" t="b">
        <v>0</v>
      </c>
      <c r="I1664" s="43"/>
      <c r="M1664" s="48" t="s">
        <v>1938</v>
      </c>
      <c r="N1664" s="48">
        <v>17088571206</v>
      </c>
      <c r="O1664" s="48">
        <v>17088570632</v>
      </c>
      <c r="P1664" s="48" t="s">
        <v>186</v>
      </c>
      <c r="Q1664" s="49" t="s">
        <v>1938</v>
      </c>
      <c r="R1664" s="49">
        <v>17083126513</v>
      </c>
      <c r="S1664" s="49">
        <v>17083129036</v>
      </c>
      <c r="T1664" s="49" t="s">
        <v>186</v>
      </c>
      <c r="U1664" s="50" t="s">
        <v>1938</v>
      </c>
      <c r="V1664" s="50">
        <v>17083126513</v>
      </c>
      <c r="W1664" s="50">
        <v>17083129036</v>
      </c>
      <c r="X1664" s="50" t="s">
        <v>186</v>
      </c>
      <c r="Y1664" s="50"/>
    </row>
    <row r="1665" spans="1:25" x14ac:dyDescent="0.25">
      <c r="A1665" s="25" t="s">
        <v>115</v>
      </c>
      <c r="B1665" t="b">
        <v>0</v>
      </c>
      <c r="C1665" s="43" t="s">
        <v>1939</v>
      </c>
      <c r="D1665" s="43">
        <v>320964</v>
      </c>
      <c r="E1665" s="43">
        <v>302603</v>
      </c>
      <c r="F1665" s="43" t="s">
        <v>117</v>
      </c>
      <c r="G1665" s="43" t="b">
        <v>0</v>
      </c>
      <c r="H1665" s="43" t="b">
        <v>0</v>
      </c>
      <c r="I1665" s="43"/>
      <c r="M1665" s="48" t="s">
        <v>1939</v>
      </c>
      <c r="N1665" s="48">
        <v>17088572870</v>
      </c>
      <c r="O1665" s="48">
        <v>17088571784</v>
      </c>
      <c r="P1665" s="48" t="s">
        <v>117</v>
      </c>
      <c r="Q1665" s="49" t="s">
        <v>1939</v>
      </c>
      <c r="R1665" s="49">
        <v>17083127817</v>
      </c>
      <c r="S1665" s="49">
        <v>17083126828</v>
      </c>
      <c r="T1665" s="49" t="s">
        <v>117</v>
      </c>
      <c r="U1665" s="50" t="s">
        <v>1939</v>
      </c>
      <c r="V1665" s="50">
        <v>17083127817</v>
      </c>
      <c r="W1665" s="50">
        <v>17083126828</v>
      </c>
      <c r="X1665" s="50" t="s">
        <v>117</v>
      </c>
      <c r="Y1665" s="50"/>
    </row>
    <row r="1666" spans="1:25" x14ac:dyDescent="0.25">
      <c r="A1666" s="25" t="s">
        <v>115</v>
      </c>
      <c r="B1666" t="b">
        <v>0</v>
      </c>
      <c r="C1666" s="43" t="s">
        <v>1940</v>
      </c>
      <c r="D1666" s="43">
        <v>323012</v>
      </c>
      <c r="E1666" s="43">
        <v>301923</v>
      </c>
      <c r="F1666" s="43" t="s">
        <v>117</v>
      </c>
      <c r="G1666" s="43" t="b">
        <v>0</v>
      </c>
      <c r="H1666" s="43" t="b">
        <v>0</v>
      </c>
      <c r="I1666" s="43"/>
      <c r="M1666" s="48" t="s">
        <v>1940</v>
      </c>
      <c r="N1666" s="48">
        <v>17088569582</v>
      </c>
      <c r="O1666" s="48">
        <v>17088557906</v>
      </c>
      <c r="P1666" s="48" t="s">
        <v>117</v>
      </c>
      <c r="Q1666" s="49" t="s">
        <v>1940</v>
      </c>
      <c r="R1666" s="49">
        <v>17083127941</v>
      </c>
      <c r="S1666" s="49">
        <v>17083120959</v>
      </c>
      <c r="T1666" s="49" t="s">
        <v>117</v>
      </c>
      <c r="U1666" s="50" t="s">
        <v>1940</v>
      </c>
      <c r="V1666" s="50">
        <v>17083127941</v>
      </c>
      <c r="W1666" s="50">
        <v>17083120959</v>
      </c>
      <c r="X1666" s="50" t="s">
        <v>117</v>
      </c>
      <c r="Y1666" s="50"/>
    </row>
    <row r="1667" spans="1:25" x14ac:dyDescent="0.25">
      <c r="A1667" s="25" t="s">
        <v>115</v>
      </c>
      <c r="B1667" t="b">
        <v>0</v>
      </c>
      <c r="C1667" s="43" t="s">
        <v>1941</v>
      </c>
      <c r="D1667" s="43">
        <v>320452</v>
      </c>
      <c r="E1667" s="43">
        <v>300619</v>
      </c>
      <c r="F1667" s="43" t="s">
        <v>117</v>
      </c>
      <c r="G1667" s="43" t="b">
        <v>0</v>
      </c>
      <c r="H1667" s="43" t="b">
        <v>0</v>
      </c>
      <c r="I1667" s="43"/>
      <c r="M1667" s="48" t="s">
        <v>1941</v>
      </c>
      <c r="N1667" s="48">
        <v>17088569990</v>
      </c>
      <c r="O1667" s="48">
        <v>17088571016</v>
      </c>
      <c r="P1667" s="48" t="s">
        <v>117</v>
      </c>
      <c r="Q1667" s="49" t="s">
        <v>1941</v>
      </c>
      <c r="R1667" s="49">
        <v>17083128241</v>
      </c>
      <c r="S1667" s="49">
        <v>17083129804</v>
      </c>
      <c r="T1667" s="49" t="s">
        <v>117</v>
      </c>
      <c r="U1667" s="50" t="s">
        <v>1941</v>
      </c>
      <c r="V1667" s="50">
        <v>17083128241</v>
      </c>
      <c r="W1667" s="50">
        <v>17083129804</v>
      </c>
      <c r="X1667" s="50" t="s">
        <v>117</v>
      </c>
      <c r="Y1667" s="50"/>
    </row>
    <row r="1668" spans="1:25" x14ac:dyDescent="0.25">
      <c r="A1668" s="25" t="s">
        <v>115</v>
      </c>
      <c r="B1668" t="b">
        <v>0</v>
      </c>
      <c r="C1668" s="43" t="s">
        <v>1942</v>
      </c>
      <c r="D1668" s="43">
        <v>322500</v>
      </c>
      <c r="E1668" s="43">
        <v>300139</v>
      </c>
      <c r="F1668" s="43" t="s">
        <v>383</v>
      </c>
      <c r="G1668" s="43" t="b">
        <v>0</v>
      </c>
      <c r="H1668" s="43" t="b">
        <v>0</v>
      </c>
      <c r="I1668" s="43"/>
      <c r="M1668" s="48" t="s">
        <v>1942</v>
      </c>
      <c r="N1668" s="48">
        <v>17088572230</v>
      </c>
      <c r="O1668" s="48">
        <v>17088572624</v>
      </c>
      <c r="P1668" s="48" t="s">
        <v>383</v>
      </c>
      <c r="Q1668" s="49" t="s">
        <v>1942</v>
      </c>
      <c r="R1668" s="49">
        <v>17083129073</v>
      </c>
      <c r="S1668" s="49">
        <v>17083126708</v>
      </c>
      <c r="T1668" s="49" t="s">
        <v>383</v>
      </c>
      <c r="U1668" s="50" t="s">
        <v>1942</v>
      </c>
      <c r="V1668" s="50">
        <v>17083129073</v>
      </c>
      <c r="W1668" s="50">
        <v>17083126708</v>
      </c>
      <c r="X1668" s="50" t="s">
        <v>383</v>
      </c>
      <c r="Y1668" s="50"/>
    </row>
    <row r="1669" spans="1:25" x14ac:dyDescent="0.25">
      <c r="A1669" s="25" t="s">
        <v>115</v>
      </c>
      <c r="B1669" t="b">
        <v>0</v>
      </c>
      <c r="C1669" s="43" t="s">
        <v>1943</v>
      </c>
      <c r="D1669" s="43">
        <v>321476</v>
      </c>
      <c r="E1669" s="43">
        <v>303027</v>
      </c>
      <c r="F1669" s="43" t="s">
        <v>123</v>
      </c>
      <c r="G1669" s="43" t="b">
        <v>0</v>
      </c>
      <c r="H1669" s="43" t="b">
        <v>0</v>
      </c>
      <c r="I1669" s="43"/>
      <c r="M1669" s="48" t="s">
        <v>1943</v>
      </c>
      <c r="N1669" s="48">
        <v>17088572486</v>
      </c>
      <c r="O1669" s="48">
        <v>17088570696</v>
      </c>
      <c r="P1669" s="48" t="s">
        <v>123</v>
      </c>
      <c r="Q1669" s="49" t="s">
        <v>1943</v>
      </c>
      <c r="R1669" s="49">
        <v>17083127665</v>
      </c>
      <c r="S1669" s="49">
        <v>17083129004</v>
      </c>
      <c r="T1669" s="49" t="s">
        <v>123</v>
      </c>
      <c r="U1669" s="50" t="s">
        <v>1943</v>
      </c>
      <c r="V1669" s="50">
        <v>17083127665</v>
      </c>
      <c r="W1669" s="50">
        <v>17083129004</v>
      </c>
      <c r="X1669" s="50" t="s">
        <v>123</v>
      </c>
      <c r="Y1669" s="50"/>
    </row>
    <row r="1670" spans="1:25" x14ac:dyDescent="0.25">
      <c r="A1670" s="25" t="s">
        <v>115</v>
      </c>
      <c r="B1670" t="b">
        <v>0</v>
      </c>
      <c r="C1670" s="43" t="s">
        <v>1944</v>
      </c>
      <c r="D1670" s="43">
        <v>323524</v>
      </c>
      <c r="E1670" s="43">
        <v>300387</v>
      </c>
      <c r="F1670" s="43" t="s">
        <v>186</v>
      </c>
      <c r="G1670" s="43" t="b">
        <v>0</v>
      </c>
      <c r="H1670" s="43" t="b">
        <v>0</v>
      </c>
      <c r="I1670" s="43"/>
      <c r="M1670" s="48" t="s">
        <v>1944</v>
      </c>
      <c r="N1670" s="48">
        <v>17088573038</v>
      </c>
      <c r="O1670" s="48">
        <v>17088559314</v>
      </c>
      <c r="P1670" s="48" t="s">
        <v>186</v>
      </c>
      <c r="Q1670" s="49" t="s">
        <v>1944</v>
      </c>
      <c r="R1670" s="49">
        <v>17083129093</v>
      </c>
      <c r="S1670" s="49">
        <v>17083117759</v>
      </c>
      <c r="T1670" s="49" t="s">
        <v>186</v>
      </c>
      <c r="U1670" s="50" t="s">
        <v>1944</v>
      </c>
      <c r="V1670" s="50">
        <v>17083129093</v>
      </c>
      <c r="W1670" s="50">
        <v>17083117759</v>
      </c>
      <c r="X1670" s="50" t="s">
        <v>186</v>
      </c>
      <c r="Y1670" s="50"/>
    </row>
    <row r="1671" spans="1:25" x14ac:dyDescent="0.25">
      <c r="A1671" s="25" t="s">
        <v>115</v>
      </c>
      <c r="B1671" t="b">
        <v>0</v>
      </c>
      <c r="C1671" s="43" t="s">
        <v>1945</v>
      </c>
      <c r="D1671" s="43">
        <v>319524</v>
      </c>
      <c r="E1671" s="43">
        <v>302595</v>
      </c>
      <c r="F1671" s="43" t="s">
        <v>123</v>
      </c>
      <c r="G1671" s="43" t="b">
        <v>0</v>
      </c>
      <c r="H1671" s="43" t="b">
        <v>0</v>
      </c>
      <c r="I1671" s="43"/>
      <c r="M1671" s="48" t="s">
        <v>1945</v>
      </c>
      <c r="N1671" s="48">
        <v>17088571041</v>
      </c>
      <c r="O1671" s="48">
        <v>17088561207</v>
      </c>
      <c r="P1671" s="48" t="s">
        <v>123</v>
      </c>
      <c r="Q1671" s="49" t="s">
        <v>1945</v>
      </c>
      <c r="R1671" s="49">
        <v>17083127818</v>
      </c>
      <c r="S1671" s="49">
        <v>17083124132</v>
      </c>
      <c r="T1671" s="49" t="s">
        <v>123</v>
      </c>
      <c r="U1671" s="50" t="s">
        <v>1945</v>
      </c>
      <c r="V1671" s="50">
        <v>17083127818</v>
      </c>
      <c r="W1671" s="50">
        <v>17083124132</v>
      </c>
      <c r="X1671" s="50" t="s">
        <v>123</v>
      </c>
      <c r="Y1671" s="50"/>
    </row>
    <row r="1672" spans="1:25" x14ac:dyDescent="0.25">
      <c r="A1672" s="25" t="s">
        <v>115</v>
      </c>
      <c r="B1672" t="b">
        <v>0</v>
      </c>
      <c r="C1672" s="43" t="s">
        <v>1946</v>
      </c>
      <c r="D1672" s="43">
        <v>321572</v>
      </c>
      <c r="E1672" s="43">
        <v>299651</v>
      </c>
      <c r="F1672" s="43" t="s">
        <v>125</v>
      </c>
      <c r="G1672" s="43" t="b">
        <v>0</v>
      </c>
      <c r="H1672" s="43" t="b">
        <v>0</v>
      </c>
      <c r="I1672" s="43" t="s">
        <v>126</v>
      </c>
      <c r="M1672" s="48" t="s">
        <v>1946</v>
      </c>
      <c r="N1672" s="48">
        <v>17088572321</v>
      </c>
      <c r="O1672" s="48">
        <v>17088564695</v>
      </c>
      <c r="P1672" s="48" t="s">
        <v>125</v>
      </c>
      <c r="Q1672" s="49" t="s">
        <v>1946</v>
      </c>
      <c r="R1672" s="49">
        <v>17083127562</v>
      </c>
      <c r="S1672" s="49">
        <v>17083122340</v>
      </c>
      <c r="T1672" s="49" t="s">
        <v>125</v>
      </c>
      <c r="U1672" s="50" t="s">
        <v>1946</v>
      </c>
      <c r="V1672" s="50">
        <v>17083127562</v>
      </c>
      <c r="W1672" s="50">
        <v>17083122340</v>
      </c>
      <c r="X1672" s="50" t="s">
        <v>125</v>
      </c>
      <c r="Y1672" s="50"/>
    </row>
    <row r="1673" spans="1:25" x14ac:dyDescent="0.25">
      <c r="A1673" s="25" t="s">
        <v>115</v>
      </c>
      <c r="B1673" t="b">
        <v>0</v>
      </c>
      <c r="C1673" s="43" t="s">
        <v>1947</v>
      </c>
      <c r="D1673" s="43">
        <v>320548</v>
      </c>
      <c r="E1673" s="43">
        <v>301387</v>
      </c>
      <c r="F1673" s="43" t="s">
        <v>186</v>
      </c>
      <c r="G1673" s="43" t="b">
        <v>0</v>
      </c>
      <c r="H1673" s="43" t="b">
        <v>0</v>
      </c>
      <c r="I1673" s="43"/>
      <c r="M1673" s="48" t="s">
        <v>1947</v>
      </c>
      <c r="N1673" s="48">
        <v>17088569894</v>
      </c>
      <c r="O1673" s="48">
        <v>17088572552</v>
      </c>
      <c r="P1673" s="48" t="s">
        <v>186</v>
      </c>
      <c r="Q1673" s="49" t="s">
        <v>1947</v>
      </c>
      <c r="R1673" s="49">
        <v>17083126025</v>
      </c>
      <c r="S1673" s="49">
        <v>17083126732</v>
      </c>
      <c r="T1673" s="49" t="s">
        <v>186</v>
      </c>
      <c r="U1673" s="50" t="s">
        <v>1947</v>
      </c>
      <c r="V1673" s="50">
        <v>17083126025</v>
      </c>
      <c r="W1673" s="50">
        <v>17083126732</v>
      </c>
      <c r="X1673" s="50" t="s">
        <v>186</v>
      </c>
      <c r="Y1673" s="50"/>
    </row>
    <row r="1674" spans="1:25" x14ac:dyDescent="0.25">
      <c r="A1674" s="25" t="s">
        <v>115</v>
      </c>
      <c r="B1674" t="b">
        <v>0</v>
      </c>
      <c r="C1674" s="43" t="s">
        <v>1948</v>
      </c>
      <c r="D1674" s="43">
        <v>320036</v>
      </c>
      <c r="E1674" s="43">
        <v>300659</v>
      </c>
      <c r="F1674" s="43" t="s">
        <v>123</v>
      </c>
      <c r="G1674" s="43" t="b">
        <v>0</v>
      </c>
      <c r="H1674" s="43" t="b">
        <v>0</v>
      </c>
      <c r="I1674" s="43"/>
      <c r="M1674" s="48" t="s">
        <v>1948</v>
      </c>
      <c r="N1674" s="48">
        <v>17088570182</v>
      </c>
      <c r="O1674" s="48">
        <v>17088572488</v>
      </c>
      <c r="P1674" s="48" t="s">
        <v>123</v>
      </c>
      <c r="Q1674" s="49" t="s">
        <v>1948</v>
      </c>
      <c r="R1674" s="49">
        <v>17083127025</v>
      </c>
      <c r="S1674" s="49">
        <v>17083126572</v>
      </c>
      <c r="T1674" s="49" t="s">
        <v>123</v>
      </c>
      <c r="U1674" s="50" t="s">
        <v>1948</v>
      </c>
      <c r="V1674" s="50">
        <v>17083127025</v>
      </c>
      <c r="W1674" s="50">
        <v>17083126572</v>
      </c>
      <c r="X1674" s="50" t="s">
        <v>123</v>
      </c>
      <c r="Y1674" s="50"/>
    </row>
    <row r="1675" spans="1:25" x14ac:dyDescent="0.25">
      <c r="A1675" s="25" t="s">
        <v>115</v>
      </c>
      <c r="B1675" t="b">
        <v>0</v>
      </c>
      <c r="C1675" s="43" t="s">
        <v>1949</v>
      </c>
      <c r="D1675" s="43">
        <v>322084</v>
      </c>
      <c r="E1675" s="43">
        <v>300083</v>
      </c>
      <c r="F1675" s="43" t="s">
        <v>125</v>
      </c>
      <c r="G1675" s="43" t="b">
        <v>1</v>
      </c>
      <c r="H1675" s="43" t="b">
        <v>0</v>
      </c>
      <c r="I1675" s="43" t="s">
        <v>126</v>
      </c>
      <c r="M1675" s="48" t="s">
        <v>1949</v>
      </c>
      <c r="N1675" s="48">
        <v>17088569774</v>
      </c>
      <c r="O1675" s="48">
        <v>17088557138</v>
      </c>
      <c r="P1675" s="48" t="s">
        <v>125</v>
      </c>
      <c r="Q1675" s="49" t="s">
        <v>1949</v>
      </c>
      <c r="R1675" s="49">
        <v>17083126777</v>
      </c>
      <c r="S1675" s="49">
        <v>17083121631</v>
      </c>
      <c r="T1675" s="49" t="s">
        <v>125</v>
      </c>
      <c r="U1675" s="50" t="s">
        <v>1949</v>
      </c>
      <c r="V1675" s="50">
        <v>17083126777</v>
      </c>
      <c r="W1675" s="50">
        <v>17083121631</v>
      </c>
      <c r="X1675" s="50" t="s">
        <v>125</v>
      </c>
      <c r="Y1675" s="50">
        <v>120403</v>
      </c>
    </row>
    <row r="1676" spans="1:25" x14ac:dyDescent="0.25">
      <c r="A1676" s="25" t="s">
        <v>115</v>
      </c>
      <c r="B1676" t="b">
        <v>0</v>
      </c>
      <c r="C1676" s="43" t="s">
        <v>1950</v>
      </c>
      <c r="D1676" s="43">
        <v>321060</v>
      </c>
      <c r="E1676" s="43">
        <v>302115</v>
      </c>
      <c r="F1676" s="43" t="s">
        <v>125</v>
      </c>
      <c r="G1676" s="43" t="b">
        <v>0</v>
      </c>
      <c r="H1676" s="43" t="b">
        <v>0</v>
      </c>
      <c r="I1676" s="43"/>
      <c r="M1676" s="48" t="s">
        <v>1950</v>
      </c>
      <c r="N1676" s="48">
        <v>17088570145</v>
      </c>
      <c r="O1676" s="48">
        <v>17088562071</v>
      </c>
      <c r="P1676" s="48" t="s">
        <v>125</v>
      </c>
      <c r="Q1676" s="49" t="s">
        <v>1950</v>
      </c>
      <c r="R1676" s="49">
        <v>17083129586</v>
      </c>
      <c r="S1676" s="49">
        <v>17083123396</v>
      </c>
      <c r="T1676" s="49" t="s">
        <v>125</v>
      </c>
      <c r="U1676" s="50" t="s">
        <v>1950</v>
      </c>
      <c r="V1676" s="50">
        <v>17083129586</v>
      </c>
      <c r="W1676" s="50">
        <v>17083123396</v>
      </c>
      <c r="X1676" s="50" t="s">
        <v>125</v>
      </c>
      <c r="Y1676" s="50"/>
    </row>
    <row r="1677" spans="1:25" x14ac:dyDescent="0.25">
      <c r="A1677" s="25" t="s">
        <v>115</v>
      </c>
      <c r="B1677" t="b">
        <v>0</v>
      </c>
      <c r="C1677" s="43" t="s">
        <v>1951</v>
      </c>
      <c r="D1677" s="43">
        <v>323108</v>
      </c>
      <c r="E1677" s="43">
        <v>300995</v>
      </c>
      <c r="F1677" s="43" t="s">
        <v>123</v>
      </c>
      <c r="G1677" s="43" t="b">
        <v>1</v>
      </c>
      <c r="H1677" s="43" t="b">
        <v>0</v>
      </c>
      <c r="I1677" s="43" t="s">
        <v>134</v>
      </c>
      <c r="M1677" s="48" t="s">
        <v>1951</v>
      </c>
      <c r="N1677" s="48">
        <v>17088571937</v>
      </c>
      <c r="O1677" s="48">
        <v>17088565143</v>
      </c>
      <c r="P1677" s="48" t="s">
        <v>123</v>
      </c>
      <c r="Q1677" s="49" t="s">
        <v>1951</v>
      </c>
      <c r="R1677" s="49">
        <v>17083126642</v>
      </c>
      <c r="S1677" s="49">
        <v>17083124164</v>
      </c>
      <c r="T1677" s="49" t="s">
        <v>123</v>
      </c>
      <c r="U1677" s="50" t="s">
        <v>1951</v>
      </c>
      <c r="V1677" s="50">
        <v>17083126642</v>
      </c>
      <c r="W1677" s="50">
        <v>17083124164</v>
      </c>
      <c r="X1677" s="50" t="s">
        <v>123</v>
      </c>
      <c r="Y1677" s="50">
        <v>150159</v>
      </c>
    </row>
    <row r="1678" spans="1:25" x14ac:dyDescent="0.25">
      <c r="A1678" s="25" t="s">
        <v>115</v>
      </c>
      <c r="B1678" t="b">
        <v>0</v>
      </c>
      <c r="C1678" s="43" t="s">
        <v>1952</v>
      </c>
      <c r="D1678" s="43">
        <v>319780</v>
      </c>
      <c r="E1678" s="43">
        <v>302619</v>
      </c>
      <c r="F1678" s="43" t="s">
        <v>125</v>
      </c>
      <c r="G1678" s="43" t="b">
        <v>0</v>
      </c>
      <c r="H1678" s="43" t="b">
        <v>0</v>
      </c>
      <c r="I1678" s="43"/>
      <c r="M1678" s="48" t="s">
        <v>1952</v>
      </c>
      <c r="N1678" s="48">
        <v>17088569574</v>
      </c>
      <c r="O1678" s="48">
        <v>17088559544</v>
      </c>
      <c r="P1678" s="48" t="s">
        <v>125</v>
      </c>
      <c r="Q1678" s="49" t="s">
        <v>1952</v>
      </c>
      <c r="R1678" s="49">
        <v>17083126057</v>
      </c>
      <c r="S1678" s="49">
        <v>17083092034</v>
      </c>
      <c r="T1678" s="49" t="s">
        <v>125</v>
      </c>
      <c r="U1678" s="50" t="s">
        <v>1952</v>
      </c>
      <c r="V1678" s="50">
        <v>17083126057</v>
      </c>
      <c r="W1678" s="50">
        <v>17083092034</v>
      </c>
      <c r="X1678" s="50" t="s">
        <v>125</v>
      </c>
      <c r="Y1678" s="50"/>
    </row>
    <row r="1679" spans="1:25" x14ac:dyDescent="0.25">
      <c r="A1679" s="25" t="b">
        <v>1</v>
      </c>
      <c r="B1679" t="b">
        <v>0</v>
      </c>
      <c r="C1679" s="43" t="s">
        <v>1953</v>
      </c>
      <c r="D1679" s="43">
        <v>321828</v>
      </c>
      <c r="E1679" s="43">
        <v>299451</v>
      </c>
      <c r="F1679" s="43" t="s">
        <v>173</v>
      </c>
      <c r="G1679" s="43" t="b">
        <v>0</v>
      </c>
      <c r="H1679" s="43" t="b">
        <v>0</v>
      </c>
      <c r="I1679" s="43"/>
      <c r="J1679" s="45" t="s">
        <v>1953</v>
      </c>
      <c r="K1679" s="46">
        <v>299451</v>
      </c>
      <c r="M1679" s="48" t="s">
        <v>1953</v>
      </c>
      <c r="N1679" s="48">
        <v>17088570790</v>
      </c>
      <c r="O1679" s="48">
        <v>17088559976</v>
      </c>
      <c r="P1679" s="48" t="s">
        <v>173</v>
      </c>
      <c r="Q1679" s="49" t="s">
        <v>1953</v>
      </c>
      <c r="R1679" s="49">
        <v>17083128137</v>
      </c>
      <c r="S1679" s="49">
        <v>17083092700</v>
      </c>
      <c r="T1679" s="49" t="s">
        <v>173</v>
      </c>
      <c r="U1679" s="50" t="s">
        <v>1953</v>
      </c>
      <c r="V1679" s="50">
        <v>17083128137</v>
      </c>
      <c r="W1679" s="50">
        <v>17083092700</v>
      </c>
      <c r="X1679" s="50" t="s">
        <v>173</v>
      </c>
      <c r="Y1679" s="50"/>
    </row>
    <row r="1680" spans="1:25" x14ac:dyDescent="0.25">
      <c r="A1680" s="25" t="s">
        <v>115</v>
      </c>
      <c r="B1680" t="b">
        <v>0</v>
      </c>
      <c r="C1680" s="43" t="s">
        <v>1954</v>
      </c>
      <c r="D1680" s="43">
        <v>320804</v>
      </c>
      <c r="E1680" s="43">
        <v>299547</v>
      </c>
      <c r="F1680" s="43" t="s">
        <v>125</v>
      </c>
      <c r="G1680" s="43" t="b">
        <v>0</v>
      </c>
      <c r="H1680" s="43" t="b">
        <v>0</v>
      </c>
      <c r="I1680" s="43"/>
      <c r="M1680" s="48" t="s">
        <v>1954</v>
      </c>
      <c r="N1680" s="48">
        <v>17088573286</v>
      </c>
      <c r="O1680" s="48">
        <v>17088561080</v>
      </c>
      <c r="P1680" s="48" t="s">
        <v>125</v>
      </c>
      <c r="Q1680" s="49" t="s">
        <v>1954</v>
      </c>
      <c r="R1680" s="49">
        <v>17083129385</v>
      </c>
      <c r="S1680" s="49">
        <v>17083089218</v>
      </c>
      <c r="T1680" s="49" t="s">
        <v>125</v>
      </c>
      <c r="U1680" s="50" t="s">
        <v>1954</v>
      </c>
      <c r="V1680" s="50">
        <v>17083129385</v>
      </c>
      <c r="W1680" s="50">
        <v>17083089218</v>
      </c>
      <c r="X1680" s="50" t="s">
        <v>125</v>
      </c>
      <c r="Y1680" s="50"/>
    </row>
    <row r="1681" spans="1:25" x14ac:dyDescent="0.25">
      <c r="A1681" s="25" t="s">
        <v>115</v>
      </c>
      <c r="B1681" t="b">
        <v>0</v>
      </c>
      <c r="C1681" s="43" t="s">
        <v>1955</v>
      </c>
      <c r="D1681" s="43">
        <v>322852</v>
      </c>
      <c r="E1681" s="43">
        <v>299107</v>
      </c>
      <c r="F1681" s="43" t="s">
        <v>119</v>
      </c>
      <c r="G1681" s="43" t="b">
        <v>0</v>
      </c>
      <c r="H1681" s="43" t="b">
        <v>0</v>
      </c>
      <c r="I1681" s="43"/>
      <c r="M1681" s="48" t="s">
        <v>1955</v>
      </c>
      <c r="N1681" s="48">
        <v>17088570980</v>
      </c>
      <c r="O1681" s="48">
        <v>17088561215</v>
      </c>
      <c r="P1681" s="48" t="s">
        <v>119</v>
      </c>
      <c r="Q1681" s="49" t="s">
        <v>1955</v>
      </c>
      <c r="R1681" s="49">
        <v>17083129674</v>
      </c>
      <c r="S1681" s="49">
        <v>17083123372</v>
      </c>
      <c r="T1681" s="49" t="s">
        <v>119</v>
      </c>
      <c r="U1681" s="50" t="s">
        <v>1955</v>
      </c>
      <c r="V1681" s="50">
        <v>17083129674</v>
      </c>
      <c r="W1681" s="50">
        <v>17083123372</v>
      </c>
      <c r="X1681" s="50" t="s">
        <v>119</v>
      </c>
      <c r="Y1681" s="50"/>
    </row>
    <row r="1682" spans="1:25" x14ac:dyDescent="0.25">
      <c r="A1682" s="25" t="s">
        <v>115</v>
      </c>
      <c r="B1682" t="b">
        <v>0</v>
      </c>
      <c r="C1682" s="43" t="s">
        <v>1956</v>
      </c>
      <c r="D1682" s="43">
        <v>320292</v>
      </c>
      <c r="E1682" s="43">
        <v>299427</v>
      </c>
      <c r="F1682" s="43" t="s">
        <v>119</v>
      </c>
      <c r="G1682" s="43" t="b">
        <v>0</v>
      </c>
      <c r="H1682" s="43" t="b">
        <v>0</v>
      </c>
      <c r="I1682" s="43"/>
      <c r="M1682" s="48" t="s">
        <v>1956</v>
      </c>
      <c r="N1682" s="48">
        <v>17088570212</v>
      </c>
      <c r="O1682" s="48">
        <v>17088561471</v>
      </c>
      <c r="P1682" s="48" t="s">
        <v>119</v>
      </c>
      <c r="Q1682" s="49" t="s">
        <v>1956</v>
      </c>
      <c r="R1682" s="49">
        <v>17083129034</v>
      </c>
      <c r="S1682" s="49">
        <v>17083123628</v>
      </c>
      <c r="T1682" s="49" t="s">
        <v>119</v>
      </c>
      <c r="U1682" s="50" t="s">
        <v>1956</v>
      </c>
      <c r="V1682" s="50">
        <v>17083129034</v>
      </c>
      <c r="W1682" s="50">
        <v>17083123628</v>
      </c>
      <c r="X1682" s="50" t="s">
        <v>119</v>
      </c>
      <c r="Y1682" s="50"/>
    </row>
    <row r="1683" spans="1:25" x14ac:dyDescent="0.25">
      <c r="A1683" s="25" t="s">
        <v>115</v>
      </c>
      <c r="B1683" t="b">
        <v>0</v>
      </c>
      <c r="C1683" s="43" t="s">
        <v>1957</v>
      </c>
      <c r="D1683" s="43">
        <v>322340</v>
      </c>
      <c r="E1683" s="43">
        <v>302395</v>
      </c>
      <c r="F1683" s="43" t="s">
        <v>132</v>
      </c>
      <c r="G1683" s="43" t="b">
        <v>0</v>
      </c>
      <c r="H1683" s="43" t="b">
        <v>0</v>
      </c>
      <c r="I1683" s="43"/>
      <c r="M1683" s="48" t="s">
        <v>1957</v>
      </c>
      <c r="N1683" s="48">
        <v>17088571238</v>
      </c>
      <c r="O1683" s="48">
        <v>17088558568</v>
      </c>
      <c r="P1683" s="48" t="s">
        <v>132</v>
      </c>
      <c r="Q1683" s="49" t="s">
        <v>1957</v>
      </c>
      <c r="R1683" s="49">
        <v>17083127337</v>
      </c>
      <c r="S1683" s="49">
        <v>17083089468</v>
      </c>
      <c r="T1683" s="49" t="s">
        <v>132</v>
      </c>
      <c r="U1683" s="50" t="s">
        <v>1957</v>
      </c>
      <c r="V1683" s="50">
        <v>17083127337</v>
      </c>
      <c r="W1683" s="50">
        <v>17083089468</v>
      </c>
      <c r="X1683" s="50" t="s">
        <v>132</v>
      </c>
      <c r="Y1683" s="50"/>
    </row>
    <row r="1684" spans="1:25" x14ac:dyDescent="0.25">
      <c r="A1684" s="25" t="s">
        <v>115</v>
      </c>
      <c r="B1684" t="b">
        <v>0</v>
      </c>
      <c r="C1684" s="43" t="s">
        <v>1958</v>
      </c>
      <c r="D1684" s="43">
        <v>321316</v>
      </c>
      <c r="E1684" s="43">
        <v>299611</v>
      </c>
      <c r="F1684" s="43" t="s">
        <v>117</v>
      </c>
      <c r="G1684" s="43" t="b">
        <v>0</v>
      </c>
      <c r="H1684" s="43" t="b">
        <v>0</v>
      </c>
      <c r="I1684" s="43"/>
      <c r="J1684" s="45" t="s">
        <v>1958</v>
      </c>
      <c r="K1684" s="46">
        <v>299611</v>
      </c>
      <c r="L1684" s="47">
        <v>990000664</v>
      </c>
      <c r="M1684" s="48" t="s">
        <v>1958</v>
      </c>
      <c r="N1684" s="48">
        <v>17088572518</v>
      </c>
      <c r="O1684" s="48">
        <v>17088561112</v>
      </c>
      <c r="P1684" s="48" t="s">
        <v>117</v>
      </c>
      <c r="Q1684" s="49" t="s">
        <v>1958</v>
      </c>
      <c r="R1684" s="49">
        <v>17083126473</v>
      </c>
      <c r="S1684" s="49">
        <v>17083091202</v>
      </c>
      <c r="T1684" s="49" t="s">
        <v>117</v>
      </c>
      <c r="U1684" s="50" t="s">
        <v>1958</v>
      </c>
      <c r="V1684" s="50">
        <v>17083126473</v>
      </c>
      <c r="W1684" s="50">
        <v>17083091202</v>
      </c>
      <c r="X1684" s="50" t="s">
        <v>117</v>
      </c>
      <c r="Y1684" s="50"/>
    </row>
    <row r="1685" spans="1:25" x14ac:dyDescent="0.25">
      <c r="A1685" s="25" t="s">
        <v>248</v>
      </c>
      <c r="B1685" t="b">
        <v>0</v>
      </c>
      <c r="C1685" s="43" t="s">
        <v>1959</v>
      </c>
      <c r="D1685" s="43">
        <v>323364</v>
      </c>
      <c r="E1685" s="43">
        <v>299259</v>
      </c>
      <c r="F1685" s="43" t="s">
        <v>173</v>
      </c>
      <c r="G1685" s="43" t="b">
        <v>0</v>
      </c>
      <c r="H1685" s="43" t="b">
        <v>0</v>
      </c>
      <c r="I1685" s="43"/>
      <c r="J1685" s="45" t="s">
        <v>1959</v>
      </c>
      <c r="K1685" s="46">
        <v>299259</v>
      </c>
      <c r="L1685" s="47">
        <v>990000265</v>
      </c>
      <c r="M1685" s="48" t="s">
        <v>1959</v>
      </c>
      <c r="N1685" s="48">
        <v>17088571814</v>
      </c>
      <c r="O1685" s="48">
        <v>17088557160</v>
      </c>
      <c r="P1685" s="48" t="s">
        <v>173</v>
      </c>
      <c r="Q1685" s="49" t="s">
        <v>1959</v>
      </c>
      <c r="R1685" s="49">
        <v>17083126089</v>
      </c>
      <c r="S1685" s="49">
        <v>17083090268</v>
      </c>
      <c r="T1685" s="49" t="s">
        <v>173</v>
      </c>
      <c r="U1685" s="50" t="s">
        <v>1959</v>
      </c>
      <c r="V1685" s="50">
        <v>17083126089</v>
      </c>
      <c r="W1685" s="50">
        <v>17083090268</v>
      </c>
      <c r="X1685" s="50" t="s">
        <v>173</v>
      </c>
      <c r="Y1685" s="50"/>
    </row>
    <row r="1686" spans="1:25" x14ac:dyDescent="0.25">
      <c r="A1686" s="25" t="s">
        <v>115</v>
      </c>
      <c r="B1686" t="b">
        <v>0</v>
      </c>
      <c r="C1686" s="43" t="s">
        <v>1960</v>
      </c>
      <c r="D1686" s="43">
        <v>319652</v>
      </c>
      <c r="E1686" s="43">
        <v>299675</v>
      </c>
      <c r="F1686" s="43" t="s">
        <v>125</v>
      </c>
      <c r="G1686" s="43" t="b">
        <v>0</v>
      </c>
      <c r="H1686" s="43" t="b">
        <v>0</v>
      </c>
      <c r="I1686" s="43"/>
      <c r="M1686" s="48" t="s">
        <v>1960</v>
      </c>
      <c r="N1686" s="48">
        <v>17088573222</v>
      </c>
      <c r="O1686" s="48">
        <v>17088557880</v>
      </c>
      <c r="P1686" s="48" t="s">
        <v>125</v>
      </c>
      <c r="Q1686" s="49" t="s">
        <v>1960</v>
      </c>
      <c r="R1686" s="49">
        <v>17083128969</v>
      </c>
      <c r="S1686" s="49">
        <v>17083090562</v>
      </c>
      <c r="T1686" s="49" t="s">
        <v>125</v>
      </c>
      <c r="U1686" s="50" t="s">
        <v>1960</v>
      </c>
      <c r="V1686" s="50">
        <v>17083128969</v>
      </c>
      <c r="W1686" s="50">
        <v>17083090562</v>
      </c>
      <c r="X1686" s="50" t="s">
        <v>125</v>
      </c>
      <c r="Y1686" s="50"/>
    </row>
    <row r="1687" spans="1:25" x14ac:dyDescent="0.25">
      <c r="A1687" s="25" t="s">
        <v>115</v>
      </c>
      <c r="B1687" t="b">
        <v>0</v>
      </c>
      <c r="C1687" s="43" t="s">
        <v>1961</v>
      </c>
      <c r="D1687" s="43">
        <v>321700</v>
      </c>
      <c r="E1687" s="43">
        <v>302123</v>
      </c>
      <c r="F1687" s="43" t="s">
        <v>132</v>
      </c>
      <c r="G1687" s="43" t="b">
        <v>0</v>
      </c>
      <c r="H1687" s="43" t="b">
        <v>0</v>
      </c>
      <c r="I1687" s="43"/>
      <c r="M1687" s="48" t="s">
        <v>1961</v>
      </c>
      <c r="N1687" s="48">
        <v>17088573422</v>
      </c>
      <c r="O1687" s="48">
        <v>17088563411</v>
      </c>
      <c r="P1687" s="48" t="s">
        <v>132</v>
      </c>
      <c r="Q1687" s="49" t="s">
        <v>1961</v>
      </c>
      <c r="R1687" s="49">
        <v>17083129221</v>
      </c>
      <c r="S1687" s="49">
        <v>17083125408</v>
      </c>
      <c r="T1687" s="49" t="s">
        <v>132</v>
      </c>
      <c r="U1687" s="50" t="s">
        <v>1961</v>
      </c>
      <c r="V1687" s="50">
        <v>17083129221</v>
      </c>
      <c r="W1687" s="50">
        <v>17083125408</v>
      </c>
      <c r="X1687" s="50" t="s">
        <v>132</v>
      </c>
      <c r="Y1687" s="50"/>
    </row>
    <row r="1688" spans="1:25" x14ac:dyDescent="0.25">
      <c r="A1688" s="25" t="s">
        <v>115</v>
      </c>
      <c r="B1688" t="b">
        <v>0</v>
      </c>
      <c r="C1688" s="43" t="s">
        <v>1962</v>
      </c>
      <c r="D1688" s="43">
        <v>320676</v>
      </c>
      <c r="E1688" s="43">
        <v>302931</v>
      </c>
      <c r="F1688" s="43" t="s">
        <v>123</v>
      </c>
      <c r="G1688" s="43" t="b">
        <v>1</v>
      </c>
      <c r="H1688" s="43" t="b">
        <v>0</v>
      </c>
      <c r="I1688" s="43" t="s">
        <v>126</v>
      </c>
      <c r="M1688" s="48" t="s">
        <v>1962</v>
      </c>
      <c r="N1688" s="48">
        <v>17088570276</v>
      </c>
      <c r="O1688" s="48">
        <v>17088563615</v>
      </c>
      <c r="P1688" s="48" t="s">
        <v>123</v>
      </c>
      <c r="Q1688" s="49" t="s">
        <v>1962</v>
      </c>
      <c r="R1688" s="49">
        <v>17083126090</v>
      </c>
      <c r="S1688" s="49">
        <v>17083125580</v>
      </c>
      <c r="T1688" s="49" t="s">
        <v>123</v>
      </c>
      <c r="U1688" s="50" t="s">
        <v>1962</v>
      </c>
      <c r="V1688" s="50">
        <v>17083126090</v>
      </c>
      <c r="W1688" s="50">
        <v>17083125580</v>
      </c>
      <c r="X1688" s="50" t="s">
        <v>123</v>
      </c>
      <c r="Y1688" s="50">
        <v>140004</v>
      </c>
    </row>
    <row r="1689" spans="1:25" x14ac:dyDescent="0.25">
      <c r="A1689" s="25" t="s">
        <v>115</v>
      </c>
      <c r="B1689" t="b">
        <v>0</v>
      </c>
      <c r="C1689" s="43" t="s">
        <v>1963</v>
      </c>
      <c r="D1689" s="43">
        <v>322724</v>
      </c>
      <c r="E1689" s="43">
        <v>303075</v>
      </c>
      <c r="F1689" s="43" t="s">
        <v>123</v>
      </c>
      <c r="G1689" s="43" t="b">
        <v>0</v>
      </c>
      <c r="H1689" s="43" t="b">
        <v>0</v>
      </c>
      <c r="I1689" s="43"/>
      <c r="M1689" s="48" t="s">
        <v>1963</v>
      </c>
      <c r="N1689" s="48">
        <v>17088571172</v>
      </c>
      <c r="O1689" s="48">
        <v>17088562399</v>
      </c>
      <c r="P1689" s="48" t="s">
        <v>123</v>
      </c>
      <c r="Q1689" s="49" t="s">
        <v>1963</v>
      </c>
      <c r="R1689" s="49">
        <v>17083128714</v>
      </c>
      <c r="S1689" s="49">
        <v>17083121964</v>
      </c>
      <c r="T1689" s="49" t="s">
        <v>123</v>
      </c>
      <c r="U1689" s="50" t="s">
        <v>1963</v>
      </c>
      <c r="V1689" s="50">
        <v>17083128714</v>
      </c>
      <c r="W1689" s="50">
        <v>17083121964</v>
      </c>
      <c r="X1689" s="50" t="s">
        <v>123</v>
      </c>
      <c r="Y1689" s="50"/>
    </row>
    <row r="1690" spans="1:25" x14ac:dyDescent="0.25">
      <c r="A1690" s="25" t="s">
        <v>115</v>
      </c>
      <c r="B1690" t="b">
        <v>0</v>
      </c>
      <c r="C1690" s="43" t="s">
        <v>1964</v>
      </c>
      <c r="D1690" s="43">
        <v>320164</v>
      </c>
      <c r="E1690" s="43">
        <v>299227</v>
      </c>
      <c r="F1690" s="43" t="s">
        <v>383</v>
      </c>
      <c r="G1690" s="43" t="b">
        <v>0</v>
      </c>
      <c r="H1690" s="43" t="b">
        <v>0</v>
      </c>
      <c r="I1690" s="43"/>
      <c r="M1690" s="48" t="s">
        <v>1964</v>
      </c>
      <c r="N1690" s="48">
        <v>17088571174</v>
      </c>
      <c r="O1690" s="48">
        <v>17088558040</v>
      </c>
      <c r="P1690" s="48" t="s">
        <v>383</v>
      </c>
      <c r="Q1690" s="49" t="s">
        <v>1964</v>
      </c>
      <c r="R1690" s="49">
        <v>17083126921</v>
      </c>
      <c r="S1690" s="49">
        <v>17083090434</v>
      </c>
      <c r="T1690" s="49" t="s">
        <v>383</v>
      </c>
      <c r="U1690" s="50" t="s">
        <v>1964</v>
      </c>
      <c r="V1690" s="50">
        <v>17083126921</v>
      </c>
      <c r="W1690" s="50">
        <v>17083090434</v>
      </c>
      <c r="X1690" s="50" t="s">
        <v>383</v>
      </c>
      <c r="Y1690" s="50"/>
    </row>
    <row r="1691" spans="1:25" x14ac:dyDescent="0.25">
      <c r="A1691" s="25" t="s">
        <v>115</v>
      </c>
      <c r="B1691" t="b">
        <v>0</v>
      </c>
      <c r="C1691" s="43" t="s">
        <v>1965</v>
      </c>
      <c r="D1691" s="43">
        <v>322212</v>
      </c>
      <c r="E1691" s="43">
        <v>299483</v>
      </c>
      <c r="F1691" s="43" t="s">
        <v>383</v>
      </c>
      <c r="G1691" s="43" t="b">
        <v>0</v>
      </c>
      <c r="H1691" s="43" t="b">
        <v>0</v>
      </c>
      <c r="I1691" s="43"/>
      <c r="M1691" s="48" t="s">
        <v>1965</v>
      </c>
      <c r="N1691" s="48">
        <v>17088570470</v>
      </c>
      <c r="O1691" s="48">
        <v>17088560408</v>
      </c>
      <c r="P1691" s="48" t="s">
        <v>383</v>
      </c>
      <c r="Q1691" s="49" t="s">
        <v>1965</v>
      </c>
      <c r="R1691" s="49">
        <v>17083129033</v>
      </c>
      <c r="S1691" s="49">
        <v>17083091644</v>
      </c>
      <c r="T1691" s="49" t="s">
        <v>383</v>
      </c>
      <c r="U1691" s="50" t="s">
        <v>1965</v>
      </c>
      <c r="V1691" s="50">
        <v>17083129033</v>
      </c>
      <c r="W1691" s="50">
        <v>17083091644</v>
      </c>
      <c r="X1691" s="50" t="s">
        <v>383</v>
      </c>
      <c r="Y1691" s="50"/>
    </row>
    <row r="1692" spans="1:25" x14ac:dyDescent="0.25">
      <c r="A1692" s="25" t="s">
        <v>115</v>
      </c>
      <c r="B1692" t="b">
        <v>0</v>
      </c>
      <c r="C1692" s="43" t="s">
        <v>1966</v>
      </c>
      <c r="D1692" s="43">
        <v>321188</v>
      </c>
      <c r="E1692" s="43">
        <v>300859</v>
      </c>
      <c r="F1692" s="43" t="s">
        <v>383</v>
      </c>
      <c r="G1692" s="43" t="b">
        <v>0</v>
      </c>
      <c r="H1692" s="43" t="b">
        <v>0</v>
      </c>
      <c r="I1692" s="43"/>
      <c r="M1692" s="48" t="s">
        <v>1966</v>
      </c>
      <c r="N1692" s="48">
        <v>17088571046</v>
      </c>
      <c r="O1692" s="48">
        <v>17088559848</v>
      </c>
      <c r="P1692" s="48" t="s">
        <v>383</v>
      </c>
      <c r="Q1692" s="49" t="s">
        <v>1966</v>
      </c>
      <c r="R1692" s="49">
        <v>17083126665</v>
      </c>
      <c r="S1692" s="49">
        <v>17083092956</v>
      </c>
      <c r="T1692" s="49" t="s">
        <v>383</v>
      </c>
      <c r="U1692" s="50" t="s">
        <v>1966</v>
      </c>
      <c r="V1692" s="50">
        <v>17083126665</v>
      </c>
      <c r="W1692" s="50">
        <v>17083092956</v>
      </c>
      <c r="X1692" s="50" t="s">
        <v>383</v>
      </c>
      <c r="Y1692" s="50"/>
    </row>
    <row r="1693" spans="1:25" x14ac:dyDescent="0.25">
      <c r="A1693" s="25" t="s">
        <v>115</v>
      </c>
      <c r="B1693" t="b">
        <v>0</v>
      </c>
      <c r="C1693" s="43" t="s">
        <v>1967</v>
      </c>
      <c r="D1693" s="43">
        <v>323236</v>
      </c>
      <c r="E1693" s="43">
        <v>301211</v>
      </c>
      <c r="F1693" s="43" t="s">
        <v>117</v>
      </c>
      <c r="G1693" s="43" t="b">
        <v>0</v>
      </c>
      <c r="H1693" s="43" t="b">
        <v>0</v>
      </c>
      <c r="I1693" s="43"/>
      <c r="J1693" s="45" t="s">
        <v>1967</v>
      </c>
      <c r="K1693" s="46">
        <v>301211</v>
      </c>
      <c r="L1693" s="47">
        <v>990000668</v>
      </c>
      <c r="M1693" s="48" t="s">
        <v>1967</v>
      </c>
      <c r="N1693" s="48">
        <v>17088572070</v>
      </c>
      <c r="O1693" s="48">
        <v>17088560952</v>
      </c>
      <c r="P1693" s="48" t="s">
        <v>117</v>
      </c>
      <c r="Q1693" s="49" t="s">
        <v>1967</v>
      </c>
      <c r="R1693" s="49">
        <v>17083129225</v>
      </c>
      <c r="S1693" s="49">
        <v>17083091330</v>
      </c>
      <c r="T1693" s="49" t="s">
        <v>117</v>
      </c>
      <c r="U1693" s="50" t="s">
        <v>1967</v>
      </c>
      <c r="V1693" s="50">
        <v>17083129225</v>
      </c>
      <c r="W1693" s="50">
        <v>17083091330</v>
      </c>
      <c r="X1693" s="50" t="s">
        <v>117</v>
      </c>
      <c r="Y1693" s="50"/>
    </row>
    <row r="1694" spans="1:25" x14ac:dyDescent="0.25">
      <c r="A1694" s="25" t="s">
        <v>115</v>
      </c>
      <c r="B1694" t="b">
        <v>0</v>
      </c>
      <c r="C1694" s="43" t="s">
        <v>1968</v>
      </c>
      <c r="D1694" s="43">
        <v>319908</v>
      </c>
      <c r="E1694" s="43">
        <v>302523</v>
      </c>
      <c r="F1694" s="43" t="s">
        <v>119</v>
      </c>
      <c r="G1694" s="43" t="b">
        <v>0</v>
      </c>
      <c r="H1694" s="43" t="b">
        <v>0</v>
      </c>
      <c r="I1694" s="43"/>
      <c r="M1694" s="48" t="s">
        <v>1968</v>
      </c>
      <c r="N1694" s="48">
        <v>17088572134</v>
      </c>
      <c r="O1694" s="48">
        <v>17088557416</v>
      </c>
      <c r="P1694" s="48" t="s">
        <v>119</v>
      </c>
      <c r="Q1694" s="49" t="s">
        <v>1968</v>
      </c>
      <c r="R1694" s="49">
        <v>17083125929</v>
      </c>
      <c r="S1694" s="49">
        <v>17083090140</v>
      </c>
      <c r="T1694" s="49" t="s">
        <v>119</v>
      </c>
      <c r="U1694" s="50" t="s">
        <v>1968</v>
      </c>
      <c r="V1694" s="50">
        <v>17083125929</v>
      </c>
      <c r="W1694" s="50">
        <v>17083090140</v>
      </c>
      <c r="X1694" s="50" t="s">
        <v>119</v>
      </c>
      <c r="Y1694" s="50"/>
    </row>
    <row r="1695" spans="1:25" x14ac:dyDescent="0.25">
      <c r="A1695" s="25" t="s">
        <v>115</v>
      </c>
      <c r="B1695" t="b">
        <v>0</v>
      </c>
      <c r="C1695" s="43" t="s">
        <v>1969</v>
      </c>
      <c r="D1695" s="43">
        <v>321956</v>
      </c>
      <c r="E1695" s="43">
        <v>299531</v>
      </c>
      <c r="F1695" s="43" t="s">
        <v>186</v>
      </c>
      <c r="G1695" s="43" t="b">
        <v>0</v>
      </c>
      <c r="H1695" s="43" t="b">
        <v>0</v>
      </c>
      <c r="I1695" s="43"/>
      <c r="M1695" s="48" t="s">
        <v>1969</v>
      </c>
      <c r="N1695" s="48">
        <v>17088572702</v>
      </c>
      <c r="O1695" s="48">
        <v>17088565203</v>
      </c>
      <c r="P1695" s="48" t="s">
        <v>186</v>
      </c>
      <c r="Q1695" s="49" t="s">
        <v>1969</v>
      </c>
      <c r="R1695" s="49">
        <v>17083128389</v>
      </c>
      <c r="S1695" s="49">
        <v>17083124320</v>
      </c>
      <c r="T1695" s="49" t="s">
        <v>186</v>
      </c>
      <c r="U1695" s="50" t="s">
        <v>1969</v>
      </c>
      <c r="V1695" s="50">
        <v>17083128389</v>
      </c>
      <c r="W1695" s="50">
        <v>17083124320</v>
      </c>
      <c r="X1695" s="50" t="s">
        <v>186</v>
      </c>
      <c r="Y1695" s="50"/>
    </row>
    <row r="1696" spans="1:25" x14ac:dyDescent="0.25">
      <c r="A1696" s="25" t="s">
        <v>115</v>
      </c>
      <c r="B1696" t="b">
        <v>0</v>
      </c>
      <c r="C1696" s="43" t="s">
        <v>1970</v>
      </c>
      <c r="D1696" s="43">
        <v>320932</v>
      </c>
      <c r="E1696" s="43">
        <v>301627</v>
      </c>
      <c r="F1696" s="43" t="s">
        <v>132</v>
      </c>
      <c r="G1696" s="43" t="b">
        <v>0</v>
      </c>
      <c r="H1696" s="43" t="b">
        <v>0</v>
      </c>
      <c r="I1696" s="43"/>
      <c r="M1696" s="48" t="s">
        <v>1970</v>
      </c>
      <c r="N1696" s="48">
        <v>17088570854</v>
      </c>
      <c r="O1696" s="48">
        <v>17088557080</v>
      </c>
      <c r="P1696" s="48" t="s">
        <v>132</v>
      </c>
      <c r="Q1696" s="49" t="s">
        <v>1970</v>
      </c>
      <c r="R1696" s="49">
        <v>17083126185</v>
      </c>
      <c r="S1696" s="49">
        <v>17083090236</v>
      </c>
      <c r="T1696" s="49" t="s">
        <v>132</v>
      </c>
      <c r="U1696" s="50" t="s">
        <v>1970</v>
      </c>
      <c r="V1696" s="50">
        <v>17083126185</v>
      </c>
      <c r="W1696" s="50">
        <v>17083090236</v>
      </c>
      <c r="X1696" s="50" t="s">
        <v>132</v>
      </c>
      <c r="Y1696" s="50"/>
    </row>
    <row r="1697" spans="1:25" x14ac:dyDescent="0.25">
      <c r="A1697" s="25" t="s">
        <v>115</v>
      </c>
      <c r="B1697" t="b">
        <v>0</v>
      </c>
      <c r="C1697" s="43" t="s">
        <v>1971</v>
      </c>
      <c r="D1697" s="43">
        <v>322980</v>
      </c>
      <c r="E1697" s="43">
        <v>302043</v>
      </c>
      <c r="F1697" s="43" t="s">
        <v>117</v>
      </c>
      <c r="G1697" s="43" t="b">
        <v>0</v>
      </c>
      <c r="H1697" s="43" t="b">
        <v>0</v>
      </c>
      <c r="I1697" s="43"/>
      <c r="M1697" s="48" t="s">
        <v>1971</v>
      </c>
      <c r="N1697" s="48">
        <v>17088570086</v>
      </c>
      <c r="O1697" s="48">
        <v>17088558616</v>
      </c>
      <c r="P1697" s="48" t="s">
        <v>117</v>
      </c>
      <c r="Q1697" s="49" t="s">
        <v>1971</v>
      </c>
      <c r="R1697" s="49">
        <v>17083129641</v>
      </c>
      <c r="S1697" s="49">
        <v>17083089084</v>
      </c>
      <c r="T1697" s="49" t="s">
        <v>117</v>
      </c>
      <c r="U1697" s="50" t="s">
        <v>1971</v>
      </c>
      <c r="V1697" s="50">
        <v>17083129641</v>
      </c>
      <c r="W1697" s="50">
        <v>17083089084</v>
      </c>
      <c r="X1697" s="50" t="s">
        <v>117</v>
      </c>
      <c r="Y1697" s="50"/>
    </row>
    <row r="1698" spans="1:25" x14ac:dyDescent="0.25">
      <c r="A1698" s="25" t="s">
        <v>115</v>
      </c>
      <c r="B1698" t="b">
        <v>0</v>
      </c>
      <c r="C1698" s="43" t="s">
        <v>1972</v>
      </c>
      <c r="D1698" s="43">
        <v>320420</v>
      </c>
      <c r="E1698" s="43">
        <v>301203</v>
      </c>
      <c r="F1698" s="43" t="s">
        <v>117</v>
      </c>
      <c r="G1698" s="43" t="b">
        <v>0</v>
      </c>
      <c r="H1698" s="43" t="b">
        <v>0</v>
      </c>
      <c r="I1698" s="43"/>
      <c r="M1698" s="48" t="s">
        <v>1972</v>
      </c>
      <c r="N1698" s="48">
        <v>17088572196</v>
      </c>
      <c r="O1698" s="48">
        <v>17088562783</v>
      </c>
      <c r="P1698" s="48" t="s">
        <v>117</v>
      </c>
      <c r="Q1698" s="49" t="s">
        <v>1972</v>
      </c>
      <c r="R1698" s="49">
        <v>17083126666</v>
      </c>
      <c r="S1698" s="49">
        <v>17083122636</v>
      </c>
      <c r="T1698" s="49" t="s">
        <v>117</v>
      </c>
      <c r="U1698" s="50" t="s">
        <v>1972</v>
      </c>
      <c r="V1698" s="50">
        <v>17083126666</v>
      </c>
      <c r="W1698" s="50">
        <v>17083122636</v>
      </c>
      <c r="X1698" s="50" t="s">
        <v>117</v>
      </c>
      <c r="Y1698" s="50"/>
    </row>
    <row r="1699" spans="1:25" x14ac:dyDescent="0.25">
      <c r="A1699" s="25" t="s">
        <v>115</v>
      </c>
      <c r="B1699" t="b">
        <v>0</v>
      </c>
      <c r="C1699" s="43" t="s">
        <v>1973</v>
      </c>
      <c r="D1699" s="43">
        <v>322468</v>
      </c>
      <c r="E1699" s="43">
        <v>299987</v>
      </c>
      <c r="F1699" s="43" t="s">
        <v>125</v>
      </c>
      <c r="G1699" s="43" t="b">
        <v>0</v>
      </c>
      <c r="H1699" s="43" t="b">
        <v>0</v>
      </c>
      <c r="I1699" s="43" t="s">
        <v>126</v>
      </c>
      <c r="M1699" s="48" t="s">
        <v>1973</v>
      </c>
      <c r="N1699" s="48">
        <v>17088572516</v>
      </c>
      <c r="O1699" s="48">
        <v>17088563359</v>
      </c>
      <c r="P1699" s="48" t="s">
        <v>125</v>
      </c>
      <c r="Q1699" s="49" t="s">
        <v>1973</v>
      </c>
      <c r="R1699" s="49">
        <v>17083128650</v>
      </c>
      <c r="S1699" s="49">
        <v>17083125324</v>
      </c>
      <c r="T1699" s="49" t="s">
        <v>125</v>
      </c>
      <c r="U1699" s="50" t="s">
        <v>1973</v>
      </c>
      <c r="V1699" s="50">
        <v>17083128650</v>
      </c>
      <c r="W1699" s="50">
        <v>17083125324</v>
      </c>
      <c r="X1699" s="50" t="s">
        <v>125</v>
      </c>
      <c r="Y1699" s="50"/>
    </row>
    <row r="1700" spans="1:25" x14ac:dyDescent="0.25">
      <c r="A1700" s="25" t="s">
        <v>115</v>
      </c>
      <c r="B1700" t="b">
        <v>0</v>
      </c>
      <c r="C1700" s="43" t="s">
        <v>1974</v>
      </c>
      <c r="D1700" s="43">
        <v>321444</v>
      </c>
      <c r="E1700" s="43">
        <v>302267</v>
      </c>
      <c r="F1700" s="43" t="s">
        <v>117</v>
      </c>
      <c r="G1700" s="43" t="b">
        <v>0</v>
      </c>
      <c r="H1700" s="43" t="b">
        <v>0</v>
      </c>
      <c r="I1700" s="43"/>
      <c r="M1700" s="48" t="s">
        <v>1974</v>
      </c>
      <c r="N1700" s="48">
        <v>17088571494</v>
      </c>
      <c r="O1700" s="48">
        <v>17088557288</v>
      </c>
      <c r="P1700" s="48" t="s">
        <v>117</v>
      </c>
      <c r="Q1700" s="49" t="s">
        <v>1974</v>
      </c>
      <c r="R1700" s="49">
        <v>17083126985</v>
      </c>
      <c r="S1700" s="49">
        <v>17083090396</v>
      </c>
      <c r="T1700" s="49" t="s">
        <v>117</v>
      </c>
      <c r="U1700" s="50" t="s">
        <v>1974</v>
      </c>
      <c r="V1700" s="50">
        <v>17083126985</v>
      </c>
      <c r="W1700" s="50">
        <v>17083090396</v>
      </c>
      <c r="X1700" s="50" t="s">
        <v>117</v>
      </c>
      <c r="Y1700" s="50"/>
    </row>
    <row r="1701" spans="1:25" x14ac:dyDescent="0.25">
      <c r="A1701" s="25" t="s">
        <v>115</v>
      </c>
      <c r="B1701" t="b">
        <v>0</v>
      </c>
      <c r="C1701" s="43" t="s">
        <v>1975</v>
      </c>
      <c r="D1701" s="43">
        <v>323492</v>
      </c>
      <c r="E1701" s="43">
        <v>300795</v>
      </c>
      <c r="F1701" s="43" t="s">
        <v>123</v>
      </c>
      <c r="G1701" s="43" t="b">
        <v>0</v>
      </c>
      <c r="H1701" s="43" t="b">
        <v>0</v>
      </c>
      <c r="I1701" s="43"/>
      <c r="M1701" s="48" t="s">
        <v>1976</v>
      </c>
      <c r="N1701" s="48">
        <v>17088572198</v>
      </c>
      <c r="O1701" s="48">
        <v>17088558760</v>
      </c>
      <c r="P1701" s="48" t="s">
        <v>123</v>
      </c>
      <c r="Q1701" s="49" t="s">
        <v>1976</v>
      </c>
      <c r="R1701" s="49">
        <v>17083127945</v>
      </c>
      <c r="S1701" s="49">
        <v>17083088988</v>
      </c>
      <c r="T1701" s="49" t="s">
        <v>123</v>
      </c>
      <c r="U1701" s="50" t="s">
        <v>1976</v>
      </c>
      <c r="V1701" s="50">
        <v>17083127945</v>
      </c>
      <c r="W1701" s="50">
        <v>17083088988</v>
      </c>
      <c r="X1701" s="50" t="s">
        <v>123</v>
      </c>
      <c r="Y1701" s="50"/>
    </row>
    <row r="1702" spans="1:25" x14ac:dyDescent="0.25">
      <c r="A1702" s="25" t="s">
        <v>115</v>
      </c>
      <c r="B1702" t="b">
        <v>0</v>
      </c>
      <c r="C1702" s="43" t="s">
        <v>1977</v>
      </c>
      <c r="D1702" s="43">
        <v>319588</v>
      </c>
      <c r="E1702" s="43">
        <v>299131</v>
      </c>
      <c r="F1702" s="43" t="s">
        <v>123</v>
      </c>
      <c r="G1702" s="43" t="b">
        <v>0</v>
      </c>
      <c r="H1702" s="43" t="b">
        <v>0</v>
      </c>
      <c r="I1702" s="43" t="s">
        <v>134</v>
      </c>
      <c r="M1702" s="48" t="s">
        <v>1977</v>
      </c>
      <c r="N1702" s="48">
        <v>17088569766</v>
      </c>
      <c r="O1702" s="48">
        <v>17088560232</v>
      </c>
      <c r="P1702" s="48" t="s">
        <v>123</v>
      </c>
      <c r="Q1702" s="49" t="s">
        <v>1977</v>
      </c>
      <c r="R1702" s="49">
        <v>17083129417</v>
      </c>
      <c r="S1702" s="49">
        <v>17083091804</v>
      </c>
      <c r="T1702" s="49" t="s">
        <v>123</v>
      </c>
      <c r="U1702" s="50" t="s">
        <v>1977</v>
      </c>
      <c r="V1702" s="50">
        <v>17083129417</v>
      </c>
      <c r="W1702" s="50">
        <v>17083091804</v>
      </c>
      <c r="X1702" s="50" t="s">
        <v>123</v>
      </c>
      <c r="Y1702" s="50"/>
    </row>
    <row r="1703" spans="1:25" x14ac:dyDescent="0.25">
      <c r="A1703" s="25" t="s">
        <v>115</v>
      </c>
      <c r="B1703" t="b">
        <v>0</v>
      </c>
      <c r="C1703" s="43" t="s">
        <v>1978</v>
      </c>
      <c r="D1703" s="43">
        <v>321636</v>
      </c>
      <c r="E1703" s="43">
        <v>300091</v>
      </c>
      <c r="F1703" s="43" t="s">
        <v>132</v>
      </c>
      <c r="G1703" s="43" t="b">
        <v>0</v>
      </c>
      <c r="H1703" s="43" t="b">
        <v>0</v>
      </c>
      <c r="I1703" s="43"/>
      <c r="M1703" s="48" t="s">
        <v>1978</v>
      </c>
      <c r="N1703" s="48">
        <v>17088569446</v>
      </c>
      <c r="O1703" s="48">
        <v>17088560152</v>
      </c>
      <c r="P1703" s="48" t="s">
        <v>132</v>
      </c>
      <c r="Q1703" s="49" t="s">
        <v>1978</v>
      </c>
      <c r="R1703" s="49">
        <v>17083128009</v>
      </c>
      <c r="S1703" s="49">
        <v>17083091772</v>
      </c>
      <c r="T1703" s="49" t="s">
        <v>132</v>
      </c>
      <c r="U1703" s="50" t="s">
        <v>1978</v>
      </c>
      <c r="V1703" s="50">
        <v>17083128009</v>
      </c>
      <c r="W1703" s="50">
        <v>17083091772</v>
      </c>
      <c r="X1703" s="50" t="s">
        <v>132</v>
      </c>
      <c r="Y1703" s="50"/>
    </row>
    <row r="1704" spans="1:25" x14ac:dyDescent="0.25">
      <c r="A1704" s="25" t="s">
        <v>115</v>
      </c>
      <c r="B1704" t="b">
        <v>0</v>
      </c>
      <c r="C1704" s="43" t="s">
        <v>1979</v>
      </c>
      <c r="D1704" s="43">
        <v>320612</v>
      </c>
      <c r="E1704" s="43">
        <v>300295</v>
      </c>
      <c r="F1704" s="43" t="s">
        <v>383</v>
      </c>
      <c r="G1704" s="43" t="b">
        <v>0</v>
      </c>
      <c r="H1704" s="43" t="b">
        <v>0</v>
      </c>
      <c r="I1704" s="43"/>
      <c r="J1704" s="45" t="s">
        <v>1979</v>
      </c>
      <c r="K1704" s="46">
        <v>300295</v>
      </c>
      <c r="L1704" s="47">
        <v>990000670</v>
      </c>
      <c r="M1704" s="48" t="s">
        <v>1979</v>
      </c>
      <c r="N1704" s="48">
        <v>17088573094</v>
      </c>
      <c r="O1704" s="48">
        <v>17088560936</v>
      </c>
      <c r="P1704" s="48" t="s">
        <v>383</v>
      </c>
      <c r="Q1704" s="49" t="s">
        <v>1979</v>
      </c>
      <c r="R1704" s="49">
        <v>17083127369</v>
      </c>
      <c r="S1704" s="49">
        <v>17083091356</v>
      </c>
      <c r="T1704" s="49" t="s">
        <v>383</v>
      </c>
      <c r="U1704" s="50" t="s">
        <v>1979</v>
      </c>
      <c r="V1704" s="50">
        <v>17083127369</v>
      </c>
      <c r="W1704" s="50">
        <v>17083091356</v>
      </c>
      <c r="X1704" s="50" t="s">
        <v>383</v>
      </c>
      <c r="Y1704" s="50"/>
    </row>
    <row r="1705" spans="1:25" x14ac:dyDescent="0.25">
      <c r="A1705" s="25" t="s">
        <v>115</v>
      </c>
      <c r="B1705" t="b">
        <v>0</v>
      </c>
      <c r="C1705" s="43" t="s">
        <v>1980</v>
      </c>
      <c r="D1705" s="43">
        <v>330517</v>
      </c>
      <c r="E1705" s="43">
        <v>291112</v>
      </c>
      <c r="F1705" s="43" t="s">
        <v>117</v>
      </c>
      <c r="G1705" s="43" t="b">
        <v>0</v>
      </c>
      <c r="H1705" s="43" t="b">
        <v>0</v>
      </c>
      <c r="I1705" s="43"/>
      <c r="M1705" s="48" t="s">
        <v>1980</v>
      </c>
      <c r="N1705" s="48">
        <v>17088572990</v>
      </c>
      <c r="O1705" s="48">
        <v>17088564847</v>
      </c>
      <c r="P1705" s="48" t="s">
        <v>117</v>
      </c>
      <c r="Q1705" s="49" t="s">
        <v>1980</v>
      </c>
      <c r="R1705" s="49">
        <v>17083129298</v>
      </c>
      <c r="S1705" s="49">
        <v>17083124724</v>
      </c>
      <c r="T1705" s="49" t="s">
        <v>117</v>
      </c>
      <c r="U1705" s="50" t="s">
        <v>1980</v>
      </c>
      <c r="V1705" s="50">
        <v>17083129298</v>
      </c>
      <c r="W1705" s="50">
        <v>17083124724</v>
      </c>
      <c r="X1705" s="50" t="s">
        <v>117</v>
      </c>
      <c r="Y1705" s="50"/>
    </row>
    <row r="1706" spans="1:25" x14ac:dyDescent="0.25">
      <c r="A1706" s="25" t="s">
        <v>115</v>
      </c>
      <c r="B1706" t="b">
        <v>0</v>
      </c>
      <c r="C1706" s="43" t="s">
        <v>1981</v>
      </c>
      <c r="D1706" s="43">
        <v>329493</v>
      </c>
      <c r="E1706" s="43">
        <v>292816</v>
      </c>
      <c r="F1706" s="43" t="s">
        <v>117</v>
      </c>
      <c r="G1706" s="43" t="b">
        <v>0</v>
      </c>
      <c r="H1706" s="43" t="b">
        <v>0</v>
      </c>
      <c r="I1706" s="43"/>
      <c r="M1706" s="48" t="s">
        <v>1981</v>
      </c>
      <c r="N1706" s="48">
        <v>17088573300</v>
      </c>
      <c r="O1706" s="48">
        <v>17088566404</v>
      </c>
      <c r="P1706" s="48" t="s">
        <v>117</v>
      </c>
      <c r="Q1706" s="49" t="s">
        <v>1981</v>
      </c>
      <c r="R1706" s="49">
        <v>17083126586</v>
      </c>
      <c r="S1706" s="49">
        <v>17083123434</v>
      </c>
      <c r="T1706" s="49" t="s">
        <v>117</v>
      </c>
      <c r="U1706" s="50" t="s">
        <v>1981</v>
      </c>
      <c r="V1706" s="50">
        <v>17083126586</v>
      </c>
      <c r="W1706" s="50">
        <v>17083123434</v>
      </c>
      <c r="X1706" s="50" t="s">
        <v>117</v>
      </c>
      <c r="Y1706" s="50"/>
    </row>
    <row r="1707" spans="1:25" x14ac:dyDescent="0.25">
      <c r="A1707" s="25" t="s">
        <v>115</v>
      </c>
      <c r="B1707" t="b">
        <v>0</v>
      </c>
      <c r="C1707" s="43" t="s">
        <v>1982</v>
      </c>
      <c r="D1707" s="43">
        <v>331541</v>
      </c>
      <c r="E1707" s="43">
        <v>291200</v>
      </c>
      <c r="F1707" s="43" t="s">
        <v>132</v>
      </c>
      <c r="G1707" s="43" t="b">
        <v>0</v>
      </c>
      <c r="H1707" s="43" t="b">
        <v>0</v>
      </c>
      <c r="I1707" s="43"/>
      <c r="M1707" s="48" t="s">
        <v>1982</v>
      </c>
      <c r="N1707" s="48">
        <v>17088572860</v>
      </c>
      <c r="O1707" s="48">
        <v>17088569002</v>
      </c>
      <c r="P1707" s="48" t="s">
        <v>132</v>
      </c>
      <c r="Q1707" s="49" t="s">
        <v>1982</v>
      </c>
      <c r="R1707" s="49">
        <v>17083125782</v>
      </c>
      <c r="S1707" s="49">
        <v>17083124705</v>
      </c>
      <c r="T1707" s="49" t="s">
        <v>132</v>
      </c>
      <c r="U1707" s="50" t="s">
        <v>1982</v>
      </c>
      <c r="V1707" s="50">
        <v>17083125782</v>
      </c>
      <c r="W1707" s="50">
        <v>17083124705</v>
      </c>
      <c r="X1707" s="50" t="s">
        <v>132</v>
      </c>
      <c r="Y1707" s="50"/>
    </row>
    <row r="1708" spans="1:25" x14ac:dyDescent="0.25">
      <c r="A1708" s="25" t="s">
        <v>115</v>
      </c>
      <c r="B1708" t="b">
        <v>0</v>
      </c>
      <c r="C1708" s="43" t="s">
        <v>1983</v>
      </c>
      <c r="D1708" s="43">
        <v>327829</v>
      </c>
      <c r="E1708" s="43">
        <v>292576</v>
      </c>
      <c r="F1708" s="43" t="s">
        <v>119</v>
      </c>
      <c r="G1708" s="43" t="b">
        <v>0</v>
      </c>
      <c r="H1708" s="43" t="b">
        <v>0</v>
      </c>
      <c r="I1708" s="43"/>
      <c r="J1708" s="45" t="s">
        <v>1983</v>
      </c>
      <c r="K1708" s="46">
        <v>292576</v>
      </c>
      <c r="L1708" s="47">
        <v>990000615</v>
      </c>
      <c r="M1708" s="48" t="s">
        <v>1983</v>
      </c>
      <c r="N1708" s="48">
        <v>17088573116</v>
      </c>
      <c r="O1708" s="48">
        <v>17088566666</v>
      </c>
      <c r="P1708" s="48" t="s">
        <v>119</v>
      </c>
      <c r="Q1708" s="49" t="s">
        <v>1983</v>
      </c>
      <c r="R1708" s="49">
        <v>17083129318</v>
      </c>
      <c r="S1708" s="49">
        <v>17083121697</v>
      </c>
      <c r="T1708" s="49" t="s">
        <v>119</v>
      </c>
      <c r="U1708" s="50" t="s">
        <v>1983</v>
      </c>
      <c r="V1708" s="50">
        <v>17083129318</v>
      </c>
      <c r="W1708" s="50">
        <v>17083121697</v>
      </c>
      <c r="X1708" s="50" t="s">
        <v>119</v>
      </c>
      <c r="Y1708" s="50"/>
    </row>
    <row r="1709" spans="1:25" x14ac:dyDescent="0.25">
      <c r="A1709" s="25" t="s">
        <v>115</v>
      </c>
      <c r="B1709" t="b">
        <v>0</v>
      </c>
      <c r="C1709" s="43" t="s">
        <v>1984</v>
      </c>
      <c r="D1709" s="43">
        <v>328341</v>
      </c>
      <c r="E1709" s="43">
        <v>292904</v>
      </c>
      <c r="F1709" s="43" t="s">
        <v>117</v>
      </c>
      <c r="G1709" s="43" t="b">
        <v>0</v>
      </c>
      <c r="H1709" s="43" t="b">
        <v>0</v>
      </c>
      <c r="I1709" s="43"/>
      <c r="M1709" s="48" t="s">
        <v>1984</v>
      </c>
      <c r="N1709" s="48">
        <v>17088570942</v>
      </c>
      <c r="O1709" s="48">
        <v>17088563055</v>
      </c>
      <c r="P1709" s="48" t="s">
        <v>117</v>
      </c>
      <c r="Q1709" s="49" t="s">
        <v>1984</v>
      </c>
      <c r="R1709" s="49">
        <v>17083127250</v>
      </c>
      <c r="S1709" s="49">
        <v>17083122188</v>
      </c>
      <c r="T1709" s="49" t="s">
        <v>117</v>
      </c>
      <c r="U1709" s="50" t="s">
        <v>1984</v>
      </c>
      <c r="V1709" s="50">
        <v>17083127250</v>
      </c>
      <c r="W1709" s="50">
        <v>17083122188</v>
      </c>
      <c r="X1709" s="50" t="s">
        <v>117</v>
      </c>
      <c r="Y1709" s="50"/>
    </row>
    <row r="1710" spans="1:25" x14ac:dyDescent="0.25">
      <c r="A1710" s="25" t="s">
        <v>115</v>
      </c>
      <c r="B1710" t="b">
        <v>0</v>
      </c>
      <c r="C1710" s="43" t="s">
        <v>1985</v>
      </c>
      <c r="D1710" s="43">
        <v>330389</v>
      </c>
      <c r="E1710" s="43">
        <v>302664</v>
      </c>
      <c r="F1710" s="43" t="s">
        <v>123</v>
      </c>
      <c r="G1710" s="43" t="b">
        <v>0</v>
      </c>
      <c r="H1710" s="43" t="b">
        <v>0</v>
      </c>
      <c r="I1710" s="43"/>
      <c r="M1710" s="48" t="s">
        <v>1985</v>
      </c>
      <c r="N1710" s="48">
        <v>17088570174</v>
      </c>
      <c r="O1710" s="48">
        <v>17088564495</v>
      </c>
      <c r="P1710" s="48" t="s">
        <v>123</v>
      </c>
      <c r="Q1710" s="49" t="s">
        <v>1985</v>
      </c>
      <c r="R1710" s="49">
        <v>17083126834</v>
      </c>
      <c r="S1710" s="49">
        <v>17083123796</v>
      </c>
      <c r="T1710" s="49" t="s">
        <v>123</v>
      </c>
      <c r="U1710" s="50" t="s">
        <v>1985</v>
      </c>
      <c r="V1710" s="50">
        <v>17083126834</v>
      </c>
      <c r="W1710" s="50">
        <v>17083123796</v>
      </c>
      <c r="X1710" s="50" t="s">
        <v>123</v>
      </c>
      <c r="Y1710" s="50"/>
    </row>
    <row r="1711" spans="1:25" x14ac:dyDescent="0.25">
      <c r="A1711" s="25" t="s">
        <v>115</v>
      </c>
      <c r="B1711" t="b">
        <v>0</v>
      </c>
      <c r="C1711" s="43" t="s">
        <v>1986</v>
      </c>
      <c r="D1711" s="43">
        <v>329365</v>
      </c>
      <c r="E1711" s="43">
        <v>302088</v>
      </c>
      <c r="F1711" s="43" t="s">
        <v>383</v>
      </c>
      <c r="G1711" s="43" t="b">
        <v>0</v>
      </c>
      <c r="H1711" s="43" t="b">
        <v>0</v>
      </c>
      <c r="I1711" s="43"/>
      <c r="M1711" s="48" t="s">
        <v>1986</v>
      </c>
      <c r="N1711" s="48">
        <v>17088572382</v>
      </c>
      <c r="O1711" s="48">
        <v>17088564303</v>
      </c>
      <c r="P1711" s="48" t="s">
        <v>383</v>
      </c>
      <c r="Q1711" s="49" t="s">
        <v>1986</v>
      </c>
      <c r="R1711" s="49">
        <v>17083129170</v>
      </c>
      <c r="S1711" s="49">
        <v>17083124180</v>
      </c>
      <c r="T1711" s="49" t="s">
        <v>383</v>
      </c>
      <c r="U1711" s="50" t="s">
        <v>1986</v>
      </c>
      <c r="V1711" s="50">
        <v>17083129170</v>
      </c>
      <c r="W1711" s="50">
        <v>17083124180</v>
      </c>
      <c r="X1711" s="50" t="s">
        <v>383</v>
      </c>
      <c r="Y1711" s="50"/>
    </row>
    <row r="1712" spans="1:25" x14ac:dyDescent="0.25">
      <c r="A1712" s="25" t="s">
        <v>115</v>
      </c>
      <c r="B1712" t="b">
        <v>0</v>
      </c>
      <c r="C1712" s="43" t="s">
        <v>1987</v>
      </c>
      <c r="D1712" s="43">
        <v>331413</v>
      </c>
      <c r="E1712" s="43">
        <v>292096</v>
      </c>
      <c r="F1712" s="43" t="s">
        <v>132</v>
      </c>
      <c r="G1712" s="43" t="b">
        <v>0</v>
      </c>
      <c r="H1712" s="43" t="b">
        <v>0</v>
      </c>
      <c r="I1712" s="43"/>
      <c r="M1712" s="48" t="s">
        <v>1987</v>
      </c>
      <c r="N1712" s="48">
        <v>17088570812</v>
      </c>
      <c r="O1712" s="48">
        <v>17088566378</v>
      </c>
      <c r="P1712" s="48" t="s">
        <v>132</v>
      </c>
      <c r="Q1712" s="49" t="s">
        <v>1987</v>
      </c>
      <c r="R1712" s="49">
        <v>17083129830</v>
      </c>
      <c r="S1712" s="49">
        <v>17083121937</v>
      </c>
      <c r="T1712" s="49" t="s">
        <v>132</v>
      </c>
      <c r="U1712" s="50" t="s">
        <v>1987</v>
      </c>
      <c r="V1712" s="50">
        <v>17083129830</v>
      </c>
      <c r="W1712" s="50">
        <v>17083121937</v>
      </c>
      <c r="X1712" s="50" t="s">
        <v>132</v>
      </c>
      <c r="Y1712" s="50"/>
    </row>
    <row r="1713" spans="1:25" x14ac:dyDescent="0.25">
      <c r="A1713" s="25" t="s">
        <v>115</v>
      </c>
      <c r="B1713" t="b">
        <v>0</v>
      </c>
      <c r="C1713" s="43" t="s">
        <v>1988</v>
      </c>
      <c r="D1713" s="43">
        <v>328085</v>
      </c>
      <c r="E1713" s="43">
        <v>291216</v>
      </c>
      <c r="F1713" s="43" t="s">
        <v>125</v>
      </c>
      <c r="G1713" s="43" t="b">
        <v>0</v>
      </c>
      <c r="H1713" s="43" t="b">
        <v>0</v>
      </c>
      <c r="I1713" s="43" t="s">
        <v>126</v>
      </c>
      <c r="M1713" s="48" t="s">
        <v>1988</v>
      </c>
      <c r="N1713" s="48">
        <v>17088571100</v>
      </c>
      <c r="O1713" s="48">
        <v>17088567410</v>
      </c>
      <c r="P1713" s="48" t="s">
        <v>125</v>
      </c>
      <c r="Q1713" s="49" t="s">
        <v>1988</v>
      </c>
      <c r="R1713" s="49">
        <v>17083128166</v>
      </c>
      <c r="S1713" s="49">
        <v>17083125249</v>
      </c>
      <c r="T1713" s="49" t="s">
        <v>125</v>
      </c>
      <c r="U1713" s="50" t="s">
        <v>1988</v>
      </c>
      <c r="V1713" s="50">
        <v>17083128166</v>
      </c>
      <c r="W1713" s="50">
        <v>17083125249</v>
      </c>
      <c r="X1713" s="50" t="s">
        <v>125</v>
      </c>
      <c r="Y1713" s="50"/>
    </row>
    <row r="1714" spans="1:25" x14ac:dyDescent="0.25">
      <c r="A1714" s="25" t="s">
        <v>115</v>
      </c>
      <c r="B1714" t="b">
        <v>0</v>
      </c>
      <c r="C1714" s="43" t="s">
        <v>1989</v>
      </c>
      <c r="D1714" s="43">
        <v>330133</v>
      </c>
      <c r="E1714" s="43">
        <v>294816</v>
      </c>
      <c r="F1714" s="43" t="s">
        <v>125</v>
      </c>
      <c r="G1714" s="43" t="b">
        <v>0</v>
      </c>
      <c r="H1714" s="43" t="b">
        <v>0</v>
      </c>
      <c r="I1714" s="43"/>
      <c r="M1714" s="48" t="s">
        <v>1989</v>
      </c>
      <c r="N1714" s="48">
        <v>17088572988</v>
      </c>
      <c r="O1714" s="48">
        <v>17088567114</v>
      </c>
      <c r="P1714" s="48" t="s">
        <v>125</v>
      </c>
      <c r="Q1714" s="49" t="s">
        <v>1989</v>
      </c>
      <c r="R1714" s="49">
        <v>17083127014</v>
      </c>
      <c r="S1714" s="49">
        <v>17083122337</v>
      </c>
      <c r="T1714" s="49" t="s">
        <v>125</v>
      </c>
      <c r="U1714" s="50" t="s">
        <v>1989</v>
      </c>
      <c r="V1714" s="50">
        <v>17083127014</v>
      </c>
      <c r="W1714" s="50">
        <v>17083122337</v>
      </c>
      <c r="X1714" s="50" t="s">
        <v>125</v>
      </c>
      <c r="Y1714" s="50"/>
    </row>
    <row r="1715" spans="1:25" x14ac:dyDescent="0.25">
      <c r="A1715" s="25" t="s">
        <v>115</v>
      </c>
      <c r="B1715" t="b">
        <v>0</v>
      </c>
      <c r="C1715" s="43" t="s">
        <v>1990</v>
      </c>
      <c r="D1715" s="43">
        <v>329109</v>
      </c>
      <c r="E1715" s="43">
        <v>294496</v>
      </c>
      <c r="F1715" s="43" t="s">
        <v>119</v>
      </c>
      <c r="G1715" s="43" t="b">
        <v>0</v>
      </c>
      <c r="H1715" s="43" t="b">
        <v>0</v>
      </c>
      <c r="I1715" s="43"/>
      <c r="M1715" s="48" t="s">
        <v>1990</v>
      </c>
      <c r="N1715" s="48">
        <v>17088571228</v>
      </c>
      <c r="O1715" s="48">
        <v>17088567626</v>
      </c>
      <c r="P1715" s="48" t="s">
        <v>119</v>
      </c>
      <c r="Q1715" s="49" t="s">
        <v>1990</v>
      </c>
      <c r="R1715" s="49">
        <v>17083127910</v>
      </c>
      <c r="S1715" s="49">
        <v>17083125537</v>
      </c>
      <c r="T1715" s="49" t="s">
        <v>119</v>
      </c>
      <c r="U1715" s="50" t="s">
        <v>1990</v>
      </c>
      <c r="V1715" s="50">
        <v>17083127910</v>
      </c>
      <c r="W1715" s="50">
        <v>17083125537</v>
      </c>
      <c r="X1715" s="50" t="s">
        <v>119</v>
      </c>
      <c r="Y1715" s="50"/>
    </row>
    <row r="1716" spans="1:25" x14ac:dyDescent="0.25">
      <c r="A1716" s="25" t="s">
        <v>115</v>
      </c>
      <c r="B1716" t="b">
        <v>0</v>
      </c>
      <c r="C1716" s="43" t="s">
        <v>1991</v>
      </c>
      <c r="D1716" s="43">
        <v>329621</v>
      </c>
      <c r="E1716" s="43">
        <v>294696</v>
      </c>
      <c r="F1716" s="43" t="s">
        <v>117</v>
      </c>
      <c r="G1716" s="43" t="b">
        <v>0</v>
      </c>
      <c r="H1716" s="43" t="b">
        <v>0</v>
      </c>
      <c r="I1716" s="43"/>
      <c r="M1716" s="48" t="s">
        <v>1991</v>
      </c>
      <c r="N1716" s="48">
        <v>17088569534</v>
      </c>
      <c r="O1716" s="48">
        <v>17088561263</v>
      </c>
      <c r="P1716" s="48" t="s">
        <v>117</v>
      </c>
      <c r="Q1716" s="49" t="s">
        <v>1991</v>
      </c>
      <c r="R1716" s="49">
        <v>17083129650</v>
      </c>
      <c r="S1716" s="49">
        <v>17083123444</v>
      </c>
      <c r="T1716" s="49" t="s">
        <v>117</v>
      </c>
      <c r="U1716" s="50" t="s">
        <v>1991</v>
      </c>
      <c r="V1716" s="50">
        <v>17083129650</v>
      </c>
      <c r="W1716" s="50">
        <v>17083123444</v>
      </c>
      <c r="X1716" s="50" t="s">
        <v>117</v>
      </c>
      <c r="Y1716" s="50"/>
    </row>
    <row r="1717" spans="1:25" x14ac:dyDescent="0.25">
      <c r="A1717" s="25" t="s">
        <v>115</v>
      </c>
      <c r="B1717" t="b">
        <v>0</v>
      </c>
      <c r="C1717" s="43" t="s">
        <v>1992</v>
      </c>
      <c r="D1717" s="43">
        <v>331669</v>
      </c>
      <c r="E1717" s="43">
        <v>299400</v>
      </c>
      <c r="F1717" s="43" t="s">
        <v>383</v>
      </c>
      <c r="G1717" s="43" t="b">
        <v>0</v>
      </c>
      <c r="H1717" s="43" t="b">
        <v>0</v>
      </c>
      <c r="I1717" s="43"/>
      <c r="M1717" s="48" t="s">
        <v>1992</v>
      </c>
      <c r="N1717" s="48">
        <v>17088572734</v>
      </c>
      <c r="O1717" s="48">
        <v>17088562959</v>
      </c>
      <c r="P1717" s="48" t="s">
        <v>383</v>
      </c>
      <c r="Q1717" s="49" t="s">
        <v>1992</v>
      </c>
      <c r="R1717" s="49">
        <v>17083127858</v>
      </c>
      <c r="S1717" s="49">
        <v>17083122260</v>
      </c>
      <c r="T1717" s="49" t="s">
        <v>383</v>
      </c>
      <c r="U1717" s="50" t="s">
        <v>1992</v>
      </c>
      <c r="V1717" s="50">
        <v>17083127858</v>
      </c>
      <c r="W1717" s="50">
        <v>17083122260</v>
      </c>
      <c r="X1717" s="50" t="s">
        <v>383</v>
      </c>
      <c r="Y1717" s="50"/>
    </row>
    <row r="1718" spans="1:25" x14ac:dyDescent="0.25">
      <c r="A1718" s="25" t="s">
        <v>115</v>
      </c>
      <c r="B1718" t="b">
        <v>0</v>
      </c>
      <c r="C1718" s="43" t="s">
        <v>1993</v>
      </c>
      <c r="D1718" s="43">
        <v>327765</v>
      </c>
      <c r="E1718" s="43">
        <v>294288</v>
      </c>
      <c r="F1718" s="43" t="s">
        <v>125</v>
      </c>
      <c r="G1718" s="43" t="b">
        <v>0</v>
      </c>
      <c r="H1718" s="43" t="b">
        <v>0</v>
      </c>
      <c r="I1718" s="43" t="s">
        <v>126</v>
      </c>
      <c r="M1718" s="48" t="s">
        <v>1993</v>
      </c>
      <c r="N1718" s="48">
        <v>17088571068</v>
      </c>
      <c r="O1718" s="48">
        <v>17088568754</v>
      </c>
      <c r="P1718" s="48" t="s">
        <v>125</v>
      </c>
      <c r="Q1718" s="49" t="s">
        <v>1993</v>
      </c>
      <c r="R1718" s="49">
        <v>17083127270</v>
      </c>
      <c r="S1718" s="49">
        <v>17083123713</v>
      </c>
      <c r="T1718" s="49" t="s">
        <v>125</v>
      </c>
      <c r="U1718" s="50" t="s">
        <v>1993</v>
      </c>
      <c r="V1718" s="50">
        <v>17083127270</v>
      </c>
      <c r="W1718" s="50">
        <v>17083123713</v>
      </c>
      <c r="X1718" s="50" t="s">
        <v>125</v>
      </c>
      <c r="Y1718" s="50"/>
    </row>
    <row r="1719" spans="1:25" x14ac:dyDescent="0.25">
      <c r="A1719" s="25" t="s">
        <v>115</v>
      </c>
      <c r="B1719" t="b">
        <v>0</v>
      </c>
      <c r="C1719" s="43" t="s">
        <v>1994</v>
      </c>
      <c r="D1719" s="43">
        <v>329813</v>
      </c>
      <c r="E1719" s="43">
        <v>291680</v>
      </c>
      <c r="F1719" s="43" t="s">
        <v>119</v>
      </c>
      <c r="G1719" s="43" t="b">
        <v>0</v>
      </c>
      <c r="H1719" s="43" t="b">
        <v>0</v>
      </c>
      <c r="I1719" s="43"/>
      <c r="J1719" s="45" t="s">
        <v>1994</v>
      </c>
      <c r="K1719" s="46">
        <v>291680</v>
      </c>
      <c r="L1719" s="47">
        <v>990000614</v>
      </c>
      <c r="M1719" s="48" t="s">
        <v>1994</v>
      </c>
      <c r="N1719" s="48">
        <v>17088571452</v>
      </c>
      <c r="O1719" s="48">
        <v>17088565834</v>
      </c>
      <c r="P1719" s="48" t="s">
        <v>119</v>
      </c>
      <c r="Q1719" s="49" t="s">
        <v>1994</v>
      </c>
      <c r="R1719" s="49">
        <v>17083127654</v>
      </c>
      <c r="S1719" s="49">
        <v>17083122977</v>
      </c>
      <c r="T1719" s="49" t="s">
        <v>119</v>
      </c>
      <c r="U1719" s="50" t="s">
        <v>1994</v>
      </c>
      <c r="V1719" s="50">
        <v>17083127654</v>
      </c>
      <c r="W1719" s="50">
        <v>17083122977</v>
      </c>
      <c r="X1719" s="50" t="s">
        <v>119</v>
      </c>
      <c r="Y1719" s="50"/>
    </row>
    <row r="1720" spans="1:25" x14ac:dyDescent="0.25">
      <c r="A1720" s="25" t="s">
        <v>115</v>
      </c>
      <c r="B1720" t="b">
        <v>0</v>
      </c>
      <c r="C1720" s="43" t="s">
        <v>1995</v>
      </c>
      <c r="D1720" s="43">
        <v>328789</v>
      </c>
      <c r="E1720" s="43">
        <v>291776</v>
      </c>
      <c r="F1720" s="43" t="s">
        <v>119</v>
      </c>
      <c r="G1720" s="43" t="b">
        <v>0</v>
      </c>
      <c r="H1720" s="43" t="b">
        <v>0</v>
      </c>
      <c r="I1720" s="43"/>
      <c r="M1720" s="48" t="s">
        <v>1995</v>
      </c>
      <c r="N1720" s="48">
        <v>17088572124</v>
      </c>
      <c r="O1720" s="48">
        <v>17088569034</v>
      </c>
      <c r="P1720" s="48" t="s">
        <v>119</v>
      </c>
      <c r="Q1720" s="49" t="s">
        <v>1995</v>
      </c>
      <c r="R1720" s="49">
        <v>17083126118</v>
      </c>
      <c r="S1720" s="49">
        <v>17083124641</v>
      </c>
      <c r="T1720" s="49" t="s">
        <v>119</v>
      </c>
      <c r="U1720" s="50" t="s">
        <v>1995</v>
      </c>
      <c r="V1720" s="50">
        <v>17083126118</v>
      </c>
      <c r="W1720" s="50">
        <v>17083124641</v>
      </c>
      <c r="X1720" s="50" t="s">
        <v>119</v>
      </c>
      <c r="Y1720" s="50"/>
    </row>
    <row r="1721" spans="1:25" x14ac:dyDescent="0.25">
      <c r="A1721" s="25" t="s">
        <v>115</v>
      </c>
      <c r="B1721" t="b">
        <v>0</v>
      </c>
      <c r="C1721" s="43" t="s">
        <v>1996</v>
      </c>
      <c r="D1721" s="43">
        <v>39941331387</v>
      </c>
      <c r="E1721" s="43">
        <v>39941331771</v>
      </c>
      <c r="F1721" s="43" t="s">
        <v>125</v>
      </c>
      <c r="G1721" s="43" t="b">
        <v>1</v>
      </c>
      <c r="H1721" s="43" t="b">
        <v>0</v>
      </c>
      <c r="I1721" s="43" t="s">
        <v>126</v>
      </c>
      <c r="M1721" s="48"/>
      <c r="N1721" s="48"/>
      <c r="O1721" s="48"/>
      <c r="P1721" s="48"/>
      <c r="Q1721" s="49" t="s">
        <v>1996</v>
      </c>
      <c r="R1721" s="49">
        <v>17086203258</v>
      </c>
      <c r="S1721" s="49">
        <v>17085068017</v>
      </c>
      <c r="T1721" s="49" t="s">
        <v>125</v>
      </c>
      <c r="U1721" s="50"/>
      <c r="V1721" s="50"/>
      <c r="W1721" s="50"/>
      <c r="X1721" s="50"/>
      <c r="Y1721" s="50"/>
    </row>
    <row r="1722" spans="1:25" x14ac:dyDescent="0.25">
      <c r="A1722" s="25" t="s">
        <v>115</v>
      </c>
      <c r="B1722" t="b">
        <v>0</v>
      </c>
      <c r="C1722" s="43" t="s">
        <v>1997</v>
      </c>
      <c r="D1722" s="43">
        <v>39941330363</v>
      </c>
      <c r="E1722" s="43">
        <v>39941329083</v>
      </c>
      <c r="F1722" s="43" t="s">
        <v>125</v>
      </c>
      <c r="G1722" s="43" t="b">
        <v>1</v>
      </c>
      <c r="H1722" s="43" t="b">
        <v>0</v>
      </c>
      <c r="I1722" s="43" t="s">
        <v>126</v>
      </c>
      <c r="M1722" s="48"/>
      <c r="N1722" s="48"/>
      <c r="O1722" s="48"/>
      <c r="P1722" s="48"/>
      <c r="Q1722" s="49" t="s">
        <v>1997</v>
      </c>
      <c r="R1722" s="49">
        <v>17086205753</v>
      </c>
      <c r="S1722" s="49">
        <v>17085068785</v>
      </c>
      <c r="T1722" s="49" t="s">
        <v>125</v>
      </c>
      <c r="U1722" s="50"/>
      <c r="V1722" s="50"/>
      <c r="W1722" s="50"/>
      <c r="X1722" s="50"/>
      <c r="Y1722" s="50"/>
    </row>
    <row r="1723" spans="1:25" x14ac:dyDescent="0.25">
      <c r="A1723" s="25" t="s">
        <v>115</v>
      </c>
      <c r="B1723" t="b">
        <v>0</v>
      </c>
      <c r="C1723" s="43" t="s">
        <v>1998</v>
      </c>
      <c r="D1723" s="43">
        <v>39941332411</v>
      </c>
      <c r="E1723" s="43">
        <v>39941332155</v>
      </c>
      <c r="F1723" s="43" t="s">
        <v>125</v>
      </c>
      <c r="G1723" s="43" t="b">
        <v>1</v>
      </c>
      <c r="H1723" s="43" t="b">
        <v>0</v>
      </c>
      <c r="I1723" s="43" t="s">
        <v>126</v>
      </c>
      <c r="M1723" s="48"/>
      <c r="N1723" s="48"/>
      <c r="O1723" s="48"/>
      <c r="P1723" s="48"/>
      <c r="Q1723" s="49" t="s">
        <v>1998</v>
      </c>
      <c r="R1723" s="49">
        <v>17086202041</v>
      </c>
      <c r="S1723" s="49">
        <v>17085068297</v>
      </c>
      <c r="T1723" s="49" t="s">
        <v>125</v>
      </c>
      <c r="U1723" s="50"/>
      <c r="V1723" s="50"/>
      <c r="W1723" s="50"/>
      <c r="X1723" s="50"/>
      <c r="Y1723" s="50"/>
    </row>
    <row r="1724" spans="1:25" x14ac:dyDescent="0.25">
      <c r="A1724" s="25" t="s">
        <v>115</v>
      </c>
      <c r="B1724" t="b">
        <v>0</v>
      </c>
      <c r="C1724" s="43" t="s">
        <v>1999</v>
      </c>
      <c r="D1724" s="43">
        <v>112435525406</v>
      </c>
      <c r="E1724" s="43">
        <v>112435524590</v>
      </c>
      <c r="F1724" s="43" t="s">
        <v>132</v>
      </c>
      <c r="G1724" s="43" t="b">
        <v>0</v>
      </c>
      <c r="H1724" s="43" t="b">
        <v>0</v>
      </c>
      <c r="I1724" s="43"/>
      <c r="J1724" s="45" t="s">
        <v>1999</v>
      </c>
      <c r="K1724" s="46">
        <v>112435524590</v>
      </c>
      <c r="L1724" s="47">
        <v>990000633</v>
      </c>
      <c r="M1724" s="48" t="s">
        <v>1999</v>
      </c>
      <c r="N1724" s="48">
        <v>17091452946</v>
      </c>
      <c r="O1724" s="48">
        <v>17091454818</v>
      </c>
      <c r="P1724" s="48" t="s">
        <v>132</v>
      </c>
      <c r="Q1724" s="49"/>
      <c r="R1724" s="49"/>
      <c r="S1724" s="49"/>
      <c r="T1724" s="49"/>
      <c r="U1724" s="50" t="s">
        <v>1999</v>
      </c>
      <c r="V1724" s="50">
        <v>17102545293</v>
      </c>
      <c r="W1724" s="50">
        <v>17101189636</v>
      </c>
      <c r="X1724" s="50" t="s">
        <v>132</v>
      </c>
      <c r="Y1724" s="50"/>
    </row>
    <row r="1725" spans="1:25" x14ac:dyDescent="0.25">
      <c r="A1725" s="25" t="s">
        <v>115</v>
      </c>
      <c r="B1725" t="b">
        <v>0</v>
      </c>
      <c r="C1725" s="43" t="s">
        <v>2000</v>
      </c>
      <c r="D1725" s="43">
        <v>112435527454</v>
      </c>
      <c r="E1725" s="43">
        <v>112435527662</v>
      </c>
      <c r="F1725" s="43" t="s">
        <v>132</v>
      </c>
      <c r="G1725" s="43" t="b">
        <v>0</v>
      </c>
      <c r="H1725" s="43" t="b">
        <v>0</v>
      </c>
      <c r="I1725" s="43"/>
      <c r="J1725" s="45" t="s">
        <v>2000</v>
      </c>
      <c r="K1725" s="46">
        <v>112435527662</v>
      </c>
      <c r="L1725" s="47">
        <v>990000635</v>
      </c>
      <c r="M1725" s="48" t="s">
        <v>2000</v>
      </c>
      <c r="N1725" s="48">
        <v>17091454994</v>
      </c>
      <c r="O1725" s="48">
        <v>17091455202</v>
      </c>
      <c r="P1725" s="48" t="s">
        <v>132</v>
      </c>
      <c r="Q1725" s="49"/>
      <c r="R1725" s="49"/>
      <c r="S1725" s="49"/>
      <c r="T1725" s="49"/>
      <c r="U1725" s="50" t="s">
        <v>2000</v>
      </c>
      <c r="V1725" s="50">
        <v>17102547341</v>
      </c>
      <c r="W1725" s="50">
        <v>17101192708</v>
      </c>
      <c r="X1725" s="50" t="s">
        <v>132</v>
      </c>
      <c r="Y1725" s="50"/>
    </row>
    <row r="1726" spans="1:25" x14ac:dyDescent="0.25">
      <c r="A1726" s="25" t="s">
        <v>115</v>
      </c>
      <c r="B1726" t="b">
        <v>0</v>
      </c>
      <c r="C1726" s="43" t="s">
        <v>2001</v>
      </c>
      <c r="D1726" s="43">
        <v>112435523742</v>
      </c>
      <c r="E1726" s="43">
        <v>112435524638</v>
      </c>
      <c r="F1726" s="43" t="s">
        <v>132</v>
      </c>
      <c r="G1726" s="43" t="b">
        <v>0</v>
      </c>
      <c r="H1726" s="43" t="b">
        <v>0</v>
      </c>
      <c r="I1726" s="43"/>
      <c r="J1726" s="45" t="s">
        <v>2001</v>
      </c>
      <c r="K1726" s="46">
        <v>112435524638</v>
      </c>
      <c r="L1726" s="47">
        <v>990000634</v>
      </c>
      <c r="M1726" s="48" t="s">
        <v>2001</v>
      </c>
      <c r="N1726" s="48">
        <v>17091453970</v>
      </c>
      <c r="O1726" s="48">
        <v>17091453666</v>
      </c>
      <c r="P1726" s="48" t="s">
        <v>132</v>
      </c>
      <c r="Q1726" s="49"/>
      <c r="R1726" s="49"/>
      <c r="S1726" s="49"/>
      <c r="T1726" s="49"/>
      <c r="U1726" s="50" t="s">
        <v>2001</v>
      </c>
      <c r="V1726" s="50">
        <v>17102546317</v>
      </c>
      <c r="W1726" s="50">
        <v>17101190404</v>
      </c>
      <c r="X1726" s="50" t="s">
        <v>132</v>
      </c>
      <c r="Y1726" s="50"/>
    </row>
    <row r="1727" spans="1:25" x14ac:dyDescent="0.25">
      <c r="A1727" s="25" t="s">
        <v>115</v>
      </c>
      <c r="B1727" t="b">
        <v>0</v>
      </c>
      <c r="C1727" s="43" t="s">
        <v>2002</v>
      </c>
      <c r="D1727" s="43">
        <v>112435525790</v>
      </c>
      <c r="E1727" s="43">
        <v>112435526174</v>
      </c>
      <c r="F1727" s="43" t="s">
        <v>125</v>
      </c>
      <c r="G1727" s="43" t="b">
        <v>1</v>
      </c>
      <c r="H1727" s="43" t="b">
        <v>0</v>
      </c>
      <c r="I1727" s="43" t="s">
        <v>126</v>
      </c>
      <c r="M1727" s="48" t="s">
        <v>2002</v>
      </c>
      <c r="N1727" s="48">
        <v>17091456018</v>
      </c>
      <c r="O1727" s="48">
        <v>17091456738</v>
      </c>
      <c r="P1727" s="48" t="s">
        <v>125</v>
      </c>
      <c r="Q1727" s="49"/>
      <c r="R1727" s="49"/>
      <c r="S1727" s="49"/>
      <c r="T1727" s="49"/>
      <c r="U1727" s="50"/>
      <c r="V1727" s="50"/>
      <c r="W1727" s="50"/>
      <c r="X1727" s="50"/>
      <c r="Y1727" s="50"/>
    </row>
    <row r="1728" spans="1:25" x14ac:dyDescent="0.25">
      <c r="A1728" s="25" t="s">
        <v>115</v>
      </c>
      <c r="B1728" t="b">
        <v>0</v>
      </c>
      <c r="C1728" s="43" t="s">
        <v>2003</v>
      </c>
      <c r="D1728" s="43">
        <v>112435524766</v>
      </c>
      <c r="E1728" s="43">
        <v>112435523870</v>
      </c>
      <c r="F1728" s="43" t="s">
        <v>125</v>
      </c>
      <c r="G1728" s="43" t="b">
        <v>1</v>
      </c>
      <c r="H1728" s="43" t="b">
        <v>0</v>
      </c>
      <c r="I1728" s="43" t="s">
        <v>126</v>
      </c>
      <c r="M1728" s="48" t="s">
        <v>2003</v>
      </c>
      <c r="N1728" s="48">
        <v>17091453458</v>
      </c>
      <c r="O1728" s="48">
        <v>17091454434</v>
      </c>
      <c r="P1728" s="48" t="s">
        <v>125</v>
      </c>
      <c r="Q1728" s="49"/>
      <c r="R1728" s="49"/>
      <c r="S1728" s="49"/>
      <c r="T1728" s="49"/>
      <c r="U1728" s="50"/>
      <c r="V1728" s="50"/>
      <c r="W1728" s="50"/>
      <c r="X1728" s="50"/>
      <c r="Y1728" s="50"/>
    </row>
    <row r="1729" spans="1:29" x14ac:dyDescent="0.25">
      <c r="A1729" s="25" t="s">
        <v>115</v>
      </c>
      <c r="B1729" t="b">
        <v>0</v>
      </c>
      <c r="C1729" s="43" t="s">
        <v>2004</v>
      </c>
      <c r="D1729" s="43">
        <v>112435526814</v>
      </c>
      <c r="E1729" s="43">
        <v>112435526942</v>
      </c>
      <c r="F1729" s="43" t="s">
        <v>125</v>
      </c>
      <c r="G1729" s="43" t="b">
        <v>1</v>
      </c>
      <c r="H1729" s="43" t="b">
        <v>0</v>
      </c>
      <c r="I1729" s="43" t="s">
        <v>126</v>
      </c>
      <c r="M1729" s="48" t="s">
        <v>2004</v>
      </c>
      <c r="N1729" s="48">
        <v>17091455506</v>
      </c>
      <c r="O1729" s="48">
        <v>17091455970</v>
      </c>
      <c r="P1729" s="48" t="s">
        <v>125</v>
      </c>
      <c r="Q1729" s="49"/>
      <c r="R1729" s="49"/>
      <c r="S1729" s="49"/>
      <c r="T1729" s="49"/>
      <c r="U1729" s="50"/>
      <c r="V1729" s="50"/>
      <c r="W1729" s="50"/>
      <c r="X1729" s="50"/>
      <c r="Y1729" s="50"/>
    </row>
    <row r="1730" spans="1:29" x14ac:dyDescent="0.25">
      <c r="A1730" s="25" t="b">
        <v>1</v>
      </c>
      <c r="B1730" t="b">
        <v>0</v>
      </c>
      <c r="C1730" s="43" t="s">
        <v>2005</v>
      </c>
      <c r="D1730" s="43">
        <v>153035547801</v>
      </c>
      <c r="E1730" s="43">
        <v>146166099020</v>
      </c>
      <c r="F1730" s="43" t="s">
        <v>173</v>
      </c>
      <c r="G1730" s="43" t="b">
        <v>0</v>
      </c>
      <c r="H1730" s="43" t="b">
        <v>0</v>
      </c>
      <c r="I1730" s="43"/>
      <c r="J1730" s="45" t="s">
        <v>2005</v>
      </c>
      <c r="K1730" s="46">
        <v>146166099020</v>
      </c>
      <c r="M1730" s="48" t="s">
        <v>2005</v>
      </c>
      <c r="N1730" s="48">
        <v>17092856401</v>
      </c>
      <c r="O1730" s="48">
        <v>17092835384</v>
      </c>
      <c r="P1730" s="48" t="s">
        <v>173</v>
      </c>
      <c r="Q1730" s="49" t="s">
        <v>2005</v>
      </c>
      <c r="R1730" s="49">
        <v>17086192055</v>
      </c>
      <c r="S1730" s="49">
        <v>17084624761</v>
      </c>
      <c r="T1730" s="49" t="s">
        <v>173</v>
      </c>
      <c r="U1730" s="50" t="s">
        <v>2005</v>
      </c>
      <c r="V1730" s="50">
        <v>17102548717</v>
      </c>
      <c r="W1730" s="50">
        <v>17101204279</v>
      </c>
      <c r="X1730" s="50" t="s">
        <v>173</v>
      </c>
      <c r="Y1730" s="50"/>
    </row>
    <row r="1731" spans="1:29" x14ac:dyDescent="0.25">
      <c r="A1731" s="25" t="s">
        <v>115</v>
      </c>
      <c r="B1731" t="b">
        <v>0</v>
      </c>
      <c r="C1731" s="43" t="s">
        <v>2006</v>
      </c>
      <c r="D1731" s="43">
        <v>168771487424</v>
      </c>
      <c r="E1731" s="43">
        <v>168771484479</v>
      </c>
      <c r="F1731" s="43" t="s">
        <v>125</v>
      </c>
      <c r="G1731" s="43" t="b">
        <v>0</v>
      </c>
      <c r="H1731" s="43" t="b">
        <v>1</v>
      </c>
      <c r="I1731" s="43"/>
      <c r="J1731" s="45" t="s">
        <v>2006</v>
      </c>
      <c r="K1731" s="46">
        <v>168771484479</v>
      </c>
      <c r="L1731" s="47">
        <v>990000455</v>
      </c>
      <c r="M1731" s="48" t="s">
        <v>2006</v>
      </c>
      <c r="N1731" s="48">
        <v>17093149732</v>
      </c>
      <c r="O1731" s="48">
        <v>17093152389</v>
      </c>
      <c r="P1731" s="48" t="s">
        <v>125</v>
      </c>
      <c r="Q1731" s="49" t="s">
        <v>2006</v>
      </c>
      <c r="R1731" s="49">
        <v>17086151798</v>
      </c>
      <c r="S1731" s="49">
        <v>17085070785</v>
      </c>
      <c r="T1731" s="49" t="s">
        <v>125</v>
      </c>
      <c r="U1731" s="50"/>
      <c r="V1731" s="50"/>
      <c r="W1731" s="50"/>
      <c r="X1731" s="50"/>
      <c r="Y1731" s="50"/>
      <c r="Z1731" s="51" t="s">
        <v>2006</v>
      </c>
      <c r="AA1731" s="51" t="s">
        <v>189</v>
      </c>
      <c r="AB1731" s="51">
        <v>23239</v>
      </c>
      <c r="AC1731" s="51">
        <v>27655</v>
      </c>
    </row>
    <row r="1732" spans="1:29" x14ac:dyDescent="0.25">
      <c r="A1732" s="25" t="s">
        <v>115</v>
      </c>
      <c r="B1732" t="b">
        <v>0</v>
      </c>
      <c r="C1732" s="43" t="s">
        <v>2007</v>
      </c>
      <c r="D1732" s="43">
        <v>168771489472</v>
      </c>
      <c r="E1732" s="43">
        <v>168771481791</v>
      </c>
      <c r="F1732" s="43" t="s">
        <v>186</v>
      </c>
      <c r="G1732" s="43" t="b">
        <v>0</v>
      </c>
      <c r="H1732" s="43" t="b">
        <v>1</v>
      </c>
      <c r="I1732" s="43"/>
      <c r="J1732" s="45" t="s">
        <v>2007</v>
      </c>
      <c r="K1732" s="46">
        <v>168771481791</v>
      </c>
      <c r="L1732" s="47">
        <v>990000454</v>
      </c>
      <c r="M1732" s="48" t="s">
        <v>2007</v>
      </c>
      <c r="N1732" s="48">
        <v>17093151780</v>
      </c>
      <c r="O1732" s="48">
        <v>17093150085</v>
      </c>
      <c r="P1732" s="48" t="s">
        <v>186</v>
      </c>
      <c r="Q1732" s="49" t="s">
        <v>2007</v>
      </c>
      <c r="R1732" s="49">
        <v>17086149238</v>
      </c>
      <c r="S1732" s="49">
        <v>17085071297</v>
      </c>
      <c r="T1732" s="49" t="s">
        <v>186</v>
      </c>
      <c r="U1732" s="50"/>
      <c r="V1732" s="50"/>
      <c r="W1732" s="50"/>
      <c r="X1732" s="50"/>
      <c r="Y1732" s="50"/>
      <c r="Z1732" s="51" t="s">
        <v>2007</v>
      </c>
      <c r="AA1732" s="51" t="s">
        <v>187</v>
      </c>
      <c r="AB1732" s="51">
        <v>1445</v>
      </c>
      <c r="AC1732" s="51">
        <v>1720</v>
      </c>
    </row>
    <row r="1733" spans="1:29" x14ac:dyDescent="0.25">
      <c r="A1733" s="25" t="s">
        <v>115</v>
      </c>
      <c r="B1733" t="b">
        <v>0</v>
      </c>
      <c r="C1733" s="43" t="s">
        <v>2008</v>
      </c>
      <c r="D1733" s="43">
        <v>168771486144</v>
      </c>
      <c r="E1733" s="43">
        <v>168771484863</v>
      </c>
      <c r="F1733" s="43" t="s">
        <v>132</v>
      </c>
      <c r="G1733" s="43" t="b">
        <v>0</v>
      </c>
      <c r="H1733" s="43" t="b">
        <v>1</v>
      </c>
      <c r="I1733" s="43"/>
      <c r="J1733" s="45" t="s">
        <v>2008</v>
      </c>
      <c r="K1733" s="46">
        <v>168771484863</v>
      </c>
      <c r="L1733" s="47">
        <v>990000456</v>
      </c>
      <c r="M1733" s="48" t="s">
        <v>2008</v>
      </c>
      <c r="N1733" s="48">
        <v>17093149220</v>
      </c>
      <c r="O1733" s="48">
        <v>17093151621</v>
      </c>
      <c r="P1733" s="48" t="s">
        <v>132</v>
      </c>
      <c r="Q1733" s="49" t="s">
        <v>2008</v>
      </c>
      <c r="R1733" s="49">
        <v>17086151286</v>
      </c>
      <c r="S1733" s="49">
        <v>17085070369</v>
      </c>
      <c r="T1733" s="49" t="s">
        <v>132</v>
      </c>
      <c r="U1733" s="50"/>
      <c r="V1733" s="50"/>
      <c r="W1733" s="50"/>
      <c r="X1733" s="50"/>
      <c r="Y1733" s="50"/>
      <c r="Z1733" s="51" t="s">
        <v>2008</v>
      </c>
      <c r="AA1733" s="51" t="s">
        <v>192</v>
      </c>
      <c r="AB1733" s="51">
        <v>36061</v>
      </c>
      <c r="AC1733" s="51">
        <v>42912</v>
      </c>
    </row>
    <row r="1734" spans="1:29" x14ac:dyDescent="0.25">
      <c r="A1734" s="25" t="s">
        <v>115</v>
      </c>
      <c r="B1734" t="b">
        <v>0</v>
      </c>
      <c r="C1734" s="43" t="s">
        <v>2009</v>
      </c>
      <c r="D1734" s="43">
        <v>168771488192</v>
      </c>
      <c r="E1734" s="43">
        <v>168771483327</v>
      </c>
      <c r="F1734" s="43" t="s">
        <v>125</v>
      </c>
      <c r="G1734" s="43" t="b">
        <v>0</v>
      </c>
      <c r="H1734" s="43" t="b">
        <v>1</v>
      </c>
      <c r="I1734" s="43"/>
      <c r="J1734" s="45" t="s">
        <v>2009</v>
      </c>
      <c r="K1734" s="46">
        <v>168771483327</v>
      </c>
      <c r="L1734" s="47">
        <v>990000464</v>
      </c>
      <c r="M1734" s="48" t="s">
        <v>2009</v>
      </c>
      <c r="N1734" s="48">
        <v>17093151268</v>
      </c>
      <c r="O1734" s="48">
        <v>17093148741</v>
      </c>
      <c r="P1734" s="48" t="s">
        <v>125</v>
      </c>
      <c r="Q1734" s="49" t="s">
        <v>2009</v>
      </c>
      <c r="R1734" s="49">
        <v>17086150262</v>
      </c>
      <c r="S1734" s="49">
        <v>17085069089</v>
      </c>
      <c r="T1734" s="49" t="s">
        <v>125</v>
      </c>
      <c r="U1734" s="50"/>
      <c r="V1734" s="50"/>
      <c r="W1734" s="50"/>
      <c r="X1734" s="50"/>
      <c r="Y1734" s="50"/>
      <c r="Z1734" s="51" t="s">
        <v>2009</v>
      </c>
      <c r="AA1734" s="51" t="s">
        <v>189</v>
      </c>
      <c r="AB1734" s="51">
        <v>26964</v>
      </c>
      <c r="AC1734" s="51">
        <v>32087</v>
      </c>
    </row>
    <row r="1735" spans="1:29" x14ac:dyDescent="0.25">
      <c r="A1735" s="25" t="s">
        <v>115</v>
      </c>
      <c r="B1735" t="b">
        <v>0</v>
      </c>
      <c r="C1735" s="43" t="s">
        <v>2010</v>
      </c>
      <c r="D1735" s="43">
        <v>168771487168</v>
      </c>
      <c r="E1735" s="43">
        <v>168771484095</v>
      </c>
      <c r="F1735" s="43" t="s">
        <v>186</v>
      </c>
      <c r="G1735" s="43" t="b">
        <v>0</v>
      </c>
      <c r="H1735" s="43" t="b">
        <v>1</v>
      </c>
      <c r="I1735" s="43"/>
      <c r="J1735" s="45" t="s">
        <v>2010</v>
      </c>
      <c r="K1735" s="46">
        <v>168771484095</v>
      </c>
      <c r="L1735" s="47">
        <v>990000465</v>
      </c>
      <c r="M1735" s="48" t="s">
        <v>2010</v>
      </c>
      <c r="N1735" s="48">
        <v>17093150244</v>
      </c>
      <c r="O1735" s="48">
        <v>17093151813</v>
      </c>
      <c r="P1735" s="48" t="s">
        <v>186</v>
      </c>
      <c r="Q1735" s="49" t="s">
        <v>2010</v>
      </c>
      <c r="R1735" s="49">
        <v>17086152310</v>
      </c>
      <c r="S1735" s="49">
        <v>17085068449</v>
      </c>
      <c r="T1735" s="49" t="s">
        <v>186</v>
      </c>
      <c r="U1735" s="50"/>
      <c r="V1735" s="50"/>
      <c r="W1735" s="50"/>
      <c r="X1735" s="50"/>
      <c r="Y1735" s="50"/>
      <c r="Z1735" s="51" t="s">
        <v>2010</v>
      </c>
      <c r="AA1735" s="51" t="s">
        <v>187</v>
      </c>
      <c r="AB1735" s="51">
        <v>1445</v>
      </c>
      <c r="AC1735" s="51">
        <v>1720</v>
      </c>
    </row>
    <row r="1736" spans="1:29" x14ac:dyDescent="0.25">
      <c r="A1736" s="25" t="s">
        <v>115</v>
      </c>
      <c r="B1736" t="b">
        <v>0</v>
      </c>
      <c r="C1736" s="43" t="s">
        <v>2011</v>
      </c>
      <c r="D1736" s="43">
        <v>358124951021</v>
      </c>
      <c r="E1736" s="43">
        <v>358124949869</v>
      </c>
      <c r="F1736" s="43" t="s">
        <v>125</v>
      </c>
      <c r="G1736" s="43" t="b">
        <v>0</v>
      </c>
      <c r="H1736" s="43" t="b">
        <v>1</v>
      </c>
      <c r="I1736" s="43"/>
      <c r="J1736" s="45" t="s">
        <v>2011</v>
      </c>
      <c r="K1736" s="46">
        <v>358124949869</v>
      </c>
      <c r="L1736" s="47">
        <v>990000460</v>
      </c>
      <c r="M1736" s="48" t="s">
        <v>2011</v>
      </c>
      <c r="N1736" s="48">
        <v>17099660202</v>
      </c>
      <c r="O1736" s="48">
        <v>17097749931</v>
      </c>
      <c r="P1736" s="48" t="s">
        <v>125</v>
      </c>
      <c r="Q1736" s="49" t="s">
        <v>2011</v>
      </c>
      <c r="R1736" s="49">
        <v>17086149750</v>
      </c>
      <c r="S1736" s="49">
        <v>17084739957</v>
      </c>
      <c r="T1736" s="49" t="s">
        <v>125</v>
      </c>
      <c r="U1736" s="50"/>
      <c r="V1736" s="50"/>
      <c r="W1736" s="50"/>
      <c r="X1736" s="50"/>
      <c r="Y1736" s="50"/>
      <c r="Z1736" s="51" t="s">
        <v>2011</v>
      </c>
      <c r="AA1736" s="51" t="s">
        <v>189</v>
      </c>
      <c r="AB1736" s="51">
        <v>24373</v>
      </c>
      <c r="AC1736" s="51">
        <v>29004</v>
      </c>
    </row>
    <row r="1737" spans="1:29" x14ac:dyDescent="0.25">
      <c r="A1737" s="25" t="s">
        <v>115</v>
      </c>
      <c r="B1737" t="b">
        <v>0</v>
      </c>
      <c r="C1737" s="43" t="s">
        <v>2012</v>
      </c>
      <c r="D1737" s="43">
        <v>358124953069</v>
      </c>
      <c r="E1737" s="43">
        <v>358124952941</v>
      </c>
      <c r="F1737" s="43" t="s">
        <v>186</v>
      </c>
      <c r="G1737" s="43" t="b">
        <v>0</v>
      </c>
      <c r="H1737" s="43" t="b">
        <v>1</v>
      </c>
      <c r="I1737" s="43"/>
      <c r="J1737" s="45" t="s">
        <v>2012</v>
      </c>
      <c r="K1737" s="46">
        <v>358124952941</v>
      </c>
      <c r="L1737" s="47">
        <v>990000462</v>
      </c>
      <c r="M1737" s="48" t="s">
        <v>2012</v>
      </c>
      <c r="N1737" s="48">
        <v>17099658154</v>
      </c>
      <c r="O1737" s="48">
        <v>17097751467</v>
      </c>
      <c r="P1737" s="48" t="s">
        <v>186</v>
      </c>
      <c r="Q1737" s="49" t="s">
        <v>2012</v>
      </c>
      <c r="R1737" s="49">
        <v>17086148726</v>
      </c>
      <c r="S1737" s="49">
        <v>17084743029</v>
      </c>
      <c r="T1737" s="49" t="s">
        <v>186</v>
      </c>
      <c r="U1737" s="50"/>
      <c r="V1737" s="50"/>
      <c r="W1737" s="50"/>
      <c r="X1737" s="50"/>
      <c r="Y1737" s="50"/>
      <c r="Z1737" s="51" t="s">
        <v>2012</v>
      </c>
      <c r="AA1737" s="51" t="s">
        <v>187</v>
      </c>
      <c r="AB1737" s="51">
        <v>1050</v>
      </c>
      <c r="AC1737" s="51">
        <v>1249</v>
      </c>
    </row>
    <row r="1738" spans="1:29" x14ac:dyDescent="0.25">
      <c r="A1738" s="25" t="s">
        <v>115</v>
      </c>
      <c r="B1738" t="b">
        <v>0</v>
      </c>
      <c r="C1738" s="43" t="s">
        <v>2013</v>
      </c>
      <c r="D1738" s="43">
        <v>358124950509</v>
      </c>
      <c r="E1738" s="43">
        <v>358124951405</v>
      </c>
      <c r="F1738" s="43" t="s">
        <v>132</v>
      </c>
      <c r="G1738" s="43" t="b">
        <v>0</v>
      </c>
      <c r="H1738" s="43" t="b">
        <v>1</v>
      </c>
      <c r="I1738" s="43"/>
      <c r="J1738" s="45" t="s">
        <v>2013</v>
      </c>
      <c r="K1738" s="46">
        <v>358124951405</v>
      </c>
      <c r="L1738" s="47">
        <v>990000461</v>
      </c>
      <c r="M1738" s="48"/>
      <c r="N1738" s="48"/>
      <c r="O1738" s="48"/>
      <c r="P1738" s="48"/>
      <c r="Q1738" s="49" t="s">
        <v>2013</v>
      </c>
      <c r="R1738" s="49">
        <v>17086150774</v>
      </c>
      <c r="S1738" s="49">
        <v>17084741493</v>
      </c>
      <c r="T1738" s="49" t="s">
        <v>132</v>
      </c>
      <c r="U1738" s="50"/>
      <c r="V1738" s="50"/>
      <c r="W1738" s="50"/>
      <c r="X1738" s="50"/>
      <c r="Y1738" s="50"/>
      <c r="Z1738" s="51" t="s">
        <v>2013</v>
      </c>
      <c r="AA1738" s="51" t="s">
        <v>192</v>
      </c>
      <c r="AB1738" s="51">
        <v>25389</v>
      </c>
      <c r="AC1738" s="51">
        <v>30212</v>
      </c>
    </row>
    <row r="1739" spans="1:29" x14ac:dyDescent="0.25">
      <c r="A1739" s="25" t="s">
        <v>115</v>
      </c>
      <c r="B1739" t="b">
        <v>0</v>
      </c>
      <c r="C1739" s="43" t="s">
        <v>2014</v>
      </c>
      <c r="D1739" s="43">
        <v>358124952557</v>
      </c>
      <c r="E1739" s="43">
        <v>358124951789</v>
      </c>
      <c r="F1739" s="43" t="s">
        <v>125</v>
      </c>
      <c r="G1739" s="43" t="b">
        <v>0</v>
      </c>
      <c r="H1739" s="43" t="b">
        <v>1</v>
      </c>
      <c r="I1739" s="43"/>
      <c r="J1739" s="45" t="s">
        <v>2014</v>
      </c>
      <c r="K1739" s="46">
        <v>358124951789</v>
      </c>
      <c r="L1739" s="47">
        <v>990000447</v>
      </c>
      <c r="M1739" s="48" t="s">
        <v>2014</v>
      </c>
      <c r="N1739" s="48">
        <v>17099659178</v>
      </c>
      <c r="O1739" s="48">
        <v>17097751659</v>
      </c>
      <c r="P1739" s="48" t="s">
        <v>125</v>
      </c>
      <c r="Q1739" s="49"/>
      <c r="R1739" s="49"/>
      <c r="S1739" s="49"/>
      <c r="T1739" s="49"/>
      <c r="U1739" s="50"/>
      <c r="V1739" s="50"/>
      <c r="W1739" s="50"/>
      <c r="X1739" s="50"/>
      <c r="Y1739" s="50"/>
      <c r="Z1739" s="51" t="s">
        <v>2014</v>
      </c>
      <c r="AA1739" s="51" t="s">
        <v>189</v>
      </c>
      <c r="AB1739" s="51">
        <v>19142</v>
      </c>
      <c r="AC1739" s="51">
        <v>22778</v>
      </c>
    </row>
    <row r="1740" spans="1:29" x14ac:dyDescent="0.25">
      <c r="A1740" s="25" t="s">
        <v>115</v>
      </c>
      <c r="B1740" t="b">
        <v>0</v>
      </c>
      <c r="C1740" s="43" t="s">
        <v>2015</v>
      </c>
      <c r="D1740" s="43">
        <v>358124951533</v>
      </c>
      <c r="E1740" s="43">
        <v>358124950253</v>
      </c>
      <c r="F1740" s="43" t="s">
        <v>186</v>
      </c>
      <c r="G1740" s="43" t="b">
        <v>0</v>
      </c>
      <c r="H1740" s="43" t="b">
        <v>1</v>
      </c>
      <c r="I1740" s="43"/>
      <c r="J1740" s="45" t="s">
        <v>2015</v>
      </c>
      <c r="K1740" s="46">
        <v>358124950253</v>
      </c>
      <c r="L1740" s="47">
        <v>990000448</v>
      </c>
      <c r="M1740" s="48" t="s">
        <v>2015</v>
      </c>
      <c r="N1740" s="48">
        <v>17099661226</v>
      </c>
      <c r="O1740" s="48">
        <v>17097750123</v>
      </c>
      <c r="P1740" s="48" t="s">
        <v>186</v>
      </c>
      <c r="Q1740" s="49"/>
      <c r="R1740" s="49"/>
      <c r="S1740" s="49"/>
      <c r="T1740" s="49"/>
      <c r="U1740" s="50"/>
      <c r="V1740" s="50"/>
      <c r="W1740" s="50"/>
      <c r="X1740" s="50"/>
      <c r="Y1740" s="50"/>
      <c r="Z1740" s="51" t="s">
        <v>2015</v>
      </c>
      <c r="AA1740" s="51" t="s">
        <v>187</v>
      </c>
      <c r="AB1740" s="51">
        <v>825</v>
      </c>
      <c r="AC1740" s="51">
        <v>982</v>
      </c>
    </row>
    <row r="1741" spans="1:29" x14ac:dyDescent="0.25">
      <c r="A1741" s="25" t="s">
        <v>115</v>
      </c>
      <c r="B1741" t="b">
        <v>0</v>
      </c>
      <c r="C1741" s="43" t="s">
        <v>2016</v>
      </c>
      <c r="D1741" s="43">
        <v>358124953581</v>
      </c>
      <c r="E1741" s="43">
        <v>358124953325</v>
      </c>
      <c r="F1741" s="43" t="s">
        <v>132</v>
      </c>
      <c r="G1741" s="43" t="b">
        <v>0</v>
      </c>
      <c r="H1741" s="43" t="b">
        <v>1</v>
      </c>
      <c r="I1741" s="43"/>
      <c r="J1741" s="45" t="s">
        <v>2016</v>
      </c>
      <c r="K1741" s="46">
        <v>358124953325</v>
      </c>
      <c r="L1741" s="47">
        <v>990000449</v>
      </c>
      <c r="M1741" s="48"/>
      <c r="N1741" s="48"/>
      <c r="O1741" s="48"/>
      <c r="P1741" s="48"/>
      <c r="Q1741" s="49"/>
      <c r="R1741" s="49"/>
      <c r="S1741" s="49"/>
      <c r="T1741" s="49"/>
      <c r="U1741" s="50"/>
      <c r="V1741" s="50"/>
      <c r="W1741" s="50"/>
      <c r="X1741" s="50"/>
      <c r="Y1741" s="50"/>
      <c r="Z1741" s="51" t="s">
        <v>2016</v>
      </c>
      <c r="AA1741" s="51" t="s">
        <v>192</v>
      </c>
      <c r="AB1741" s="51">
        <v>19938</v>
      </c>
      <c r="AC1741" s="51">
        <v>23726</v>
      </c>
    </row>
    <row r="1742" spans="1:29" x14ac:dyDescent="0.25">
      <c r="A1742" s="25" t="s">
        <v>115</v>
      </c>
      <c r="B1742" t="b">
        <v>0</v>
      </c>
      <c r="C1742" s="43" t="s">
        <v>2017</v>
      </c>
      <c r="D1742" s="43">
        <v>358124949533</v>
      </c>
      <c r="E1742" s="43">
        <v>358124953517</v>
      </c>
      <c r="F1742" s="43" t="s">
        <v>125</v>
      </c>
      <c r="G1742" s="43" t="b">
        <v>0</v>
      </c>
      <c r="H1742" s="43" t="b">
        <v>1</v>
      </c>
      <c r="I1742" s="43"/>
      <c r="J1742" s="45" t="s">
        <v>2017</v>
      </c>
      <c r="K1742" s="46">
        <v>358124953517</v>
      </c>
      <c r="L1742" s="47">
        <v>990000532</v>
      </c>
      <c r="M1742" s="48" t="s">
        <v>2017</v>
      </c>
      <c r="N1742" s="48">
        <v>17099658666</v>
      </c>
      <c r="O1742" s="48">
        <v>17097745959</v>
      </c>
      <c r="P1742" s="48" t="s">
        <v>125</v>
      </c>
      <c r="Q1742" s="49" t="s">
        <v>2017</v>
      </c>
      <c r="R1742" s="49">
        <v>17086198855</v>
      </c>
      <c r="S1742" s="49">
        <v>17084743605</v>
      </c>
      <c r="T1742" s="49" t="s">
        <v>125</v>
      </c>
      <c r="U1742" s="50"/>
      <c r="V1742" s="50"/>
      <c r="W1742" s="50"/>
      <c r="X1742" s="50"/>
      <c r="Y1742" s="50"/>
      <c r="Z1742" s="51" t="s">
        <v>2017</v>
      </c>
      <c r="AA1742" s="51" t="s">
        <v>189</v>
      </c>
      <c r="AB1742" s="51">
        <v>31785</v>
      </c>
      <c r="AC1742" s="51">
        <v>37824</v>
      </c>
    </row>
    <row r="1743" spans="1:29" x14ac:dyDescent="0.25">
      <c r="A1743" s="25" t="s">
        <v>115</v>
      </c>
      <c r="B1743" t="b">
        <v>0</v>
      </c>
      <c r="C1743" s="43" t="s">
        <v>2018</v>
      </c>
      <c r="D1743" s="43">
        <v>358124951581</v>
      </c>
      <c r="E1743" s="43">
        <v>358124950637</v>
      </c>
      <c r="F1743" s="43" t="s">
        <v>186</v>
      </c>
      <c r="G1743" s="43" t="b">
        <v>0</v>
      </c>
      <c r="H1743" s="43" t="b">
        <v>1</v>
      </c>
      <c r="I1743" s="43"/>
      <c r="J1743" s="45" t="s">
        <v>2018</v>
      </c>
      <c r="K1743" s="46">
        <v>358124950637</v>
      </c>
      <c r="L1743" s="47">
        <v>990000530</v>
      </c>
      <c r="M1743" s="48" t="s">
        <v>2018</v>
      </c>
      <c r="N1743" s="48">
        <v>17099660714</v>
      </c>
      <c r="O1743" s="48">
        <v>17097746727</v>
      </c>
      <c r="P1743" s="48" t="s">
        <v>186</v>
      </c>
      <c r="Q1743" s="49" t="s">
        <v>2018</v>
      </c>
      <c r="R1743" s="49">
        <v>17086200903</v>
      </c>
      <c r="S1743" s="49">
        <v>17084740725</v>
      </c>
      <c r="T1743" s="49" t="s">
        <v>186</v>
      </c>
      <c r="U1743" s="50"/>
      <c r="V1743" s="50"/>
      <c r="W1743" s="50"/>
      <c r="X1743" s="50"/>
      <c r="Y1743" s="50"/>
      <c r="Z1743" s="51" t="s">
        <v>2018</v>
      </c>
      <c r="AA1743" s="51" t="s">
        <v>187</v>
      </c>
      <c r="AB1743" s="51">
        <v>1369</v>
      </c>
      <c r="AC1743" s="51">
        <v>1629</v>
      </c>
    </row>
    <row r="1744" spans="1:29" x14ac:dyDescent="0.25">
      <c r="A1744" s="25" t="s">
        <v>115</v>
      </c>
      <c r="B1744" t="b">
        <v>0</v>
      </c>
      <c r="C1744" s="43" t="s">
        <v>2019</v>
      </c>
      <c r="D1744" s="43">
        <v>358124950557</v>
      </c>
      <c r="E1744" s="43">
        <v>358124952173</v>
      </c>
      <c r="F1744" s="43" t="s">
        <v>132</v>
      </c>
      <c r="G1744" s="43" t="b">
        <v>0</v>
      </c>
      <c r="H1744" s="43" t="b">
        <v>1</v>
      </c>
      <c r="I1744" s="43"/>
      <c r="J1744" s="45" t="s">
        <v>2019</v>
      </c>
      <c r="K1744" s="46">
        <v>358124952173</v>
      </c>
      <c r="L1744" s="47">
        <v>990000531</v>
      </c>
      <c r="M1744" s="48"/>
      <c r="N1744" s="48"/>
      <c r="O1744" s="48"/>
      <c r="P1744" s="48"/>
      <c r="Q1744" s="49" t="s">
        <v>2019</v>
      </c>
      <c r="R1744" s="49">
        <v>17086198343</v>
      </c>
      <c r="S1744" s="49">
        <v>17084742261</v>
      </c>
      <c r="T1744" s="49" t="s">
        <v>132</v>
      </c>
      <c r="U1744" s="50"/>
      <c r="V1744" s="50"/>
      <c r="W1744" s="50"/>
      <c r="X1744" s="50"/>
      <c r="Y1744" s="50"/>
      <c r="Z1744" s="51" t="s">
        <v>2019</v>
      </c>
      <c r="AA1744" s="51" t="s">
        <v>192</v>
      </c>
      <c r="AB1744" s="51">
        <v>33109</v>
      </c>
      <c r="AC1744" s="51">
        <v>39400</v>
      </c>
    </row>
    <row r="1745" spans="1:25" x14ac:dyDescent="0.25">
      <c r="A1745" s="25" t="s">
        <v>115</v>
      </c>
      <c r="B1745" t="b">
        <v>0</v>
      </c>
      <c r="C1745" s="43" t="s">
        <v>2020</v>
      </c>
      <c r="D1745" s="43">
        <v>316415</v>
      </c>
      <c r="E1745" s="43">
        <v>302684</v>
      </c>
      <c r="F1745" s="43" t="s">
        <v>119</v>
      </c>
      <c r="G1745" s="43" t="b">
        <v>0</v>
      </c>
      <c r="H1745" s="43" t="b">
        <v>0</v>
      </c>
      <c r="I1745" s="43"/>
      <c r="M1745" s="48" t="s">
        <v>2020</v>
      </c>
      <c r="N1745" s="48">
        <v>17088571698</v>
      </c>
      <c r="O1745" s="48">
        <v>17088568901</v>
      </c>
      <c r="P1745" s="48" t="s">
        <v>119</v>
      </c>
      <c r="Q1745" s="49" t="s">
        <v>2020</v>
      </c>
      <c r="R1745" s="49">
        <v>17083128750</v>
      </c>
      <c r="S1745" s="49">
        <v>17083125267</v>
      </c>
      <c r="T1745" s="49" t="s">
        <v>119</v>
      </c>
      <c r="U1745" s="50" t="s">
        <v>2020</v>
      </c>
      <c r="V1745" s="50">
        <v>17083128750</v>
      </c>
      <c r="W1745" s="50">
        <v>17083125267</v>
      </c>
      <c r="X1745" s="50" t="s">
        <v>119</v>
      </c>
      <c r="Y1745" s="50"/>
    </row>
    <row r="1746" spans="1:25" x14ac:dyDescent="0.25">
      <c r="A1746" s="25" t="s">
        <v>115</v>
      </c>
      <c r="B1746" t="b">
        <v>0</v>
      </c>
      <c r="C1746" s="43" t="s">
        <v>2021</v>
      </c>
      <c r="D1746" s="43">
        <v>318463</v>
      </c>
      <c r="E1746" s="43">
        <v>299132</v>
      </c>
      <c r="F1746" s="43" t="s">
        <v>132</v>
      </c>
      <c r="G1746" s="43" t="b">
        <v>0</v>
      </c>
      <c r="H1746" s="43" t="b">
        <v>0</v>
      </c>
      <c r="I1746" s="43"/>
      <c r="M1746" s="48" t="s">
        <v>2021</v>
      </c>
      <c r="N1746" s="48">
        <v>17088573234</v>
      </c>
      <c r="O1746" s="48">
        <v>17088567429</v>
      </c>
      <c r="P1746" s="48" t="s">
        <v>132</v>
      </c>
      <c r="Q1746" s="49" t="s">
        <v>2021</v>
      </c>
      <c r="R1746" s="49">
        <v>17083128430</v>
      </c>
      <c r="S1746" s="49">
        <v>17083123939</v>
      </c>
      <c r="T1746" s="49" t="s">
        <v>132</v>
      </c>
      <c r="U1746" s="50" t="s">
        <v>2021</v>
      </c>
      <c r="V1746" s="50">
        <v>17083128430</v>
      </c>
      <c r="W1746" s="50">
        <v>17083123939</v>
      </c>
      <c r="X1746" s="50" t="s">
        <v>132</v>
      </c>
      <c r="Y1746" s="50"/>
    </row>
    <row r="1747" spans="1:25" x14ac:dyDescent="0.25">
      <c r="A1747" s="25" t="s">
        <v>115</v>
      </c>
      <c r="B1747" t="b">
        <v>0</v>
      </c>
      <c r="C1747" s="43" t="s">
        <v>2022</v>
      </c>
      <c r="D1747" s="43">
        <v>317439</v>
      </c>
      <c r="E1747" s="43">
        <v>301276</v>
      </c>
      <c r="F1747" s="43" t="s">
        <v>123</v>
      </c>
      <c r="G1747" s="43" t="b">
        <v>1</v>
      </c>
      <c r="H1747" s="43" t="b">
        <v>0</v>
      </c>
      <c r="I1747" s="43" t="s">
        <v>126</v>
      </c>
      <c r="M1747" s="48" t="s">
        <v>2022</v>
      </c>
      <c r="N1747" s="48">
        <v>17088571346</v>
      </c>
      <c r="O1747" s="48">
        <v>17088568197</v>
      </c>
      <c r="P1747" s="48" t="s">
        <v>123</v>
      </c>
      <c r="Q1747" s="49" t="s">
        <v>2022</v>
      </c>
      <c r="R1747" s="49">
        <v>17083126190</v>
      </c>
      <c r="S1747" s="49">
        <v>17083124707</v>
      </c>
      <c r="T1747" s="49" t="s">
        <v>123</v>
      </c>
      <c r="U1747" s="50" t="s">
        <v>2022</v>
      </c>
      <c r="V1747" s="50">
        <v>17083126190</v>
      </c>
      <c r="W1747" s="50">
        <v>17083124707</v>
      </c>
      <c r="X1747" s="50" t="s">
        <v>123</v>
      </c>
      <c r="Y1747" s="50">
        <v>140005</v>
      </c>
    </row>
    <row r="1748" spans="1:25" x14ac:dyDescent="0.25">
      <c r="A1748" s="25" t="s">
        <v>115</v>
      </c>
      <c r="B1748" t="b">
        <v>0</v>
      </c>
      <c r="C1748" s="43" t="s">
        <v>2023</v>
      </c>
      <c r="D1748" s="43">
        <v>319487</v>
      </c>
      <c r="E1748" s="43">
        <v>302204</v>
      </c>
      <c r="F1748" s="43" t="s">
        <v>132</v>
      </c>
      <c r="G1748" s="43" t="b">
        <v>0</v>
      </c>
      <c r="H1748" s="43" t="b">
        <v>0</v>
      </c>
      <c r="I1748" s="43"/>
      <c r="M1748" s="48" t="s">
        <v>2023</v>
      </c>
      <c r="N1748" s="48">
        <v>17088572370</v>
      </c>
      <c r="O1748" s="48">
        <v>17088567045</v>
      </c>
      <c r="P1748" s="48" t="s">
        <v>132</v>
      </c>
      <c r="Q1748" s="49" t="s">
        <v>2023</v>
      </c>
      <c r="R1748" s="49">
        <v>17083129518</v>
      </c>
      <c r="S1748" s="49">
        <v>17083123555</v>
      </c>
      <c r="T1748" s="49" t="s">
        <v>132</v>
      </c>
      <c r="U1748" s="50" t="s">
        <v>2023</v>
      </c>
      <c r="V1748" s="50">
        <v>17083129518</v>
      </c>
      <c r="W1748" s="50">
        <v>17083123555</v>
      </c>
      <c r="X1748" s="50" t="s">
        <v>132</v>
      </c>
      <c r="Y1748" s="50"/>
    </row>
    <row r="1749" spans="1:25" x14ac:dyDescent="0.25">
      <c r="A1749" s="25" t="s">
        <v>115</v>
      </c>
      <c r="B1749" t="b">
        <v>0</v>
      </c>
      <c r="C1749" s="43" t="s">
        <v>2024</v>
      </c>
      <c r="D1749" s="43">
        <v>319488</v>
      </c>
      <c r="E1749" s="43">
        <v>299900</v>
      </c>
      <c r="F1749" s="43" t="s">
        <v>132</v>
      </c>
      <c r="G1749" s="43" t="b">
        <v>0</v>
      </c>
      <c r="H1749" s="43" t="b">
        <v>0</v>
      </c>
      <c r="I1749" s="43"/>
      <c r="J1749" s="45" t="s">
        <v>2024</v>
      </c>
      <c r="K1749" s="46">
        <v>299900</v>
      </c>
      <c r="L1749" s="47">
        <v>990000618</v>
      </c>
      <c r="M1749" s="48" t="s">
        <v>2024</v>
      </c>
      <c r="N1749" s="48">
        <v>17088569650</v>
      </c>
      <c r="O1749" s="48">
        <v>17088568325</v>
      </c>
      <c r="P1749" s="48" t="s">
        <v>132</v>
      </c>
      <c r="Q1749" s="49" t="s">
        <v>2024</v>
      </c>
      <c r="R1749" s="49">
        <v>17083126702</v>
      </c>
      <c r="S1749" s="49">
        <v>17083124835</v>
      </c>
      <c r="T1749" s="49" t="s">
        <v>132</v>
      </c>
      <c r="U1749" s="50" t="s">
        <v>2024</v>
      </c>
      <c r="V1749" s="50">
        <v>17083126702</v>
      </c>
      <c r="W1749" s="50">
        <v>17083124835</v>
      </c>
      <c r="X1749" s="50" t="s">
        <v>132</v>
      </c>
      <c r="Y1749" s="50"/>
    </row>
    <row r="1750" spans="1:25" x14ac:dyDescent="0.25">
      <c r="A1750" s="25" t="s">
        <v>115</v>
      </c>
      <c r="B1750" t="b">
        <v>1</v>
      </c>
      <c r="C1750" s="43" t="s">
        <v>2025</v>
      </c>
      <c r="D1750" s="43">
        <v>321536</v>
      </c>
      <c r="E1750" s="43">
        <v>300668</v>
      </c>
      <c r="F1750" s="43" t="s">
        <v>132</v>
      </c>
      <c r="G1750" s="43" t="b">
        <v>0</v>
      </c>
      <c r="H1750" s="43" t="b">
        <v>0</v>
      </c>
      <c r="I1750" s="43"/>
      <c r="J1750" s="45" t="s">
        <v>2025</v>
      </c>
      <c r="K1750" s="46">
        <v>300668</v>
      </c>
      <c r="L1750" s="47">
        <v>990000720</v>
      </c>
      <c r="M1750" s="48" t="s">
        <v>2025</v>
      </c>
      <c r="N1750" s="48">
        <v>17088572594</v>
      </c>
      <c r="O1750" s="48">
        <v>17088566533</v>
      </c>
      <c r="P1750" s="48" t="s">
        <v>132</v>
      </c>
      <c r="Q1750" s="49" t="s">
        <v>2025</v>
      </c>
      <c r="R1750" s="49">
        <v>17083128174</v>
      </c>
      <c r="S1750" s="49">
        <v>17083123043</v>
      </c>
      <c r="T1750" s="49" t="s">
        <v>132</v>
      </c>
      <c r="U1750" s="50" t="s">
        <v>2025</v>
      </c>
      <c r="V1750" s="50">
        <v>17083128174</v>
      </c>
      <c r="W1750" s="50">
        <v>17083123043</v>
      </c>
      <c r="X1750" s="50" t="s">
        <v>132</v>
      </c>
      <c r="Y1750" s="50"/>
    </row>
    <row r="1751" spans="1:25" x14ac:dyDescent="0.25">
      <c r="A1751" s="25" t="s">
        <v>115</v>
      </c>
      <c r="B1751" t="b">
        <v>0</v>
      </c>
      <c r="C1751" s="43" t="s">
        <v>2026</v>
      </c>
      <c r="D1751" s="43">
        <v>320512</v>
      </c>
      <c r="E1751" s="43">
        <v>302012</v>
      </c>
      <c r="F1751" s="43" t="s">
        <v>132</v>
      </c>
      <c r="G1751" s="43" t="b">
        <v>0</v>
      </c>
      <c r="H1751" s="43" t="b">
        <v>0</v>
      </c>
      <c r="I1751" s="43"/>
      <c r="M1751" s="48" t="s">
        <v>2026</v>
      </c>
      <c r="N1751" s="48">
        <v>17088570546</v>
      </c>
      <c r="O1751" s="48">
        <v>17088567941</v>
      </c>
      <c r="P1751" s="48" t="s">
        <v>132</v>
      </c>
      <c r="Q1751" s="49" t="s">
        <v>2026</v>
      </c>
      <c r="R1751" s="49">
        <v>17083126126</v>
      </c>
      <c r="S1751" s="49">
        <v>17083124451</v>
      </c>
      <c r="T1751" s="49" t="s">
        <v>132</v>
      </c>
      <c r="U1751" s="50" t="s">
        <v>2026</v>
      </c>
      <c r="V1751" s="50">
        <v>17083126126</v>
      </c>
      <c r="W1751" s="50">
        <v>17083124451</v>
      </c>
      <c r="X1751" s="50" t="s">
        <v>132</v>
      </c>
      <c r="Y1751" s="50"/>
    </row>
    <row r="1752" spans="1:25" x14ac:dyDescent="0.25">
      <c r="A1752" s="25" t="s">
        <v>115</v>
      </c>
      <c r="B1752" t="b">
        <v>0</v>
      </c>
      <c r="C1752" s="43" t="s">
        <v>2027</v>
      </c>
      <c r="D1752" s="43">
        <v>322560</v>
      </c>
      <c r="E1752" s="43">
        <v>300124</v>
      </c>
      <c r="F1752" s="43" t="s">
        <v>119</v>
      </c>
      <c r="G1752" s="43" t="b">
        <v>0</v>
      </c>
      <c r="H1752" s="43" t="b">
        <v>0</v>
      </c>
      <c r="I1752" s="43"/>
      <c r="J1752" s="45" t="s">
        <v>2027</v>
      </c>
      <c r="K1752" s="46">
        <v>300124</v>
      </c>
      <c r="L1752" s="47">
        <v>990000613</v>
      </c>
      <c r="M1752" s="48" t="s">
        <v>2027</v>
      </c>
      <c r="N1752" s="48">
        <v>17088570418</v>
      </c>
      <c r="O1752" s="48">
        <v>17088566085</v>
      </c>
      <c r="P1752" s="48" t="s">
        <v>119</v>
      </c>
      <c r="Q1752" s="49" t="s">
        <v>2027</v>
      </c>
      <c r="R1752" s="49">
        <v>17083128238</v>
      </c>
      <c r="S1752" s="49">
        <v>17083122451</v>
      </c>
      <c r="T1752" s="49" t="s">
        <v>119</v>
      </c>
      <c r="U1752" s="50" t="s">
        <v>2027</v>
      </c>
      <c r="V1752" s="50">
        <v>17083128238</v>
      </c>
      <c r="W1752" s="50">
        <v>17083122451</v>
      </c>
      <c r="X1752" s="50" t="s">
        <v>119</v>
      </c>
      <c r="Y1752" s="50"/>
    </row>
    <row r="1753" spans="1:25" x14ac:dyDescent="0.25">
      <c r="A1753" s="25" t="s">
        <v>115</v>
      </c>
      <c r="B1753" t="b">
        <v>0</v>
      </c>
      <c r="C1753" s="43" t="s">
        <v>2028</v>
      </c>
      <c r="D1753" s="43">
        <v>320000</v>
      </c>
      <c r="E1753" s="43">
        <v>299842</v>
      </c>
      <c r="F1753" s="43" t="s">
        <v>132</v>
      </c>
      <c r="G1753" s="43" t="b">
        <v>0</v>
      </c>
      <c r="H1753" s="43" t="b">
        <v>0</v>
      </c>
      <c r="I1753" s="43"/>
      <c r="M1753" s="48" t="s">
        <v>2028</v>
      </c>
      <c r="N1753" s="48">
        <v>17088571458</v>
      </c>
      <c r="O1753" s="48">
        <v>17088567166</v>
      </c>
      <c r="P1753" s="48" t="s">
        <v>132</v>
      </c>
      <c r="Q1753" s="49" t="s">
        <v>2028</v>
      </c>
      <c r="R1753" s="49">
        <v>17083126518</v>
      </c>
      <c r="S1753" s="49">
        <v>17083125589</v>
      </c>
      <c r="T1753" s="49" t="s">
        <v>132</v>
      </c>
      <c r="U1753" s="50" t="s">
        <v>2028</v>
      </c>
      <c r="V1753" s="50">
        <v>17083126518</v>
      </c>
      <c r="W1753" s="50">
        <v>17083125589</v>
      </c>
      <c r="X1753" s="50" t="s">
        <v>132</v>
      </c>
      <c r="Y1753" s="50"/>
    </row>
    <row r="1754" spans="1:25" x14ac:dyDescent="0.25">
      <c r="A1754" s="25" t="s">
        <v>115</v>
      </c>
      <c r="B1754" t="b">
        <v>0</v>
      </c>
      <c r="C1754" s="43" t="s">
        <v>2029</v>
      </c>
      <c r="D1754" s="43">
        <v>322048</v>
      </c>
      <c r="E1754" s="43">
        <v>302972</v>
      </c>
      <c r="F1754" s="43" t="s">
        <v>132</v>
      </c>
      <c r="G1754" s="43" t="b">
        <v>0</v>
      </c>
      <c r="H1754" s="43" t="b">
        <v>0</v>
      </c>
      <c r="I1754" s="43"/>
      <c r="M1754" s="48" t="s">
        <v>2029</v>
      </c>
      <c r="N1754" s="48">
        <v>17088571570</v>
      </c>
      <c r="O1754" s="48">
        <v>17088565253</v>
      </c>
      <c r="P1754" s="48" t="s">
        <v>132</v>
      </c>
      <c r="Q1754" s="49" t="s">
        <v>2029</v>
      </c>
      <c r="R1754" s="49">
        <v>17083129454</v>
      </c>
      <c r="S1754" s="49">
        <v>17083121763</v>
      </c>
      <c r="T1754" s="49" t="s">
        <v>132</v>
      </c>
      <c r="U1754" s="50" t="s">
        <v>2029</v>
      </c>
      <c r="V1754" s="50">
        <v>17083129454</v>
      </c>
      <c r="W1754" s="50">
        <v>17083121763</v>
      </c>
      <c r="X1754" s="50" t="s">
        <v>132</v>
      </c>
      <c r="Y1754" s="50"/>
    </row>
    <row r="1755" spans="1:25" x14ac:dyDescent="0.25">
      <c r="A1755" s="25" t="s">
        <v>115</v>
      </c>
      <c r="B1755" t="b">
        <v>0</v>
      </c>
      <c r="C1755" s="43" t="s">
        <v>2030</v>
      </c>
      <c r="D1755" s="43">
        <v>321024</v>
      </c>
      <c r="E1755" s="43">
        <v>302450</v>
      </c>
      <c r="F1755" s="43" t="s">
        <v>117</v>
      </c>
      <c r="G1755" s="43" t="b">
        <v>0</v>
      </c>
      <c r="H1755" s="43" t="b">
        <v>0</v>
      </c>
      <c r="I1755" s="43"/>
      <c r="M1755" s="48" t="s">
        <v>2030</v>
      </c>
      <c r="N1755" s="48">
        <v>17088571692</v>
      </c>
      <c r="O1755" s="48">
        <v>17088567802</v>
      </c>
      <c r="P1755" s="48" t="s">
        <v>117</v>
      </c>
      <c r="Q1755" s="49" t="s">
        <v>2030</v>
      </c>
      <c r="R1755" s="49">
        <v>17083129542</v>
      </c>
      <c r="S1755" s="49">
        <v>17083122057</v>
      </c>
      <c r="T1755" s="49" t="s">
        <v>117</v>
      </c>
      <c r="U1755" s="50" t="s">
        <v>2030</v>
      </c>
      <c r="V1755" s="50">
        <v>17083129542</v>
      </c>
      <c r="W1755" s="50">
        <v>17083122057</v>
      </c>
      <c r="X1755" s="50" t="s">
        <v>117</v>
      </c>
      <c r="Y1755" s="50"/>
    </row>
    <row r="1756" spans="1:25" x14ac:dyDescent="0.25">
      <c r="A1756" s="25" t="s">
        <v>115</v>
      </c>
      <c r="B1756" t="b">
        <v>0</v>
      </c>
      <c r="C1756" s="43" t="s">
        <v>2031</v>
      </c>
      <c r="D1756" s="43">
        <v>319744</v>
      </c>
      <c r="E1756" s="43">
        <v>301698</v>
      </c>
      <c r="F1756" s="43" t="s">
        <v>119</v>
      </c>
      <c r="G1756" s="43" t="b">
        <v>0</v>
      </c>
      <c r="H1756" s="43" t="b">
        <v>0</v>
      </c>
      <c r="I1756" s="43"/>
      <c r="M1756" s="48" t="s">
        <v>2031</v>
      </c>
      <c r="N1756" s="48">
        <v>17088572274</v>
      </c>
      <c r="O1756" s="48">
        <v>17088568853</v>
      </c>
      <c r="P1756" s="48" t="s">
        <v>119</v>
      </c>
      <c r="Q1756" s="49" t="s">
        <v>2031</v>
      </c>
      <c r="R1756" s="49">
        <v>17083128814</v>
      </c>
      <c r="S1756" s="49">
        <v>17083122867</v>
      </c>
      <c r="T1756" s="49" t="s">
        <v>119</v>
      </c>
      <c r="U1756" s="50" t="s">
        <v>2031</v>
      </c>
      <c r="V1756" s="50">
        <v>17083128814</v>
      </c>
      <c r="W1756" s="50">
        <v>17083122867</v>
      </c>
      <c r="X1756" s="50" t="s">
        <v>119</v>
      </c>
      <c r="Y1756" s="50"/>
    </row>
    <row r="1757" spans="1:25" x14ac:dyDescent="0.25">
      <c r="A1757" s="25" t="s">
        <v>115</v>
      </c>
      <c r="B1757" t="b">
        <v>0</v>
      </c>
      <c r="C1757" s="43" t="s">
        <v>2032</v>
      </c>
      <c r="D1757" s="43">
        <v>321792</v>
      </c>
      <c r="E1757" s="43">
        <v>299586</v>
      </c>
      <c r="F1757" s="43" t="s">
        <v>119</v>
      </c>
      <c r="G1757" s="43" t="b">
        <v>0</v>
      </c>
      <c r="H1757" s="43" t="b">
        <v>0</v>
      </c>
      <c r="I1757" s="43"/>
      <c r="M1757" s="48" t="s">
        <v>2032</v>
      </c>
      <c r="N1757" s="48">
        <v>17088573362</v>
      </c>
      <c r="O1757" s="48">
        <v>17088565733</v>
      </c>
      <c r="P1757" s="48" t="s">
        <v>119</v>
      </c>
      <c r="Q1757" s="49" t="s">
        <v>2032</v>
      </c>
      <c r="R1757" s="49">
        <v>17083126510</v>
      </c>
      <c r="S1757" s="49">
        <v>17083124787</v>
      </c>
      <c r="T1757" s="49" t="s">
        <v>119</v>
      </c>
      <c r="U1757" s="50" t="s">
        <v>2032</v>
      </c>
      <c r="V1757" s="50">
        <v>17083126510</v>
      </c>
      <c r="W1757" s="50">
        <v>17083124787</v>
      </c>
      <c r="X1757" s="50" t="s">
        <v>119</v>
      </c>
      <c r="Y1757" s="50"/>
    </row>
    <row r="1758" spans="1:25" x14ac:dyDescent="0.25">
      <c r="A1758" s="25" t="s">
        <v>115</v>
      </c>
      <c r="B1758" t="b">
        <v>0</v>
      </c>
      <c r="C1758" s="43" t="s">
        <v>2033</v>
      </c>
      <c r="D1758" s="43">
        <v>320768</v>
      </c>
      <c r="E1758" s="43">
        <v>300706</v>
      </c>
      <c r="F1758" s="43" t="s">
        <v>117</v>
      </c>
      <c r="G1758" s="43" t="b">
        <v>0</v>
      </c>
      <c r="H1758" s="43" t="b">
        <v>0</v>
      </c>
      <c r="I1758" s="43"/>
      <c r="M1758" s="48" t="s">
        <v>2033</v>
      </c>
      <c r="N1758" s="48">
        <v>17088571682</v>
      </c>
      <c r="O1758" s="48">
        <v>17088568289</v>
      </c>
      <c r="P1758" s="48" t="s">
        <v>117</v>
      </c>
      <c r="Q1758" s="49" t="s">
        <v>2033</v>
      </c>
      <c r="R1758" s="49">
        <v>17083126542</v>
      </c>
      <c r="S1758" s="49">
        <v>17083122573</v>
      </c>
      <c r="T1758" s="49" t="s">
        <v>117</v>
      </c>
      <c r="U1758" s="50" t="s">
        <v>2033</v>
      </c>
      <c r="V1758" s="50">
        <v>17083126542</v>
      </c>
      <c r="W1758" s="50">
        <v>17083122573</v>
      </c>
      <c r="X1758" s="50" t="s">
        <v>117</v>
      </c>
      <c r="Y1758" s="50"/>
    </row>
    <row r="1759" spans="1:25" x14ac:dyDescent="0.25">
      <c r="A1759" s="25" t="s">
        <v>115</v>
      </c>
      <c r="B1759" t="b">
        <v>0</v>
      </c>
      <c r="C1759" s="43" t="s">
        <v>2034</v>
      </c>
      <c r="D1759" s="43">
        <v>322816</v>
      </c>
      <c r="E1759" s="43">
        <v>301052</v>
      </c>
      <c r="F1759" s="43" t="s">
        <v>132</v>
      </c>
      <c r="G1759" s="43" t="b">
        <v>0</v>
      </c>
      <c r="H1759" s="43" t="b">
        <v>0</v>
      </c>
      <c r="I1759" s="43"/>
      <c r="M1759" s="48" t="s">
        <v>2034</v>
      </c>
      <c r="N1759" s="48">
        <v>17088570226</v>
      </c>
      <c r="O1759" s="48">
        <v>17088567189</v>
      </c>
      <c r="P1759" s="48" t="s">
        <v>132</v>
      </c>
      <c r="Q1759" s="49" t="s">
        <v>2034</v>
      </c>
      <c r="R1759" s="49">
        <v>17083126766</v>
      </c>
      <c r="S1759" s="49">
        <v>17083124083</v>
      </c>
      <c r="T1759" s="49" t="s">
        <v>132</v>
      </c>
      <c r="U1759" s="50" t="s">
        <v>2034</v>
      </c>
      <c r="V1759" s="50">
        <v>17083126766</v>
      </c>
      <c r="W1759" s="50">
        <v>17083124083</v>
      </c>
      <c r="X1759" s="50" t="s">
        <v>132</v>
      </c>
      <c r="Y1759" s="50"/>
    </row>
    <row r="1760" spans="1:25" x14ac:dyDescent="0.25">
      <c r="A1760" s="25" t="s">
        <v>115</v>
      </c>
      <c r="B1760" t="b">
        <v>0</v>
      </c>
      <c r="C1760" s="43" t="s">
        <v>2035</v>
      </c>
      <c r="D1760" s="43">
        <v>320256</v>
      </c>
      <c r="E1760" s="43">
        <v>299522</v>
      </c>
      <c r="F1760" s="43" t="s">
        <v>132</v>
      </c>
      <c r="G1760" s="43" t="b">
        <v>0</v>
      </c>
      <c r="H1760" s="43" t="b">
        <v>0</v>
      </c>
      <c r="I1760" s="43"/>
      <c r="M1760" s="48" t="s">
        <v>2035</v>
      </c>
      <c r="N1760" s="48">
        <v>17088571826</v>
      </c>
      <c r="O1760" s="48">
        <v>17088565653</v>
      </c>
      <c r="P1760" s="48" t="s">
        <v>132</v>
      </c>
      <c r="Q1760" s="49" t="s">
        <v>2035</v>
      </c>
      <c r="R1760" s="49">
        <v>17083128046</v>
      </c>
      <c r="S1760" s="49">
        <v>17083124851</v>
      </c>
      <c r="T1760" s="49" t="s">
        <v>132</v>
      </c>
      <c r="U1760" s="50" t="s">
        <v>2035</v>
      </c>
      <c r="V1760" s="50">
        <v>17083128046</v>
      </c>
      <c r="W1760" s="50">
        <v>17083124851</v>
      </c>
      <c r="X1760" s="50" t="s">
        <v>132</v>
      </c>
      <c r="Y1760" s="50"/>
    </row>
    <row r="1761" spans="1:25" x14ac:dyDescent="0.25">
      <c r="A1761" s="25" t="s">
        <v>115</v>
      </c>
      <c r="B1761" t="b">
        <v>0</v>
      </c>
      <c r="C1761" s="43" t="s">
        <v>2036</v>
      </c>
      <c r="D1761" s="43">
        <v>322304</v>
      </c>
      <c r="E1761" s="43">
        <v>301826</v>
      </c>
      <c r="F1761" s="43" t="s">
        <v>117</v>
      </c>
      <c r="G1761" s="43" t="b">
        <v>0</v>
      </c>
      <c r="H1761" s="43" t="b">
        <v>0</v>
      </c>
      <c r="I1761" s="43"/>
      <c r="J1761" s="45" t="s">
        <v>2036</v>
      </c>
      <c r="K1761" s="46">
        <v>301826</v>
      </c>
      <c r="L1761" s="47">
        <v>990000669</v>
      </c>
      <c r="M1761" s="48" t="s">
        <v>2036</v>
      </c>
      <c r="N1761" s="48">
        <v>17088573042</v>
      </c>
      <c r="O1761" s="48">
        <v>17088566037</v>
      </c>
      <c r="P1761" s="48" t="s">
        <v>117</v>
      </c>
      <c r="Q1761" s="49" t="s">
        <v>2036</v>
      </c>
      <c r="R1761" s="49">
        <v>17083128302</v>
      </c>
      <c r="S1761" s="49">
        <v>17083125427</v>
      </c>
      <c r="T1761" s="49" t="s">
        <v>117</v>
      </c>
      <c r="U1761" s="50" t="s">
        <v>2036</v>
      </c>
      <c r="V1761" s="50">
        <v>17083128302</v>
      </c>
      <c r="W1761" s="50">
        <v>17083125427</v>
      </c>
      <c r="X1761" s="50" t="s">
        <v>117</v>
      </c>
      <c r="Y1761" s="50"/>
    </row>
    <row r="1762" spans="1:25" x14ac:dyDescent="0.25">
      <c r="A1762" s="25" t="s">
        <v>115</v>
      </c>
      <c r="B1762" t="b">
        <v>0</v>
      </c>
      <c r="C1762" s="43" t="s">
        <v>2037</v>
      </c>
      <c r="D1762" s="43">
        <v>321280</v>
      </c>
      <c r="E1762" s="43">
        <v>299954</v>
      </c>
      <c r="F1762" s="43" t="s">
        <v>117</v>
      </c>
      <c r="G1762" s="43" t="b">
        <v>0</v>
      </c>
      <c r="H1762" s="43" t="b">
        <v>0</v>
      </c>
      <c r="I1762" s="43"/>
      <c r="M1762" s="48" t="s">
        <v>2037</v>
      </c>
      <c r="N1762" s="48">
        <v>17088569964</v>
      </c>
      <c r="O1762" s="48">
        <v>17088567290</v>
      </c>
      <c r="P1762" s="48" t="s">
        <v>117</v>
      </c>
      <c r="Q1762" s="49" t="s">
        <v>2037</v>
      </c>
      <c r="R1762" s="49">
        <v>17083129766</v>
      </c>
      <c r="S1762" s="49">
        <v>17083124617</v>
      </c>
      <c r="T1762" s="49" t="s">
        <v>117</v>
      </c>
      <c r="U1762" s="50" t="s">
        <v>2037</v>
      </c>
      <c r="V1762" s="50">
        <v>17083129766</v>
      </c>
      <c r="W1762" s="50">
        <v>17083124617</v>
      </c>
      <c r="X1762" s="50" t="s">
        <v>117</v>
      </c>
      <c r="Y1762" s="50"/>
    </row>
    <row r="1763" spans="1:25" x14ac:dyDescent="0.25">
      <c r="A1763" s="25" t="s">
        <v>115</v>
      </c>
      <c r="B1763" t="b">
        <v>0</v>
      </c>
      <c r="C1763" s="43" t="s">
        <v>2038</v>
      </c>
      <c r="D1763" s="43">
        <v>323328</v>
      </c>
      <c r="E1763" s="43">
        <v>299810</v>
      </c>
      <c r="F1763" s="43" t="s">
        <v>117</v>
      </c>
      <c r="G1763" s="43" t="b">
        <v>0</v>
      </c>
      <c r="H1763" s="43" t="b">
        <v>0</v>
      </c>
      <c r="I1763" s="43"/>
      <c r="M1763" s="48" t="s">
        <v>2038</v>
      </c>
      <c r="N1763" s="48">
        <v>17088570402</v>
      </c>
      <c r="O1763" s="48">
        <v>17088565265</v>
      </c>
      <c r="P1763" s="48" t="s">
        <v>117</v>
      </c>
      <c r="Q1763" s="49" t="s">
        <v>2038</v>
      </c>
      <c r="R1763" s="49">
        <v>17083127054</v>
      </c>
      <c r="S1763" s="49">
        <v>17083125645</v>
      </c>
      <c r="T1763" s="49" t="s">
        <v>117</v>
      </c>
      <c r="U1763" s="50" t="s">
        <v>2038</v>
      </c>
      <c r="V1763" s="50">
        <v>17083127054</v>
      </c>
      <c r="W1763" s="50">
        <v>17083125645</v>
      </c>
      <c r="X1763" s="50" t="s">
        <v>117</v>
      </c>
      <c r="Y1763" s="50"/>
    </row>
    <row r="1764" spans="1:25" x14ac:dyDescent="0.25">
      <c r="A1764" s="25" t="s">
        <v>115</v>
      </c>
      <c r="B1764" t="b">
        <v>0</v>
      </c>
      <c r="C1764" s="43" t="s">
        <v>2039</v>
      </c>
      <c r="D1764" s="43">
        <v>319616</v>
      </c>
      <c r="E1764" s="43">
        <v>301058</v>
      </c>
      <c r="F1764" s="43" t="s">
        <v>132</v>
      </c>
      <c r="G1764" s="43" t="b">
        <v>0</v>
      </c>
      <c r="H1764" s="43" t="b">
        <v>0</v>
      </c>
      <c r="I1764" s="43"/>
      <c r="M1764" s="48" t="s">
        <v>2039</v>
      </c>
      <c r="N1764" s="48">
        <v>17088570994</v>
      </c>
      <c r="O1764" s="48">
        <v>17088568725</v>
      </c>
      <c r="P1764" s="48" t="s">
        <v>132</v>
      </c>
      <c r="Q1764" s="49" t="s">
        <v>2039</v>
      </c>
      <c r="R1764" s="49">
        <v>17083126254</v>
      </c>
      <c r="S1764" s="49">
        <v>17083123315</v>
      </c>
      <c r="T1764" s="49" t="s">
        <v>132</v>
      </c>
      <c r="U1764" s="50" t="s">
        <v>2039</v>
      </c>
      <c r="V1764" s="50">
        <v>17083126254</v>
      </c>
      <c r="W1764" s="50">
        <v>17083123315</v>
      </c>
      <c r="X1764" s="50" t="s">
        <v>132</v>
      </c>
      <c r="Y1764" s="50"/>
    </row>
    <row r="1765" spans="1:25" x14ac:dyDescent="0.25">
      <c r="A1765" s="25" t="s">
        <v>115</v>
      </c>
      <c r="B1765" t="b">
        <v>0</v>
      </c>
      <c r="C1765" s="43" t="s">
        <v>2040</v>
      </c>
      <c r="D1765" s="43">
        <v>321664</v>
      </c>
      <c r="E1765" s="43">
        <v>301378</v>
      </c>
      <c r="F1765" s="43" t="s">
        <v>123</v>
      </c>
      <c r="G1765" s="43" t="b">
        <v>0</v>
      </c>
      <c r="H1765" s="43" t="b">
        <v>0</v>
      </c>
      <c r="I1765" s="43"/>
      <c r="M1765" s="48" t="s">
        <v>2040</v>
      </c>
      <c r="N1765" s="48">
        <v>17088572658</v>
      </c>
      <c r="O1765" s="48">
        <v>17088568037</v>
      </c>
      <c r="P1765" s="48" t="s">
        <v>123</v>
      </c>
      <c r="Q1765" s="49" t="s">
        <v>2040</v>
      </c>
      <c r="R1765" s="49">
        <v>17083127838</v>
      </c>
      <c r="S1765" s="49">
        <v>17083121715</v>
      </c>
      <c r="T1765" s="49" t="s">
        <v>123</v>
      </c>
      <c r="U1765" s="50" t="s">
        <v>2040</v>
      </c>
      <c r="V1765" s="50">
        <v>17083127838</v>
      </c>
      <c r="W1765" s="50">
        <v>17083121715</v>
      </c>
      <c r="X1765" s="50" t="s">
        <v>123</v>
      </c>
      <c r="Y1765" s="50"/>
    </row>
    <row r="1766" spans="1:25" x14ac:dyDescent="0.25">
      <c r="A1766" s="25" t="s">
        <v>115</v>
      </c>
      <c r="B1766" t="b">
        <v>0</v>
      </c>
      <c r="C1766" s="43" t="s">
        <v>2041</v>
      </c>
      <c r="D1766" s="43">
        <v>320640</v>
      </c>
      <c r="E1766" s="43">
        <v>300562</v>
      </c>
      <c r="F1766" s="43" t="s">
        <v>383</v>
      </c>
      <c r="G1766" s="43" t="b">
        <v>0</v>
      </c>
      <c r="H1766" s="43" t="b">
        <v>0</v>
      </c>
      <c r="I1766" s="43"/>
      <c r="M1766" s="48" t="s">
        <v>2041</v>
      </c>
      <c r="N1766" s="48">
        <v>17088571586</v>
      </c>
      <c r="O1766" s="48">
        <v>17088569057</v>
      </c>
      <c r="P1766" s="48" t="s">
        <v>383</v>
      </c>
      <c r="Q1766" s="49" t="s">
        <v>2041</v>
      </c>
      <c r="R1766" s="49">
        <v>17083129334</v>
      </c>
      <c r="S1766" s="49">
        <v>17083123341</v>
      </c>
      <c r="T1766" s="49" t="s">
        <v>383</v>
      </c>
      <c r="U1766" s="50" t="s">
        <v>2041</v>
      </c>
      <c r="V1766" s="50">
        <v>17083129334</v>
      </c>
      <c r="W1766" s="50">
        <v>17083123341</v>
      </c>
      <c r="X1766" s="50" t="s">
        <v>383</v>
      </c>
      <c r="Y1766" s="50"/>
    </row>
    <row r="1767" spans="1:25" x14ac:dyDescent="0.25">
      <c r="A1767" s="25" t="s">
        <v>115</v>
      </c>
      <c r="B1767" t="b">
        <v>0</v>
      </c>
      <c r="C1767" s="43" t="s">
        <v>2042</v>
      </c>
      <c r="D1767" s="43">
        <v>322688</v>
      </c>
      <c r="E1767" s="43">
        <v>302978</v>
      </c>
      <c r="F1767" s="43" t="s">
        <v>119</v>
      </c>
      <c r="G1767" s="43" t="b">
        <v>0</v>
      </c>
      <c r="H1767" s="43" t="b">
        <v>0</v>
      </c>
      <c r="I1767" s="43"/>
      <c r="M1767" s="48" t="s">
        <v>2042</v>
      </c>
      <c r="N1767" s="48">
        <v>17088571314</v>
      </c>
      <c r="O1767" s="48">
        <v>17088568293</v>
      </c>
      <c r="P1767" s="48" t="s">
        <v>119</v>
      </c>
      <c r="Q1767" s="49" t="s">
        <v>2042</v>
      </c>
      <c r="R1767" s="49">
        <v>17083129070</v>
      </c>
      <c r="S1767" s="49">
        <v>17083121971</v>
      </c>
      <c r="T1767" s="49" t="s">
        <v>119</v>
      </c>
      <c r="U1767" s="50" t="s">
        <v>2042</v>
      </c>
      <c r="V1767" s="50">
        <v>17083129070</v>
      </c>
      <c r="W1767" s="50">
        <v>17083121971</v>
      </c>
      <c r="X1767" s="50" t="s">
        <v>119</v>
      </c>
      <c r="Y1767" s="50"/>
    </row>
    <row r="1768" spans="1:25" x14ac:dyDescent="0.25">
      <c r="A1768" s="25" t="s">
        <v>115</v>
      </c>
      <c r="B1768" t="b">
        <v>0</v>
      </c>
      <c r="C1768" s="43" t="s">
        <v>2043</v>
      </c>
      <c r="D1768" s="43">
        <v>320128</v>
      </c>
      <c r="E1768" s="43">
        <v>302594</v>
      </c>
      <c r="F1768" s="43" t="s">
        <v>132</v>
      </c>
      <c r="G1768" s="43" t="b">
        <v>0</v>
      </c>
      <c r="H1768" s="43" t="b">
        <v>0</v>
      </c>
      <c r="I1768" s="43"/>
      <c r="M1768" s="48" t="s">
        <v>2043</v>
      </c>
      <c r="N1768" s="48">
        <v>17088569778</v>
      </c>
      <c r="O1768" s="48">
        <v>17088567957</v>
      </c>
      <c r="P1768" s="48" t="s">
        <v>132</v>
      </c>
      <c r="Q1768" s="49" t="s">
        <v>2043</v>
      </c>
      <c r="R1768" s="49">
        <v>17083125998</v>
      </c>
      <c r="S1768" s="49">
        <v>17083121779</v>
      </c>
      <c r="T1768" s="49" t="s">
        <v>132</v>
      </c>
      <c r="U1768" s="50" t="s">
        <v>2043</v>
      </c>
      <c r="V1768" s="50">
        <v>17083125998</v>
      </c>
      <c r="W1768" s="50">
        <v>17083121779</v>
      </c>
      <c r="X1768" s="50" t="s">
        <v>132</v>
      </c>
      <c r="Y1768" s="50"/>
    </row>
    <row r="1769" spans="1:25" x14ac:dyDescent="0.25">
      <c r="A1769" s="25" t="s">
        <v>115</v>
      </c>
      <c r="B1769" t="b">
        <v>0</v>
      </c>
      <c r="C1769" s="43" t="s">
        <v>2044</v>
      </c>
      <c r="D1769" s="43">
        <v>322176</v>
      </c>
      <c r="E1769" s="43">
        <v>302386</v>
      </c>
      <c r="F1769" s="43" t="s">
        <v>117</v>
      </c>
      <c r="G1769" s="43" t="b">
        <v>0</v>
      </c>
      <c r="H1769" s="43" t="b">
        <v>0</v>
      </c>
      <c r="I1769" s="43"/>
      <c r="M1769" s="48" t="s">
        <v>2044</v>
      </c>
      <c r="N1769" s="48">
        <v>17088573100</v>
      </c>
      <c r="O1769" s="48">
        <v>17088565510</v>
      </c>
      <c r="P1769" s="48" t="s">
        <v>117</v>
      </c>
      <c r="Q1769" s="49" t="s">
        <v>2044</v>
      </c>
      <c r="R1769" s="49">
        <v>17083128102</v>
      </c>
      <c r="S1769" s="49">
        <v>17083125321</v>
      </c>
      <c r="T1769" s="49" t="s">
        <v>117</v>
      </c>
      <c r="U1769" s="50" t="s">
        <v>2044</v>
      </c>
      <c r="V1769" s="50">
        <v>17083128102</v>
      </c>
      <c r="W1769" s="50">
        <v>17083125321</v>
      </c>
      <c r="X1769" s="50" t="s">
        <v>117</v>
      </c>
      <c r="Y1769" s="50"/>
    </row>
    <row r="1770" spans="1:25" x14ac:dyDescent="0.25">
      <c r="A1770" s="25" t="s">
        <v>115</v>
      </c>
      <c r="B1770" t="b">
        <v>0</v>
      </c>
      <c r="C1770" s="43" t="s">
        <v>2045</v>
      </c>
      <c r="D1770" s="43">
        <v>321152</v>
      </c>
      <c r="E1770" s="43">
        <v>301810</v>
      </c>
      <c r="F1770" s="43" t="s">
        <v>132</v>
      </c>
      <c r="G1770" s="43" t="b">
        <v>0</v>
      </c>
      <c r="H1770" s="43" t="b">
        <v>0</v>
      </c>
      <c r="I1770" s="43"/>
      <c r="M1770" s="48" t="s">
        <v>2045</v>
      </c>
      <c r="N1770" s="48">
        <v>17088570796</v>
      </c>
      <c r="O1770" s="48">
        <v>17088567034</v>
      </c>
      <c r="P1770" s="48" t="s">
        <v>132</v>
      </c>
      <c r="Q1770" s="49" t="s">
        <v>2045</v>
      </c>
      <c r="R1770" s="49">
        <v>17083129638</v>
      </c>
      <c r="S1770" s="49">
        <v>17083124361</v>
      </c>
      <c r="T1770" s="49" t="s">
        <v>132</v>
      </c>
      <c r="U1770" s="50" t="s">
        <v>2045</v>
      </c>
      <c r="V1770" s="50">
        <v>17083129638</v>
      </c>
      <c r="W1770" s="50">
        <v>17083124361</v>
      </c>
      <c r="X1770" s="50" t="s">
        <v>132</v>
      </c>
      <c r="Y1770" s="50"/>
    </row>
    <row r="1771" spans="1:25" x14ac:dyDescent="0.25">
      <c r="A1771" s="25" t="s">
        <v>115</v>
      </c>
      <c r="B1771" t="b">
        <v>0</v>
      </c>
      <c r="C1771" s="43" t="s">
        <v>2046</v>
      </c>
      <c r="D1771" s="43">
        <v>323200</v>
      </c>
      <c r="E1771" s="43">
        <v>300594</v>
      </c>
      <c r="F1771" s="43" t="s">
        <v>117</v>
      </c>
      <c r="G1771" s="43" t="b">
        <v>0</v>
      </c>
      <c r="H1771" s="43" t="b">
        <v>0</v>
      </c>
      <c r="I1771" s="43"/>
      <c r="M1771" s="48" t="s">
        <v>2046</v>
      </c>
      <c r="N1771" s="48">
        <v>17088573356</v>
      </c>
      <c r="O1771" s="48">
        <v>17088568070</v>
      </c>
      <c r="P1771" s="48" t="s">
        <v>117</v>
      </c>
      <c r="Q1771" s="49" t="s">
        <v>2046</v>
      </c>
      <c r="R1771" s="49">
        <v>17083128998</v>
      </c>
      <c r="S1771" s="49">
        <v>17083122505</v>
      </c>
      <c r="T1771" s="49" t="s">
        <v>117</v>
      </c>
      <c r="U1771" s="50" t="s">
        <v>2046</v>
      </c>
      <c r="V1771" s="50">
        <v>17083128998</v>
      </c>
      <c r="W1771" s="50">
        <v>17083122505</v>
      </c>
      <c r="X1771" s="50" t="s">
        <v>117</v>
      </c>
      <c r="Y1771" s="50"/>
    </row>
    <row r="1772" spans="1:25" x14ac:dyDescent="0.25">
      <c r="A1772" s="25" t="s">
        <v>115</v>
      </c>
      <c r="B1772" t="b">
        <v>0</v>
      </c>
      <c r="C1772" s="43" t="s">
        <v>2047</v>
      </c>
      <c r="D1772" s="43">
        <v>319872</v>
      </c>
      <c r="E1772" s="43">
        <v>302770</v>
      </c>
      <c r="F1772" s="43" t="s">
        <v>117</v>
      </c>
      <c r="G1772" s="43" t="b">
        <v>0</v>
      </c>
      <c r="H1772" s="43" t="b">
        <v>0</v>
      </c>
      <c r="I1772" s="43"/>
      <c r="M1772" s="48" t="s">
        <v>2047</v>
      </c>
      <c r="N1772" s="48">
        <v>17088573228</v>
      </c>
      <c r="O1772" s="48">
        <v>17088568326</v>
      </c>
      <c r="P1772" s="48" t="s">
        <v>117</v>
      </c>
      <c r="Q1772" s="49" t="s">
        <v>2047</v>
      </c>
      <c r="R1772" s="49">
        <v>17083128774</v>
      </c>
      <c r="S1772" s="49">
        <v>17083122761</v>
      </c>
      <c r="T1772" s="49" t="s">
        <v>117</v>
      </c>
      <c r="U1772" s="50" t="s">
        <v>2047</v>
      </c>
      <c r="V1772" s="50">
        <v>17083128774</v>
      </c>
      <c r="W1772" s="50">
        <v>17083122761</v>
      </c>
      <c r="X1772" s="50" t="s">
        <v>117</v>
      </c>
      <c r="Y1772" s="50"/>
    </row>
    <row r="1773" spans="1:25" x14ac:dyDescent="0.25">
      <c r="A1773" s="25" t="s">
        <v>115</v>
      </c>
      <c r="B1773" t="b">
        <v>0</v>
      </c>
      <c r="C1773" s="43" t="s">
        <v>2048</v>
      </c>
      <c r="D1773" s="43">
        <v>321920</v>
      </c>
      <c r="E1773" s="43">
        <v>300106</v>
      </c>
      <c r="F1773" s="43" t="s">
        <v>119</v>
      </c>
      <c r="G1773" s="43" t="b">
        <v>0</v>
      </c>
      <c r="H1773" s="43" t="b">
        <v>0</v>
      </c>
      <c r="I1773" s="43"/>
      <c r="M1773" s="48" t="s">
        <v>2048</v>
      </c>
      <c r="N1773" s="48">
        <v>17088571180</v>
      </c>
      <c r="O1773" s="48">
        <v>17088567546</v>
      </c>
      <c r="P1773" s="48" t="s">
        <v>119</v>
      </c>
      <c r="Q1773" s="49" t="s">
        <v>2048</v>
      </c>
      <c r="R1773" s="49">
        <v>17083126726</v>
      </c>
      <c r="S1773" s="49">
        <v>17083121801</v>
      </c>
      <c r="T1773" s="49" t="s">
        <v>119</v>
      </c>
      <c r="U1773" s="50" t="s">
        <v>2048</v>
      </c>
      <c r="V1773" s="50">
        <v>17083126726</v>
      </c>
      <c r="W1773" s="50">
        <v>17083121801</v>
      </c>
      <c r="X1773" s="50" t="s">
        <v>119</v>
      </c>
      <c r="Y1773" s="50"/>
    </row>
    <row r="1774" spans="1:25" x14ac:dyDescent="0.25">
      <c r="A1774" s="25" t="s">
        <v>115</v>
      </c>
      <c r="B1774" t="b">
        <v>0</v>
      </c>
      <c r="C1774" s="43" t="s">
        <v>2049</v>
      </c>
      <c r="D1774" s="43">
        <v>320896</v>
      </c>
      <c r="E1774" s="43">
        <v>300418</v>
      </c>
      <c r="F1774" s="43" t="s">
        <v>119</v>
      </c>
      <c r="G1774" s="43" t="b">
        <v>0</v>
      </c>
      <c r="H1774" s="43" t="b">
        <v>0</v>
      </c>
      <c r="I1774" s="43"/>
      <c r="M1774" s="48" t="s">
        <v>2049</v>
      </c>
      <c r="N1774" s="48">
        <v>17088572018</v>
      </c>
      <c r="O1774" s="48">
        <v>17088566293</v>
      </c>
      <c r="P1774" s="48" t="s">
        <v>119</v>
      </c>
      <c r="Q1774" s="49" t="s">
        <v>2049</v>
      </c>
      <c r="R1774" s="49">
        <v>17083129582</v>
      </c>
      <c r="S1774" s="49">
        <v>17083124531</v>
      </c>
      <c r="T1774" s="49" t="s">
        <v>119</v>
      </c>
      <c r="U1774" s="50" t="s">
        <v>2049</v>
      </c>
      <c r="V1774" s="50">
        <v>17083129582</v>
      </c>
      <c r="W1774" s="50">
        <v>17083124531</v>
      </c>
      <c r="X1774" s="50" t="s">
        <v>119</v>
      </c>
      <c r="Y1774" s="50"/>
    </row>
    <row r="1775" spans="1:25" x14ac:dyDescent="0.25">
      <c r="A1775" s="25" t="s">
        <v>115</v>
      </c>
      <c r="B1775" t="b">
        <v>0</v>
      </c>
      <c r="C1775" s="43" t="s">
        <v>2050</v>
      </c>
      <c r="D1775" s="43">
        <v>322944</v>
      </c>
      <c r="E1775" s="43">
        <v>299730</v>
      </c>
      <c r="F1775" s="43" t="s">
        <v>117</v>
      </c>
      <c r="G1775" s="43" t="b">
        <v>0</v>
      </c>
      <c r="H1775" s="43" t="b">
        <v>0</v>
      </c>
      <c r="I1775" s="43"/>
      <c r="M1775" s="48" t="s">
        <v>2050</v>
      </c>
      <c r="N1775" s="48">
        <v>17088569644</v>
      </c>
      <c r="O1775" s="48">
        <v>17088566406</v>
      </c>
      <c r="P1775" s="48" t="s">
        <v>117</v>
      </c>
      <c r="Q1775" s="49" t="s">
        <v>2050</v>
      </c>
      <c r="R1775" s="49">
        <v>17083127494</v>
      </c>
      <c r="S1775" s="49">
        <v>17083123913</v>
      </c>
      <c r="T1775" s="49" t="s">
        <v>117</v>
      </c>
      <c r="U1775" s="50" t="s">
        <v>2050</v>
      </c>
      <c r="V1775" s="50">
        <v>17083127494</v>
      </c>
      <c r="W1775" s="50">
        <v>17083123913</v>
      </c>
      <c r="X1775" s="50" t="s">
        <v>117</v>
      </c>
      <c r="Y1775" s="50"/>
    </row>
    <row r="1776" spans="1:25" x14ac:dyDescent="0.25">
      <c r="A1776" s="25" t="s">
        <v>115</v>
      </c>
      <c r="B1776" t="b">
        <v>0</v>
      </c>
      <c r="C1776" s="43" t="s">
        <v>2051</v>
      </c>
      <c r="D1776" s="43">
        <v>320384</v>
      </c>
      <c r="E1776" s="43">
        <v>301514</v>
      </c>
      <c r="F1776" s="43" t="s">
        <v>123</v>
      </c>
      <c r="G1776" s="43" t="b">
        <v>0</v>
      </c>
      <c r="H1776" s="43" t="b">
        <v>0</v>
      </c>
      <c r="I1776" s="43"/>
      <c r="M1776" s="48" t="s">
        <v>2051</v>
      </c>
      <c r="N1776" s="48">
        <v>17088573026</v>
      </c>
      <c r="O1776" s="48">
        <v>17088567217</v>
      </c>
      <c r="P1776" s="48" t="s">
        <v>123</v>
      </c>
      <c r="Q1776" s="49" t="s">
        <v>2051</v>
      </c>
      <c r="R1776" s="49">
        <v>17083129230</v>
      </c>
      <c r="S1776" s="49">
        <v>17083123629</v>
      </c>
      <c r="T1776" s="49" t="s">
        <v>123</v>
      </c>
      <c r="U1776" s="50" t="s">
        <v>2051</v>
      </c>
      <c r="V1776" s="50">
        <v>17083129230</v>
      </c>
      <c r="W1776" s="50">
        <v>17083123629</v>
      </c>
      <c r="X1776" s="50" t="s">
        <v>123</v>
      </c>
      <c r="Y1776" s="50"/>
    </row>
    <row r="1777" spans="1:25" x14ac:dyDescent="0.25">
      <c r="A1777" s="25" t="s">
        <v>115</v>
      </c>
      <c r="B1777" t="b">
        <v>0</v>
      </c>
      <c r="C1777" s="43" t="s">
        <v>2052</v>
      </c>
      <c r="D1777" s="43">
        <v>322432</v>
      </c>
      <c r="E1777" s="43">
        <v>301474</v>
      </c>
      <c r="F1777" s="43" t="s">
        <v>132</v>
      </c>
      <c r="G1777" s="43" t="b">
        <v>0</v>
      </c>
      <c r="H1777" s="43" t="b">
        <v>0</v>
      </c>
      <c r="I1777" s="43"/>
      <c r="M1777" s="48" t="s">
        <v>2052</v>
      </c>
      <c r="N1777" s="48">
        <v>17088573194</v>
      </c>
      <c r="O1777" s="48">
        <v>17088569077</v>
      </c>
      <c r="P1777" s="48" t="s">
        <v>132</v>
      </c>
      <c r="Q1777" s="49" t="s">
        <v>2052</v>
      </c>
      <c r="R1777" s="49">
        <v>17083127710</v>
      </c>
      <c r="S1777" s="49">
        <v>17083122379</v>
      </c>
      <c r="T1777" s="49" t="s">
        <v>132</v>
      </c>
      <c r="U1777" s="50" t="s">
        <v>2052</v>
      </c>
      <c r="V1777" s="50">
        <v>17083127710</v>
      </c>
      <c r="W1777" s="50">
        <v>17083122379</v>
      </c>
      <c r="X1777" s="50" t="s">
        <v>132</v>
      </c>
      <c r="Y1777" s="50"/>
    </row>
    <row r="1778" spans="1:25" x14ac:dyDescent="0.25">
      <c r="A1778" s="25" t="s">
        <v>115</v>
      </c>
      <c r="B1778" t="b">
        <v>0</v>
      </c>
      <c r="C1778" s="43" t="s">
        <v>2053</v>
      </c>
      <c r="D1778" s="43">
        <v>321408</v>
      </c>
      <c r="E1778" s="43">
        <v>302562</v>
      </c>
      <c r="F1778" s="43" t="s">
        <v>123</v>
      </c>
      <c r="G1778" s="43" t="b">
        <v>1</v>
      </c>
      <c r="H1778" s="43" t="b">
        <v>0</v>
      </c>
      <c r="I1778" s="43" t="s">
        <v>126</v>
      </c>
      <c r="M1778" s="48" t="s">
        <v>2053</v>
      </c>
      <c r="N1778" s="48">
        <v>17088572426</v>
      </c>
      <c r="O1778" s="48">
        <v>17088565685</v>
      </c>
      <c r="P1778" s="48" t="s">
        <v>123</v>
      </c>
      <c r="Q1778" s="49" t="s">
        <v>2053</v>
      </c>
      <c r="R1778" s="49">
        <v>17083126430</v>
      </c>
      <c r="S1778" s="49">
        <v>17083124363</v>
      </c>
      <c r="T1778" s="49" t="s">
        <v>123</v>
      </c>
      <c r="U1778" s="50" t="s">
        <v>2053</v>
      </c>
      <c r="V1778" s="50">
        <v>17083126430</v>
      </c>
      <c r="W1778" s="50">
        <v>17083124363</v>
      </c>
      <c r="X1778" s="50" t="s">
        <v>123</v>
      </c>
      <c r="Y1778" s="50">
        <v>140404</v>
      </c>
    </row>
    <row r="1779" spans="1:25" x14ac:dyDescent="0.25">
      <c r="A1779" s="25" t="s">
        <v>115</v>
      </c>
      <c r="B1779" t="b">
        <v>0</v>
      </c>
      <c r="C1779" s="43" t="s">
        <v>2054</v>
      </c>
      <c r="D1779" s="43">
        <v>323456</v>
      </c>
      <c r="E1779" s="43">
        <v>301522</v>
      </c>
      <c r="F1779" s="43" t="s">
        <v>125</v>
      </c>
      <c r="G1779" s="43" t="b">
        <v>0</v>
      </c>
      <c r="H1779" s="43" t="b">
        <v>0</v>
      </c>
      <c r="I1779" s="43"/>
      <c r="M1779" s="48" t="s">
        <v>2054</v>
      </c>
      <c r="N1779" s="48">
        <v>17088570274</v>
      </c>
      <c r="O1779" s="48">
        <v>17088569201</v>
      </c>
      <c r="P1779" s="48" t="s">
        <v>125</v>
      </c>
      <c r="Q1779" s="49" t="s">
        <v>2054</v>
      </c>
      <c r="R1779" s="49">
        <v>17083126926</v>
      </c>
      <c r="S1779" s="49">
        <v>17083125613</v>
      </c>
      <c r="T1779" s="49" t="s">
        <v>125</v>
      </c>
      <c r="U1779" s="50" t="s">
        <v>2054</v>
      </c>
      <c r="V1779" s="50">
        <v>17083126926</v>
      </c>
      <c r="W1779" s="50">
        <v>17083125613</v>
      </c>
      <c r="X1779" s="50" t="s">
        <v>125</v>
      </c>
      <c r="Y1779" s="50"/>
    </row>
    <row r="1780" spans="1:25" x14ac:dyDescent="0.25">
      <c r="A1780" s="25" t="s">
        <v>115</v>
      </c>
      <c r="B1780" t="b">
        <v>0</v>
      </c>
      <c r="C1780" s="43" t="s">
        <v>2055</v>
      </c>
      <c r="D1780" s="43">
        <v>319552</v>
      </c>
      <c r="E1780" s="43">
        <v>301138</v>
      </c>
      <c r="F1780" s="43" t="s">
        <v>123</v>
      </c>
      <c r="G1780" s="43" t="b">
        <v>0</v>
      </c>
      <c r="H1780" s="43" t="b">
        <v>0</v>
      </c>
      <c r="I1780" s="43"/>
      <c r="M1780" s="48" t="s">
        <v>2055</v>
      </c>
      <c r="N1780" s="48">
        <v>17088570210</v>
      </c>
      <c r="O1780" s="48">
        <v>17088566513</v>
      </c>
      <c r="P1780" s="48" t="s">
        <v>123</v>
      </c>
      <c r="Q1780" s="49" t="s">
        <v>2055</v>
      </c>
      <c r="R1780" s="49">
        <v>17083127694</v>
      </c>
      <c r="S1780" s="49">
        <v>17083122925</v>
      </c>
      <c r="T1780" s="49" t="s">
        <v>123</v>
      </c>
      <c r="U1780" s="50" t="s">
        <v>2055</v>
      </c>
      <c r="V1780" s="50">
        <v>17083127694</v>
      </c>
      <c r="W1780" s="50">
        <v>17083122925</v>
      </c>
      <c r="X1780" s="50" t="s">
        <v>123</v>
      </c>
      <c r="Y1780" s="50"/>
    </row>
    <row r="1781" spans="1:25" x14ac:dyDescent="0.25">
      <c r="A1781" s="25" t="s">
        <v>115</v>
      </c>
      <c r="B1781" t="b">
        <v>0</v>
      </c>
      <c r="C1781" s="43" t="s">
        <v>2056</v>
      </c>
      <c r="D1781" s="43">
        <v>321600</v>
      </c>
      <c r="E1781" s="43">
        <v>301170</v>
      </c>
      <c r="F1781" s="43" t="s">
        <v>186</v>
      </c>
      <c r="G1781" s="43" t="b">
        <v>0</v>
      </c>
      <c r="H1781" s="43" t="b">
        <v>0</v>
      </c>
      <c r="I1781" s="43"/>
      <c r="M1781" s="48" t="s">
        <v>2056</v>
      </c>
      <c r="N1781" s="48">
        <v>17088570786</v>
      </c>
      <c r="O1781" s="48">
        <v>17088567665</v>
      </c>
      <c r="P1781" s="48" t="s">
        <v>186</v>
      </c>
      <c r="Q1781" s="49" t="s">
        <v>2056</v>
      </c>
      <c r="R1781" s="49">
        <v>17083129614</v>
      </c>
      <c r="S1781" s="49">
        <v>17083124077</v>
      </c>
      <c r="T1781" s="49" t="s">
        <v>186</v>
      </c>
      <c r="U1781" s="50" t="s">
        <v>2056</v>
      </c>
      <c r="V1781" s="50">
        <v>17083129614</v>
      </c>
      <c r="W1781" s="50">
        <v>17083124077</v>
      </c>
      <c r="X1781" s="50" t="s">
        <v>186</v>
      </c>
      <c r="Y1781" s="50"/>
    </row>
    <row r="1782" spans="1:25" x14ac:dyDescent="0.25">
      <c r="A1782" s="25" t="s">
        <v>115</v>
      </c>
      <c r="B1782" t="b">
        <v>0</v>
      </c>
      <c r="C1782" s="43" t="s">
        <v>2057</v>
      </c>
      <c r="D1782" s="43">
        <v>320576</v>
      </c>
      <c r="E1782" s="43">
        <v>299938</v>
      </c>
      <c r="F1782" s="43" t="s">
        <v>132</v>
      </c>
      <c r="G1782" s="43" t="b">
        <v>0</v>
      </c>
      <c r="H1782" s="43" t="b">
        <v>0</v>
      </c>
      <c r="I1782" s="43"/>
      <c r="M1782" s="48" t="s">
        <v>2057</v>
      </c>
      <c r="N1782" s="48">
        <v>17088570634</v>
      </c>
      <c r="O1782" s="48">
        <v>17088566005</v>
      </c>
      <c r="P1782" s="48" t="s">
        <v>132</v>
      </c>
      <c r="Q1782" s="49" t="s">
        <v>2057</v>
      </c>
      <c r="R1782" s="49">
        <v>17083128734</v>
      </c>
      <c r="S1782" s="49">
        <v>17083123915</v>
      </c>
      <c r="T1782" s="49" t="s">
        <v>132</v>
      </c>
      <c r="U1782" s="50" t="s">
        <v>2057</v>
      </c>
      <c r="V1782" s="50">
        <v>17083128734</v>
      </c>
      <c r="W1782" s="50">
        <v>17083123915</v>
      </c>
      <c r="X1782" s="50" t="s">
        <v>132</v>
      </c>
      <c r="Y1782" s="50"/>
    </row>
    <row r="1783" spans="1:25" x14ac:dyDescent="0.25">
      <c r="A1783" s="25" t="s">
        <v>115</v>
      </c>
      <c r="B1783" t="b">
        <v>0</v>
      </c>
      <c r="C1783" s="43" t="s">
        <v>2058</v>
      </c>
      <c r="D1783" s="43">
        <v>322624</v>
      </c>
      <c r="E1783" s="43">
        <v>300258</v>
      </c>
      <c r="F1783" s="43" t="s">
        <v>125</v>
      </c>
      <c r="G1783" s="43" t="b">
        <v>0</v>
      </c>
      <c r="H1783" s="43" t="b">
        <v>0</v>
      </c>
      <c r="I1783" s="43"/>
      <c r="M1783" s="48" t="s">
        <v>2058</v>
      </c>
      <c r="N1783" s="48">
        <v>17088570378</v>
      </c>
      <c r="O1783" s="48">
        <v>17088565621</v>
      </c>
      <c r="P1783" s="48" t="s">
        <v>125</v>
      </c>
      <c r="Q1783" s="49" t="s">
        <v>2058</v>
      </c>
      <c r="R1783" s="49">
        <v>17083128990</v>
      </c>
      <c r="S1783" s="49">
        <v>17083124299</v>
      </c>
      <c r="T1783" s="49" t="s">
        <v>125</v>
      </c>
      <c r="U1783" s="50" t="s">
        <v>2058</v>
      </c>
      <c r="V1783" s="50">
        <v>17083128990</v>
      </c>
      <c r="W1783" s="50">
        <v>17083124299</v>
      </c>
      <c r="X1783" s="50" t="s">
        <v>125</v>
      </c>
      <c r="Y1783" s="50"/>
    </row>
    <row r="1784" spans="1:25" x14ac:dyDescent="0.25">
      <c r="A1784" s="25" t="s">
        <v>115</v>
      </c>
      <c r="B1784" t="b">
        <v>0</v>
      </c>
      <c r="C1784" s="43" t="s">
        <v>2059</v>
      </c>
      <c r="D1784" s="43">
        <v>320064</v>
      </c>
      <c r="E1784" s="43">
        <v>302914</v>
      </c>
      <c r="F1784" s="43" t="s">
        <v>119</v>
      </c>
      <c r="G1784" s="43" t="b">
        <v>0</v>
      </c>
      <c r="H1784" s="43" t="b">
        <v>0</v>
      </c>
      <c r="I1784" s="43"/>
      <c r="M1784" s="48" t="s">
        <v>2059</v>
      </c>
      <c r="N1784" s="48">
        <v>17088571354</v>
      </c>
      <c r="O1784" s="48">
        <v>17088566995</v>
      </c>
      <c r="P1784" s="48" t="s">
        <v>119</v>
      </c>
      <c r="Q1784" s="49" t="s">
        <v>2059</v>
      </c>
      <c r="R1784" s="49">
        <v>17083128385</v>
      </c>
      <c r="S1784" s="49">
        <v>17083124023</v>
      </c>
      <c r="T1784" s="49" t="s">
        <v>119</v>
      </c>
      <c r="U1784" s="50" t="s">
        <v>2059</v>
      </c>
      <c r="V1784" s="50">
        <v>17083128385</v>
      </c>
      <c r="W1784" s="50">
        <v>17083124023</v>
      </c>
      <c r="X1784" s="50" t="s">
        <v>119</v>
      </c>
      <c r="Y1784" s="50"/>
    </row>
    <row r="1785" spans="1:25" x14ac:dyDescent="0.25">
      <c r="A1785" s="25" t="s">
        <v>115</v>
      </c>
      <c r="B1785" t="b">
        <v>0</v>
      </c>
      <c r="C1785" s="43" t="s">
        <v>2060</v>
      </c>
      <c r="D1785" s="43">
        <v>322112</v>
      </c>
      <c r="E1785" s="43">
        <v>300738</v>
      </c>
      <c r="F1785" s="43" t="s">
        <v>119</v>
      </c>
      <c r="G1785" s="43" t="b">
        <v>0</v>
      </c>
      <c r="H1785" s="43" t="b">
        <v>0</v>
      </c>
      <c r="I1785" s="43"/>
      <c r="M1785" s="48" t="s">
        <v>2060</v>
      </c>
      <c r="N1785" s="48">
        <v>17088569914</v>
      </c>
      <c r="O1785" s="48">
        <v>17088569171</v>
      </c>
      <c r="P1785" s="48" t="s">
        <v>119</v>
      </c>
      <c r="Q1785" s="49" t="s">
        <v>2060</v>
      </c>
      <c r="R1785" s="49">
        <v>17083129409</v>
      </c>
      <c r="S1785" s="49">
        <v>17083122743</v>
      </c>
      <c r="T1785" s="49" t="s">
        <v>119</v>
      </c>
      <c r="U1785" s="50" t="s">
        <v>2060</v>
      </c>
      <c r="V1785" s="50">
        <v>17083129409</v>
      </c>
      <c r="W1785" s="50">
        <v>17083122743</v>
      </c>
      <c r="X1785" s="50" t="s">
        <v>119</v>
      </c>
      <c r="Y1785" s="50"/>
    </row>
    <row r="1786" spans="1:25" x14ac:dyDescent="0.25">
      <c r="A1786" s="25" t="s">
        <v>115</v>
      </c>
      <c r="B1786" t="b">
        <v>0</v>
      </c>
      <c r="C1786" s="43" t="s">
        <v>2061</v>
      </c>
      <c r="D1786" s="43">
        <v>321088</v>
      </c>
      <c r="E1786" s="43">
        <v>299138</v>
      </c>
      <c r="F1786" s="43" t="s">
        <v>119</v>
      </c>
      <c r="G1786" s="43" t="b">
        <v>0</v>
      </c>
      <c r="H1786" s="43" t="b">
        <v>0</v>
      </c>
      <c r="I1786" s="43"/>
      <c r="M1786" s="48" t="s">
        <v>2061</v>
      </c>
      <c r="N1786" s="48">
        <v>17088571610</v>
      </c>
      <c r="O1786" s="48">
        <v>17088568275</v>
      </c>
      <c r="P1786" s="48" t="s">
        <v>119</v>
      </c>
      <c r="Q1786" s="49" t="s">
        <v>2061</v>
      </c>
      <c r="R1786" s="49">
        <v>17083125889</v>
      </c>
      <c r="S1786" s="49">
        <v>17083121847</v>
      </c>
      <c r="T1786" s="49" t="s">
        <v>119</v>
      </c>
      <c r="U1786" s="50" t="s">
        <v>2061</v>
      </c>
      <c r="V1786" s="50">
        <v>17083125889</v>
      </c>
      <c r="W1786" s="50">
        <v>17083121847</v>
      </c>
      <c r="X1786" s="50" t="s">
        <v>119</v>
      </c>
      <c r="Y1786" s="50"/>
    </row>
    <row r="1787" spans="1:25" x14ac:dyDescent="0.25">
      <c r="A1787" s="25" t="b">
        <v>1</v>
      </c>
      <c r="B1787" t="b">
        <v>0</v>
      </c>
      <c r="C1787" s="43" t="s">
        <v>2062</v>
      </c>
      <c r="D1787" s="43">
        <v>323136</v>
      </c>
      <c r="E1787" s="43">
        <v>299146</v>
      </c>
      <c r="F1787" s="43" t="s">
        <v>173</v>
      </c>
      <c r="G1787" s="43" t="b">
        <v>0</v>
      </c>
      <c r="H1787" s="43" t="b">
        <v>0</v>
      </c>
      <c r="I1787" s="43"/>
      <c r="J1787" s="45" t="s">
        <v>2062</v>
      </c>
      <c r="K1787" s="46">
        <v>299146</v>
      </c>
      <c r="M1787" s="48" t="s">
        <v>2062</v>
      </c>
      <c r="N1787" s="48">
        <v>17088571618</v>
      </c>
      <c r="O1787" s="48">
        <v>17088566897</v>
      </c>
      <c r="P1787" s="48" t="s">
        <v>173</v>
      </c>
      <c r="Q1787" s="49" t="s">
        <v>2062</v>
      </c>
      <c r="R1787" s="49">
        <v>17083127374</v>
      </c>
      <c r="S1787" s="49">
        <v>17083123309</v>
      </c>
      <c r="T1787" s="49" t="s">
        <v>173</v>
      </c>
      <c r="U1787" s="50" t="s">
        <v>2062</v>
      </c>
      <c r="V1787" s="50">
        <v>17083127374</v>
      </c>
      <c r="W1787" s="50">
        <v>17083123309</v>
      </c>
      <c r="X1787" s="50" t="s">
        <v>173</v>
      </c>
      <c r="Y1787" s="50"/>
    </row>
    <row r="1788" spans="1:25" x14ac:dyDescent="0.25">
      <c r="A1788" s="25" t="s">
        <v>115</v>
      </c>
      <c r="B1788" t="b">
        <v>0</v>
      </c>
      <c r="C1788" s="43" t="s">
        <v>2063</v>
      </c>
      <c r="D1788" s="43">
        <v>322660</v>
      </c>
      <c r="E1788" s="43">
        <v>301731</v>
      </c>
      <c r="F1788" s="43" t="s">
        <v>132</v>
      </c>
      <c r="G1788" s="43" t="b">
        <v>0</v>
      </c>
      <c r="H1788" s="43" t="b">
        <v>0</v>
      </c>
      <c r="I1788" s="43"/>
      <c r="M1788" s="48" t="s">
        <v>2063</v>
      </c>
      <c r="N1788" s="48">
        <v>17088572772</v>
      </c>
      <c r="O1788" s="48">
        <v>17088564031</v>
      </c>
      <c r="P1788" s="48" t="s">
        <v>132</v>
      </c>
      <c r="Q1788" s="49" t="s">
        <v>2063</v>
      </c>
      <c r="R1788" s="49">
        <v>17083126986</v>
      </c>
      <c r="S1788" s="49">
        <v>17083124844</v>
      </c>
      <c r="T1788" s="49" t="s">
        <v>132</v>
      </c>
      <c r="U1788" s="50" t="s">
        <v>2063</v>
      </c>
      <c r="V1788" s="50">
        <v>17083126986</v>
      </c>
      <c r="W1788" s="50">
        <v>17083124844</v>
      </c>
      <c r="X1788" s="50" t="s">
        <v>132</v>
      </c>
      <c r="Y1788" s="50"/>
    </row>
    <row r="1789" spans="1:25" x14ac:dyDescent="0.25">
      <c r="A1789" s="25" t="s">
        <v>115</v>
      </c>
      <c r="B1789" t="b">
        <v>0</v>
      </c>
      <c r="C1789" s="43" t="s">
        <v>2064</v>
      </c>
      <c r="D1789" s="43">
        <v>320100</v>
      </c>
      <c r="E1789" s="43">
        <v>299491</v>
      </c>
      <c r="F1789" s="43" t="s">
        <v>123</v>
      </c>
      <c r="G1789" s="43" t="b">
        <v>0</v>
      </c>
      <c r="H1789" s="43" t="b">
        <v>0</v>
      </c>
      <c r="I1789" s="43"/>
      <c r="M1789" s="48" t="s">
        <v>2064</v>
      </c>
      <c r="N1789" s="48">
        <v>17088570020</v>
      </c>
      <c r="O1789" s="48">
        <v>17088563679</v>
      </c>
      <c r="P1789" s="48" t="s">
        <v>123</v>
      </c>
      <c r="Q1789" s="49" t="s">
        <v>2064</v>
      </c>
      <c r="R1789" s="49">
        <v>17083127882</v>
      </c>
      <c r="S1789" s="49">
        <v>17083125548</v>
      </c>
      <c r="T1789" s="49" t="s">
        <v>123</v>
      </c>
      <c r="U1789" s="50" t="s">
        <v>2064</v>
      </c>
      <c r="V1789" s="50">
        <v>17083127882</v>
      </c>
      <c r="W1789" s="50">
        <v>17083125548</v>
      </c>
      <c r="X1789" s="50" t="s">
        <v>123</v>
      </c>
      <c r="Y1789" s="50"/>
    </row>
    <row r="1790" spans="1:25" x14ac:dyDescent="0.25">
      <c r="A1790" s="25" t="s">
        <v>115</v>
      </c>
      <c r="B1790" t="b">
        <v>0</v>
      </c>
      <c r="C1790" s="43" t="s">
        <v>2065</v>
      </c>
      <c r="D1790" s="43">
        <v>322148</v>
      </c>
      <c r="E1790" s="43">
        <v>301987</v>
      </c>
      <c r="F1790" s="43" t="s">
        <v>132</v>
      </c>
      <c r="G1790" s="43" t="b">
        <v>0</v>
      </c>
      <c r="H1790" s="43" t="b">
        <v>0</v>
      </c>
      <c r="I1790" s="43"/>
      <c r="M1790" s="48" t="s">
        <v>2065</v>
      </c>
      <c r="N1790" s="48">
        <v>17088570468</v>
      </c>
      <c r="O1790" s="48">
        <v>17088563775</v>
      </c>
      <c r="P1790" s="48" t="s">
        <v>132</v>
      </c>
      <c r="Q1790" s="49" t="s">
        <v>2065</v>
      </c>
      <c r="R1790" s="49">
        <v>17083126602</v>
      </c>
      <c r="S1790" s="49">
        <v>17083125164</v>
      </c>
      <c r="T1790" s="49" t="s">
        <v>132</v>
      </c>
      <c r="U1790" s="50" t="s">
        <v>2065</v>
      </c>
      <c r="V1790" s="50">
        <v>17083126602</v>
      </c>
      <c r="W1790" s="50">
        <v>17083125164</v>
      </c>
      <c r="X1790" s="50" t="s">
        <v>132</v>
      </c>
      <c r="Y1790" s="50"/>
    </row>
    <row r="1791" spans="1:25" x14ac:dyDescent="0.25">
      <c r="A1791" s="25" t="s">
        <v>115</v>
      </c>
      <c r="B1791" t="b">
        <v>0</v>
      </c>
      <c r="C1791" s="43" t="s">
        <v>2066</v>
      </c>
      <c r="D1791" s="43">
        <v>321124</v>
      </c>
      <c r="E1791" s="43">
        <v>300467</v>
      </c>
      <c r="F1791" s="43" t="s">
        <v>123</v>
      </c>
      <c r="G1791" s="43" t="b">
        <v>1</v>
      </c>
      <c r="H1791" s="43" t="b">
        <v>0</v>
      </c>
      <c r="I1791" s="43"/>
      <c r="M1791" s="48" t="s">
        <v>2066</v>
      </c>
      <c r="N1791" s="48">
        <v>17088569636</v>
      </c>
      <c r="O1791" s="48">
        <v>17088561951</v>
      </c>
      <c r="P1791" s="48" t="s">
        <v>123</v>
      </c>
      <c r="Q1791" s="49" t="s">
        <v>2066</v>
      </c>
      <c r="R1791" s="49">
        <v>17083129482</v>
      </c>
      <c r="S1791" s="49">
        <v>17083122764</v>
      </c>
      <c r="T1791" s="49" t="s">
        <v>123</v>
      </c>
      <c r="U1791" s="50" t="s">
        <v>2066</v>
      </c>
      <c r="V1791" s="50">
        <v>17083129482</v>
      </c>
      <c r="W1791" s="50">
        <v>17083122764</v>
      </c>
      <c r="X1791" s="50" t="s">
        <v>123</v>
      </c>
      <c r="Y1791" s="50">
        <v>150182</v>
      </c>
    </row>
    <row r="1792" spans="1:25" x14ac:dyDescent="0.25">
      <c r="A1792" s="25" t="s">
        <v>115</v>
      </c>
      <c r="B1792" t="b">
        <v>0</v>
      </c>
      <c r="C1792" s="43" t="s">
        <v>1976</v>
      </c>
      <c r="D1792" s="43">
        <v>323172</v>
      </c>
      <c r="E1792" s="43">
        <v>302587</v>
      </c>
      <c r="F1792" s="43" t="s">
        <v>123</v>
      </c>
      <c r="G1792" s="43" t="b">
        <v>0</v>
      </c>
      <c r="H1792" s="43" t="b">
        <v>0</v>
      </c>
      <c r="I1792" s="43"/>
      <c r="M1792" s="48" t="s">
        <v>1976</v>
      </c>
      <c r="N1792" s="48">
        <v>17088572198</v>
      </c>
      <c r="O1792" s="48">
        <v>17088558760</v>
      </c>
      <c r="P1792" s="48" t="s">
        <v>123</v>
      </c>
      <c r="Q1792" s="49" t="s">
        <v>1976</v>
      </c>
      <c r="R1792" s="49">
        <v>17083127945</v>
      </c>
      <c r="S1792" s="49">
        <v>17083088988</v>
      </c>
      <c r="T1792" s="49" t="s">
        <v>123</v>
      </c>
      <c r="U1792" s="50" t="s">
        <v>1976</v>
      </c>
      <c r="V1792" s="50">
        <v>17083127945</v>
      </c>
      <c r="W1792" s="50">
        <v>17083088988</v>
      </c>
      <c r="X1792" s="50" t="s">
        <v>123</v>
      </c>
      <c r="Y1792" s="50"/>
    </row>
    <row r="1793" spans="1:25" x14ac:dyDescent="0.25">
      <c r="A1793" s="25" t="s">
        <v>115</v>
      </c>
      <c r="B1793" t="b">
        <v>0</v>
      </c>
      <c r="C1793" s="43" t="s">
        <v>2067</v>
      </c>
      <c r="D1793" s="43">
        <v>319844</v>
      </c>
      <c r="E1793" s="43">
        <v>302747</v>
      </c>
      <c r="F1793" s="43" t="s">
        <v>125</v>
      </c>
      <c r="G1793" s="43" t="b">
        <v>0</v>
      </c>
      <c r="H1793" s="43" t="b">
        <v>0</v>
      </c>
      <c r="I1793" s="43"/>
      <c r="M1793" s="48" t="s">
        <v>2067</v>
      </c>
      <c r="N1793" s="48">
        <v>17088571750</v>
      </c>
      <c r="O1793" s="48">
        <v>17088559416</v>
      </c>
      <c r="P1793" s="48" t="s">
        <v>125</v>
      </c>
      <c r="Q1793" s="49" t="s">
        <v>2067</v>
      </c>
      <c r="R1793" s="49">
        <v>17083128777</v>
      </c>
      <c r="S1793" s="49">
        <v>17083092098</v>
      </c>
      <c r="T1793" s="49" t="s">
        <v>125</v>
      </c>
      <c r="U1793" s="50" t="s">
        <v>2067</v>
      </c>
      <c r="V1793" s="50">
        <v>17083128777</v>
      </c>
      <c r="W1793" s="50">
        <v>17083092098</v>
      </c>
      <c r="X1793" s="50" t="s">
        <v>125</v>
      </c>
      <c r="Y1793" s="50"/>
    </row>
    <row r="1794" spans="1:25" x14ac:dyDescent="0.25">
      <c r="A1794" s="25" t="s">
        <v>115</v>
      </c>
      <c r="B1794" t="b">
        <v>0</v>
      </c>
      <c r="C1794" s="43" t="s">
        <v>2068</v>
      </c>
      <c r="D1794" s="43">
        <v>321892</v>
      </c>
      <c r="E1794" s="43">
        <v>300315</v>
      </c>
      <c r="F1794" s="43" t="s">
        <v>117</v>
      </c>
      <c r="G1794" s="43" t="b">
        <v>0</v>
      </c>
      <c r="H1794" s="43" t="b">
        <v>0</v>
      </c>
      <c r="I1794" s="43"/>
      <c r="J1794" s="45" t="s">
        <v>2068</v>
      </c>
      <c r="K1794" s="46">
        <v>300315</v>
      </c>
      <c r="L1794" s="47">
        <v>990000666</v>
      </c>
      <c r="M1794" s="48" t="s">
        <v>2068</v>
      </c>
      <c r="N1794" s="48">
        <v>17088573350</v>
      </c>
      <c r="O1794" s="48">
        <v>17088558264</v>
      </c>
      <c r="P1794" s="48" t="s">
        <v>117</v>
      </c>
      <c r="Q1794" s="49" t="s">
        <v>2068</v>
      </c>
      <c r="R1794" s="49">
        <v>17083125961</v>
      </c>
      <c r="S1794" s="49">
        <v>17083089794</v>
      </c>
      <c r="T1794" s="49" t="s">
        <v>117</v>
      </c>
      <c r="U1794" s="50" t="s">
        <v>2068</v>
      </c>
      <c r="V1794" s="50">
        <v>17083125961</v>
      </c>
      <c r="W1794" s="50">
        <v>17083089794</v>
      </c>
      <c r="X1794" s="50" t="s">
        <v>117</v>
      </c>
      <c r="Y1794" s="50"/>
    </row>
    <row r="1795" spans="1:25" x14ac:dyDescent="0.25">
      <c r="A1795" s="25" t="s">
        <v>115</v>
      </c>
      <c r="B1795" t="b">
        <v>0</v>
      </c>
      <c r="C1795" s="43" t="s">
        <v>2069</v>
      </c>
      <c r="D1795" s="43">
        <v>320868</v>
      </c>
      <c r="E1795" s="43">
        <v>301523</v>
      </c>
      <c r="F1795" s="43" t="s">
        <v>125</v>
      </c>
      <c r="G1795" s="43" t="b">
        <v>1</v>
      </c>
      <c r="H1795" s="43" t="b">
        <v>0</v>
      </c>
      <c r="I1795" s="43" t="s">
        <v>126</v>
      </c>
      <c r="M1795" s="48" t="s">
        <v>2069</v>
      </c>
      <c r="N1795" s="48">
        <v>17088570148</v>
      </c>
      <c r="O1795" s="48">
        <v>17088562847</v>
      </c>
      <c r="P1795" s="48" t="s">
        <v>125</v>
      </c>
      <c r="Q1795" s="49" t="s">
        <v>2069</v>
      </c>
      <c r="R1795" s="49">
        <v>17083129226</v>
      </c>
      <c r="S1795" s="49">
        <v>17083122508</v>
      </c>
      <c r="T1795" s="49" t="s">
        <v>125</v>
      </c>
      <c r="U1795" s="50" t="s">
        <v>2069</v>
      </c>
      <c r="V1795" s="50">
        <v>17083129226</v>
      </c>
      <c r="W1795" s="50">
        <v>17083122508</v>
      </c>
      <c r="X1795" s="50" t="s">
        <v>125</v>
      </c>
      <c r="Y1795" s="50">
        <v>110344</v>
      </c>
    </row>
    <row r="1796" spans="1:25" x14ac:dyDescent="0.25">
      <c r="A1796" s="25" t="s">
        <v>115</v>
      </c>
      <c r="B1796" t="b">
        <v>0</v>
      </c>
      <c r="C1796" s="43" t="s">
        <v>2070</v>
      </c>
      <c r="D1796" s="43">
        <v>322916</v>
      </c>
      <c r="E1796" s="43">
        <v>302611</v>
      </c>
      <c r="F1796" s="43" t="s">
        <v>123</v>
      </c>
      <c r="G1796" s="43" t="b">
        <v>0</v>
      </c>
      <c r="H1796" s="43" t="b">
        <v>0</v>
      </c>
      <c r="I1796" s="43"/>
      <c r="M1796" s="48" t="s">
        <v>2070</v>
      </c>
      <c r="N1796" s="48">
        <v>17088572580</v>
      </c>
      <c r="O1796" s="48">
        <v>17088564575</v>
      </c>
      <c r="P1796" s="48" t="s">
        <v>123</v>
      </c>
      <c r="Q1796" s="49" t="s">
        <v>2070</v>
      </c>
      <c r="R1796" s="49">
        <v>17083125834</v>
      </c>
      <c r="S1796" s="49">
        <v>17083123756</v>
      </c>
      <c r="T1796" s="49" t="s">
        <v>123</v>
      </c>
      <c r="U1796" s="50" t="s">
        <v>2070</v>
      </c>
      <c r="V1796" s="50">
        <v>17083125834</v>
      </c>
      <c r="W1796" s="50">
        <v>17083123756</v>
      </c>
      <c r="X1796" s="50" t="s">
        <v>123</v>
      </c>
      <c r="Y1796" s="50"/>
    </row>
    <row r="1797" spans="1:25" x14ac:dyDescent="0.25">
      <c r="A1797" s="25" t="s">
        <v>115</v>
      </c>
      <c r="B1797" t="b">
        <v>0</v>
      </c>
      <c r="C1797" s="43" t="s">
        <v>2071</v>
      </c>
      <c r="D1797" s="43">
        <v>320356</v>
      </c>
      <c r="E1797" s="43">
        <v>299323</v>
      </c>
      <c r="F1797" s="43" t="s">
        <v>132</v>
      </c>
      <c r="G1797" s="43" t="b">
        <v>0</v>
      </c>
      <c r="H1797" s="43" t="b">
        <v>0</v>
      </c>
      <c r="I1797" s="43"/>
      <c r="M1797" s="48" t="s">
        <v>2071</v>
      </c>
      <c r="N1797" s="48">
        <v>17088571302</v>
      </c>
      <c r="O1797" s="48">
        <v>17088560104</v>
      </c>
      <c r="P1797" s="48" t="s">
        <v>132</v>
      </c>
      <c r="Q1797" s="49" t="s">
        <v>2071</v>
      </c>
      <c r="R1797" s="49">
        <v>17083129673</v>
      </c>
      <c r="S1797" s="49">
        <v>17083092540</v>
      </c>
      <c r="T1797" s="49" t="s">
        <v>132</v>
      </c>
      <c r="U1797" s="50" t="s">
        <v>2071</v>
      </c>
      <c r="V1797" s="50">
        <v>17083129673</v>
      </c>
      <c r="W1797" s="50">
        <v>17083092540</v>
      </c>
      <c r="X1797" s="50" t="s">
        <v>132</v>
      </c>
      <c r="Y1797" s="50"/>
    </row>
    <row r="1798" spans="1:25" x14ac:dyDescent="0.25">
      <c r="A1798" s="25" t="s">
        <v>115</v>
      </c>
      <c r="B1798" t="b">
        <v>0</v>
      </c>
      <c r="C1798" s="43" t="s">
        <v>2072</v>
      </c>
      <c r="D1798" s="43">
        <v>322404</v>
      </c>
      <c r="E1798" s="43">
        <v>302299</v>
      </c>
      <c r="F1798" s="43" t="s">
        <v>117</v>
      </c>
      <c r="G1798" s="43" t="b">
        <v>0</v>
      </c>
      <c r="H1798" s="43" t="b">
        <v>0</v>
      </c>
      <c r="I1798" s="43"/>
      <c r="M1798" s="48" t="s">
        <v>2072</v>
      </c>
      <c r="N1798" s="48">
        <v>17088571878</v>
      </c>
      <c r="O1798" s="48">
        <v>17088557208</v>
      </c>
      <c r="P1798" s="48" t="s">
        <v>117</v>
      </c>
      <c r="Q1798" s="49" t="s">
        <v>2072</v>
      </c>
      <c r="R1798" s="49">
        <v>17083129513</v>
      </c>
      <c r="S1798" s="49">
        <v>17083090364</v>
      </c>
      <c r="T1798" s="49" t="s">
        <v>117</v>
      </c>
      <c r="U1798" s="50" t="s">
        <v>2072</v>
      </c>
      <c r="V1798" s="50">
        <v>17083129513</v>
      </c>
      <c r="W1798" s="50">
        <v>17083090364</v>
      </c>
      <c r="X1798" s="50" t="s">
        <v>117</v>
      </c>
      <c r="Y1798" s="50"/>
    </row>
    <row r="1799" spans="1:25" x14ac:dyDescent="0.25">
      <c r="A1799" s="25" t="s">
        <v>115</v>
      </c>
      <c r="B1799" t="b">
        <v>0</v>
      </c>
      <c r="C1799" s="43" t="s">
        <v>2073</v>
      </c>
      <c r="D1799" s="43">
        <v>321380</v>
      </c>
      <c r="E1799" s="43">
        <v>301147</v>
      </c>
      <c r="F1799" s="43" t="s">
        <v>132</v>
      </c>
      <c r="G1799" s="43" t="b">
        <v>0</v>
      </c>
      <c r="H1799" s="43" t="b">
        <v>0</v>
      </c>
      <c r="I1799" s="43"/>
      <c r="M1799" s="48" t="s">
        <v>2073</v>
      </c>
      <c r="N1799" s="48">
        <v>17088569830</v>
      </c>
      <c r="O1799" s="48">
        <v>17088558648</v>
      </c>
      <c r="P1799" s="48" t="s">
        <v>132</v>
      </c>
      <c r="Q1799" s="49" t="s">
        <v>2073</v>
      </c>
      <c r="R1799" s="49">
        <v>17083127465</v>
      </c>
      <c r="S1799" s="49">
        <v>17083089026</v>
      </c>
      <c r="T1799" s="49" t="s">
        <v>132</v>
      </c>
      <c r="U1799" s="50" t="s">
        <v>2073</v>
      </c>
      <c r="V1799" s="50">
        <v>17083127465</v>
      </c>
      <c r="W1799" s="50">
        <v>17083089026</v>
      </c>
      <c r="X1799" s="50" t="s">
        <v>132</v>
      </c>
      <c r="Y1799" s="50"/>
    </row>
    <row r="1800" spans="1:25" x14ac:dyDescent="0.25">
      <c r="A1800" s="25" t="s">
        <v>115</v>
      </c>
      <c r="B1800" t="b">
        <v>0</v>
      </c>
      <c r="C1800" s="43" t="s">
        <v>2074</v>
      </c>
      <c r="D1800" s="43">
        <v>323428</v>
      </c>
      <c r="E1800" s="43">
        <v>301067</v>
      </c>
      <c r="F1800" s="43" t="s">
        <v>186</v>
      </c>
      <c r="G1800" s="43" t="b">
        <v>0</v>
      </c>
      <c r="H1800" s="43" t="b">
        <v>0</v>
      </c>
      <c r="I1800" s="43"/>
      <c r="M1800" s="48" t="s">
        <v>2074</v>
      </c>
      <c r="N1800" s="48">
        <v>17088573086</v>
      </c>
      <c r="O1800" s="48">
        <v>17088562227</v>
      </c>
      <c r="P1800" s="48" t="s">
        <v>186</v>
      </c>
      <c r="Q1800" s="49" t="s">
        <v>2074</v>
      </c>
      <c r="R1800" s="49">
        <v>17083129157</v>
      </c>
      <c r="S1800" s="49">
        <v>17083122016</v>
      </c>
      <c r="T1800" s="49" t="s">
        <v>186</v>
      </c>
      <c r="U1800" s="50" t="s">
        <v>2074</v>
      </c>
      <c r="V1800" s="50">
        <v>17083129157</v>
      </c>
      <c r="W1800" s="50">
        <v>17083122016</v>
      </c>
      <c r="X1800" s="50" t="s">
        <v>186</v>
      </c>
      <c r="Y1800" s="50"/>
    </row>
    <row r="1801" spans="1:25" x14ac:dyDescent="0.25">
      <c r="A1801" s="25" t="s">
        <v>115</v>
      </c>
      <c r="B1801" t="b">
        <v>0</v>
      </c>
      <c r="C1801" s="43" t="s">
        <v>2075</v>
      </c>
      <c r="D1801" s="43">
        <v>319716</v>
      </c>
      <c r="E1801" s="43">
        <v>300691</v>
      </c>
      <c r="F1801" s="43" t="s">
        <v>117</v>
      </c>
      <c r="G1801" s="43" t="b">
        <v>1</v>
      </c>
      <c r="H1801" s="43" t="b">
        <v>0</v>
      </c>
      <c r="I1801" s="43"/>
      <c r="M1801" s="48" t="s">
        <v>2075</v>
      </c>
      <c r="N1801" s="48">
        <v>17088572004</v>
      </c>
      <c r="O1801" s="48">
        <v>17088561247</v>
      </c>
      <c r="P1801" s="48" t="s">
        <v>117</v>
      </c>
      <c r="Q1801" s="49" t="s">
        <v>2075</v>
      </c>
      <c r="R1801" s="49">
        <v>17083127626</v>
      </c>
      <c r="S1801" s="49">
        <v>17083123404</v>
      </c>
      <c r="T1801" s="49" t="s">
        <v>117</v>
      </c>
      <c r="U1801" s="50" t="s">
        <v>2075</v>
      </c>
      <c r="V1801" s="50">
        <v>17083127626</v>
      </c>
      <c r="W1801" s="50">
        <v>17083123404</v>
      </c>
      <c r="X1801" s="50" t="s">
        <v>117</v>
      </c>
      <c r="Y1801" s="50">
        <v>150201</v>
      </c>
    </row>
    <row r="1802" spans="1:25" x14ac:dyDescent="0.25">
      <c r="A1802" s="25" t="s">
        <v>115</v>
      </c>
      <c r="B1802" t="b">
        <v>0</v>
      </c>
      <c r="C1802" s="43" t="s">
        <v>2076</v>
      </c>
      <c r="D1802" s="43">
        <v>321764</v>
      </c>
      <c r="E1802" s="43">
        <v>299415</v>
      </c>
      <c r="F1802" s="43" t="s">
        <v>123</v>
      </c>
      <c r="G1802" s="43" t="b">
        <v>1</v>
      </c>
      <c r="H1802" s="43" t="b">
        <v>0</v>
      </c>
      <c r="I1802" s="43" t="s">
        <v>134</v>
      </c>
      <c r="M1802" s="48" t="s">
        <v>2076</v>
      </c>
      <c r="N1802" s="48">
        <v>17088571286</v>
      </c>
      <c r="O1802" s="48">
        <v>17088559396</v>
      </c>
      <c r="P1802" s="48" t="s">
        <v>123</v>
      </c>
      <c r="Q1802" s="49" t="s">
        <v>2076</v>
      </c>
      <c r="R1802" s="49">
        <v>17083128297</v>
      </c>
      <c r="S1802" s="49">
        <v>17083089682</v>
      </c>
      <c r="T1802" s="49" t="s">
        <v>123</v>
      </c>
      <c r="U1802" s="50" t="s">
        <v>2076</v>
      </c>
      <c r="V1802" s="50">
        <v>17083128297</v>
      </c>
      <c r="W1802" s="50">
        <v>17083089682</v>
      </c>
      <c r="X1802" s="50" t="s">
        <v>123</v>
      </c>
      <c r="Y1802" s="50">
        <v>150108</v>
      </c>
    </row>
    <row r="1803" spans="1:25" x14ac:dyDescent="0.25">
      <c r="A1803" s="25" t="s">
        <v>115</v>
      </c>
      <c r="B1803" t="b">
        <v>0</v>
      </c>
      <c r="C1803" s="43" t="s">
        <v>2077</v>
      </c>
      <c r="D1803" s="43">
        <v>320740</v>
      </c>
      <c r="E1803" s="43">
        <v>301671</v>
      </c>
      <c r="F1803" s="43" t="s">
        <v>117</v>
      </c>
      <c r="G1803" s="43" t="b">
        <v>0</v>
      </c>
      <c r="H1803" s="43" t="b">
        <v>0</v>
      </c>
      <c r="I1803" s="43"/>
      <c r="M1803" s="48" t="s">
        <v>2077</v>
      </c>
      <c r="N1803" s="48">
        <v>17088570902</v>
      </c>
      <c r="O1803" s="48">
        <v>17088559460</v>
      </c>
      <c r="P1803" s="48" t="s">
        <v>117</v>
      </c>
      <c r="Q1803" s="49" t="s">
        <v>2077</v>
      </c>
      <c r="R1803" s="49">
        <v>17083127401</v>
      </c>
      <c r="S1803" s="49">
        <v>17083089746</v>
      </c>
      <c r="T1803" s="49" t="s">
        <v>117</v>
      </c>
      <c r="U1803" s="50" t="s">
        <v>2077</v>
      </c>
      <c r="V1803" s="50">
        <v>17083127401</v>
      </c>
      <c r="W1803" s="50">
        <v>17083089746</v>
      </c>
      <c r="X1803" s="50" t="s">
        <v>117</v>
      </c>
      <c r="Y1803" s="50"/>
    </row>
    <row r="1804" spans="1:25" x14ac:dyDescent="0.25">
      <c r="A1804" s="25" t="s">
        <v>115</v>
      </c>
      <c r="B1804" t="b">
        <v>0</v>
      </c>
      <c r="C1804" s="43" t="s">
        <v>2078</v>
      </c>
      <c r="D1804" s="43">
        <v>322788</v>
      </c>
      <c r="E1804" s="43">
        <v>300299</v>
      </c>
      <c r="F1804" s="43" t="s">
        <v>123</v>
      </c>
      <c r="G1804" s="43" t="b">
        <v>0</v>
      </c>
      <c r="H1804" s="43" t="b">
        <v>0</v>
      </c>
      <c r="I1804" s="43"/>
      <c r="M1804" s="48" t="s">
        <v>2078</v>
      </c>
      <c r="N1804" s="48">
        <v>17088571668</v>
      </c>
      <c r="O1804" s="48">
        <v>17088567008</v>
      </c>
      <c r="P1804" s="48" t="s">
        <v>123</v>
      </c>
      <c r="Q1804" s="49" t="s">
        <v>2078</v>
      </c>
      <c r="R1804" s="49">
        <v>17083129802</v>
      </c>
      <c r="S1804" s="49">
        <v>17083125250</v>
      </c>
      <c r="T1804" s="49" t="s">
        <v>123</v>
      </c>
      <c r="U1804" s="50" t="s">
        <v>2078</v>
      </c>
      <c r="V1804" s="50">
        <v>17083129802</v>
      </c>
      <c r="W1804" s="50">
        <v>17083125250</v>
      </c>
      <c r="X1804" s="50" t="s">
        <v>123</v>
      </c>
      <c r="Y1804" s="50"/>
    </row>
    <row r="1805" spans="1:25" x14ac:dyDescent="0.25">
      <c r="A1805" s="25" t="s">
        <v>115</v>
      </c>
      <c r="B1805" t="b">
        <v>0</v>
      </c>
      <c r="C1805" s="43" t="s">
        <v>2079</v>
      </c>
      <c r="D1805" s="43">
        <v>320228</v>
      </c>
      <c r="E1805" s="43">
        <v>299403</v>
      </c>
      <c r="F1805" s="43" t="s">
        <v>123</v>
      </c>
      <c r="G1805" s="43" t="b">
        <v>0</v>
      </c>
      <c r="H1805" s="43" t="b">
        <v>0</v>
      </c>
      <c r="I1805" s="43"/>
      <c r="M1805" s="48" t="s">
        <v>2079</v>
      </c>
      <c r="N1805" s="48">
        <v>17088571028</v>
      </c>
      <c r="O1805" s="48">
        <v>17088565600</v>
      </c>
      <c r="P1805" s="48" t="s">
        <v>123</v>
      </c>
      <c r="Q1805" s="49" t="s">
        <v>2079</v>
      </c>
      <c r="R1805" s="49">
        <v>17083126826</v>
      </c>
      <c r="S1805" s="49">
        <v>17083124220</v>
      </c>
      <c r="T1805" s="49" t="s">
        <v>123</v>
      </c>
      <c r="U1805" s="50" t="s">
        <v>2079</v>
      </c>
      <c r="V1805" s="50">
        <v>17083126826</v>
      </c>
      <c r="W1805" s="50">
        <v>17083124220</v>
      </c>
      <c r="X1805" s="50" t="s">
        <v>123</v>
      </c>
      <c r="Y1805" s="50"/>
    </row>
    <row r="1806" spans="1:25" x14ac:dyDescent="0.25">
      <c r="A1806" s="25" t="s">
        <v>115</v>
      </c>
      <c r="B1806" t="b">
        <v>0</v>
      </c>
      <c r="C1806" s="43" t="s">
        <v>2080</v>
      </c>
      <c r="D1806" s="43">
        <v>322276</v>
      </c>
      <c r="E1806" s="43">
        <v>300839</v>
      </c>
      <c r="F1806" s="43" t="s">
        <v>119</v>
      </c>
      <c r="G1806" s="43" t="b">
        <v>0</v>
      </c>
      <c r="H1806" s="43" t="b">
        <v>0</v>
      </c>
      <c r="I1806" s="43"/>
      <c r="M1806" s="48" t="s">
        <v>2080</v>
      </c>
      <c r="N1806" s="48">
        <v>17088572310</v>
      </c>
      <c r="O1806" s="48">
        <v>17088558820</v>
      </c>
      <c r="P1806" s="48" t="s">
        <v>119</v>
      </c>
      <c r="Q1806" s="49" t="s">
        <v>2080</v>
      </c>
      <c r="R1806" s="49">
        <v>17083126249</v>
      </c>
      <c r="S1806" s="49">
        <v>17083091410</v>
      </c>
      <c r="T1806" s="49" t="s">
        <v>119</v>
      </c>
      <c r="U1806" s="50" t="s">
        <v>2080</v>
      </c>
      <c r="V1806" s="50">
        <v>17083126249</v>
      </c>
      <c r="W1806" s="50">
        <v>17083091410</v>
      </c>
      <c r="X1806" s="50" t="s">
        <v>119</v>
      </c>
      <c r="Y1806" s="50"/>
    </row>
    <row r="1807" spans="1:25" x14ac:dyDescent="0.25">
      <c r="A1807" s="25" t="s">
        <v>115</v>
      </c>
      <c r="B1807" t="b">
        <v>0</v>
      </c>
      <c r="C1807" s="43" t="s">
        <v>2081</v>
      </c>
      <c r="D1807" s="43">
        <v>321252</v>
      </c>
      <c r="E1807" s="43">
        <v>301547</v>
      </c>
      <c r="F1807" s="43" t="s">
        <v>123</v>
      </c>
      <c r="G1807" s="43" t="b">
        <v>0</v>
      </c>
      <c r="H1807" s="43" t="b">
        <v>0</v>
      </c>
      <c r="I1807" s="43"/>
      <c r="M1807" s="48" t="s">
        <v>2081</v>
      </c>
      <c r="N1807" s="48">
        <v>17088570078</v>
      </c>
      <c r="O1807" s="48">
        <v>17088564651</v>
      </c>
      <c r="P1807" s="48" t="s">
        <v>123</v>
      </c>
      <c r="Q1807" s="49" t="s">
        <v>2081</v>
      </c>
      <c r="R1807" s="49">
        <v>17083125778</v>
      </c>
      <c r="S1807" s="49">
        <v>17083125488</v>
      </c>
      <c r="T1807" s="49" t="s">
        <v>123</v>
      </c>
      <c r="U1807" s="50" t="s">
        <v>2081</v>
      </c>
      <c r="V1807" s="50">
        <v>17083125778</v>
      </c>
      <c r="W1807" s="50">
        <v>17083125488</v>
      </c>
      <c r="X1807" s="50" t="s">
        <v>123</v>
      </c>
      <c r="Y1807" s="50"/>
    </row>
    <row r="1808" spans="1:25" x14ac:dyDescent="0.25">
      <c r="A1808" s="25" t="s">
        <v>115</v>
      </c>
      <c r="B1808" t="b">
        <v>0</v>
      </c>
      <c r="C1808" s="43" t="s">
        <v>2082</v>
      </c>
      <c r="D1808" s="43">
        <v>323300</v>
      </c>
      <c r="E1808" s="43">
        <v>299763</v>
      </c>
      <c r="F1808" s="43" t="s">
        <v>123</v>
      </c>
      <c r="G1808" s="43" t="b">
        <v>0</v>
      </c>
      <c r="H1808" s="43" t="b">
        <v>0</v>
      </c>
      <c r="I1808" s="43"/>
      <c r="M1808" s="48" t="s">
        <v>2082</v>
      </c>
      <c r="N1808" s="48">
        <v>17088572900</v>
      </c>
      <c r="O1808" s="48">
        <v>17088568848</v>
      </c>
      <c r="P1808" s="48" t="s">
        <v>123</v>
      </c>
      <c r="Q1808" s="49" t="s">
        <v>2082</v>
      </c>
      <c r="R1808" s="49">
        <v>17083126730</v>
      </c>
      <c r="S1808" s="49">
        <v>17083122050</v>
      </c>
      <c r="T1808" s="49" t="s">
        <v>123</v>
      </c>
      <c r="U1808" s="50" t="s">
        <v>2082</v>
      </c>
      <c r="V1808" s="50">
        <v>17083126730</v>
      </c>
      <c r="W1808" s="50">
        <v>17083122050</v>
      </c>
      <c r="X1808" s="50" t="s">
        <v>123</v>
      </c>
      <c r="Y1808" s="50"/>
    </row>
    <row r="1809" spans="1:25" x14ac:dyDescent="0.25">
      <c r="A1809" s="25" t="s">
        <v>115</v>
      </c>
      <c r="B1809" t="b">
        <v>0</v>
      </c>
      <c r="C1809" s="43" t="s">
        <v>2083</v>
      </c>
      <c r="D1809" s="43">
        <v>319972</v>
      </c>
      <c r="E1809" s="43">
        <v>302955</v>
      </c>
      <c r="F1809" s="43" t="s">
        <v>119</v>
      </c>
      <c r="G1809" s="43" t="b">
        <v>0</v>
      </c>
      <c r="H1809" s="43" t="b">
        <v>0</v>
      </c>
      <c r="I1809" s="43"/>
      <c r="M1809" s="48" t="s">
        <v>2083</v>
      </c>
      <c r="N1809" s="48">
        <v>17088569572</v>
      </c>
      <c r="O1809" s="48">
        <v>17088567840</v>
      </c>
      <c r="P1809" s="48" t="s">
        <v>119</v>
      </c>
      <c r="Q1809" s="49" t="s">
        <v>2083</v>
      </c>
      <c r="R1809" s="49">
        <v>17083129546</v>
      </c>
      <c r="S1809" s="49">
        <v>17083123388</v>
      </c>
      <c r="T1809" s="49" t="s">
        <v>119</v>
      </c>
      <c r="U1809" s="50" t="s">
        <v>2083</v>
      </c>
      <c r="V1809" s="50">
        <v>17083129546</v>
      </c>
      <c r="W1809" s="50">
        <v>17083123388</v>
      </c>
      <c r="X1809" s="50" t="s">
        <v>119</v>
      </c>
      <c r="Y1809" s="50"/>
    </row>
    <row r="1810" spans="1:25" x14ac:dyDescent="0.25">
      <c r="A1810" s="25" t="s">
        <v>115</v>
      </c>
      <c r="B1810" t="b">
        <v>0</v>
      </c>
      <c r="C1810" s="43" t="s">
        <v>2084</v>
      </c>
      <c r="D1810" s="43">
        <v>322020</v>
      </c>
      <c r="E1810" s="43">
        <v>302615</v>
      </c>
      <c r="F1810" s="43" t="s">
        <v>123</v>
      </c>
      <c r="G1810" s="43" t="b">
        <v>0</v>
      </c>
      <c r="H1810" s="43" t="b">
        <v>0</v>
      </c>
      <c r="I1810" s="43"/>
      <c r="M1810" s="48" t="s">
        <v>2084</v>
      </c>
      <c r="N1810" s="48">
        <v>17088572246</v>
      </c>
      <c r="O1810" s="48">
        <v>17088557988</v>
      </c>
      <c r="P1810" s="48" t="s">
        <v>123</v>
      </c>
      <c r="Q1810" s="49" t="s">
        <v>2084</v>
      </c>
      <c r="R1810" s="49">
        <v>17083128345</v>
      </c>
      <c r="S1810" s="49">
        <v>17083092882</v>
      </c>
      <c r="T1810" s="49" t="s">
        <v>123</v>
      </c>
      <c r="U1810" s="50" t="s">
        <v>2084</v>
      </c>
      <c r="V1810" s="50">
        <v>17083128345</v>
      </c>
      <c r="W1810" s="50">
        <v>17083092882</v>
      </c>
      <c r="X1810" s="50" t="s">
        <v>123</v>
      </c>
      <c r="Y1810" s="50"/>
    </row>
    <row r="1811" spans="1:25" x14ac:dyDescent="0.25">
      <c r="A1811" s="25" t="s">
        <v>115</v>
      </c>
      <c r="B1811" t="b">
        <v>0</v>
      </c>
      <c r="C1811" s="43" t="s">
        <v>2085</v>
      </c>
      <c r="D1811" s="43">
        <v>320996</v>
      </c>
      <c r="E1811" s="43">
        <v>299799</v>
      </c>
      <c r="F1811" s="43" t="s">
        <v>123</v>
      </c>
      <c r="G1811" s="43" t="b">
        <v>0</v>
      </c>
      <c r="H1811" s="43" t="b">
        <v>0</v>
      </c>
      <c r="I1811" s="43"/>
      <c r="M1811" s="48" t="s">
        <v>2085</v>
      </c>
      <c r="N1811" s="48">
        <v>17088571926</v>
      </c>
      <c r="O1811" s="48">
        <v>17088560804</v>
      </c>
      <c r="P1811" s="48" t="s">
        <v>123</v>
      </c>
      <c r="Q1811" s="49" t="s">
        <v>2085</v>
      </c>
      <c r="R1811" s="49">
        <v>17083128425</v>
      </c>
      <c r="S1811" s="49">
        <v>17083090322</v>
      </c>
      <c r="T1811" s="49" t="s">
        <v>123</v>
      </c>
      <c r="U1811" s="50" t="s">
        <v>2085</v>
      </c>
      <c r="V1811" s="50">
        <v>17083128425</v>
      </c>
      <c r="W1811" s="50">
        <v>17083090322</v>
      </c>
      <c r="X1811" s="50" t="s">
        <v>123</v>
      </c>
      <c r="Y1811" s="50"/>
    </row>
    <row r="1812" spans="1:25" x14ac:dyDescent="0.25">
      <c r="A1812" s="25" t="s">
        <v>115</v>
      </c>
      <c r="B1812" t="b">
        <v>0</v>
      </c>
      <c r="C1812" s="43" t="s">
        <v>2086</v>
      </c>
      <c r="D1812" s="43">
        <v>323044</v>
      </c>
      <c r="E1812" s="43">
        <v>302835</v>
      </c>
      <c r="F1812" s="43" t="s">
        <v>119</v>
      </c>
      <c r="G1812" s="43" t="b">
        <v>0</v>
      </c>
      <c r="H1812" s="43" t="b">
        <v>0</v>
      </c>
      <c r="I1812" s="43"/>
      <c r="M1812" s="48" t="s">
        <v>2086</v>
      </c>
      <c r="N1812" s="48">
        <v>17088570836</v>
      </c>
      <c r="O1812" s="48">
        <v>17088566288</v>
      </c>
      <c r="P1812" s="48" t="s">
        <v>119</v>
      </c>
      <c r="Q1812" s="49" t="s">
        <v>2086</v>
      </c>
      <c r="R1812" s="49">
        <v>17083127466</v>
      </c>
      <c r="S1812" s="49">
        <v>17083124866</v>
      </c>
      <c r="T1812" s="49" t="s">
        <v>119</v>
      </c>
      <c r="U1812" s="50" t="s">
        <v>2086</v>
      </c>
      <c r="V1812" s="50">
        <v>17083127466</v>
      </c>
      <c r="W1812" s="50">
        <v>17083124866</v>
      </c>
      <c r="X1812" s="50" t="s">
        <v>119</v>
      </c>
      <c r="Y1812" s="50"/>
    </row>
    <row r="1813" spans="1:25" x14ac:dyDescent="0.25">
      <c r="A1813" s="25" t="s">
        <v>115</v>
      </c>
      <c r="B1813" t="b">
        <v>0</v>
      </c>
      <c r="C1813" s="43" t="s">
        <v>2087</v>
      </c>
      <c r="D1813" s="43">
        <v>320484</v>
      </c>
      <c r="E1813" s="43">
        <v>303047</v>
      </c>
      <c r="F1813" s="43" t="s">
        <v>117</v>
      </c>
      <c r="G1813" s="43" t="b">
        <v>0</v>
      </c>
      <c r="H1813" s="43" t="b">
        <v>0</v>
      </c>
      <c r="I1813" s="43"/>
      <c r="M1813" s="48" t="s">
        <v>2087</v>
      </c>
      <c r="N1813" s="48">
        <v>17088569878</v>
      </c>
      <c r="O1813" s="48">
        <v>17088558052</v>
      </c>
      <c r="P1813" s="48" t="s">
        <v>117</v>
      </c>
      <c r="Q1813" s="49" t="s">
        <v>2087</v>
      </c>
      <c r="R1813" s="49">
        <v>17083126377</v>
      </c>
      <c r="S1813" s="49">
        <v>17083092946</v>
      </c>
      <c r="T1813" s="49" t="s">
        <v>117</v>
      </c>
      <c r="U1813" s="50" t="s">
        <v>2087</v>
      </c>
      <c r="V1813" s="50">
        <v>17083126377</v>
      </c>
      <c r="W1813" s="50">
        <v>17083092946</v>
      </c>
      <c r="X1813" s="50" t="s">
        <v>117</v>
      </c>
      <c r="Y1813" s="50"/>
    </row>
    <row r="1814" spans="1:25" x14ac:dyDescent="0.25">
      <c r="A1814" s="25" t="s">
        <v>115</v>
      </c>
      <c r="B1814" t="b">
        <v>1</v>
      </c>
      <c r="C1814" s="43" t="s">
        <v>2088</v>
      </c>
      <c r="D1814" s="43">
        <v>322532</v>
      </c>
      <c r="E1814" s="43">
        <v>300567</v>
      </c>
      <c r="F1814" s="43" t="s">
        <v>142</v>
      </c>
      <c r="G1814" s="43" t="b">
        <v>0</v>
      </c>
      <c r="H1814" s="43" t="b">
        <v>0</v>
      </c>
      <c r="I1814" s="43"/>
      <c r="J1814" s="45" t="s">
        <v>2088</v>
      </c>
      <c r="K1814" s="46">
        <v>300567</v>
      </c>
      <c r="L1814" s="47">
        <v>990000718</v>
      </c>
      <c r="M1814" s="48" t="s">
        <v>2088</v>
      </c>
      <c r="N1814" s="48">
        <v>17088570262</v>
      </c>
      <c r="O1814" s="48">
        <v>17088559204</v>
      </c>
      <c r="P1814" s="48" t="s">
        <v>142</v>
      </c>
      <c r="Q1814" s="49" t="s">
        <v>2088</v>
      </c>
      <c r="R1814" s="49">
        <v>17083129577</v>
      </c>
      <c r="S1814" s="49">
        <v>17083089490</v>
      </c>
      <c r="T1814" s="49" t="s">
        <v>142</v>
      </c>
      <c r="U1814" s="50" t="s">
        <v>2088</v>
      </c>
      <c r="V1814" s="50">
        <v>17083129577</v>
      </c>
      <c r="W1814" s="50">
        <v>17083089490</v>
      </c>
      <c r="X1814" s="50" t="s">
        <v>142</v>
      </c>
      <c r="Y1814" s="50"/>
    </row>
    <row r="1815" spans="1:25" x14ac:dyDescent="0.25">
      <c r="A1815" s="25" t="s">
        <v>115</v>
      </c>
      <c r="B1815" t="b">
        <v>0</v>
      </c>
      <c r="C1815" s="43" t="s">
        <v>2089</v>
      </c>
      <c r="D1815" s="43">
        <v>321508</v>
      </c>
      <c r="E1815" s="43">
        <v>300391</v>
      </c>
      <c r="F1815" s="43" t="s">
        <v>125</v>
      </c>
      <c r="G1815" s="43" t="b">
        <v>0</v>
      </c>
      <c r="H1815" s="43" t="b">
        <v>0</v>
      </c>
      <c r="I1815" s="43" t="s">
        <v>126</v>
      </c>
      <c r="M1815" s="48" t="s">
        <v>2089</v>
      </c>
      <c r="N1815" s="48">
        <v>17088573078</v>
      </c>
      <c r="O1815" s="48">
        <v>17088558180</v>
      </c>
      <c r="P1815" s="48" t="s">
        <v>125</v>
      </c>
      <c r="Q1815" s="49" t="s">
        <v>2089</v>
      </c>
      <c r="R1815" s="49">
        <v>17083128041</v>
      </c>
      <c r="S1815" s="49">
        <v>17083091538</v>
      </c>
      <c r="T1815" s="49" t="s">
        <v>125</v>
      </c>
      <c r="U1815" s="50" t="s">
        <v>2089</v>
      </c>
      <c r="V1815" s="50">
        <v>17083128041</v>
      </c>
      <c r="W1815" s="50">
        <v>17083091538</v>
      </c>
      <c r="X1815" s="50" t="s">
        <v>125</v>
      </c>
      <c r="Y1815" s="50"/>
    </row>
    <row r="1816" spans="1:25" x14ac:dyDescent="0.25">
      <c r="A1816" s="25" t="s">
        <v>115</v>
      </c>
      <c r="B1816" t="b">
        <v>1</v>
      </c>
      <c r="C1816" s="43" t="s">
        <v>2090</v>
      </c>
      <c r="D1816" s="43">
        <v>323556</v>
      </c>
      <c r="E1816" s="43">
        <v>302535</v>
      </c>
      <c r="F1816" s="43" t="s">
        <v>186</v>
      </c>
      <c r="G1816" s="43" t="b">
        <v>0</v>
      </c>
      <c r="H1816" s="43" t="b">
        <v>0</v>
      </c>
      <c r="I1816" s="43"/>
      <c r="J1816" s="45" t="s">
        <v>2090</v>
      </c>
      <c r="K1816" s="46">
        <v>302535</v>
      </c>
      <c r="L1816" s="47">
        <v>990000719</v>
      </c>
      <c r="M1816" s="48" t="s">
        <v>2090</v>
      </c>
      <c r="N1816" s="48">
        <v>17088571030</v>
      </c>
      <c r="O1816" s="48">
        <v>17088558612</v>
      </c>
      <c r="P1816" s="48" t="s">
        <v>186</v>
      </c>
      <c r="Q1816" s="49" t="s">
        <v>2090</v>
      </c>
      <c r="R1816" s="49">
        <v>17083125993</v>
      </c>
      <c r="S1816" s="49">
        <v>17083091250</v>
      </c>
      <c r="T1816" s="49" t="s">
        <v>186</v>
      </c>
      <c r="U1816" s="50" t="s">
        <v>2090</v>
      </c>
      <c r="V1816" s="50">
        <v>17083125993</v>
      </c>
      <c r="W1816" s="50">
        <v>17083091250</v>
      </c>
      <c r="X1816" s="50" t="s">
        <v>186</v>
      </c>
      <c r="Y1816" s="50"/>
    </row>
    <row r="1817" spans="1:25" x14ac:dyDescent="0.25">
      <c r="A1817" s="25" t="s">
        <v>115</v>
      </c>
      <c r="B1817" t="b">
        <v>0</v>
      </c>
      <c r="C1817" s="43" t="s">
        <v>2091</v>
      </c>
      <c r="D1817" s="43">
        <v>319508</v>
      </c>
      <c r="E1817" s="43">
        <v>299111</v>
      </c>
      <c r="F1817" s="43" t="s">
        <v>383</v>
      </c>
      <c r="G1817" s="43" t="b">
        <v>0</v>
      </c>
      <c r="H1817" s="43" t="b">
        <v>0</v>
      </c>
      <c r="I1817" s="43"/>
      <c r="M1817" s="48" t="s">
        <v>2091</v>
      </c>
      <c r="N1817" s="48">
        <v>17088572822</v>
      </c>
      <c r="O1817" s="48">
        <v>17088558948</v>
      </c>
      <c r="P1817" s="48" t="s">
        <v>383</v>
      </c>
      <c r="Q1817" s="49" t="s">
        <v>2091</v>
      </c>
      <c r="R1817" s="49">
        <v>17083127529</v>
      </c>
      <c r="S1817" s="49">
        <v>17083091154</v>
      </c>
      <c r="T1817" s="49" t="s">
        <v>383</v>
      </c>
      <c r="U1817" s="50" t="s">
        <v>2091</v>
      </c>
      <c r="V1817" s="50">
        <v>17083127529</v>
      </c>
      <c r="W1817" s="50">
        <v>17083091154</v>
      </c>
      <c r="X1817" s="50" t="s">
        <v>383</v>
      </c>
      <c r="Y1817" s="50"/>
    </row>
    <row r="1818" spans="1:25" x14ac:dyDescent="0.25">
      <c r="A1818" s="25" t="s">
        <v>115</v>
      </c>
      <c r="B1818" t="b">
        <v>0</v>
      </c>
      <c r="C1818" s="43" t="s">
        <v>2092</v>
      </c>
      <c r="D1818" s="43">
        <v>321556</v>
      </c>
      <c r="E1818" s="43">
        <v>300411</v>
      </c>
      <c r="F1818" s="43" t="s">
        <v>125</v>
      </c>
      <c r="G1818" s="43" t="b">
        <v>1</v>
      </c>
      <c r="H1818" s="43" t="b">
        <v>0</v>
      </c>
      <c r="I1818" s="43" t="s">
        <v>126</v>
      </c>
      <c r="M1818" s="48" t="s">
        <v>2092</v>
      </c>
      <c r="N1818" s="48">
        <v>17088569694</v>
      </c>
      <c r="O1818" s="48">
        <v>17088563755</v>
      </c>
      <c r="P1818" s="48" t="s">
        <v>125</v>
      </c>
      <c r="Q1818" s="49" t="s">
        <v>2092</v>
      </c>
      <c r="R1818" s="49">
        <v>17083127522</v>
      </c>
      <c r="S1818" s="49">
        <v>17083123824</v>
      </c>
      <c r="T1818" s="49" t="s">
        <v>125</v>
      </c>
      <c r="U1818" s="50" t="s">
        <v>2092</v>
      </c>
      <c r="V1818" s="50">
        <v>17083127522</v>
      </c>
      <c r="W1818" s="50">
        <v>17083123824</v>
      </c>
      <c r="X1818" s="50" t="s">
        <v>125</v>
      </c>
      <c r="Y1818" s="50">
        <v>120405</v>
      </c>
    </row>
    <row r="1819" spans="1:25" x14ac:dyDescent="0.25">
      <c r="A1819" s="25" t="s">
        <v>115</v>
      </c>
      <c r="B1819" t="b">
        <v>0</v>
      </c>
      <c r="C1819" s="43" t="s">
        <v>2093</v>
      </c>
      <c r="D1819" s="43">
        <v>320532</v>
      </c>
      <c r="E1819" s="43">
        <v>301227</v>
      </c>
      <c r="F1819" s="43" t="s">
        <v>132</v>
      </c>
      <c r="G1819" s="43" t="b">
        <v>0</v>
      </c>
      <c r="H1819" s="43" t="b">
        <v>0</v>
      </c>
      <c r="I1819" s="43"/>
      <c r="M1819" s="48" t="s">
        <v>2093</v>
      </c>
      <c r="N1819" s="48">
        <v>17088572500</v>
      </c>
      <c r="O1819" s="48">
        <v>17088568480</v>
      </c>
      <c r="P1819" s="48" t="s">
        <v>132</v>
      </c>
      <c r="Q1819" s="49" t="s">
        <v>2093</v>
      </c>
      <c r="R1819" s="49">
        <v>17083126058</v>
      </c>
      <c r="S1819" s="49">
        <v>17083122300</v>
      </c>
      <c r="T1819" s="49" t="s">
        <v>132</v>
      </c>
      <c r="U1819" s="50" t="s">
        <v>2093</v>
      </c>
      <c r="V1819" s="50">
        <v>17083126058</v>
      </c>
      <c r="W1819" s="50">
        <v>17083122300</v>
      </c>
      <c r="X1819" s="50" t="s">
        <v>132</v>
      </c>
      <c r="Y1819" s="50"/>
    </row>
    <row r="1820" spans="1:25" x14ac:dyDescent="0.25">
      <c r="A1820" s="25" t="s">
        <v>115</v>
      </c>
      <c r="B1820" t="b">
        <v>0</v>
      </c>
      <c r="C1820" s="43" t="s">
        <v>2094</v>
      </c>
      <c r="D1820" s="43">
        <v>322580</v>
      </c>
      <c r="E1820" s="43">
        <v>299975</v>
      </c>
      <c r="F1820" s="43" t="s">
        <v>132</v>
      </c>
      <c r="G1820" s="43" t="b">
        <v>0</v>
      </c>
      <c r="H1820" s="43" t="b">
        <v>0</v>
      </c>
      <c r="I1820" s="43"/>
      <c r="M1820" s="48" t="s">
        <v>2094</v>
      </c>
      <c r="N1820" s="48">
        <v>17088572054</v>
      </c>
      <c r="O1820" s="48">
        <v>17088560148</v>
      </c>
      <c r="P1820" s="48" t="s">
        <v>132</v>
      </c>
      <c r="Q1820" s="49" t="s">
        <v>2094</v>
      </c>
      <c r="R1820" s="49">
        <v>17083129705</v>
      </c>
      <c r="S1820" s="49">
        <v>17083090482</v>
      </c>
      <c r="T1820" s="49" t="s">
        <v>132</v>
      </c>
      <c r="U1820" s="50" t="s">
        <v>2094</v>
      </c>
      <c r="V1820" s="50">
        <v>17083129705</v>
      </c>
      <c r="W1820" s="50">
        <v>17083090482</v>
      </c>
      <c r="X1820" s="50" t="s">
        <v>132</v>
      </c>
      <c r="Y1820" s="50"/>
    </row>
    <row r="1821" spans="1:25" x14ac:dyDescent="0.25">
      <c r="A1821" s="25" t="s">
        <v>115</v>
      </c>
      <c r="B1821" t="b">
        <v>0</v>
      </c>
      <c r="C1821" s="34" t="s">
        <v>2095</v>
      </c>
      <c r="D1821" s="43">
        <v>320020</v>
      </c>
      <c r="E1821" s="43">
        <v>302999</v>
      </c>
      <c r="F1821" s="43" t="s">
        <v>123</v>
      </c>
      <c r="G1821" s="43" t="b">
        <v>0</v>
      </c>
      <c r="H1821" s="43" t="b">
        <v>0</v>
      </c>
      <c r="I1821" s="43"/>
      <c r="M1821" s="48" t="s">
        <v>2095</v>
      </c>
      <c r="N1821" s="48">
        <v>17088570198</v>
      </c>
      <c r="O1821" s="48">
        <v>17088557604</v>
      </c>
      <c r="P1821" s="48" t="s">
        <v>123</v>
      </c>
      <c r="Q1821" s="49" t="s">
        <v>2095</v>
      </c>
      <c r="R1821" s="49">
        <v>17083126297</v>
      </c>
      <c r="S1821" s="49">
        <v>17083092498</v>
      </c>
      <c r="T1821" s="49" t="s">
        <v>123</v>
      </c>
      <c r="U1821" s="50" t="s">
        <v>2095</v>
      </c>
      <c r="V1821" s="50">
        <v>17083126297</v>
      </c>
      <c r="W1821" s="50">
        <v>17083092498</v>
      </c>
      <c r="X1821" s="50" t="s">
        <v>123</v>
      </c>
      <c r="Y1821" s="50"/>
    </row>
    <row r="1822" spans="1:25" x14ac:dyDescent="0.25">
      <c r="A1822" s="25" t="s">
        <v>115</v>
      </c>
      <c r="B1822" t="b">
        <v>0</v>
      </c>
      <c r="C1822" s="43" t="s">
        <v>2096</v>
      </c>
      <c r="D1822" s="43">
        <v>322068</v>
      </c>
      <c r="E1822" s="43">
        <v>301991</v>
      </c>
      <c r="F1822" s="43" t="s">
        <v>125</v>
      </c>
      <c r="G1822" s="43" t="b">
        <v>1</v>
      </c>
      <c r="H1822" s="43" t="b">
        <v>0</v>
      </c>
      <c r="I1822" s="43" t="s">
        <v>126</v>
      </c>
      <c r="M1822" s="48" t="s">
        <v>2096</v>
      </c>
      <c r="N1822" s="48">
        <v>17088570006</v>
      </c>
      <c r="O1822" s="48">
        <v>17088560356</v>
      </c>
      <c r="P1822" s="48" t="s">
        <v>125</v>
      </c>
      <c r="Q1822" s="49" t="s">
        <v>2096</v>
      </c>
      <c r="R1822" s="49">
        <v>17083127657</v>
      </c>
      <c r="S1822" s="49">
        <v>17083090642</v>
      </c>
      <c r="T1822" s="49" t="s">
        <v>125</v>
      </c>
      <c r="U1822" s="50" t="s">
        <v>2096</v>
      </c>
      <c r="V1822" s="50">
        <v>17083127657</v>
      </c>
      <c r="W1822" s="50">
        <v>17083090642</v>
      </c>
      <c r="X1822" s="50" t="s">
        <v>125</v>
      </c>
      <c r="Y1822" s="50">
        <v>120465</v>
      </c>
    </row>
    <row r="1823" spans="1:25" x14ac:dyDescent="0.25">
      <c r="A1823" s="25" t="s">
        <v>115</v>
      </c>
      <c r="B1823" t="b">
        <v>0</v>
      </c>
      <c r="C1823" s="43" t="s">
        <v>2097</v>
      </c>
      <c r="D1823" s="43">
        <v>321044</v>
      </c>
      <c r="E1823" s="43">
        <v>301207</v>
      </c>
      <c r="F1823" s="43" t="s">
        <v>123</v>
      </c>
      <c r="G1823" s="43" t="b">
        <v>1</v>
      </c>
      <c r="H1823" s="43" t="b">
        <v>0</v>
      </c>
      <c r="I1823" s="43" t="s">
        <v>134</v>
      </c>
      <c r="M1823" s="48" t="s">
        <v>2097</v>
      </c>
      <c r="N1823" s="48">
        <v>17088569686</v>
      </c>
      <c r="O1823" s="48">
        <v>17088557220</v>
      </c>
      <c r="P1823" s="48" t="s">
        <v>123</v>
      </c>
      <c r="Q1823" s="49" t="s">
        <v>2097</v>
      </c>
      <c r="R1823" s="49">
        <v>17083129833</v>
      </c>
      <c r="S1823" s="49">
        <v>17083092114</v>
      </c>
      <c r="T1823" s="49" t="s">
        <v>123</v>
      </c>
      <c r="U1823" s="50" t="s">
        <v>2097</v>
      </c>
      <c r="V1823" s="50">
        <v>17083129833</v>
      </c>
      <c r="W1823" s="50">
        <v>17083092114</v>
      </c>
      <c r="X1823" s="50" t="s">
        <v>123</v>
      </c>
      <c r="Y1823" s="50">
        <v>150117</v>
      </c>
    </row>
    <row r="1824" spans="1:25" x14ac:dyDescent="0.25">
      <c r="A1824" s="25" t="s">
        <v>115</v>
      </c>
      <c r="B1824" t="b">
        <v>0</v>
      </c>
      <c r="C1824" s="43" t="s">
        <v>2098</v>
      </c>
      <c r="D1824" s="43">
        <v>323092</v>
      </c>
      <c r="E1824" s="43">
        <v>300019</v>
      </c>
      <c r="F1824" s="43" t="s">
        <v>119</v>
      </c>
      <c r="G1824" s="43" t="b">
        <v>0</v>
      </c>
      <c r="H1824" s="43" t="b">
        <v>0</v>
      </c>
      <c r="I1824" s="43"/>
      <c r="M1824" s="48" t="s">
        <v>2098</v>
      </c>
      <c r="N1824" s="48">
        <v>17088571220</v>
      </c>
      <c r="O1824" s="48">
        <v>17088568288</v>
      </c>
      <c r="P1824" s="48" t="s">
        <v>119</v>
      </c>
      <c r="Q1824" s="49" t="s">
        <v>2098</v>
      </c>
      <c r="R1824" s="49">
        <v>17083129642</v>
      </c>
      <c r="S1824" s="49">
        <v>17083123458</v>
      </c>
      <c r="T1824" s="49" t="s">
        <v>119</v>
      </c>
      <c r="U1824" s="50" t="s">
        <v>2098</v>
      </c>
      <c r="V1824" s="50">
        <v>17083129642</v>
      </c>
      <c r="W1824" s="50">
        <v>17083123458</v>
      </c>
      <c r="X1824" s="50" t="s">
        <v>119</v>
      </c>
      <c r="Y1824" s="50"/>
    </row>
    <row r="1825" spans="1:25" x14ac:dyDescent="0.25">
      <c r="A1825" s="25" t="s">
        <v>115</v>
      </c>
      <c r="B1825" t="b">
        <v>0</v>
      </c>
      <c r="C1825" s="43" t="s">
        <v>2099</v>
      </c>
      <c r="D1825" s="43">
        <v>319764</v>
      </c>
      <c r="E1825" s="43">
        <v>301195</v>
      </c>
      <c r="F1825" s="43" t="s">
        <v>123</v>
      </c>
      <c r="G1825" s="43" t="b">
        <v>0</v>
      </c>
      <c r="H1825" s="43" t="b">
        <v>0</v>
      </c>
      <c r="I1825" s="43"/>
      <c r="M1825" s="48" t="s">
        <v>2099</v>
      </c>
      <c r="N1825" s="48">
        <v>17088571860</v>
      </c>
      <c r="O1825" s="48">
        <v>17088569184</v>
      </c>
      <c r="P1825" s="48" t="s">
        <v>123</v>
      </c>
      <c r="Q1825" s="49" t="s">
        <v>2099</v>
      </c>
      <c r="R1825" s="49">
        <v>17083128490</v>
      </c>
      <c r="S1825" s="49">
        <v>17083121666</v>
      </c>
      <c r="T1825" s="49" t="s">
        <v>123</v>
      </c>
      <c r="U1825" s="50" t="s">
        <v>2099</v>
      </c>
      <c r="V1825" s="50">
        <v>17083128490</v>
      </c>
      <c r="W1825" s="50">
        <v>17083121666</v>
      </c>
      <c r="X1825" s="50" t="s">
        <v>123</v>
      </c>
      <c r="Y1825" s="50"/>
    </row>
    <row r="1826" spans="1:25" x14ac:dyDescent="0.25">
      <c r="A1826" s="25" t="s">
        <v>115</v>
      </c>
      <c r="B1826" t="b">
        <v>0</v>
      </c>
      <c r="C1826" s="43" t="s">
        <v>2100</v>
      </c>
      <c r="D1826" s="43">
        <v>321812</v>
      </c>
      <c r="E1826" s="43">
        <v>300235</v>
      </c>
      <c r="F1826" s="43" t="s">
        <v>117</v>
      </c>
      <c r="G1826" s="43" t="b">
        <v>0</v>
      </c>
      <c r="H1826" s="43" t="b">
        <v>0</v>
      </c>
      <c r="I1826" s="43"/>
      <c r="M1826" s="48" t="s">
        <v>2100</v>
      </c>
      <c r="N1826" s="48">
        <v>17088569812</v>
      </c>
      <c r="O1826" s="48">
        <v>17088566176</v>
      </c>
      <c r="P1826" s="48" t="s">
        <v>117</v>
      </c>
      <c r="Q1826" s="49" t="s">
        <v>2100</v>
      </c>
      <c r="R1826" s="49">
        <v>17083126442</v>
      </c>
      <c r="S1826" s="49">
        <v>17083124604</v>
      </c>
      <c r="T1826" s="49" t="s">
        <v>117</v>
      </c>
      <c r="U1826" s="50" t="s">
        <v>2100</v>
      </c>
      <c r="V1826" s="50">
        <v>17083126442</v>
      </c>
      <c r="W1826" s="50">
        <v>17083124604</v>
      </c>
      <c r="X1826" s="50" t="s">
        <v>117</v>
      </c>
      <c r="Y1826" s="50"/>
    </row>
    <row r="1827" spans="1:25" x14ac:dyDescent="0.25">
      <c r="A1827" s="25" t="s">
        <v>115</v>
      </c>
      <c r="B1827" t="b">
        <v>0</v>
      </c>
      <c r="C1827" s="43" t="s">
        <v>2101</v>
      </c>
      <c r="D1827" s="43">
        <v>320788</v>
      </c>
      <c r="E1827" s="43">
        <v>302379</v>
      </c>
      <c r="F1827" s="43" t="s">
        <v>125</v>
      </c>
      <c r="G1827" s="43" t="b">
        <v>1</v>
      </c>
      <c r="H1827" s="43" t="b">
        <v>0</v>
      </c>
      <c r="I1827" s="43" t="s">
        <v>126</v>
      </c>
      <c r="M1827" s="48" t="s">
        <v>2101</v>
      </c>
      <c r="N1827" s="48">
        <v>17088572244</v>
      </c>
      <c r="O1827" s="48">
        <v>17088567712</v>
      </c>
      <c r="P1827" s="48" t="s">
        <v>125</v>
      </c>
      <c r="Q1827" s="49" t="s">
        <v>2101</v>
      </c>
      <c r="R1827" s="49">
        <v>17083127594</v>
      </c>
      <c r="S1827" s="49">
        <v>17083123068</v>
      </c>
      <c r="T1827" s="49" t="s">
        <v>125</v>
      </c>
      <c r="U1827" s="50" t="s">
        <v>2101</v>
      </c>
      <c r="V1827" s="50">
        <v>17083127594</v>
      </c>
      <c r="W1827" s="50">
        <v>17083123068</v>
      </c>
      <c r="X1827" s="50" t="s">
        <v>125</v>
      </c>
      <c r="Y1827" s="50">
        <v>120467</v>
      </c>
    </row>
    <row r="1828" spans="1:25" x14ac:dyDescent="0.25">
      <c r="A1828" s="25" t="s">
        <v>115</v>
      </c>
      <c r="B1828" t="b">
        <v>0</v>
      </c>
      <c r="C1828" s="43" t="s">
        <v>2102</v>
      </c>
      <c r="D1828" s="43">
        <v>322836</v>
      </c>
      <c r="E1828" s="43">
        <v>299371</v>
      </c>
      <c r="F1828" s="43" t="s">
        <v>119</v>
      </c>
      <c r="G1828" s="43" t="b">
        <v>0</v>
      </c>
      <c r="H1828" s="43" t="b">
        <v>0</v>
      </c>
      <c r="I1828" s="43"/>
      <c r="M1828" s="48" t="s">
        <v>2102</v>
      </c>
      <c r="N1828" s="48">
        <v>17088573140</v>
      </c>
      <c r="O1828" s="48">
        <v>17088566048</v>
      </c>
      <c r="P1828" s="48" t="s">
        <v>119</v>
      </c>
      <c r="Q1828" s="49" t="s">
        <v>2102</v>
      </c>
      <c r="R1828" s="49">
        <v>17083129002</v>
      </c>
      <c r="S1828" s="49">
        <v>17083124668</v>
      </c>
      <c r="T1828" s="49" t="s">
        <v>119</v>
      </c>
      <c r="U1828" s="50" t="s">
        <v>2102</v>
      </c>
      <c r="V1828" s="50">
        <v>17083129002</v>
      </c>
      <c r="W1828" s="50">
        <v>17083124668</v>
      </c>
      <c r="X1828" s="50" t="s">
        <v>119</v>
      </c>
      <c r="Y1828" s="50"/>
    </row>
    <row r="1829" spans="1:25" x14ac:dyDescent="0.25">
      <c r="A1829" s="25" t="s">
        <v>115</v>
      </c>
      <c r="B1829" t="b">
        <v>0</v>
      </c>
      <c r="C1829" s="43" t="s">
        <v>2103</v>
      </c>
      <c r="D1829" s="43">
        <v>320276</v>
      </c>
      <c r="E1829" s="43">
        <v>302375</v>
      </c>
      <c r="F1829" s="43" t="s">
        <v>125</v>
      </c>
      <c r="G1829" s="43" t="b">
        <v>0</v>
      </c>
      <c r="H1829" s="43" t="b">
        <v>0</v>
      </c>
      <c r="I1829" s="43"/>
      <c r="M1829" s="48" t="s">
        <v>2103</v>
      </c>
      <c r="N1829" s="48">
        <v>17088573014</v>
      </c>
      <c r="O1829" s="48">
        <v>17088559588</v>
      </c>
      <c r="P1829" s="48" t="s">
        <v>125</v>
      </c>
      <c r="Q1829" s="49" t="s">
        <v>2103</v>
      </c>
      <c r="R1829" s="49">
        <v>17083127785</v>
      </c>
      <c r="S1829" s="49">
        <v>17083089874</v>
      </c>
      <c r="T1829" s="49" t="s">
        <v>125</v>
      </c>
      <c r="U1829" s="50" t="s">
        <v>2103</v>
      </c>
      <c r="V1829" s="50">
        <v>17083127785</v>
      </c>
      <c r="W1829" s="50">
        <v>17083089874</v>
      </c>
      <c r="X1829" s="50" t="s">
        <v>125</v>
      </c>
      <c r="Y1829" s="50"/>
    </row>
    <row r="1830" spans="1:25" x14ac:dyDescent="0.25">
      <c r="A1830" s="25" t="s">
        <v>115</v>
      </c>
      <c r="B1830" t="b">
        <v>0</v>
      </c>
      <c r="C1830" s="43" t="s">
        <v>2104</v>
      </c>
      <c r="D1830" s="43">
        <v>322324</v>
      </c>
      <c r="E1830" s="43">
        <v>301947</v>
      </c>
      <c r="F1830" s="43" t="s">
        <v>125</v>
      </c>
      <c r="G1830" s="43" t="b">
        <v>1</v>
      </c>
      <c r="H1830" s="43" t="b">
        <v>0</v>
      </c>
      <c r="I1830" s="43" t="s">
        <v>126</v>
      </c>
      <c r="M1830" s="48" t="s">
        <v>2104</v>
      </c>
      <c r="N1830" s="48">
        <v>17088571998</v>
      </c>
      <c r="O1830" s="48">
        <v>17088562219</v>
      </c>
      <c r="P1830" s="48" t="s">
        <v>125</v>
      </c>
      <c r="Q1830" s="49" t="s">
        <v>2104</v>
      </c>
      <c r="R1830" s="49">
        <v>17083128674</v>
      </c>
      <c r="S1830" s="49">
        <v>17083123632</v>
      </c>
      <c r="T1830" s="49" t="s">
        <v>125</v>
      </c>
      <c r="U1830" s="50" t="s">
        <v>2104</v>
      </c>
      <c r="V1830" s="50">
        <v>17083128674</v>
      </c>
      <c r="W1830" s="50">
        <v>17083123632</v>
      </c>
      <c r="X1830" s="50" t="s">
        <v>125</v>
      </c>
      <c r="Y1830" s="50">
        <v>120406</v>
      </c>
    </row>
    <row r="1831" spans="1:25" x14ac:dyDescent="0.25">
      <c r="A1831" s="25" t="s">
        <v>115</v>
      </c>
      <c r="B1831" t="b">
        <v>0</v>
      </c>
      <c r="C1831" s="43" t="s">
        <v>2105</v>
      </c>
      <c r="D1831" s="43">
        <v>321300</v>
      </c>
      <c r="E1831" s="43">
        <v>300843</v>
      </c>
      <c r="F1831" s="43" t="s">
        <v>125</v>
      </c>
      <c r="G1831" s="43" t="b">
        <v>0</v>
      </c>
      <c r="H1831" s="43" t="b">
        <v>0</v>
      </c>
      <c r="I1831" s="43"/>
      <c r="M1831" s="48" t="s">
        <v>2105</v>
      </c>
      <c r="N1831" s="48">
        <v>17088570196</v>
      </c>
      <c r="O1831" s="48">
        <v>17088566944</v>
      </c>
      <c r="P1831" s="48" t="s">
        <v>125</v>
      </c>
      <c r="Q1831" s="49" t="s">
        <v>2105</v>
      </c>
      <c r="R1831" s="49">
        <v>17083128618</v>
      </c>
      <c r="S1831" s="49">
        <v>17083125372</v>
      </c>
      <c r="T1831" s="49" t="s">
        <v>125</v>
      </c>
      <c r="U1831" s="50" t="s">
        <v>2105</v>
      </c>
      <c r="V1831" s="50">
        <v>17083128618</v>
      </c>
      <c r="W1831" s="50">
        <v>17083125372</v>
      </c>
      <c r="X1831" s="50" t="s">
        <v>125</v>
      </c>
      <c r="Y1831" s="50"/>
    </row>
    <row r="1832" spans="1:25" x14ac:dyDescent="0.25">
      <c r="A1832" s="25" t="s">
        <v>115</v>
      </c>
      <c r="B1832" t="b">
        <v>0</v>
      </c>
      <c r="C1832" s="43" t="s">
        <v>2106</v>
      </c>
      <c r="D1832" s="43">
        <v>323348</v>
      </c>
      <c r="E1832" s="43">
        <v>302987</v>
      </c>
      <c r="F1832" s="43" t="s">
        <v>119</v>
      </c>
      <c r="G1832" s="43" t="b">
        <v>0</v>
      </c>
      <c r="H1832" s="43" t="b">
        <v>0</v>
      </c>
      <c r="I1832" s="43"/>
      <c r="M1832" s="48" t="s">
        <v>2106</v>
      </c>
      <c r="N1832" s="48">
        <v>17088570852</v>
      </c>
      <c r="O1832" s="48">
        <v>17088567392</v>
      </c>
      <c r="P1832" s="48" t="s">
        <v>119</v>
      </c>
      <c r="Q1832" s="49" t="s">
        <v>2106</v>
      </c>
      <c r="R1832" s="49">
        <v>17083129290</v>
      </c>
      <c r="S1832" s="49">
        <v>17083122940</v>
      </c>
      <c r="T1832" s="49" t="s">
        <v>119</v>
      </c>
      <c r="U1832" s="50" t="s">
        <v>2106</v>
      </c>
      <c r="V1832" s="50">
        <v>17083129290</v>
      </c>
      <c r="W1832" s="50">
        <v>17083122940</v>
      </c>
      <c r="X1832" s="50" t="s">
        <v>119</v>
      </c>
      <c r="Y1832" s="50"/>
    </row>
    <row r="1833" spans="1:25" x14ac:dyDescent="0.25">
      <c r="A1833" s="25" t="s">
        <v>115</v>
      </c>
      <c r="B1833" t="b">
        <v>0</v>
      </c>
      <c r="C1833" s="43" t="s">
        <v>2107</v>
      </c>
      <c r="D1833" s="43">
        <v>319636</v>
      </c>
      <c r="E1833" s="43">
        <v>301223</v>
      </c>
      <c r="F1833" s="43" t="s">
        <v>119</v>
      </c>
      <c r="G1833" s="43" t="b">
        <v>0</v>
      </c>
      <c r="H1833" s="43" t="b">
        <v>0</v>
      </c>
      <c r="I1833" s="43"/>
      <c r="M1833" s="48" t="s">
        <v>2107</v>
      </c>
      <c r="N1833" s="48">
        <v>17088570686</v>
      </c>
      <c r="O1833" s="48">
        <v>17088562235</v>
      </c>
      <c r="P1833" s="48" t="s">
        <v>119</v>
      </c>
      <c r="Q1833" s="49" t="s">
        <v>2107</v>
      </c>
      <c r="R1833" s="49">
        <v>17083128466</v>
      </c>
      <c r="S1833" s="49">
        <v>17083123624</v>
      </c>
      <c r="T1833" s="49" t="s">
        <v>119</v>
      </c>
      <c r="U1833" s="50" t="s">
        <v>2107</v>
      </c>
      <c r="V1833" s="50">
        <v>17083128466</v>
      </c>
      <c r="W1833" s="50">
        <v>17083123624</v>
      </c>
      <c r="X1833" s="50" t="s">
        <v>119</v>
      </c>
      <c r="Y1833" s="50"/>
    </row>
    <row r="1834" spans="1:25" x14ac:dyDescent="0.25">
      <c r="A1834" s="25" t="s">
        <v>115</v>
      </c>
      <c r="B1834" t="b">
        <v>0</v>
      </c>
      <c r="C1834" s="43" t="s">
        <v>2108</v>
      </c>
      <c r="D1834" s="43">
        <v>321684</v>
      </c>
      <c r="E1834" s="43">
        <v>299015</v>
      </c>
      <c r="F1834" s="43" t="s">
        <v>123</v>
      </c>
      <c r="G1834" s="43" t="b">
        <v>0</v>
      </c>
      <c r="H1834" s="43" t="b">
        <v>0</v>
      </c>
      <c r="I1834" s="43"/>
      <c r="M1834" s="48" t="s">
        <v>122</v>
      </c>
      <c r="N1834" s="48">
        <v>17088572212</v>
      </c>
      <c r="O1834" s="48">
        <v>17088566704</v>
      </c>
      <c r="P1834" s="48" t="s">
        <v>123</v>
      </c>
      <c r="Q1834" s="49" t="s">
        <v>122</v>
      </c>
      <c r="R1834" s="49">
        <v>17083126378</v>
      </c>
      <c r="S1834" s="49">
        <v>17083121826</v>
      </c>
      <c r="T1834" s="49" t="s">
        <v>123</v>
      </c>
      <c r="U1834" s="50" t="s">
        <v>122</v>
      </c>
      <c r="V1834" s="50">
        <v>17083126378</v>
      </c>
      <c r="W1834" s="50">
        <v>17083121826</v>
      </c>
      <c r="X1834" s="50" t="s">
        <v>123</v>
      </c>
      <c r="Y1834" s="50"/>
    </row>
    <row r="1835" spans="1:25" x14ac:dyDescent="0.25">
      <c r="A1835" s="25" t="s">
        <v>115</v>
      </c>
      <c r="B1835" t="b">
        <v>0</v>
      </c>
      <c r="C1835" s="43" t="s">
        <v>2109</v>
      </c>
      <c r="D1835" s="43">
        <v>320660</v>
      </c>
      <c r="E1835" s="43">
        <v>290555</v>
      </c>
      <c r="F1835" s="43" t="s">
        <v>123</v>
      </c>
      <c r="G1835" s="43" t="b">
        <v>0</v>
      </c>
      <c r="H1835" s="43" t="b">
        <v>0</v>
      </c>
      <c r="I1835" s="43"/>
      <c r="M1835" s="48" t="s">
        <v>2109</v>
      </c>
      <c r="N1835" s="48">
        <v>17088569782</v>
      </c>
      <c r="O1835" s="48">
        <v>17088559340</v>
      </c>
      <c r="P1835" s="48" t="s">
        <v>123</v>
      </c>
      <c r="Q1835" s="49" t="s">
        <v>2109</v>
      </c>
      <c r="R1835" s="49">
        <v>17083126105</v>
      </c>
      <c r="S1835" s="49">
        <v>17083091610</v>
      </c>
      <c r="T1835" s="49" t="s">
        <v>123</v>
      </c>
      <c r="U1835" s="50" t="s">
        <v>2109</v>
      </c>
      <c r="V1835" s="50">
        <v>17083126105</v>
      </c>
      <c r="W1835" s="50">
        <v>17083091610</v>
      </c>
      <c r="X1835" s="50" t="s">
        <v>123</v>
      </c>
      <c r="Y1835" s="50"/>
    </row>
    <row r="1836" spans="1:25" x14ac:dyDescent="0.25">
      <c r="A1836" s="25" t="s">
        <v>115</v>
      </c>
      <c r="B1836" t="b">
        <v>0</v>
      </c>
      <c r="C1836" s="43" t="s">
        <v>2110</v>
      </c>
      <c r="D1836" s="43">
        <v>322708</v>
      </c>
      <c r="E1836" s="43">
        <v>300011</v>
      </c>
      <c r="F1836" s="43" t="s">
        <v>132</v>
      </c>
      <c r="G1836" s="43" t="b">
        <v>0</v>
      </c>
      <c r="H1836" s="43" t="b">
        <v>0</v>
      </c>
      <c r="I1836" s="43"/>
      <c r="M1836" s="48" t="s">
        <v>2110</v>
      </c>
      <c r="N1836" s="48">
        <v>17088569716</v>
      </c>
      <c r="O1836" s="48">
        <v>17088568304</v>
      </c>
      <c r="P1836" s="48" t="s">
        <v>132</v>
      </c>
      <c r="Q1836" s="49" t="s">
        <v>2110</v>
      </c>
      <c r="R1836" s="49">
        <v>17083129322</v>
      </c>
      <c r="S1836" s="49">
        <v>17083124962</v>
      </c>
      <c r="T1836" s="49" t="s">
        <v>132</v>
      </c>
      <c r="U1836" s="50" t="s">
        <v>2110</v>
      </c>
      <c r="V1836" s="50">
        <v>17083129322</v>
      </c>
      <c r="W1836" s="50">
        <v>17083124962</v>
      </c>
      <c r="X1836" s="50" t="s">
        <v>132</v>
      </c>
      <c r="Y1836" s="50"/>
    </row>
    <row r="1837" spans="1:25" x14ac:dyDescent="0.25">
      <c r="A1837" s="25" t="s">
        <v>115</v>
      </c>
      <c r="B1837" t="b">
        <v>0</v>
      </c>
      <c r="C1837" s="43" t="s">
        <v>2111</v>
      </c>
      <c r="D1837" s="43">
        <v>26369693678</v>
      </c>
      <c r="E1837" s="43">
        <v>26369692086</v>
      </c>
      <c r="F1837" s="43" t="s">
        <v>123</v>
      </c>
      <c r="G1837" s="43" t="b">
        <v>0</v>
      </c>
      <c r="H1837" s="43" t="b">
        <v>0</v>
      </c>
      <c r="I1837" s="43"/>
      <c r="M1837" s="48" t="s">
        <v>2111</v>
      </c>
      <c r="N1837" s="48">
        <v>17088573284</v>
      </c>
      <c r="O1837" s="48">
        <v>17088561343</v>
      </c>
      <c r="P1837" s="48" t="s">
        <v>123</v>
      </c>
      <c r="Q1837" s="49"/>
      <c r="R1837" s="49"/>
      <c r="S1837" s="49"/>
      <c r="T1837" s="49"/>
      <c r="U1837" s="50"/>
      <c r="V1837" s="50"/>
      <c r="W1837" s="50"/>
      <c r="X1837" s="50"/>
      <c r="Y1837" s="50"/>
    </row>
    <row r="1838" spans="1:25" x14ac:dyDescent="0.25">
      <c r="A1838" s="25" t="s">
        <v>115</v>
      </c>
      <c r="B1838" t="b">
        <v>0</v>
      </c>
      <c r="C1838" s="43" t="s">
        <v>2112</v>
      </c>
      <c r="D1838" s="43">
        <v>26369695726</v>
      </c>
      <c r="E1838" s="43">
        <v>26369694646</v>
      </c>
      <c r="F1838" s="43" t="s">
        <v>125</v>
      </c>
      <c r="G1838" s="43" t="b">
        <v>0</v>
      </c>
      <c r="H1838" s="43" t="b">
        <v>0</v>
      </c>
      <c r="I1838" s="43"/>
      <c r="M1838" s="48" t="s">
        <v>2112</v>
      </c>
      <c r="N1838" s="48">
        <v>17088572118</v>
      </c>
      <c r="O1838" s="48">
        <v>17088560324</v>
      </c>
      <c r="P1838" s="48" t="s">
        <v>125</v>
      </c>
      <c r="Q1838" s="49"/>
      <c r="R1838" s="49"/>
      <c r="S1838" s="49"/>
      <c r="T1838" s="49"/>
      <c r="U1838" s="50"/>
      <c r="V1838" s="50"/>
      <c r="W1838" s="50"/>
      <c r="X1838" s="50"/>
      <c r="Y1838" s="50"/>
    </row>
    <row r="1839" spans="1:25" x14ac:dyDescent="0.25">
      <c r="A1839" s="25" t="s">
        <v>115</v>
      </c>
      <c r="B1839" t="b">
        <v>0</v>
      </c>
      <c r="C1839" s="43" t="s">
        <v>2113</v>
      </c>
      <c r="D1839" s="43">
        <v>26369691678</v>
      </c>
      <c r="E1839" s="43">
        <v>26369693942</v>
      </c>
      <c r="F1839" s="43" t="s">
        <v>125</v>
      </c>
      <c r="G1839" s="43" t="b">
        <v>0</v>
      </c>
      <c r="H1839" s="43" t="b">
        <v>0</v>
      </c>
      <c r="I1839" s="43"/>
      <c r="M1839" s="48" t="s">
        <v>2113</v>
      </c>
      <c r="N1839" s="48">
        <v>17088569486</v>
      </c>
      <c r="O1839" s="48">
        <v>17088559170</v>
      </c>
      <c r="P1839" s="48" t="s">
        <v>125</v>
      </c>
      <c r="Q1839" s="49"/>
      <c r="R1839" s="49"/>
      <c r="S1839" s="49"/>
      <c r="T1839" s="49"/>
      <c r="U1839" s="50"/>
      <c r="V1839" s="50"/>
      <c r="W1839" s="50"/>
      <c r="X1839" s="50"/>
      <c r="Y1839" s="50"/>
    </row>
    <row r="1840" spans="1:25" x14ac:dyDescent="0.25">
      <c r="A1840" s="25" t="s">
        <v>115</v>
      </c>
      <c r="B1840" t="b">
        <v>0</v>
      </c>
      <c r="C1840" s="43" t="s">
        <v>2114</v>
      </c>
      <c r="D1840" s="43">
        <v>26369693726</v>
      </c>
      <c r="E1840" s="43">
        <v>26369695222</v>
      </c>
      <c r="F1840" s="43" t="s">
        <v>125</v>
      </c>
      <c r="G1840" s="43" t="b">
        <v>0</v>
      </c>
      <c r="H1840" s="43" t="b">
        <v>0</v>
      </c>
      <c r="I1840" s="43"/>
      <c r="M1840" s="48" t="s">
        <v>2114</v>
      </c>
      <c r="N1840" s="48">
        <v>17088571662</v>
      </c>
      <c r="O1840" s="48">
        <v>17088560770</v>
      </c>
      <c r="P1840" s="48" t="s">
        <v>125</v>
      </c>
      <c r="Q1840" s="49"/>
      <c r="R1840" s="49"/>
      <c r="S1840" s="49"/>
      <c r="T1840" s="49"/>
      <c r="U1840" s="50"/>
      <c r="V1840" s="50"/>
      <c r="W1840" s="50"/>
      <c r="X1840" s="50"/>
      <c r="Y1840" s="50"/>
    </row>
    <row r="1841" spans="1:25" x14ac:dyDescent="0.25">
      <c r="A1841" s="25" t="s">
        <v>115</v>
      </c>
      <c r="B1841" t="b">
        <v>0</v>
      </c>
      <c r="C1841" s="43" t="s">
        <v>2115</v>
      </c>
      <c r="D1841" s="43">
        <v>26369692702</v>
      </c>
      <c r="E1841" s="43">
        <v>26369691982</v>
      </c>
      <c r="F1841" s="43" t="s">
        <v>123</v>
      </c>
      <c r="G1841" s="43" t="b">
        <v>0</v>
      </c>
      <c r="H1841" s="43" t="b">
        <v>0</v>
      </c>
      <c r="I1841" s="43"/>
      <c r="M1841" s="48" t="s">
        <v>2115</v>
      </c>
      <c r="N1841" s="48">
        <v>17088573236</v>
      </c>
      <c r="O1841" s="48">
        <v>17088566672</v>
      </c>
      <c r="P1841" s="48" t="s">
        <v>123</v>
      </c>
      <c r="Q1841" s="49"/>
      <c r="R1841" s="49"/>
      <c r="S1841" s="49"/>
      <c r="T1841" s="49"/>
      <c r="U1841" s="50"/>
      <c r="V1841" s="50"/>
      <c r="W1841" s="50"/>
      <c r="X1841" s="50"/>
      <c r="Y1841" s="50"/>
    </row>
    <row r="1842" spans="1:25" x14ac:dyDescent="0.25">
      <c r="A1842" s="25" t="s">
        <v>115</v>
      </c>
      <c r="B1842" t="b">
        <v>0</v>
      </c>
      <c r="C1842" s="43" t="s">
        <v>2116</v>
      </c>
      <c r="D1842" s="43">
        <v>26369694750</v>
      </c>
      <c r="E1842" s="43">
        <v>26369694542</v>
      </c>
      <c r="F1842" s="43" t="s">
        <v>125</v>
      </c>
      <c r="G1842" s="43" t="b">
        <v>0</v>
      </c>
      <c r="H1842" s="43" t="b">
        <v>0</v>
      </c>
      <c r="I1842" s="43"/>
      <c r="M1842" s="48" t="s">
        <v>2116</v>
      </c>
      <c r="N1842" s="48">
        <v>17088571446</v>
      </c>
      <c r="O1842" s="48">
        <v>17088559404</v>
      </c>
      <c r="P1842" s="48" t="s">
        <v>125</v>
      </c>
      <c r="Q1842" s="49"/>
      <c r="R1842" s="49"/>
      <c r="S1842" s="49"/>
      <c r="T1842" s="49"/>
      <c r="U1842" s="50"/>
      <c r="V1842" s="50"/>
      <c r="W1842" s="50"/>
      <c r="X1842" s="50"/>
      <c r="Y1842" s="50"/>
    </row>
    <row r="1843" spans="1:25" x14ac:dyDescent="0.25">
      <c r="A1843" s="25" t="s">
        <v>115</v>
      </c>
      <c r="B1843" t="b">
        <v>0</v>
      </c>
      <c r="C1843" s="43" t="s">
        <v>2117</v>
      </c>
      <c r="D1843" s="43">
        <v>26369692190</v>
      </c>
      <c r="E1843" s="43">
        <v>26369692878</v>
      </c>
      <c r="F1843" s="43" t="s">
        <v>123</v>
      </c>
      <c r="G1843" s="43" t="b">
        <v>0</v>
      </c>
      <c r="H1843" s="43" t="b">
        <v>0</v>
      </c>
      <c r="I1843" s="43"/>
      <c r="M1843" s="48" t="s">
        <v>2117</v>
      </c>
      <c r="N1843" s="48">
        <v>17088573196</v>
      </c>
      <c r="O1843" s="48">
        <v>17088566856</v>
      </c>
      <c r="P1843" s="48" t="s">
        <v>123</v>
      </c>
      <c r="Q1843" s="49"/>
      <c r="R1843" s="49"/>
      <c r="S1843" s="49"/>
      <c r="T1843" s="49"/>
      <c r="U1843" s="50"/>
      <c r="V1843" s="50"/>
      <c r="W1843" s="50"/>
      <c r="X1843" s="50"/>
      <c r="Y1843" s="50"/>
    </row>
    <row r="1844" spans="1:25" x14ac:dyDescent="0.25">
      <c r="A1844" s="25" t="s">
        <v>115</v>
      </c>
      <c r="B1844" t="b">
        <v>0</v>
      </c>
      <c r="C1844" s="43" t="s">
        <v>2118</v>
      </c>
      <c r="D1844" s="43">
        <v>26369694238</v>
      </c>
      <c r="E1844" s="43">
        <v>26369695438</v>
      </c>
      <c r="F1844" s="43" t="s">
        <v>125</v>
      </c>
      <c r="G1844" s="43" t="b">
        <v>0</v>
      </c>
      <c r="H1844" s="43" t="b">
        <v>0</v>
      </c>
      <c r="I1844" s="43"/>
      <c r="M1844" s="48" t="s">
        <v>2118</v>
      </c>
      <c r="N1844" s="48">
        <v>17088569814</v>
      </c>
      <c r="O1844" s="48">
        <v>17088559820</v>
      </c>
      <c r="P1844" s="48" t="s">
        <v>125</v>
      </c>
      <c r="Q1844" s="49"/>
      <c r="R1844" s="49"/>
      <c r="S1844" s="49"/>
      <c r="T1844" s="49"/>
      <c r="U1844" s="50"/>
      <c r="V1844" s="50"/>
      <c r="W1844" s="50"/>
      <c r="X1844" s="50"/>
      <c r="Y1844" s="50"/>
    </row>
    <row r="1845" spans="1:25" x14ac:dyDescent="0.25">
      <c r="A1845" s="25" t="s">
        <v>115</v>
      </c>
      <c r="B1845" t="b">
        <v>0</v>
      </c>
      <c r="C1845" s="43" t="s">
        <v>2119</v>
      </c>
      <c r="D1845" s="43">
        <v>26369693214</v>
      </c>
      <c r="E1845" s="43">
        <v>26369691662</v>
      </c>
      <c r="F1845" s="43" t="s">
        <v>123</v>
      </c>
      <c r="G1845" s="43" t="b">
        <v>0</v>
      </c>
      <c r="H1845" s="43" t="b">
        <v>0</v>
      </c>
      <c r="I1845" s="43"/>
      <c r="M1845" s="48" t="s">
        <v>2119</v>
      </c>
      <c r="N1845" s="48">
        <v>17088570356</v>
      </c>
      <c r="O1845" s="48">
        <v>17088567952</v>
      </c>
      <c r="P1845" s="48" t="s">
        <v>123</v>
      </c>
      <c r="Q1845" s="49"/>
      <c r="R1845" s="49"/>
      <c r="S1845" s="49"/>
      <c r="T1845" s="49"/>
      <c r="U1845" s="50"/>
      <c r="V1845" s="50"/>
      <c r="W1845" s="50"/>
      <c r="X1845" s="50"/>
      <c r="Y1845" s="50"/>
    </row>
    <row r="1846" spans="1:25" x14ac:dyDescent="0.25">
      <c r="A1846" s="25" t="s">
        <v>115</v>
      </c>
      <c r="B1846" t="b">
        <v>0</v>
      </c>
      <c r="C1846" s="43" t="s">
        <v>2120</v>
      </c>
      <c r="D1846" s="43">
        <v>26369695262</v>
      </c>
      <c r="E1846" s="43">
        <v>26369694222</v>
      </c>
      <c r="F1846" s="43" t="s">
        <v>125</v>
      </c>
      <c r="G1846" s="43" t="b">
        <v>0</v>
      </c>
      <c r="H1846" s="43" t="b">
        <v>0</v>
      </c>
      <c r="I1846" s="43"/>
      <c r="M1846" s="48" t="s">
        <v>2120</v>
      </c>
      <c r="N1846" s="48">
        <v>17088572726</v>
      </c>
      <c r="O1846" s="48">
        <v>17088557612</v>
      </c>
      <c r="P1846" s="48" t="s">
        <v>125</v>
      </c>
      <c r="Q1846" s="49"/>
      <c r="R1846" s="49"/>
      <c r="S1846" s="49"/>
      <c r="T1846" s="49"/>
      <c r="U1846" s="50"/>
      <c r="V1846" s="50"/>
      <c r="W1846" s="50"/>
      <c r="X1846" s="50"/>
      <c r="Y1846" s="50"/>
    </row>
    <row r="1847" spans="1:25" x14ac:dyDescent="0.25">
      <c r="A1847" s="25" t="s">
        <v>115</v>
      </c>
      <c r="B1847" t="b">
        <v>0</v>
      </c>
      <c r="C1847" s="43" t="s">
        <v>2121</v>
      </c>
      <c r="D1847" s="43">
        <v>26369691934</v>
      </c>
      <c r="E1847" s="43">
        <v>26369695502</v>
      </c>
      <c r="F1847" s="43" t="s">
        <v>123</v>
      </c>
      <c r="G1847" s="43" t="b">
        <v>0</v>
      </c>
      <c r="H1847" s="43" t="b">
        <v>0</v>
      </c>
      <c r="I1847" s="43"/>
      <c r="M1847" s="48" t="s">
        <v>2121</v>
      </c>
      <c r="N1847" s="48">
        <v>17088570764</v>
      </c>
      <c r="O1847" s="48">
        <v>17088567368</v>
      </c>
      <c r="P1847" s="48" t="s">
        <v>123</v>
      </c>
      <c r="Q1847" s="49"/>
      <c r="R1847" s="49"/>
      <c r="S1847" s="49"/>
      <c r="T1847" s="49"/>
      <c r="U1847" s="50"/>
      <c r="V1847" s="50"/>
      <c r="W1847" s="50"/>
      <c r="X1847" s="50"/>
      <c r="Y1847" s="50"/>
    </row>
    <row r="1848" spans="1:25" x14ac:dyDescent="0.25">
      <c r="A1848" s="25" t="s">
        <v>115</v>
      </c>
      <c r="B1848" t="b">
        <v>0</v>
      </c>
      <c r="C1848" s="43" t="s">
        <v>2122</v>
      </c>
      <c r="D1848" s="43">
        <v>26369693982</v>
      </c>
      <c r="E1848" s="43">
        <v>26369692942</v>
      </c>
      <c r="F1848" s="43" t="s">
        <v>125</v>
      </c>
      <c r="G1848" s="43" t="b">
        <v>0</v>
      </c>
      <c r="H1848" s="43" t="b">
        <v>0</v>
      </c>
      <c r="I1848" s="43"/>
      <c r="M1848" s="48" t="s">
        <v>2122</v>
      </c>
      <c r="N1848" s="48">
        <v>17088571574</v>
      </c>
      <c r="O1848" s="48">
        <v>17088557260</v>
      </c>
      <c r="P1848" s="48" t="s">
        <v>125</v>
      </c>
      <c r="Q1848" s="49"/>
      <c r="R1848" s="49"/>
      <c r="S1848" s="49"/>
      <c r="T1848" s="49"/>
      <c r="U1848" s="50"/>
      <c r="V1848" s="50"/>
      <c r="W1848" s="50"/>
      <c r="X1848" s="50"/>
      <c r="Y1848" s="50"/>
    </row>
    <row r="1849" spans="1:25" x14ac:dyDescent="0.25">
      <c r="A1849" s="25" t="s">
        <v>115</v>
      </c>
      <c r="B1849" t="b">
        <v>0</v>
      </c>
      <c r="C1849" s="43" t="s">
        <v>2123</v>
      </c>
      <c r="D1849" s="43">
        <v>26369692958</v>
      </c>
      <c r="E1849" s="43">
        <v>26369692302</v>
      </c>
      <c r="F1849" s="43" t="s">
        <v>123</v>
      </c>
      <c r="G1849" s="43" t="b">
        <v>0</v>
      </c>
      <c r="H1849" s="43" t="b">
        <v>0</v>
      </c>
      <c r="I1849" s="43"/>
      <c r="M1849" s="48" t="s">
        <v>2123</v>
      </c>
      <c r="N1849" s="48">
        <v>17088573324</v>
      </c>
      <c r="O1849" s="48">
        <v>17088567112</v>
      </c>
      <c r="P1849" s="48" t="s">
        <v>123</v>
      </c>
      <c r="Q1849" s="49"/>
      <c r="R1849" s="49"/>
      <c r="S1849" s="49"/>
      <c r="T1849" s="49"/>
      <c r="U1849" s="50"/>
      <c r="V1849" s="50"/>
      <c r="W1849" s="50"/>
      <c r="X1849" s="50"/>
      <c r="Y1849" s="50"/>
    </row>
    <row r="1850" spans="1:25" x14ac:dyDescent="0.25">
      <c r="A1850" s="25" t="s">
        <v>115</v>
      </c>
      <c r="B1850" t="b">
        <v>0</v>
      </c>
      <c r="C1850" s="43" t="s">
        <v>2124</v>
      </c>
      <c r="D1850" s="43">
        <v>26369695006</v>
      </c>
      <c r="E1850" s="43">
        <v>26369694094</v>
      </c>
      <c r="F1850" s="43" t="s">
        <v>125</v>
      </c>
      <c r="G1850" s="43" t="b">
        <v>0</v>
      </c>
      <c r="H1850" s="43" t="b">
        <v>0</v>
      </c>
      <c r="I1850" s="43"/>
      <c r="M1850" s="48" t="s">
        <v>2124</v>
      </c>
      <c r="N1850" s="48">
        <v>17088571382</v>
      </c>
      <c r="O1850" s="48">
        <v>17088557954</v>
      </c>
      <c r="P1850" s="48" t="s">
        <v>125</v>
      </c>
      <c r="Q1850" s="49"/>
      <c r="R1850" s="49"/>
      <c r="S1850" s="49"/>
      <c r="T1850" s="49"/>
      <c r="U1850" s="50"/>
      <c r="V1850" s="50"/>
      <c r="W1850" s="50"/>
      <c r="X1850" s="50"/>
      <c r="Y1850" s="50"/>
    </row>
    <row r="1851" spans="1:25" x14ac:dyDescent="0.25">
      <c r="A1851" s="25" t="s">
        <v>115</v>
      </c>
      <c r="B1851" t="b">
        <v>0</v>
      </c>
      <c r="C1851" s="43" t="s">
        <v>2125</v>
      </c>
      <c r="D1851" s="43">
        <v>26369692446</v>
      </c>
      <c r="E1851" s="43">
        <v>26369693582</v>
      </c>
      <c r="F1851" s="43" t="s">
        <v>123</v>
      </c>
      <c r="G1851" s="43" t="b">
        <v>0</v>
      </c>
      <c r="H1851" s="43" t="b">
        <v>0</v>
      </c>
      <c r="I1851" s="43"/>
      <c r="M1851" s="48" t="s">
        <v>2125</v>
      </c>
      <c r="N1851" s="48">
        <v>17088571340</v>
      </c>
      <c r="O1851" s="48">
        <v>17088566968</v>
      </c>
      <c r="P1851" s="48" t="s">
        <v>123</v>
      </c>
      <c r="Q1851" s="49"/>
      <c r="R1851" s="49"/>
      <c r="S1851" s="49"/>
      <c r="T1851" s="49"/>
      <c r="U1851" s="50"/>
      <c r="V1851" s="50"/>
      <c r="W1851" s="50"/>
      <c r="X1851" s="50"/>
      <c r="Y1851" s="50"/>
    </row>
    <row r="1852" spans="1:25" x14ac:dyDescent="0.25">
      <c r="A1852" s="25" t="s">
        <v>115</v>
      </c>
      <c r="B1852" t="b">
        <v>0</v>
      </c>
      <c r="C1852" s="43" t="s">
        <v>2126</v>
      </c>
      <c r="D1852" s="43">
        <v>26369694494</v>
      </c>
      <c r="E1852" s="43">
        <v>26369694798</v>
      </c>
      <c r="F1852" s="43" t="s">
        <v>125</v>
      </c>
      <c r="G1852" s="43" t="b">
        <v>0</v>
      </c>
      <c r="H1852" s="43" t="b">
        <v>0</v>
      </c>
      <c r="I1852" s="43"/>
      <c r="M1852" s="48" t="s">
        <v>2126</v>
      </c>
      <c r="N1852" s="48">
        <v>17088569614</v>
      </c>
      <c r="O1852" s="48">
        <v>17088558210</v>
      </c>
      <c r="P1852" s="48" t="s">
        <v>125</v>
      </c>
      <c r="Q1852" s="49"/>
      <c r="R1852" s="49"/>
      <c r="S1852" s="49"/>
      <c r="T1852" s="49"/>
      <c r="U1852" s="50"/>
      <c r="V1852" s="50"/>
      <c r="W1852" s="50"/>
      <c r="X1852" s="50"/>
      <c r="Y1852" s="50"/>
    </row>
    <row r="1853" spans="1:25" x14ac:dyDescent="0.25">
      <c r="A1853" s="25" t="s">
        <v>115</v>
      </c>
      <c r="B1853" t="b">
        <v>0</v>
      </c>
      <c r="C1853" s="43" t="s">
        <v>2127</v>
      </c>
      <c r="D1853" s="43">
        <v>26369693470</v>
      </c>
      <c r="E1853" s="43">
        <v>26369692790</v>
      </c>
      <c r="F1853" s="43" t="s">
        <v>123</v>
      </c>
      <c r="G1853" s="43" t="b">
        <v>0</v>
      </c>
      <c r="H1853" s="43" t="b">
        <v>0</v>
      </c>
      <c r="I1853" s="43"/>
      <c r="M1853" s="48" t="s">
        <v>2127</v>
      </c>
      <c r="N1853" s="48">
        <v>17088571252</v>
      </c>
      <c r="O1853" s="48">
        <v>17088566544</v>
      </c>
      <c r="P1853" s="48" t="s">
        <v>123</v>
      </c>
      <c r="Q1853" s="49"/>
      <c r="R1853" s="49"/>
      <c r="S1853" s="49"/>
      <c r="T1853" s="49"/>
      <c r="U1853" s="50"/>
      <c r="V1853" s="50"/>
      <c r="W1853" s="50"/>
      <c r="X1853" s="50"/>
      <c r="Y1853" s="50"/>
    </row>
    <row r="1854" spans="1:25" x14ac:dyDescent="0.25">
      <c r="A1854" s="25" t="s">
        <v>115</v>
      </c>
      <c r="B1854" t="b">
        <v>0</v>
      </c>
      <c r="C1854" s="43" t="s">
        <v>2128</v>
      </c>
      <c r="D1854" s="43">
        <v>26369695518</v>
      </c>
      <c r="E1854" s="43">
        <v>26369695350</v>
      </c>
      <c r="F1854" s="43" t="s">
        <v>125</v>
      </c>
      <c r="G1854" s="43" t="b">
        <v>0</v>
      </c>
      <c r="H1854" s="43" t="b">
        <v>0</v>
      </c>
      <c r="I1854" s="43"/>
      <c r="M1854" s="48" t="s">
        <v>2128</v>
      </c>
      <c r="N1854" s="48">
        <v>17088572566</v>
      </c>
      <c r="O1854" s="48">
        <v>17088560452</v>
      </c>
      <c r="P1854" s="48" t="s">
        <v>125</v>
      </c>
      <c r="Q1854" s="49"/>
      <c r="R1854" s="49"/>
      <c r="S1854" s="49"/>
      <c r="T1854" s="49"/>
      <c r="U1854" s="50"/>
      <c r="V1854" s="50"/>
      <c r="W1854" s="50"/>
      <c r="X1854" s="50"/>
      <c r="Y1854" s="50"/>
    </row>
    <row r="1855" spans="1:25" x14ac:dyDescent="0.25">
      <c r="A1855" s="25" t="s">
        <v>115</v>
      </c>
      <c r="B1855" t="b">
        <v>0</v>
      </c>
      <c r="C1855" s="43" t="s">
        <v>2129</v>
      </c>
      <c r="D1855" s="43">
        <v>26369691806</v>
      </c>
      <c r="E1855" s="43">
        <v>26369693430</v>
      </c>
      <c r="F1855" s="43" t="s">
        <v>123</v>
      </c>
      <c r="G1855" s="43" t="b">
        <v>0</v>
      </c>
      <c r="H1855" s="43" t="b">
        <v>0</v>
      </c>
      <c r="I1855" s="43"/>
      <c r="M1855" s="48" t="s">
        <v>2129</v>
      </c>
      <c r="N1855" s="48">
        <v>17088572876</v>
      </c>
      <c r="O1855" s="48">
        <v>17088568760</v>
      </c>
      <c r="P1855" s="48" t="s">
        <v>123</v>
      </c>
      <c r="Q1855" s="49"/>
      <c r="R1855" s="49"/>
      <c r="S1855" s="49"/>
      <c r="T1855" s="49"/>
      <c r="U1855" s="50"/>
      <c r="V1855" s="50"/>
      <c r="W1855" s="50"/>
      <c r="X1855" s="50"/>
      <c r="Y1855" s="50"/>
    </row>
    <row r="1856" spans="1:25" x14ac:dyDescent="0.25">
      <c r="A1856" s="25" t="s">
        <v>115</v>
      </c>
      <c r="B1856" t="b">
        <v>0</v>
      </c>
      <c r="C1856" s="43" t="s">
        <v>2130</v>
      </c>
      <c r="D1856" s="43">
        <v>26369693854</v>
      </c>
      <c r="E1856" s="43">
        <v>26369692534</v>
      </c>
      <c r="F1856" s="43" t="s">
        <v>123</v>
      </c>
      <c r="G1856" s="43" t="b">
        <v>0</v>
      </c>
      <c r="H1856" s="43" t="b">
        <v>0</v>
      </c>
      <c r="I1856" s="43"/>
      <c r="M1856" s="48" t="s">
        <v>2130</v>
      </c>
      <c r="N1856" s="48">
        <v>17088571980</v>
      </c>
      <c r="O1856" s="48">
        <v>17088568520</v>
      </c>
      <c r="P1856" s="48" t="s">
        <v>123</v>
      </c>
      <c r="Q1856" s="49"/>
      <c r="R1856" s="49"/>
      <c r="S1856" s="49"/>
      <c r="T1856" s="49"/>
      <c r="U1856" s="50"/>
      <c r="V1856" s="50"/>
      <c r="W1856" s="50"/>
      <c r="X1856" s="50"/>
      <c r="Y1856" s="50"/>
    </row>
    <row r="1857" spans="1:29" x14ac:dyDescent="0.25">
      <c r="A1857" s="25" t="s">
        <v>115</v>
      </c>
      <c r="B1857" t="b">
        <v>0</v>
      </c>
      <c r="C1857" s="43" t="s">
        <v>2131</v>
      </c>
      <c r="D1857" s="43">
        <v>168771489216</v>
      </c>
      <c r="E1857" s="43">
        <v>168771482559</v>
      </c>
      <c r="F1857" s="43" t="s">
        <v>132</v>
      </c>
      <c r="G1857" s="43" t="b">
        <v>0</v>
      </c>
      <c r="H1857" s="43" t="b">
        <v>1</v>
      </c>
      <c r="I1857" s="43"/>
      <c r="J1857" s="45" t="s">
        <v>2131</v>
      </c>
      <c r="K1857" s="46">
        <v>168771482559</v>
      </c>
      <c r="L1857" s="47">
        <v>990000463</v>
      </c>
      <c r="M1857" s="48" t="s">
        <v>2131</v>
      </c>
      <c r="N1857" s="48">
        <v>17093152292</v>
      </c>
      <c r="O1857" s="48">
        <v>17093150277</v>
      </c>
      <c r="P1857" s="48" t="s">
        <v>132</v>
      </c>
      <c r="Q1857" s="49" t="s">
        <v>2131</v>
      </c>
      <c r="R1857" s="49">
        <v>17086148982</v>
      </c>
      <c r="S1857" s="49">
        <v>17085068961</v>
      </c>
      <c r="T1857" s="49" t="s">
        <v>132</v>
      </c>
      <c r="U1857" s="50"/>
      <c r="V1857" s="50"/>
      <c r="W1857" s="50"/>
      <c r="X1857" s="50"/>
      <c r="Y1857" s="50"/>
      <c r="Z1857" s="51" t="s">
        <v>2131</v>
      </c>
      <c r="AA1857" s="51" t="s">
        <v>192</v>
      </c>
      <c r="AB1857" s="51">
        <v>41840</v>
      </c>
      <c r="AC1857" s="51">
        <v>49789</v>
      </c>
    </row>
    <row r="1858" spans="1:29" x14ac:dyDescent="0.25">
      <c r="A1858" s="25" t="s">
        <v>115</v>
      </c>
      <c r="B1858" t="b">
        <v>0</v>
      </c>
      <c r="C1858" s="43" t="s">
        <v>2132</v>
      </c>
      <c r="D1858" s="43">
        <v>168771486656</v>
      </c>
      <c r="E1858" s="43">
        <v>168771484287</v>
      </c>
      <c r="F1858" s="43" t="s">
        <v>125</v>
      </c>
      <c r="G1858" s="43" t="b">
        <v>0</v>
      </c>
      <c r="H1858" s="43" t="b">
        <v>1</v>
      </c>
      <c r="I1858" s="43"/>
      <c r="J1858" s="45" t="s">
        <v>2132</v>
      </c>
      <c r="K1858" s="46">
        <v>168771484287</v>
      </c>
      <c r="L1858" s="47">
        <v>990000458</v>
      </c>
      <c r="M1858" s="48" t="s">
        <v>2132</v>
      </c>
      <c r="N1858" s="48">
        <v>17093148964</v>
      </c>
      <c r="O1858" s="48">
        <v>17093151993</v>
      </c>
      <c r="P1858" s="48" t="s">
        <v>125</v>
      </c>
      <c r="Q1858" s="49" t="s">
        <v>2132</v>
      </c>
      <c r="R1858" s="49">
        <v>17086151030</v>
      </c>
      <c r="S1858" s="49">
        <v>17085068705</v>
      </c>
      <c r="T1858" s="49" t="s">
        <v>125</v>
      </c>
      <c r="U1858" s="50"/>
      <c r="V1858" s="50"/>
      <c r="W1858" s="50"/>
      <c r="X1858" s="50"/>
      <c r="Y1858" s="50"/>
      <c r="Z1858" s="51" t="s">
        <v>2132</v>
      </c>
      <c r="AA1858" s="51" t="s">
        <v>189</v>
      </c>
      <c r="AB1858" s="51">
        <v>13930</v>
      </c>
      <c r="AC1858" s="51">
        <v>16576</v>
      </c>
    </row>
    <row r="1859" spans="1:29" x14ac:dyDescent="0.25">
      <c r="A1859" s="25" t="s">
        <v>115</v>
      </c>
      <c r="B1859" t="b">
        <v>0</v>
      </c>
      <c r="C1859" s="43" t="s">
        <v>2133</v>
      </c>
      <c r="D1859" s="43">
        <v>168771488704</v>
      </c>
      <c r="E1859" s="43">
        <v>168771481983</v>
      </c>
      <c r="F1859" s="43" t="s">
        <v>186</v>
      </c>
      <c r="G1859" s="43" t="b">
        <v>0</v>
      </c>
      <c r="H1859" s="43" t="b">
        <v>1</v>
      </c>
      <c r="I1859" s="43"/>
      <c r="J1859" s="45" t="s">
        <v>2133</v>
      </c>
      <c r="K1859" s="46">
        <v>168771481983</v>
      </c>
      <c r="L1859" s="47">
        <v>990000457</v>
      </c>
      <c r="M1859" s="48" t="s">
        <v>2133</v>
      </c>
      <c r="N1859" s="48">
        <v>17093151012</v>
      </c>
      <c r="O1859" s="48">
        <v>17093150457</v>
      </c>
      <c r="P1859" s="48" t="s">
        <v>186</v>
      </c>
      <c r="Q1859" s="49" t="s">
        <v>2133</v>
      </c>
      <c r="R1859" s="49">
        <v>17086150006</v>
      </c>
      <c r="S1859" s="49">
        <v>17085069217</v>
      </c>
      <c r="T1859" s="49" t="s">
        <v>186</v>
      </c>
      <c r="U1859" s="50"/>
      <c r="V1859" s="50"/>
      <c r="W1859" s="50"/>
      <c r="X1859" s="50"/>
      <c r="Y1859" s="50"/>
      <c r="Z1859" s="51" t="s">
        <v>2133</v>
      </c>
      <c r="AA1859" s="51" t="s">
        <v>187</v>
      </c>
      <c r="AB1859" s="51">
        <v>1445</v>
      </c>
      <c r="AC1859" s="51">
        <v>1720</v>
      </c>
    </row>
    <row r="1860" spans="1:29" x14ac:dyDescent="0.25">
      <c r="A1860" s="25" t="s">
        <v>115</v>
      </c>
      <c r="B1860" t="b">
        <v>0</v>
      </c>
      <c r="C1860" s="43" t="s">
        <v>2134</v>
      </c>
      <c r="D1860" s="43">
        <v>168771487680</v>
      </c>
      <c r="E1860" s="43">
        <v>168771485055</v>
      </c>
      <c r="F1860" s="43" t="s">
        <v>132</v>
      </c>
      <c r="G1860" s="43" t="b">
        <v>0</v>
      </c>
      <c r="H1860" s="43" t="b">
        <v>1</v>
      </c>
      <c r="I1860" s="43"/>
      <c r="J1860" s="45" t="s">
        <v>2134</v>
      </c>
      <c r="K1860" s="46">
        <v>168771485055</v>
      </c>
      <c r="L1860" s="47">
        <v>990000459</v>
      </c>
      <c r="M1860" s="48" t="s">
        <v>2134</v>
      </c>
      <c r="N1860" s="48">
        <v>17093149988</v>
      </c>
      <c r="O1860" s="48">
        <v>17093151225</v>
      </c>
      <c r="P1860" s="48" t="s">
        <v>132</v>
      </c>
      <c r="Q1860" s="49" t="s">
        <v>2134</v>
      </c>
      <c r="R1860" s="49">
        <v>17086152054</v>
      </c>
      <c r="S1860" s="49">
        <v>17085068385</v>
      </c>
      <c r="T1860" s="49" t="s">
        <v>132</v>
      </c>
      <c r="U1860" s="50"/>
      <c r="V1860" s="50"/>
      <c r="W1860" s="50"/>
      <c r="X1860" s="50"/>
      <c r="Y1860" s="50"/>
      <c r="Z1860" s="51" t="s">
        <v>2134</v>
      </c>
      <c r="AA1860" s="51" t="s">
        <v>192</v>
      </c>
      <c r="AB1860" s="51">
        <v>21614</v>
      </c>
      <c r="AC1860" s="51">
        <v>25720</v>
      </c>
    </row>
    <row r="1861" spans="1:29" x14ac:dyDescent="0.25">
      <c r="A1861" s="25" t="s">
        <v>115</v>
      </c>
      <c r="B1861" t="b">
        <v>0</v>
      </c>
      <c r="C1861" s="43" t="s">
        <v>2135</v>
      </c>
      <c r="D1861" s="43">
        <v>168771489728</v>
      </c>
      <c r="E1861" s="43">
        <v>168771483519</v>
      </c>
      <c r="F1861" s="43" t="s">
        <v>125</v>
      </c>
      <c r="G1861" s="43" t="b">
        <v>0</v>
      </c>
      <c r="H1861" s="43" t="b">
        <v>1</v>
      </c>
      <c r="I1861" s="43"/>
      <c r="J1861" s="45" t="s">
        <v>2135</v>
      </c>
      <c r="K1861" s="46">
        <v>168771483519</v>
      </c>
      <c r="L1861" s="47">
        <v>990000467</v>
      </c>
      <c r="M1861" s="48" t="s">
        <v>2135</v>
      </c>
      <c r="N1861" s="48">
        <v>17093152036</v>
      </c>
      <c r="O1861" s="48">
        <v>17093149689</v>
      </c>
      <c r="P1861" s="48" t="s">
        <v>125</v>
      </c>
      <c r="Q1861" s="49"/>
      <c r="R1861" s="49"/>
      <c r="S1861" s="49"/>
      <c r="T1861" s="49"/>
      <c r="U1861" s="50"/>
      <c r="V1861" s="50"/>
      <c r="W1861" s="50"/>
      <c r="X1861" s="50"/>
      <c r="Y1861" s="50"/>
      <c r="Z1861" s="51" t="s">
        <v>2135</v>
      </c>
      <c r="AA1861" s="51" t="s">
        <v>189</v>
      </c>
      <c r="AB1861" s="51">
        <v>15419</v>
      </c>
      <c r="AC1861" s="51">
        <v>18348</v>
      </c>
    </row>
    <row r="1862" spans="1:29" x14ac:dyDescent="0.25">
      <c r="A1862" s="25" t="s">
        <v>115</v>
      </c>
      <c r="B1862" t="b">
        <v>0</v>
      </c>
      <c r="C1862" s="43" t="s">
        <v>2136</v>
      </c>
      <c r="D1862" s="43">
        <v>168771485728</v>
      </c>
      <c r="E1862" s="43">
        <v>168771483903</v>
      </c>
      <c r="F1862" s="43" t="s">
        <v>186</v>
      </c>
      <c r="G1862" s="43" t="b">
        <v>0</v>
      </c>
      <c r="H1862" s="43" t="b">
        <v>1</v>
      </c>
      <c r="I1862" s="43"/>
      <c r="J1862" s="45" t="s">
        <v>2136</v>
      </c>
      <c r="K1862" s="46">
        <v>168771483903</v>
      </c>
      <c r="L1862" s="47">
        <v>990000468</v>
      </c>
      <c r="M1862" s="48" t="s">
        <v>2136</v>
      </c>
      <c r="N1862" s="48">
        <v>17093149476</v>
      </c>
      <c r="O1862" s="48">
        <v>17093152761</v>
      </c>
      <c r="P1862" s="48" t="s">
        <v>186</v>
      </c>
      <c r="Q1862" s="49"/>
      <c r="R1862" s="49"/>
      <c r="S1862" s="49"/>
      <c r="T1862" s="49"/>
      <c r="U1862" s="50"/>
      <c r="V1862" s="50"/>
      <c r="W1862" s="50"/>
      <c r="X1862" s="50"/>
      <c r="Y1862" s="50"/>
      <c r="Z1862" s="51" t="s">
        <v>2136</v>
      </c>
      <c r="AA1862" s="51" t="s">
        <v>187</v>
      </c>
      <c r="AB1862" s="51">
        <v>1445</v>
      </c>
      <c r="AC1862" s="51">
        <v>1720</v>
      </c>
    </row>
    <row r="1863" spans="1:29" x14ac:dyDescent="0.25">
      <c r="A1863" s="25" t="s">
        <v>115</v>
      </c>
      <c r="B1863" t="b">
        <v>0</v>
      </c>
      <c r="C1863" s="43" t="s">
        <v>2137</v>
      </c>
      <c r="D1863" s="43">
        <v>168771487776</v>
      </c>
      <c r="E1863" s="43">
        <v>168771482367</v>
      </c>
      <c r="F1863" s="43" t="s">
        <v>132</v>
      </c>
      <c r="G1863" s="43" t="b">
        <v>0</v>
      </c>
      <c r="H1863" s="43" t="b">
        <v>1</v>
      </c>
      <c r="I1863" s="43"/>
      <c r="J1863" s="45" t="s">
        <v>2137</v>
      </c>
      <c r="K1863" s="46">
        <v>168771482367</v>
      </c>
      <c r="L1863" s="47">
        <v>990000466</v>
      </c>
      <c r="M1863" s="48" t="s">
        <v>2137</v>
      </c>
      <c r="N1863" s="48">
        <v>17093151524</v>
      </c>
      <c r="O1863" s="48">
        <v>17093149701</v>
      </c>
      <c r="P1863" s="48" t="s">
        <v>132</v>
      </c>
      <c r="Q1863" s="49"/>
      <c r="R1863" s="49"/>
      <c r="S1863" s="49"/>
      <c r="T1863" s="49"/>
      <c r="U1863" s="50"/>
      <c r="V1863" s="50"/>
      <c r="W1863" s="50"/>
      <c r="X1863" s="50"/>
      <c r="Y1863" s="50"/>
      <c r="Z1863" s="51" t="s">
        <v>2137</v>
      </c>
      <c r="AA1863" s="51" t="s">
        <v>192</v>
      </c>
      <c r="AB1863" s="51">
        <v>23925</v>
      </c>
      <c r="AC1863" s="51">
        <v>28471</v>
      </c>
    </row>
    <row r="1864" spans="1:29" x14ac:dyDescent="0.25">
      <c r="A1864" s="25" t="s">
        <v>115</v>
      </c>
      <c r="B1864" t="b">
        <v>0</v>
      </c>
      <c r="C1864" s="43" t="s">
        <v>2138</v>
      </c>
      <c r="D1864" s="43">
        <v>168771486752</v>
      </c>
      <c r="E1864" s="43">
        <v>168771485439</v>
      </c>
      <c r="F1864" s="43" t="s">
        <v>125</v>
      </c>
      <c r="G1864" s="43" t="b">
        <v>0</v>
      </c>
      <c r="H1864" s="43" t="b">
        <v>1</v>
      </c>
      <c r="I1864" s="43"/>
      <c r="J1864" s="45" t="s">
        <v>2138</v>
      </c>
      <c r="K1864" s="46">
        <v>168771485439</v>
      </c>
      <c r="L1864" s="47">
        <v>990000471</v>
      </c>
      <c r="M1864" s="48" t="s">
        <v>2138</v>
      </c>
      <c r="N1864" s="48">
        <v>17093150500</v>
      </c>
      <c r="O1864" s="48">
        <v>17093150469</v>
      </c>
      <c r="P1864" s="48" t="s">
        <v>125</v>
      </c>
      <c r="Q1864" s="49"/>
      <c r="R1864" s="49"/>
      <c r="S1864" s="49"/>
      <c r="T1864" s="49"/>
      <c r="U1864" s="50"/>
      <c r="V1864" s="50"/>
      <c r="W1864" s="50"/>
      <c r="X1864" s="50"/>
      <c r="Y1864" s="50"/>
      <c r="Z1864" s="51" t="s">
        <v>2138</v>
      </c>
      <c r="AA1864" s="51" t="s">
        <v>189</v>
      </c>
      <c r="AB1864" s="51">
        <v>19142</v>
      </c>
      <c r="AC1864" s="51">
        <v>22779</v>
      </c>
    </row>
    <row r="1865" spans="1:29" x14ac:dyDescent="0.25">
      <c r="A1865" s="25" t="s">
        <v>115</v>
      </c>
      <c r="B1865" t="b">
        <v>0</v>
      </c>
      <c r="C1865" s="43" t="s">
        <v>2139</v>
      </c>
      <c r="D1865" s="43">
        <v>168771488800</v>
      </c>
      <c r="E1865" s="43">
        <v>168771483135</v>
      </c>
      <c r="F1865" s="43" t="s">
        <v>186</v>
      </c>
      <c r="G1865" s="43" t="b">
        <v>0</v>
      </c>
      <c r="H1865" s="43" t="b">
        <v>1</v>
      </c>
      <c r="I1865" s="43"/>
      <c r="J1865" s="45" t="s">
        <v>2139</v>
      </c>
      <c r="K1865" s="46">
        <v>168771483135</v>
      </c>
      <c r="L1865" s="47">
        <v>990000469</v>
      </c>
      <c r="M1865" s="48" t="s">
        <v>2139</v>
      </c>
      <c r="N1865" s="48">
        <v>17093152548</v>
      </c>
      <c r="O1865" s="48">
        <v>17093150853</v>
      </c>
      <c r="P1865" s="48" t="s">
        <v>186</v>
      </c>
      <c r="Q1865" s="49"/>
      <c r="R1865" s="49"/>
      <c r="S1865" s="49"/>
      <c r="T1865" s="49"/>
      <c r="U1865" s="50"/>
      <c r="V1865" s="50"/>
      <c r="W1865" s="50"/>
      <c r="X1865" s="50"/>
      <c r="Y1865" s="50"/>
      <c r="Z1865" s="51" t="s">
        <v>2139</v>
      </c>
      <c r="AA1865" s="51" t="s">
        <v>187</v>
      </c>
      <c r="AB1865" s="51">
        <v>1445</v>
      </c>
      <c r="AC1865" s="51">
        <v>1720</v>
      </c>
    </row>
    <row r="1866" spans="1:29" x14ac:dyDescent="0.25">
      <c r="A1866" s="25" t="s">
        <v>115</v>
      </c>
      <c r="B1866" t="b">
        <v>0</v>
      </c>
      <c r="C1866" s="43" t="s">
        <v>2140</v>
      </c>
      <c r="D1866" s="43">
        <v>168771486240</v>
      </c>
      <c r="E1866" s="43">
        <v>168771484671</v>
      </c>
      <c r="F1866" s="43" t="s">
        <v>132</v>
      </c>
      <c r="G1866" s="43" t="b">
        <v>0</v>
      </c>
      <c r="H1866" s="43" t="b">
        <v>1</v>
      </c>
      <c r="I1866" s="43"/>
      <c r="J1866" s="45" t="s">
        <v>2140</v>
      </c>
      <c r="K1866" s="46">
        <v>168771484671</v>
      </c>
      <c r="L1866" s="47">
        <v>990000470</v>
      </c>
      <c r="M1866" s="48" t="s">
        <v>2140</v>
      </c>
      <c r="N1866" s="48">
        <v>17093148836</v>
      </c>
      <c r="O1866" s="48">
        <v>17093149317</v>
      </c>
      <c r="P1866" s="48" t="s">
        <v>132</v>
      </c>
      <c r="Q1866" s="49"/>
      <c r="R1866" s="49"/>
      <c r="S1866" s="49"/>
      <c r="T1866" s="49"/>
      <c r="U1866" s="50"/>
      <c r="V1866" s="50"/>
      <c r="W1866" s="50"/>
      <c r="X1866" s="50"/>
      <c r="Y1866" s="50"/>
      <c r="Z1866" s="51" t="s">
        <v>2140</v>
      </c>
      <c r="AA1866" s="51" t="s">
        <v>192</v>
      </c>
      <c r="AB1866" s="51">
        <v>29705</v>
      </c>
      <c r="AC1866" s="51">
        <v>35348</v>
      </c>
    </row>
    <row r="1867" spans="1:29" x14ac:dyDescent="0.25">
      <c r="A1867" s="25" t="s">
        <v>115</v>
      </c>
      <c r="B1867" t="b">
        <v>0</v>
      </c>
      <c r="C1867" s="43" t="s">
        <v>2141</v>
      </c>
      <c r="D1867" s="43">
        <v>168771488288</v>
      </c>
      <c r="E1867" s="43">
        <v>168771484383</v>
      </c>
      <c r="F1867" s="43" t="s">
        <v>125</v>
      </c>
      <c r="G1867" s="43" t="b">
        <v>0</v>
      </c>
      <c r="H1867" s="43" t="b">
        <v>1</v>
      </c>
      <c r="I1867" s="43"/>
      <c r="J1867" s="45" t="s">
        <v>2141</v>
      </c>
      <c r="K1867" s="46">
        <v>168771484383</v>
      </c>
      <c r="L1867" s="47">
        <v>990000500</v>
      </c>
      <c r="M1867" s="48" t="s">
        <v>2141</v>
      </c>
      <c r="N1867" s="48">
        <v>17093150884</v>
      </c>
      <c r="O1867" s="48">
        <v>17093150841</v>
      </c>
      <c r="P1867" s="48" t="s">
        <v>125</v>
      </c>
      <c r="Q1867" s="49" t="s">
        <v>2141</v>
      </c>
      <c r="R1867" s="49">
        <v>17086201669</v>
      </c>
      <c r="S1867" s="49">
        <v>17085070281</v>
      </c>
      <c r="T1867" s="49" t="s">
        <v>125</v>
      </c>
      <c r="U1867" s="50"/>
      <c r="V1867" s="50"/>
      <c r="W1867" s="50"/>
      <c r="X1867" s="50"/>
      <c r="Y1867" s="50"/>
      <c r="Z1867" s="51" t="s">
        <v>2141</v>
      </c>
      <c r="AA1867" s="51" t="s">
        <v>189</v>
      </c>
      <c r="AB1867" s="51">
        <v>56236</v>
      </c>
      <c r="AC1867" s="51">
        <v>66920</v>
      </c>
    </row>
    <row r="1868" spans="1:29" x14ac:dyDescent="0.25">
      <c r="A1868" s="25" t="s">
        <v>115</v>
      </c>
      <c r="B1868" t="b">
        <v>0</v>
      </c>
      <c r="C1868" s="43" t="s">
        <v>2142</v>
      </c>
      <c r="D1868" s="43">
        <v>168771487264</v>
      </c>
      <c r="E1868" s="43">
        <v>168771482079</v>
      </c>
      <c r="F1868" s="43" t="s">
        <v>186</v>
      </c>
      <c r="G1868" s="43" t="b">
        <v>0</v>
      </c>
      <c r="H1868" s="43" t="b">
        <v>1</v>
      </c>
      <c r="I1868" s="43"/>
      <c r="J1868" s="45" t="s">
        <v>2142</v>
      </c>
      <c r="K1868" s="46">
        <v>168771482079</v>
      </c>
      <c r="L1868" s="47">
        <v>990000499</v>
      </c>
      <c r="M1868" s="48" t="s">
        <v>2142</v>
      </c>
      <c r="N1868" s="48">
        <v>17093149860</v>
      </c>
      <c r="O1868" s="48">
        <v>17093149305</v>
      </c>
      <c r="P1868" s="48" t="s">
        <v>186</v>
      </c>
      <c r="Q1868" s="49" t="s">
        <v>2142</v>
      </c>
      <c r="R1868" s="49">
        <v>17086197957</v>
      </c>
      <c r="S1868" s="49">
        <v>17085069353</v>
      </c>
      <c r="T1868" s="49" t="s">
        <v>186</v>
      </c>
      <c r="U1868" s="50"/>
      <c r="V1868" s="50"/>
      <c r="W1868" s="50"/>
      <c r="X1868" s="50"/>
      <c r="Y1868" s="50"/>
      <c r="Z1868" s="51" t="s">
        <v>2142</v>
      </c>
      <c r="AA1868" s="51" t="s">
        <v>187</v>
      </c>
      <c r="AB1868" s="51">
        <v>1445</v>
      </c>
      <c r="AC1868" s="51">
        <v>1720</v>
      </c>
    </row>
    <row r="1869" spans="1:29" x14ac:dyDescent="0.25">
      <c r="A1869" s="25" t="s">
        <v>115</v>
      </c>
      <c r="B1869" t="b">
        <v>0</v>
      </c>
      <c r="C1869" s="43" t="s">
        <v>2143</v>
      </c>
      <c r="D1869" s="43">
        <v>168771489312</v>
      </c>
      <c r="E1869" s="43">
        <v>168771485151</v>
      </c>
      <c r="F1869" s="43" t="s">
        <v>125</v>
      </c>
      <c r="G1869" s="43" t="b">
        <v>0</v>
      </c>
      <c r="H1869" s="43" t="b">
        <v>1</v>
      </c>
      <c r="I1869" s="43"/>
      <c r="J1869" s="45" t="s">
        <v>2143</v>
      </c>
      <c r="K1869" s="46">
        <v>168771485151</v>
      </c>
      <c r="L1869" s="47">
        <v>990000502</v>
      </c>
      <c r="M1869" s="48" t="s">
        <v>2143</v>
      </c>
      <c r="N1869" s="48">
        <v>17093151908</v>
      </c>
      <c r="O1869" s="48">
        <v>17093152377</v>
      </c>
      <c r="P1869" s="48" t="s">
        <v>125</v>
      </c>
      <c r="Q1869" s="49" t="s">
        <v>2143</v>
      </c>
      <c r="R1869" s="49">
        <v>17086200005</v>
      </c>
      <c r="S1869" s="49">
        <v>17085068693</v>
      </c>
      <c r="T1869" s="49" t="s">
        <v>125</v>
      </c>
      <c r="U1869" s="50"/>
      <c r="V1869" s="50"/>
      <c r="W1869" s="50"/>
      <c r="X1869" s="50"/>
      <c r="Y1869" s="50"/>
      <c r="Z1869" s="51" t="s">
        <v>2143</v>
      </c>
      <c r="AA1869" s="51" t="s">
        <v>189</v>
      </c>
      <c r="AB1869" s="51">
        <v>67000</v>
      </c>
      <c r="AC1869" s="51">
        <v>82410</v>
      </c>
    </row>
    <row r="1870" spans="1:29" x14ac:dyDescent="0.25">
      <c r="A1870" s="25" t="s">
        <v>115</v>
      </c>
      <c r="B1870" t="b">
        <v>0</v>
      </c>
      <c r="C1870" s="43" t="s">
        <v>2144</v>
      </c>
      <c r="D1870" s="43">
        <v>168771485984</v>
      </c>
      <c r="E1870" s="43">
        <v>168771483615</v>
      </c>
      <c r="F1870" s="43" t="s">
        <v>186</v>
      </c>
      <c r="G1870" s="43" t="b">
        <v>0</v>
      </c>
      <c r="H1870" s="43" t="b">
        <v>1</v>
      </c>
      <c r="I1870" s="43"/>
      <c r="J1870" s="45" t="s">
        <v>2144</v>
      </c>
      <c r="K1870" s="46">
        <v>168771483615</v>
      </c>
      <c r="L1870" s="47">
        <v>990000501</v>
      </c>
      <c r="M1870" s="48" t="s">
        <v>2144</v>
      </c>
      <c r="N1870" s="48">
        <v>17093149348</v>
      </c>
      <c r="O1870" s="48">
        <v>17093150073</v>
      </c>
      <c r="P1870" s="48" t="s">
        <v>186</v>
      </c>
      <c r="Q1870" s="49" t="s">
        <v>2144</v>
      </c>
      <c r="R1870" s="49">
        <v>17086198981</v>
      </c>
      <c r="S1870" s="49">
        <v>17085068949</v>
      </c>
      <c r="T1870" s="49" t="s">
        <v>186</v>
      </c>
      <c r="U1870" s="50"/>
      <c r="V1870" s="50"/>
      <c r="W1870" s="50"/>
      <c r="X1870" s="50"/>
      <c r="Y1870" s="50"/>
      <c r="Z1870" s="51" t="s">
        <v>2144</v>
      </c>
      <c r="AA1870" s="51" t="s">
        <v>187</v>
      </c>
      <c r="AB1870" s="51">
        <v>1293</v>
      </c>
      <c r="AC1870" s="51">
        <v>1539</v>
      </c>
    </row>
    <row r="1871" spans="1:29" x14ac:dyDescent="0.25">
      <c r="A1871" s="25" t="s">
        <v>115</v>
      </c>
      <c r="B1871" t="b">
        <v>0</v>
      </c>
      <c r="C1871" s="43" t="s">
        <v>2145</v>
      </c>
      <c r="D1871" s="43">
        <v>168771488032</v>
      </c>
      <c r="E1871" s="43">
        <v>168771483711</v>
      </c>
      <c r="F1871" s="43" t="s">
        <v>125</v>
      </c>
      <c r="G1871" s="43" t="b">
        <v>0</v>
      </c>
      <c r="H1871" s="43" t="b">
        <v>1</v>
      </c>
      <c r="I1871" s="43"/>
      <c r="J1871" s="45" t="s">
        <v>2145</v>
      </c>
      <c r="K1871" s="46">
        <v>168771483711</v>
      </c>
      <c r="L1871" s="47">
        <v>990000504</v>
      </c>
      <c r="M1871" s="48" t="s">
        <v>2145</v>
      </c>
      <c r="N1871" s="48">
        <v>17093151396</v>
      </c>
      <c r="O1871" s="48">
        <v>17093151417</v>
      </c>
      <c r="P1871" s="48" t="s">
        <v>125</v>
      </c>
      <c r="Q1871" s="49" t="s">
        <v>2145</v>
      </c>
      <c r="R1871" s="49">
        <v>17086201029</v>
      </c>
      <c r="S1871" s="49">
        <v>17085069513</v>
      </c>
      <c r="T1871" s="49" t="s">
        <v>125</v>
      </c>
      <c r="U1871" s="50"/>
      <c r="V1871" s="50"/>
      <c r="W1871" s="50"/>
      <c r="X1871" s="50"/>
      <c r="Y1871" s="50"/>
      <c r="Z1871" s="51" t="s">
        <v>2145</v>
      </c>
      <c r="AA1871" s="51" t="s">
        <v>189</v>
      </c>
      <c r="AB1871" s="51">
        <v>25333</v>
      </c>
      <c r="AC1871" s="51">
        <v>31160</v>
      </c>
    </row>
    <row r="1872" spans="1:29" x14ac:dyDescent="0.25">
      <c r="A1872" s="25" t="s">
        <v>115</v>
      </c>
      <c r="B1872" t="b">
        <v>0</v>
      </c>
      <c r="C1872" s="43" t="s">
        <v>2146</v>
      </c>
      <c r="D1872" s="43">
        <v>168771487008</v>
      </c>
      <c r="E1872" s="43">
        <v>168771482943</v>
      </c>
      <c r="F1872" s="43" t="s">
        <v>186</v>
      </c>
      <c r="G1872" s="43" t="b">
        <v>0</v>
      </c>
      <c r="H1872" s="43" t="b">
        <v>1</v>
      </c>
      <c r="I1872" s="43"/>
      <c r="J1872" s="45" t="s">
        <v>2146</v>
      </c>
      <c r="K1872" s="46">
        <v>168771482943</v>
      </c>
      <c r="L1872" s="47">
        <v>990000505</v>
      </c>
      <c r="M1872" s="48" t="s">
        <v>2146</v>
      </c>
      <c r="N1872" s="48">
        <v>17093149092</v>
      </c>
      <c r="O1872" s="48">
        <v>17093150649</v>
      </c>
      <c r="P1872" s="48" t="s">
        <v>186</v>
      </c>
      <c r="Q1872" s="49" t="s">
        <v>2146</v>
      </c>
      <c r="R1872" s="49">
        <v>17086199493</v>
      </c>
      <c r="S1872" s="49">
        <v>17085069769</v>
      </c>
      <c r="T1872" s="49" t="s">
        <v>186</v>
      </c>
      <c r="U1872" s="50"/>
      <c r="V1872" s="50"/>
      <c r="W1872" s="50"/>
      <c r="X1872" s="50"/>
      <c r="Y1872" s="50"/>
      <c r="Z1872" s="51" t="s">
        <v>2146</v>
      </c>
      <c r="AA1872" s="51" t="s">
        <v>187</v>
      </c>
      <c r="AB1872" s="51">
        <v>1445</v>
      </c>
      <c r="AC1872" s="51">
        <v>1720</v>
      </c>
    </row>
    <row r="1873" spans="1:29" x14ac:dyDescent="0.25">
      <c r="A1873" s="25" t="s">
        <v>115</v>
      </c>
      <c r="B1873" t="b">
        <v>0</v>
      </c>
      <c r="C1873" s="43" t="s">
        <v>2147</v>
      </c>
      <c r="D1873" s="43">
        <v>168771489056</v>
      </c>
      <c r="E1873" s="43">
        <v>168771482175</v>
      </c>
      <c r="F1873" s="43" t="s">
        <v>186</v>
      </c>
      <c r="G1873" s="43" t="b">
        <v>0</v>
      </c>
      <c r="H1873" s="43" t="b">
        <v>1</v>
      </c>
      <c r="I1873" s="43"/>
      <c r="J1873" s="45" t="s">
        <v>2147</v>
      </c>
      <c r="K1873" s="46">
        <v>168771482175</v>
      </c>
      <c r="L1873" s="47">
        <v>990000503</v>
      </c>
      <c r="M1873" s="48" t="s">
        <v>2147</v>
      </c>
      <c r="N1873" s="48">
        <v>17093150372</v>
      </c>
      <c r="O1873" s="48">
        <v>17093149113</v>
      </c>
      <c r="P1873" s="48" t="s">
        <v>186</v>
      </c>
      <c r="Q1873" s="49" t="s">
        <v>2147</v>
      </c>
      <c r="R1873" s="49">
        <v>17086198469</v>
      </c>
      <c r="S1873" s="49">
        <v>17085069205</v>
      </c>
      <c r="T1873" s="49" t="s">
        <v>186</v>
      </c>
      <c r="U1873" s="50"/>
      <c r="V1873" s="50"/>
      <c r="W1873" s="50"/>
      <c r="X1873" s="50"/>
      <c r="Y1873" s="50"/>
      <c r="Z1873" s="51" t="s">
        <v>2147</v>
      </c>
      <c r="AA1873" s="51" t="s">
        <v>187</v>
      </c>
      <c r="AB1873" s="51">
        <v>1293</v>
      </c>
      <c r="AC1873" s="51">
        <v>1539</v>
      </c>
    </row>
    <row r="1874" spans="1:29" x14ac:dyDescent="0.25">
      <c r="A1874" s="25" t="s">
        <v>115</v>
      </c>
      <c r="B1874" t="b">
        <v>0</v>
      </c>
      <c r="C1874" s="43" t="s">
        <v>2148</v>
      </c>
      <c r="D1874" s="43">
        <v>168771486496</v>
      </c>
      <c r="E1874" s="43">
        <v>168771485247</v>
      </c>
      <c r="F1874" s="43" t="s">
        <v>125</v>
      </c>
      <c r="G1874" s="43" t="b">
        <v>0</v>
      </c>
      <c r="H1874" s="43" t="b">
        <v>1</v>
      </c>
      <c r="I1874" s="43"/>
      <c r="J1874" s="45" t="s">
        <v>2148</v>
      </c>
      <c r="K1874" s="46">
        <v>168771485247</v>
      </c>
      <c r="L1874" s="47">
        <v>990000506</v>
      </c>
      <c r="M1874" s="48" t="s">
        <v>2148</v>
      </c>
      <c r="N1874" s="48">
        <v>17093152420</v>
      </c>
      <c r="O1874" s="48">
        <v>17093152185</v>
      </c>
      <c r="P1874" s="48" t="s">
        <v>125</v>
      </c>
      <c r="Q1874" s="49" t="s">
        <v>2148</v>
      </c>
      <c r="R1874" s="49">
        <v>17086200517</v>
      </c>
      <c r="S1874" s="49">
        <v>17085070025</v>
      </c>
      <c r="T1874" s="49" t="s">
        <v>125</v>
      </c>
      <c r="U1874" s="50"/>
      <c r="V1874" s="50"/>
      <c r="W1874" s="50"/>
      <c r="X1874" s="50"/>
      <c r="Y1874" s="50"/>
      <c r="Z1874" s="51" t="s">
        <v>2148</v>
      </c>
      <c r="AA1874" s="51" t="s">
        <v>189</v>
      </c>
      <c r="AB1874" s="51">
        <v>32960</v>
      </c>
      <c r="AC1874" s="51">
        <v>39223</v>
      </c>
    </row>
    <row r="1875" spans="1:29" x14ac:dyDescent="0.25">
      <c r="A1875" s="25" t="s">
        <v>115</v>
      </c>
      <c r="B1875" t="b">
        <v>0</v>
      </c>
      <c r="C1875" s="43" t="s">
        <v>2149</v>
      </c>
      <c r="D1875" s="43">
        <v>168771488544</v>
      </c>
      <c r="E1875" s="43">
        <v>168771485631</v>
      </c>
      <c r="F1875" s="43" t="s">
        <v>125</v>
      </c>
      <c r="G1875" s="43" t="b">
        <v>0</v>
      </c>
      <c r="H1875" s="43" t="b">
        <v>1</v>
      </c>
      <c r="I1875" s="43"/>
      <c r="J1875" s="45" t="s">
        <v>2149</v>
      </c>
      <c r="K1875" s="46">
        <v>168771485631</v>
      </c>
      <c r="L1875" s="47">
        <v>990000508</v>
      </c>
      <c r="M1875" s="48" t="s">
        <v>2149</v>
      </c>
      <c r="N1875" s="48">
        <v>17093151140</v>
      </c>
      <c r="O1875" s="48">
        <v>17093151609</v>
      </c>
      <c r="P1875" s="48" t="s">
        <v>125</v>
      </c>
      <c r="Q1875" s="49" t="s">
        <v>2149</v>
      </c>
      <c r="R1875" s="49">
        <v>17086205944</v>
      </c>
      <c r="S1875" s="49">
        <v>17085068841</v>
      </c>
      <c r="T1875" s="49" t="s">
        <v>125</v>
      </c>
      <c r="U1875" s="50"/>
      <c r="V1875" s="50"/>
      <c r="W1875" s="50"/>
      <c r="X1875" s="50"/>
      <c r="Y1875" s="50"/>
      <c r="Z1875" s="51" t="s">
        <v>2149</v>
      </c>
      <c r="AA1875" s="51" t="s">
        <v>189</v>
      </c>
      <c r="AB1875" s="51">
        <v>75333</v>
      </c>
      <c r="AC1875" s="51">
        <v>92660</v>
      </c>
    </row>
    <row r="1876" spans="1:29" x14ac:dyDescent="0.25">
      <c r="A1876" s="25" t="s">
        <v>115</v>
      </c>
      <c r="B1876" t="b">
        <v>0</v>
      </c>
      <c r="C1876" s="43" t="s">
        <v>2150</v>
      </c>
      <c r="D1876" s="43">
        <v>999999999</v>
      </c>
      <c r="E1876" s="43">
        <v>999999999</v>
      </c>
      <c r="F1876" s="43" t="s">
        <v>123</v>
      </c>
      <c r="G1876" s="55" t="b">
        <v>1</v>
      </c>
      <c r="H1876" s="55" t="b">
        <v>0</v>
      </c>
      <c r="I1876" s="55"/>
    </row>
    <row r="1877" spans="1:29" x14ac:dyDescent="0.25">
      <c r="A1877" s="25" t="s">
        <v>115</v>
      </c>
      <c r="B1877" t="b">
        <v>0</v>
      </c>
      <c r="C1877" s="43" t="s">
        <v>2151</v>
      </c>
      <c r="D1877" s="43"/>
      <c r="E1877" s="43"/>
      <c r="F1877" s="43"/>
      <c r="G1877" s="55" t="b">
        <v>1</v>
      </c>
      <c r="H1877" s="55" t="b">
        <v>0</v>
      </c>
      <c r="I1877" s="55"/>
    </row>
    <row r="1878" spans="1:29" x14ac:dyDescent="0.25">
      <c r="A1878" s="25" t="s">
        <v>115</v>
      </c>
      <c r="B1878" t="b">
        <v>0</v>
      </c>
      <c r="C1878" s="43" t="s">
        <v>2152</v>
      </c>
      <c r="D1878" s="43"/>
      <c r="E1878" s="43"/>
      <c r="F1878" s="43"/>
      <c r="G1878" s="55" t="b">
        <v>1</v>
      </c>
      <c r="H1878" s="55" t="b">
        <v>0</v>
      </c>
      <c r="I1878" s="55"/>
    </row>
    <row r="1879" spans="1:29" x14ac:dyDescent="0.25">
      <c r="A1879" s="25" t="s">
        <v>115</v>
      </c>
      <c r="B1879" t="b">
        <v>0</v>
      </c>
      <c r="C1879" s="43" t="s">
        <v>2153</v>
      </c>
      <c r="D1879" s="43"/>
      <c r="E1879" s="43"/>
      <c r="F1879" s="43"/>
      <c r="G1879" s="55" t="b">
        <v>1</v>
      </c>
      <c r="H1879" s="55" t="b">
        <v>0</v>
      </c>
      <c r="I1879" s="55"/>
    </row>
    <row r="1880" spans="1:29" x14ac:dyDescent="0.25">
      <c r="A1880" s="25" t="s">
        <v>115</v>
      </c>
      <c r="B1880" t="b">
        <v>1</v>
      </c>
      <c r="C1880" s="43" t="s">
        <v>2154</v>
      </c>
      <c r="D1880" s="43">
        <v>380247870118</v>
      </c>
      <c r="E1880" s="43">
        <v>380247868710</v>
      </c>
      <c r="F1880" s="43" t="s">
        <v>125</v>
      </c>
      <c r="G1880" s="55" t="b">
        <v>1</v>
      </c>
      <c r="H1880" s="55" t="b">
        <v>0</v>
      </c>
      <c r="I1880" s="55"/>
      <c r="U1880" s="58" t="s">
        <v>2154</v>
      </c>
      <c r="V1880" s="58">
        <v>17100962737</v>
      </c>
      <c r="W1880" s="58">
        <v>17100960945</v>
      </c>
      <c r="X1880" s="58" t="s">
        <v>125</v>
      </c>
      <c r="Y1880" s="58">
        <v>120389</v>
      </c>
    </row>
    <row r="1881" spans="1:29" x14ac:dyDescent="0.25">
      <c r="A1881" s="25" t="s">
        <v>115</v>
      </c>
      <c r="B1881" t="b">
        <v>1</v>
      </c>
      <c r="C1881" s="43" t="s">
        <v>2155</v>
      </c>
      <c r="D1881" s="43">
        <v>380247868070</v>
      </c>
      <c r="E1881" s="43">
        <v>380247870246</v>
      </c>
      <c r="F1881" s="43" t="s">
        <v>125</v>
      </c>
      <c r="G1881" s="55" t="b">
        <v>1</v>
      </c>
      <c r="H1881" s="55" t="b">
        <v>0</v>
      </c>
      <c r="I1881" s="55"/>
      <c r="U1881" s="58" t="s">
        <v>2155</v>
      </c>
      <c r="V1881" s="58">
        <v>17100960689</v>
      </c>
      <c r="W1881" s="58">
        <v>17100962481</v>
      </c>
      <c r="X1881" s="58" t="s">
        <v>125</v>
      </c>
      <c r="Y1881" s="58">
        <v>120390</v>
      </c>
    </row>
    <row r="1882" spans="1:29" x14ac:dyDescent="0.25">
      <c r="A1882" s="25" t="s">
        <v>115</v>
      </c>
      <c r="B1882" t="b">
        <v>1</v>
      </c>
      <c r="C1882" s="43" t="s">
        <v>2156</v>
      </c>
      <c r="D1882" s="43">
        <v>380247869606</v>
      </c>
      <c r="E1882" s="43">
        <v>380247869478</v>
      </c>
      <c r="F1882" s="43" t="s">
        <v>132</v>
      </c>
      <c r="G1882" s="55" t="b">
        <v>0</v>
      </c>
      <c r="H1882" s="55" t="b">
        <v>0</v>
      </c>
      <c r="I1882" s="55"/>
      <c r="J1882" s="45" t="s">
        <v>2157</v>
      </c>
      <c r="K1882" s="46">
        <v>380247869478</v>
      </c>
      <c r="L1882" s="47">
        <v>990000249</v>
      </c>
      <c r="U1882" s="58" t="s">
        <v>2156</v>
      </c>
      <c r="V1882" s="58">
        <v>17100962225</v>
      </c>
      <c r="W1882" s="58">
        <v>17100960561</v>
      </c>
      <c r="X1882" s="58" t="s">
        <v>132</v>
      </c>
    </row>
    <row r="1883" spans="1:29" x14ac:dyDescent="0.25">
      <c r="A1883" s="25" t="s">
        <v>115</v>
      </c>
      <c r="B1883" t="b">
        <v>1</v>
      </c>
      <c r="C1883" s="43" t="s">
        <v>2158</v>
      </c>
      <c r="D1883" s="43">
        <v>380247867558</v>
      </c>
      <c r="E1883" s="43">
        <v>380247869382</v>
      </c>
      <c r="F1883" s="43" t="s">
        <v>132</v>
      </c>
      <c r="G1883" s="55" t="b">
        <v>0</v>
      </c>
      <c r="H1883" s="55" t="b">
        <v>0</v>
      </c>
      <c r="I1883" s="55"/>
      <c r="J1883" s="45" t="s">
        <v>2159</v>
      </c>
      <c r="K1883" s="46">
        <v>380247869382</v>
      </c>
      <c r="L1883" s="47">
        <v>990000247</v>
      </c>
      <c r="U1883" s="58" t="s">
        <v>2158</v>
      </c>
      <c r="V1883" s="58">
        <v>17100960177</v>
      </c>
      <c r="W1883" s="58">
        <v>17100534192</v>
      </c>
      <c r="X1883" s="58" t="s">
        <v>132</v>
      </c>
    </row>
    <row r="1884" spans="1:29" x14ac:dyDescent="0.25">
      <c r="A1884" s="25" t="s">
        <v>115</v>
      </c>
      <c r="B1884" t="b">
        <v>1</v>
      </c>
      <c r="C1884" s="43" t="s">
        <v>2160</v>
      </c>
      <c r="D1884" s="43">
        <v>380247870630</v>
      </c>
      <c r="E1884" s="43">
        <v>380247867942</v>
      </c>
      <c r="F1884" s="43" t="s">
        <v>186</v>
      </c>
      <c r="G1884" s="55" t="b">
        <v>0</v>
      </c>
      <c r="H1884" s="55" t="b">
        <v>0</v>
      </c>
      <c r="I1884" s="55"/>
      <c r="J1884" s="45" t="s">
        <v>2161</v>
      </c>
      <c r="K1884" s="46">
        <v>380247867942</v>
      </c>
      <c r="L1884" s="47">
        <v>990000248</v>
      </c>
      <c r="U1884" s="58" t="s">
        <v>2160</v>
      </c>
      <c r="V1884" s="58">
        <v>17100963249</v>
      </c>
      <c r="W1884" s="58">
        <v>17100963633</v>
      </c>
      <c r="X1884" s="58" t="s">
        <v>186</v>
      </c>
    </row>
    <row r="1885" spans="1:29" x14ac:dyDescent="0.25">
      <c r="A1885" s="25" t="s">
        <v>115</v>
      </c>
      <c r="B1885" t="b">
        <v>1</v>
      </c>
      <c r="C1885" s="43" t="s">
        <v>2162</v>
      </c>
      <c r="D1885" s="43">
        <v>380247868582</v>
      </c>
      <c r="E1885" s="43">
        <v>380247871014</v>
      </c>
      <c r="F1885" s="43" t="s">
        <v>186</v>
      </c>
      <c r="G1885" s="55" t="b">
        <v>0</v>
      </c>
      <c r="H1885" s="55" t="b">
        <v>0</v>
      </c>
      <c r="I1885" s="55"/>
      <c r="J1885" s="45" t="s">
        <v>2163</v>
      </c>
      <c r="K1885" s="46">
        <v>380247871014</v>
      </c>
      <c r="L1885" s="47">
        <v>990000246</v>
      </c>
      <c r="U1885" s="58" t="s">
        <v>2162</v>
      </c>
      <c r="V1885" s="58">
        <v>17100961201</v>
      </c>
      <c r="W1885" s="58">
        <v>17100537264</v>
      </c>
      <c r="X1885" s="58" t="s">
        <v>186</v>
      </c>
    </row>
    <row r="1886" spans="1:29" x14ac:dyDescent="0.25">
      <c r="A1886" s="25" t="s">
        <v>115</v>
      </c>
      <c r="B1886" t="b">
        <v>0</v>
      </c>
      <c r="C1886" s="43" t="s">
        <v>2164</v>
      </c>
      <c r="D1886" s="43"/>
      <c r="E1886" s="43">
        <v>67111490377</v>
      </c>
      <c r="F1886" s="43" t="s">
        <v>125</v>
      </c>
      <c r="G1886" s="55" t="b">
        <v>0</v>
      </c>
      <c r="H1886" s="55" t="b">
        <v>1</v>
      </c>
      <c r="I1886" s="55"/>
      <c r="J1886" s="45" t="s">
        <v>2164</v>
      </c>
      <c r="K1886" s="46">
        <v>67111490377</v>
      </c>
      <c r="L1886" s="47">
        <v>990000539</v>
      </c>
      <c r="Z1886" s="51" t="s">
        <v>2165</v>
      </c>
      <c r="AA1886" s="51" t="s">
        <v>189</v>
      </c>
      <c r="AB1886" s="51">
        <v>37667</v>
      </c>
      <c r="AC1886" s="51">
        <v>46330</v>
      </c>
    </row>
    <row r="1887" spans="1:29" x14ac:dyDescent="0.25">
      <c r="A1887" s="25" t="s">
        <v>115</v>
      </c>
      <c r="B1887" t="b">
        <v>0</v>
      </c>
      <c r="C1887" t="s">
        <v>2166</v>
      </c>
      <c r="E1887" s="59">
        <v>20112863810</v>
      </c>
      <c r="F1887" t="s">
        <v>132</v>
      </c>
      <c r="G1887" t="b">
        <v>0</v>
      </c>
      <c r="H1887" t="b">
        <v>1</v>
      </c>
      <c r="J1887" s="45" t="s">
        <v>2166</v>
      </c>
      <c r="K1887" s="46">
        <v>20112863810</v>
      </c>
      <c r="L1887" s="47">
        <v>990000542</v>
      </c>
      <c r="Z1887" s="51" t="s">
        <v>2167</v>
      </c>
      <c r="AA1887" s="51" t="s">
        <v>192</v>
      </c>
      <c r="AB1887" s="51">
        <v>14640</v>
      </c>
      <c r="AC1887" s="51">
        <v>17422</v>
      </c>
    </row>
    <row r="1888" spans="1:29" x14ac:dyDescent="0.25">
      <c r="A1888" s="25" t="s">
        <v>115</v>
      </c>
      <c r="B1888" t="b">
        <v>0</v>
      </c>
      <c r="C1888" t="s">
        <v>2168</v>
      </c>
      <c r="E1888" s="59">
        <v>67111492841</v>
      </c>
      <c r="F1888" t="s">
        <v>132</v>
      </c>
      <c r="G1888" t="b">
        <v>0</v>
      </c>
      <c r="H1888" t="b">
        <v>1</v>
      </c>
      <c r="J1888" s="45" t="s">
        <v>2168</v>
      </c>
      <c r="K1888" s="46">
        <v>67111492841</v>
      </c>
      <c r="L1888" s="47">
        <v>990000558</v>
      </c>
      <c r="Z1888" s="51" t="s">
        <v>2169</v>
      </c>
      <c r="AA1888" s="51" t="s">
        <v>192</v>
      </c>
      <c r="AB1888" s="51">
        <v>62221</v>
      </c>
      <c r="AC1888" s="51">
        <v>74042</v>
      </c>
    </row>
    <row r="1889" spans="3:24" x14ac:dyDescent="0.25">
      <c r="C1889" t="s">
        <v>1183</v>
      </c>
      <c r="U1889" s="58" t="s">
        <v>1183</v>
      </c>
      <c r="V1889" s="58">
        <v>17085741493</v>
      </c>
      <c r="W1889" s="58">
        <v>17085739477</v>
      </c>
      <c r="X1889" s="58" t="s">
        <v>132</v>
      </c>
    </row>
    <row r="1890" spans="3:24" x14ac:dyDescent="0.25">
      <c r="C1890" t="s">
        <v>1691</v>
      </c>
      <c r="U1890" s="58" t="s">
        <v>1691</v>
      </c>
      <c r="V1890" s="58">
        <v>17083127009</v>
      </c>
      <c r="W1890" s="58">
        <v>17083126936</v>
      </c>
      <c r="X1890" s="58" t="s">
        <v>173</v>
      </c>
    </row>
    <row r="1891" spans="3:24" x14ac:dyDescent="0.25">
      <c r="C1891" t="s">
        <v>1697</v>
      </c>
      <c r="U1891" s="58" t="s">
        <v>1697</v>
      </c>
      <c r="V1891" s="58">
        <v>17083128033</v>
      </c>
      <c r="W1891" s="58">
        <v>17083129624</v>
      </c>
      <c r="X1891" s="58" t="s">
        <v>173</v>
      </c>
    </row>
    <row r="1892" spans="3:24" x14ac:dyDescent="0.25">
      <c r="C1892" t="s">
        <v>1707</v>
      </c>
      <c r="U1892" s="58" t="s">
        <v>1707</v>
      </c>
      <c r="V1892" s="58">
        <v>17083128209</v>
      </c>
      <c r="W1892" s="58">
        <v>17083125860</v>
      </c>
      <c r="X1892" s="58" t="s">
        <v>173</v>
      </c>
    </row>
    <row r="1893" spans="3:24" x14ac:dyDescent="0.25">
      <c r="C1893" t="s">
        <v>1959</v>
      </c>
      <c r="J1893" s="45" t="s">
        <v>2170</v>
      </c>
      <c r="K1893" s="46">
        <v>99999990</v>
      </c>
      <c r="L1893" s="47">
        <v>990000163</v>
      </c>
      <c r="U1893" s="58" t="s">
        <v>1959</v>
      </c>
      <c r="V1893" s="58">
        <v>17083126089</v>
      </c>
      <c r="W1893" s="58">
        <v>17083090268</v>
      </c>
      <c r="X1893" s="58" t="s">
        <v>173</v>
      </c>
    </row>
    <row r="1894" spans="3:24" x14ac:dyDescent="0.25">
      <c r="J1894" s="45" t="s">
        <v>2171</v>
      </c>
      <c r="K1894" s="46">
        <v>99999991</v>
      </c>
      <c r="L1894" s="47">
        <v>990000162</v>
      </c>
    </row>
    <row r="1895" spans="3:24" x14ac:dyDescent="0.25">
      <c r="J1895" s="45" t="s">
        <v>2172</v>
      </c>
      <c r="K1895" s="46">
        <v>99999993</v>
      </c>
      <c r="L1895" s="47">
        <v>990000161</v>
      </c>
    </row>
    <row r="1897" spans="3:24" x14ac:dyDescent="0.25">
      <c r="C1897" t="s">
        <v>2173</v>
      </c>
      <c r="D1897" s="59">
        <v>381928906008</v>
      </c>
      <c r="E1897" s="59">
        <v>381928905704</v>
      </c>
      <c r="F1897" t="s">
        <v>125</v>
      </c>
      <c r="G1897" t="b">
        <v>0</v>
      </c>
      <c r="H1897" t="b">
        <v>1</v>
      </c>
    </row>
    <row r="1898" spans="3:24" x14ac:dyDescent="0.25">
      <c r="C1898" t="s">
        <v>2174</v>
      </c>
      <c r="D1898" s="59">
        <v>381928902936</v>
      </c>
      <c r="E1898" s="59">
        <v>381928903400</v>
      </c>
      <c r="F1898" t="s">
        <v>125</v>
      </c>
      <c r="G1898" t="b">
        <v>0</v>
      </c>
      <c r="H1898" t="b">
        <v>1</v>
      </c>
    </row>
    <row r="1899" spans="3:24" x14ac:dyDescent="0.25">
      <c r="C1899" t="s">
        <v>2175</v>
      </c>
      <c r="D1899" s="59">
        <v>381928904984</v>
      </c>
      <c r="E1899" s="59">
        <v>381928906472</v>
      </c>
      <c r="F1899" t="s">
        <v>125</v>
      </c>
      <c r="G1899" t="b">
        <v>0</v>
      </c>
      <c r="H1899" t="b">
        <v>1</v>
      </c>
    </row>
    <row r="1900" spans="3:24" x14ac:dyDescent="0.25">
      <c r="C1900" t="s">
        <v>2176</v>
      </c>
      <c r="D1900" s="59">
        <v>381928903960</v>
      </c>
      <c r="E1900" s="59">
        <v>381928904168</v>
      </c>
      <c r="F1900" t="s">
        <v>125</v>
      </c>
      <c r="G1900" t="b">
        <v>0</v>
      </c>
      <c r="H1900" t="b">
        <v>1</v>
      </c>
    </row>
    <row r="1901" spans="3:24" x14ac:dyDescent="0.25">
      <c r="C1901" t="s">
        <v>2177</v>
      </c>
      <c r="D1901" s="59">
        <v>381974748286</v>
      </c>
      <c r="E1901" s="59">
        <v>381974748222</v>
      </c>
      <c r="F1901" t="s">
        <v>125</v>
      </c>
      <c r="G1901" t="b">
        <v>0</v>
      </c>
      <c r="H1901" t="b">
        <v>1</v>
      </c>
    </row>
    <row r="1902" spans="3:24" x14ac:dyDescent="0.25">
      <c r="C1902" t="s">
        <v>2178</v>
      </c>
      <c r="D1902" s="59">
        <v>381974745726</v>
      </c>
      <c r="E1902" s="59">
        <v>381974748990</v>
      </c>
      <c r="F1902" t="s">
        <v>125</v>
      </c>
      <c r="G1902" t="b">
        <v>0</v>
      </c>
      <c r="H1902" t="b">
        <v>1</v>
      </c>
    </row>
    <row r="1903" spans="3:24" x14ac:dyDescent="0.25">
      <c r="C1903" t="s">
        <v>2179</v>
      </c>
      <c r="D1903" s="59">
        <v>381974747774</v>
      </c>
      <c r="E1903" s="59">
        <v>381974748734</v>
      </c>
      <c r="F1903" t="s">
        <v>125</v>
      </c>
      <c r="G1903" t="b">
        <v>0</v>
      </c>
      <c r="H1903" t="b">
        <v>1</v>
      </c>
    </row>
    <row r="1904" spans="3:24" x14ac:dyDescent="0.25">
      <c r="C1904" t="s">
        <v>2180</v>
      </c>
      <c r="D1904" s="59">
        <v>381974746750</v>
      </c>
      <c r="E1904" s="59">
        <v>381974748478</v>
      </c>
      <c r="F1904" t="s">
        <v>125</v>
      </c>
      <c r="G1904" t="b">
        <v>0</v>
      </c>
      <c r="H1904" t="b">
        <v>1</v>
      </c>
    </row>
    <row r="1905" spans="3:8" x14ac:dyDescent="0.25">
      <c r="C1905" t="s">
        <v>2181</v>
      </c>
      <c r="D1905" s="59">
        <v>382987637185</v>
      </c>
      <c r="E1905" s="59">
        <v>382987637569</v>
      </c>
      <c r="F1905" t="s">
        <v>125</v>
      </c>
      <c r="G1905" t="b">
        <v>0</v>
      </c>
      <c r="H1905" t="b">
        <v>1</v>
      </c>
    </row>
    <row r="1906" spans="3:8" x14ac:dyDescent="0.25">
      <c r="C1906" t="s">
        <v>2182</v>
      </c>
      <c r="D1906" s="59">
        <v>382987639233</v>
      </c>
      <c r="E1906" s="59">
        <v>382987636929</v>
      </c>
      <c r="F1906" t="s">
        <v>125</v>
      </c>
      <c r="G1906" t="b">
        <v>0</v>
      </c>
      <c r="H1906" t="b">
        <v>1</v>
      </c>
    </row>
    <row r="1907" spans="3:8" x14ac:dyDescent="0.25">
      <c r="D1907" s="59">
        <v>382987637441</v>
      </c>
      <c r="E1907" s="59">
        <v>382987637633</v>
      </c>
      <c r="F1907" t="s">
        <v>132</v>
      </c>
      <c r="G1907" t="b">
        <v>0</v>
      </c>
      <c r="H1907" t="b">
        <v>0</v>
      </c>
    </row>
    <row r="1908" spans="3:8" x14ac:dyDescent="0.25">
      <c r="D1908" s="59">
        <v>382987638465</v>
      </c>
      <c r="E1908" s="59">
        <v>382987637313</v>
      </c>
      <c r="F1908" t="s">
        <v>186</v>
      </c>
      <c r="G1908" t="b">
        <v>0</v>
      </c>
      <c r="H1908" t="b">
        <v>0</v>
      </c>
    </row>
    <row r="1909" spans="3:8" x14ac:dyDescent="0.25">
      <c r="D1909" s="59">
        <v>382987639489</v>
      </c>
      <c r="E1909" s="59">
        <v>382987636801</v>
      </c>
      <c r="F1909" t="s">
        <v>132</v>
      </c>
      <c r="G1909" t="b">
        <v>0</v>
      </c>
      <c r="H1909" t="b">
        <v>0</v>
      </c>
    </row>
    <row r="1910" spans="3:8" x14ac:dyDescent="0.25">
      <c r="D1910" s="59">
        <v>382987640513</v>
      </c>
      <c r="E1910" s="59">
        <v>382987637057</v>
      </c>
      <c r="F1910" t="s">
        <v>186</v>
      </c>
      <c r="G1910" t="b">
        <v>0</v>
      </c>
      <c r="H1910" t="b">
        <v>0</v>
      </c>
    </row>
    <row r="1911" spans="3:8" x14ac:dyDescent="0.25">
      <c r="C1911" t="s">
        <v>2183</v>
      </c>
      <c r="D1911" s="59">
        <v>23806</v>
      </c>
      <c r="E1911" s="59">
        <v>19325</v>
      </c>
      <c r="F1911" t="s">
        <v>2184</v>
      </c>
      <c r="G1911" t="b">
        <v>0</v>
      </c>
      <c r="H1911" t="b">
        <v>1</v>
      </c>
    </row>
    <row r="1912" spans="3:8" x14ac:dyDescent="0.25">
      <c r="C1912" t="s">
        <v>2185</v>
      </c>
      <c r="D1912" s="59">
        <v>20531668413</v>
      </c>
      <c r="E1912" s="59">
        <v>1040325660</v>
      </c>
      <c r="F1912" t="s">
        <v>2186</v>
      </c>
      <c r="G1912" t="b">
        <v>0</v>
      </c>
      <c r="H1912" t="b">
        <v>1</v>
      </c>
    </row>
  </sheetData>
  <mergeCells count="6">
    <mergeCell ref="Z1:AC1"/>
    <mergeCell ref="C1:F1"/>
    <mergeCell ref="J1:L1"/>
    <mergeCell ref="M1:P1"/>
    <mergeCell ref="Q1:T1"/>
    <mergeCell ref="U1:Y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692E71-909B-4B5F-B049-A5B030AA45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Manual</vt:lpstr>
      <vt:lpstr>Variables</vt:lpstr>
      <vt:lpstr>Condiciones</vt:lpstr>
      <vt:lpstr>Data</vt:lpstr>
      <vt:lpstr>EXAMPLE</vt:lpstr>
      <vt:lpstr>supplementary_offering_offering</vt:lpstr>
      <vt:lpstr>supplementary_offering_legacyid</vt:lpstr>
      <vt:lpstr>PospaidSupplementOffering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Sarria</dc:creator>
  <cp:lastModifiedBy>Sarria Revelo, Jhony</cp:lastModifiedBy>
  <dcterms:created xsi:type="dcterms:W3CDTF">2018-12-09T21:56:03Z</dcterms:created>
  <dcterms:modified xsi:type="dcterms:W3CDTF">2020-12-21T17:01:51Z</dcterms:modified>
</cp:coreProperties>
</file>